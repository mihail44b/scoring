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feran\Downloads\"/>
    </mc:Choice>
  </mc:AlternateContent>
  <xr:revisionPtr revIDLastSave="0" documentId="13_ncr:1_{1C982FDC-28BF-4E76-A010-F085C369B6C5}" xr6:coauthVersionLast="47" xr6:coauthVersionMax="47" xr10:uidLastSave="{00000000-0000-0000-0000-000000000000}"/>
  <bookViews>
    <workbookView xWindow="-120" yWindow="-120" windowWidth="29040" windowHeight="15720" activeTab="1" xr2:uid="{4EC3BC2C-0997-468D-8D1A-FCE5CD74F67C}"/>
  </bookViews>
  <sheets>
    <sheet name="ЛИК_дляСкорингаДП" sheetId="1" r:id="rId1"/>
    <sheet name="Категория С" sheetId="2" r:id="rId2"/>
    <sheet name="Справочник_ОКВЭД_НР" sheetId="3" r:id="rId3"/>
  </sheets>
  <definedNames>
    <definedName name="_xlnm._FilterDatabase" localSheetId="1" hidden="1">'Категория С'!$A$1:$M$1013</definedName>
    <definedName name="_xlnm._FilterDatabase" localSheetId="0" hidden="1">ЛИК_дляСкорингаДП!$A$1:$AG$1001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K13" i="2" s="1"/>
  <c r="G14" i="2"/>
  <c r="G15" i="2"/>
  <c r="G16" i="2"/>
  <c r="G17" i="2"/>
  <c r="G18" i="2"/>
  <c r="G19" i="2"/>
  <c r="G20" i="2"/>
  <c r="G21" i="2"/>
  <c r="G22" i="2"/>
  <c r="G23" i="2"/>
  <c r="G24" i="2"/>
  <c r="G25" i="2"/>
  <c r="K25" i="2" s="1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K49" i="2" s="1"/>
  <c r="G50" i="2"/>
  <c r="G51" i="2"/>
  <c r="G52" i="2"/>
  <c r="G53" i="2"/>
  <c r="G54" i="2"/>
  <c r="G55" i="2"/>
  <c r="G56" i="2"/>
  <c r="G57" i="2"/>
  <c r="G58" i="2"/>
  <c r="G59" i="2"/>
  <c r="G60" i="2"/>
  <c r="G61" i="2"/>
  <c r="K61" i="2" s="1"/>
  <c r="G62" i="2"/>
  <c r="G63" i="2"/>
  <c r="G64" i="2"/>
  <c r="G65" i="2"/>
  <c r="G66" i="2"/>
  <c r="G67" i="2"/>
  <c r="G68" i="2"/>
  <c r="G69" i="2"/>
  <c r="G70" i="2"/>
  <c r="G71" i="2"/>
  <c r="G72" i="2"/>
  <c r="G73" i="2"/>
  <c r="K73" i="2" s="1"/>
  <c r="G74" i="2"/>
  <c r="G75" i="2"/>
  <c r="G76" i="2"/>
  <c r="G77" i="2"/>
  <c r="G78" i="2"/>
  <c r="G79" i="2"/>
  <c r="G80" i="2"/>
  <c r="G81" i="2"/>
  <c r="G82" i="2"/>
  <c r="G83" i="2"/>
  <c r="G84" i="2"/>
  <c r="G85" i="2"/>
  <c r="K85" i="2" s="1"/>
  <c r="G86" i="2"/>
  <c r="G87" i="2"/>
  <c r="G88" i="2"/>
  <c r="G89" i="2"/>
  <c r="G90" i="2"/>
  <c r="G91" i="2"/>
  <c r="G92" i="2"/>
  <c r="G93" i="2"/>
  <c r="G94" i="2"/>
  <c r="G95" i="2"/>
  <c r="G96" i="2"/>
  <c r="G97" i="2"/>
  <c r="K97" i="2" s="1"/>
  <c r="G98" i="2"/>
  <c r="G99" i="2"/>
  <c r="G100" i="2"/>
  <c r="G101" i="2"/>
  <c r="G102" i="2"/>
  <c r="G103" i="2"/>
  <c r="G104" i="2"/>
  <c r="G105" i="2"/>
  <c r="G106" i="2"/>
  <c r="G107" i="2"/>
  <c r="G108" i="2"/>
  <c r="G109" i="2"/>
  <c r="K109" i="2" s="1"/>
  <c r="G110" i="2"/>
  <c r="G111" i="2"/>
  <c r="G112" i="2"/>
  <c r="G113" i="2"/>
  <c r="G114" i="2"/>
  <c r="G115" i="2"/>
  <c r="G116" i="2"/>
  <c r="G117" i="2"/>
  <c r="G118" i="2"/>
  <c r="G119" i="2"/>
  <c r="G120" i="2"/>
  <c r="G121" i="2"/>
  <c r="K121" i="2" s="1"/>
  <c r="G122" i="2"/>
  <c r="G123" i="2"/>
  <c r="G124" i="2"/>
  <c r="G125" i="2"/>
  <c r="G126" i="2"/>
  <c r="G127" i="2"/>
  <c r="G128" i="2"/>
  <c r="G129" i="2"/>
  <c r="G130" i="2"/>
  <c r="G131" i="2"/>
  <c r="G132" i="2"/>
  <c r="G133" i="2"/>
  <c r="K133" i="2" s="1"/>
  <c r="G134" i="2"/>
  <c r="G135" i="2"/>
  <c r="G136" i="2"/>
  <c r="G137" i="2"/>
  <c r="G138" i="2"/>
  <c r="G139" i="2"/>
  <c r="G140" i="2"/>
  <c r="G141" i="2"/>
  <c r="G142" i="2"/>
  <c r="G143" i="2"/>
  <c r="G144" i="2"/>
  <c r="G145" i="2"/>
  <c r="K145" i="2" s="1"/>
  <c r="G146" i="2"/>
  <c r="G147" i="2"/>
  <c r="G148" i="2"/>
  <c r="G149" i="2"/>
  <c r="G150" i="2"/>
  <c r="G151" i="2"/>
  <c r="G152" i="2"/>
  <c r="G153" i="2"/>
  <c r="G154" i="2"/>
  <c r="G155" i="2"/>
  <c r="G156" i="2"/>
  <c r="G157" i="2"/>
  <c r="K157" i="2" s="1"/>
  <c r="G158" i="2"/>
  <c r="G159" i="2"/>
  <c r="G160" i="2"/>
  <c r="G161" i="2"/>
  <c r="G162" i="2"/>
  <c r="G163" i="2"/>
  <c r="G164" i="2"/>
  <c r="G165" i="2"/>
  <c r="G166" i="2"/>
  <c r="G167" i="2"/>
  <c r="G168" i="2"/>
  <c r="G169" i="2"/>
  <c r="K169" i="2" s="1"/>
  <c r="G170" i="2"/>
  <c r="G171" i="2"/>
  <c r="G172" i="2"/>
  <c r="G173" i="2"/>
  <c r="G174" i="2"/>
  <c r="G175" i="2"/>
  <c r="G176" i="2"/>
  <c r="G177" i="2"/>
  <c r="G178" i="2"/>
  <c r="G179" i="2"/>
  <c r="G180" i="2"/>
  <c r="G181" i="2"/>
  <c r="K181" i="2" s="1"/>
  <c r="G182" i="2"/>
  <c r="G183" i="2"/>
  <c r="G184" i="2"/>
  <c r="G185" i="2"/>
  <c r="G186" i="2"/>
  <c r="G187" i="2"/>
  <c r="G188" i="2"/>
  <c r="G189" i="2"/>
  <c r="G190" i="2"/>
  <c r="G191" i="2"/>
  <c r="G192" i="2"/>
  <c r="G193" i="2"/>
  <c r="K193" i="2" s="1"/>
  <c r="G194" i="2"/>
  <c r="G195" i="2"/>
  <c r="G196" i="2"/>
  <c r="G197" i="2"/>
  <c r="G198" i="2"/>
  <c r="G199" i="2"/>
  <c r="G200" i="2"/>
  <c r="G201" i="2"/>
  <c r="G202" i="2"/>
  <c r="G203" i="2"/>
  <c r="G204" i="2"/>
  <c r="G205" i="2"/>
  <c r="K205" i="2" s="1"/>
  <c r="G206" i="2"/>
  <c r="G207" i="2"/>
  <c r="G208" i="2"/>
  <c r="G209" i="2"/>
  <c r="G210" i="2"/>
  <c r="G211" i="2"/>
  <c r="G212" i="2"/>
  <c r="G213" i="2"/>
  <c r="G214" i="2"/>
  <c r="G215" i="2"/>
  <c r="G216" i="2"/>
  <c r="G217" i="2"/>
  <c r="K217" i="2" s="1"/>
  <c r="G218" i="2"/>
  <c r="G219" i="2"/>
  <c r="G220" i="2"/>
  <c r="G221" i="2"/>
  <c r="G222" i="2"/>
  <c r="G223" i="2"/>
  <c r="G224" i="2"/>
  <c r="G225" i="2"/>
  <c r="G226" i="2"/>
  <c r="G227" i="2"/>
  <c r="G228" i="2"/>
  <c r="G229" i="2"/>
  <c r="K229" i="2" s="1"/>
  <c r="G230" i="2"/>
  <c r="G231" i="2"/>
  <c r="G232" i="2"/>
  <c r="G233" i="2"/>
  <c r="G234" i="2"/>
  <c r="G235" i="2"/>
  <c r="G236" i="2"/>
  <c r="G237" i="2"/>
  <c r="G238" i="2"/>
  <c r="G239" i="2"/>
  <c r="G240" i="2"/>
  <c r="G241" i="2"/>
  <c r="K241" i="2" s="1"/>
  <c r="G242" i="2"/>
  <c r="G243" i="2"/>
  <c r="G244" i="2"/>
  <c r="G245" i="2"/>
  <c r="G246" i="2"/>
  <c r="G247" i="2"/>
  <c r="G248" i="2"/>
  <c r="G249" i="2"/>
  <c r="G250" i="2"/>
  <c r="G251" i="2"/>
  <c r="G252" i="2"/>
  <c r="G253" i="2"/>
  <c r="K253" i="2" s="1"/>
  <c r="G254" i="2"/>
  <c r="G255" i="2"/>
  <c r="G256" i="2"/>
  <c r="G257" i="2"/>
  <c r="G258" i="2"/>
  <c r="G259" i="2"/>
  <c r="G260" i="2"/>
  <c r="G261" i="2"/>
  <c r="G262" i="2"/>
  <c r="G263" i="2"/>
  <c r="G264" i="2"/>
  <c r="G265" i="2"/>
  <c r="K265" i="2" s="1"/>
  <c r="G266" i="2"/>
  <c r="G267" i="2"/>
  <c r="G268" i="2"/>
  <c r="G269" i="2"/>
  <c r="G270" i="2"/>
  <c r="G271" i="2"/>
  <c r="G272" i="2"/>
  <c r="G273" i="2"/>
  <c r="G274" i="2"/>
  <c r="G275" i="2"/>
  <c r="G276" i="2"/>
  <c r="G277" i="2"/>
  <c r="K277" i="2" s="1"/>
  <c r="G278" i="2"/>
  <c r="G279" i="2"/>
  <c r="G280" i="2"/>
  <c r="G281" i="2"/>
  <c r="G282" i="2"/>
  <c r="G283" i="2"/>
  <c r="G284" i="2"/>
  <c r="G285" i="2"/>
  <c r="G286" i="2"/>
  <c r="G287" i="2"/>
  <c r="G288" i="2"/>
  <c r="G289" i="2"/>
  <c r="K289" i="2" s="1"/>
  <c r="G290" i="2"/>
  <c r="G291" i="2"/>
  <c r="G292" i="2"/>
  <c r="G293" i="2"/>
  <c r="G294" i="2"/>
  <c r="G295" i="2"/>
  <c r="G296" i="2"/>
  <c r="G297" i="2"/>
  <c r="G298" i="2"/>
  <c r="G299" i="2"/>
  <c r="G300" i="2"/>
  <c r="G301" i="2"/>
  <c r="K301" i="2" s="1"/>
  <c r="G302" i="2"/>
  <c r="G303" i="2"/>
  <c r="G304" i="2"/>
  <c r="G305" i="2"/>
  <c r="G306" i="2"/>
  <c r="G307" i="2"/>
  <c r="G308" i="2"/>
  <c r="G309" i="2"/>
  <c r="G310" i="2"/>
  <c r="G311" i="2"/>
  <c r="G312" i="2"/>
  <c r="G313" i="2"/>
  <c r="K313" i="2" s="1"/>
  <c r="G314" i="2"/>
  <c r="G315" i="2"/>
  <c r="G316" i="2"/>
  <c r="G317" i="2"/>
  <c r="G318" i="2"/>
  <c r="G319" i="2"/>
  <c r="G320" i="2"/>
  <c r="G321" i="2"/>
  <c r="G322" i="2"/>
  <c r="G323" i="2"/>
  <c r="G324" i="2"/>
  <c r="G325" i="2"/>
  <c r="K325" i="2" s="1"/>
  <c r="G326" i="2"/>
  <c r="G327" i="2"/>
  <c r="G328" i="2"/>
  <c r="G329" i="2"/>
  <c r="G330" i="2"/>
  <c r="G331" i="2"/>
  <c r="G332" i="2"/>
  <c r="G333" i="2"/>
  <c r="G334" i="2"/>
  <c r="G335" i="2"/>
  <c r="G336" i="2"/>
  <c r="G337" i="2"/>
  <c r="K337" i="2" s="1"/>
  <c r="G338" i="2"/>
  <c r="G339" i="2"/>
  <c r="G340" i="2"/>
  <c r="G341" i="2"/>
  <c r="G342" i="2"/>
  <c r="G343" i="2"/>
  <c r="G344" i="2"/>
  <c r="G345" i="2"/>
  <c r="G346" i="2"/>
  <c r="G347" i="2"/>
  <c r="G348" i="2"/>
  <c r="G349" i="2"/>
  <c r="K349" i="2" s="1"/>
  <c r="G350" i="2"/>
  <c r="G351" i="2"/>
  <c r="G352" i="2"/>
  <c r="G353" i="2"/>
  <c r="G354" i="2"/>
  <c r="G355" i="2"/>
  <c r="G356" i="2"/>
  <c r="G357" i="2"/>
  <c r="G358" i="2"/>
  <c r="G359" i="2"/>
  <c r="G360" i="2"/>
  <c r="G361" i="2"/>
  <c r="K361" i="2" s="1"/>
  <c r="G362" i="2"/>
  <c r="G363" i="2"/>
  <c r="G364" i="2"/>
  <c r="G365" i="2"/>
  <c r="G366" i="2"/>
  <c r="G367" i="2"/>
  <c r="G368" i="2"/>
  <c r="G369" i="2"/>
  <c r="G370" i="2"/>
  <c r="G371" i="2"/>
  <c r="G372" i="2"/>
  <c r="G373" i="2"/>
  <c r="K373" i="2" s="1"/>
  <c r="G374" i="2"/>
  <c r="G375" i="2"/>
  <c r="G376" i="2"/>
  <c r="G377" i="2"/>
  <c r="G378" i="2"/>
  <c r="G379" i="2"/>
  <c r="G380" i="2"/>
  <c r="G381" i="2"/>
  <c r="G382" i="2"/>
  <c r="G383" i="2"/>
  <c r="G384" i="2"/>
  <c r="G385" i="2"/>
  <c r="K385" i="2" s="1"/>
  <c r="G386" i="2"/>
  <c r="G387" i="2"/>
  <c r="G388" i="2"/>
  <c r="G389" i="2"/>
  <c r="G390" i="2"/>
  <c r="G391" i="2"/>
  <c r="G392" i="2"/>
  <c r="G393" i="2"/>
  <c r="G394" i="2"/>
  <c r="G395" i="2"/>
  <c r="G396" i="2"/>
  <c r="G397" i="2"/>
  <c r="K397" i="2" s="1"/>
  <c r="G398" i="2"/>
  <c r="G399" i="2"/>
  <c r="G400" i="2"/>
  <c r="G401" i="2"/>
  <c r="G402" i="2"/>
  <c r="G403" i="2"/>
  <c r="G404" i="2"/>
  <c r="G405" i="2"/>
  <c r="G406" i="2"/>
  <c r="G407" i="2"/>
  <c r="G408" i="2"/>
  <c r="G409" i="2"/>
  <c r="K409" i="2" s="1"/>
  <c r="G410" i="2"/>
  <c r="G411" i="2"/>
  <c r="G412" i="2"/>
  <c r="G413" i="2"/>
  <c r="G414" i="2"/>
  <c r="G415" i="2"/>
  <c r="G416" i="2"/>
  <c r="G417" i="2"/>
  <c r="G418" i="2"/>
  <c r="G419" i="2"/>
  <c r="G420" i="2"/>
  <c r="G421" i="2"/>
  <c r="K421" i="2" s="1"/>
  <c r="G422" i="2"/>
  <c r="G423" i="2"/>
  <c r="G424" i="2"/>
  <c r="G425" i="2"/>
  <c r="G426" i="2"/>
  <c r="G427" i="2"/>
  <c r="G428" i="2"/>
  <c r="G429" i="2"/>
  <c r="G430" i="2"/>
  <c r="G431" i="2"/>
  <c r="G432" i="2"/>
  <c r="G433" i="2"/>
  <c r="K433" i="2" s="1"/>
  <c r="G434" i="2"/>
  <c r="G435" i="2"/>
  <c r="G436" i="2"/>
  <c r="G437" i="2"/>
  <c r="G438" i="2"/>
  <c r="G439" i="2"/>
  <c r="G440" i="2"/>
  <c r="G441" i="2"/>
  <c r="G442" i="2"/>
  <c r="G443" i="2"/>
  <c r="G444" i="2"/>
  <c r="G445" i="2"/>
  <c r="K445" i="2" s="1"/>
  <c r="G446" i="2"/>
  <c r="G447" i="2"/>
  <c r="G448" i="2"/>
  <c r="G449" i="2"/>
  <c r="G450" i="2"/>
  <c r="G451" i="2"/>
  <c r="G452" i="2"/>
  <c r="G453" i="2"/>
  <c r="G454" i="2"/>
  <c r="G455" i="2"/>
  <c r="G456" i="2"/>
  <c r="G457" i="2"/>
  <c r="K457" i="2" s="1"/>
  <c r="G458" i="2"/>
  <c r="G459" i="2"/>
  <c r="G460" i="2"/>
  <c r="G461" i="2"/>
  <c r="G462" i="2"/>
  <c r="G463" i="2"/>
  <c r="G464" i="2"/>
  <c r="G465" i="2"/>
  <c r="G466" i="2"/>
  <c r="G467" i="2"/>
  <c r="G468" i="2"/>
  <c r="G469" i="2"/>
  <c r="K469" i="2" s="1"/>
  <c r="G470" i="2"/>
  <c r="G471" i="2"/>
  <c r="G472" i="2"/>
  <c r="G473" i="2"/>
  <c r="G474" i="2"/>
  <c r="G475" i="2"/>
  <c r="G476" i="2"/>
  <c r="G477" i="2"/>
  <c r="G478" i="2"/>
  <c r="G479" i="2"/>
  <c r="G480" i="2"/>
  <c r="G481" i="2"/>
  <c r="K481" i="2" s="1"/>
  <c r="G482" i="2"/>
  <c r="G483" i="2"/>
  <c r="G484" i="2"/>
  <c r="G485" i="2"/>
  <c r="G486" i="2"/>
  <c r="G487" i="2"/>
  <c r="G488" i="2"/>
  <c r="G489" i="2"/>
  <c r="G490" i="2"/>
  <c r="G491" i="2"/>
  <c r="G492" i="2"/>
  <c r="G493" i="2"/>
  <c r="K493" i="2" s="1"/>
  <c r="G494" i="2"/>
  <c r="G495" i="2"/>
  <c r="G496" i="2"/>
  <c r="G497" i="2"/>
  <c r="G498" i="2"/>
  <c r="G499" i="2"/>
  <c r="G500" i="2"/>
  <c r="G501" i="2"/>
  <c r="G502" i="2"/>
  <c r="G503" i="2"/>
  <c r="G504" i="2"/>
  <c r="G505" i="2"/>
  <c r="K505" i="2" s="1"/>
  <c r="G506" i="2"/>
  <c r="G507" i="2"/>
  <c r="G508" i="2"/>
  <c r="G509" i="2"/>
  <c r="G510" i="2"/>
  <c r="G511" i="2"/>
  <c r="G512" i="2"/>
  <c r="G513" i="2"/>
  <c r="G514" i="2"/>
  <c r="G515" i="2"/>
  <c r="G516" i="2"/>
  <c r="G517" i="2"/>
  <c r="K517" i="2" s="1"/>
  <c r="G518" i="2"/>
  <c r="G519" i="2"/>
  <c r="G520" i="2"/>
  <c r="G521" i="2"/>
  <c r="G522" i="2"/>
  <c r="G523" i="2"/>
  <c r="G524" i="2"/>
  <c r="G525" i="2"/>
  <c r="G526" i="2"/>
  <c r="G527" i="2"/>
  <c r="G528" i="2"/>
  <c r="G529" i="2"/>
  <c r="K529" i="2" s="1"/>
  <c r="G530" i="2"/>
  <c r="G531" i="2"/>
  <c r="G532" i="2"/>
  <c r="G533" i="2"/>
  <c r="G534" i="2"/>
  <c r="G535" i="2"/>
  <c r="G536" i="2"/>
  <c r="G537" i="2"/>
  <c r="G538" i="2"/>
  <c r="G539" i="2"/>
  <c r="G540" i="2"/>
  <c r="G541" i="2"/>
  <c r="K541" i="2" s="1"/>
  <c r="G542" i="2"/>
  <c r="G543" i="2"/>
  <c r="G544" i="2"/>
  <c r="G545" i="2"/>
  <c r="G546" i="2"/>
  <c r="G547" i="2"/>
  <c r="G548" i="2"/>
  <c r="G549" i="2"/>
  <c r="G550" i="2"/>
  <c r="G551" i="2"/>
  <c r="G552" i="2"/>
  <c r="G553" i="2"/>
  <c r="K553" i="2" s="1"/>
  <c r="G554" i="2"/>
  <c r="G555" i="2"/>
  <c r="G556" i="2"/>
  <c r="G557" i="2"/>
  <c r="G558" i="2"/>
  <c r="G559" i="2"/>
  <c r="G560" i="2"/>
  <c r="G561" i="2"/>
  <c r="G562" i="2"/>
  <c r="G563" i="2"/>
  <c r="G564" i="2"/>
  <c r="G565" i="2"/>
  <c r="K565" i="2" s="1"/>
  <c r="G566" i="2"/>
  <c r="G567" i="2"/>
  <c r="G568" i="2"/>
  <c r="G569" i="2"/>
  <c r="G570" i="2"/>
  <c r="G571" i="2"/>
  <c r="G572" i="2"/>
  <c r="G573" i="2"/>
  <c r="G574" i="2"/>
  <c r="G575" i="2"/>
  <c r="G576" i="2"/>
  <c r="G577" i="2"/>
  <c r="K577" i="2" s="1"/>
  <c r="G578" i="2"/>
  <c r="G579" i="2"/>
  <c r="G580" i="2"/>
  <c r="G581" i="2"/>
  <c r="G582" i="2"/>
  <c r="G583" i="2"/>
  <c r="G584" i="2"/>
  <c r="G585" i="2"/>
  <c r="G586" i="2"/>
  <c r="G587" i="2"/>
  <c r="G588" i="2"/>
  <c r="G589" i="2"/>
  <c r="K589" i="2" s="1"/>
  <c r="G590" i="2"/>
  <c r="G591" i="2"/>
  <c r="G592" i="2"/>
  <c r="G593" i="2"/>
  <c r="G594" i="2"/>
  <c r="G595" i="2"/>
  <c r="G596" i="2"/>
  <c r="G597" i="2"/>
  <c r="G598" i="2"/>
  <c r="G599" i="2"/>
  <c r="G600" i="2"/>
  <c r="G601" i="2"/>
  <c r="K601" i="2" s="1"/>
  <c r="G602" i="2"/>
  <c r="G603" i="2"/>
  <c r="G604" i="2"/>
  <c r="G605" i="2"/>
  <c r="G606" i="2"/>
  <c r="G607" i="2"/>
  <c r="G608" i="2"/>
  <c r="G609" i="2"/>
  <c r="G610" i="2"/>
  <c r="G611" i="2"/>
  <c r="G612" i="2"/>
  <c r="G613" i="2"/>
  <c r="K613" i="2" s="1"/>
  <c r="G614" i="2"/>
  <c r="G615" i="2"/>
  <c r="G616" i="2"/>
  <c r="G617" i="2"/>
  <c r="G618" i="2"/>
  <c r="G619" i="2"/>
  <c r="G620" i="2"/>
  <c r="G621" i="2"/>
  <c r="G622" i="2"/>
  <c r="G623" i="2"/>
  <c r="G624" i="2"/>
  <c r="G625" i="2"/>
  <c r="K625" i="2" s="1"/>
  <c r="G626" i="2"/>
  <c r="G627" i="2"/>
  <c r="G628" i="2"/>
  <c r="G629" i="2"/>
  <c r="G630" i="2"/>
  <c r="G631" i="2"/>
  <c r="G632" i="2"/>
  <c r="G633" i="2"/>
  <c r="G634" i="2"/>
  <c r="G635" i="2"/>
  <c r="G636" i="2"/>
  <c r="G637" i="2"/>
  <c r="K637" i="2" s="1"/>
  <c r="G638" i="2"/>
  <c r="G639" i="2"/>
  <c r="G640" i="2"/>
  <c r="G641" i="2"/>
  <c r="G642" i="2"/>
  <c r="G643" i="2"/>
  <c r="G644" i="2"/>
  <c r="G645" i="2"/>
  <c r="G646" i="2"/>
  <c r="G647" i="2"/>
  <c r="G648" i="2"/>
  <c r="G649" i="2"/>
  <c r="K649" i="2" s="1"/>
  <c r="G650" i="2"/>
  <c r="G651" i="2"/>
  <c r="G652" i="2"/>
  <c r="G653" i="2"/>
  <c r="G654" i="2"/>
  <c r="G655" i="2"/>
  <c r="G656" i="2"/>
  <c r="G657" i="2"/>
  <c r="G658" i="2"/>
  <c r="G659" i="2"/>
  <c r="G660" i="2"/>
  <c r="G661" i="2"/>
  <c r="K661" i="2" s="1"/>
  <c r="G662" i="2"/>
  <c r="G663" i="2"/>
  <c r="G664" i="2"/>
  <c r="G665" i="2"/>
  <c r="G666" i="2"/>
  <c r="G667" i="2"/>
  <c r="G668" i="2"/>
  <c r="G669" i="2"/>
  <c r="G670" i="2"/>
  <c r="G671" i="2"/>
  <c r="G672" i="2"/>
  <c r="G673" i="2"/>
  <c r="K673" i="2" s="1"/>
  <c r="G674" i="2"/>
  <c r="G675" i="2"/>
  <c r="G676" i="2"/>
  <c r="G677" i="2"/>
  <c r="G678" i="2"/>
  <c r="G679" i="2"/>
  <c r="G680" i="2"/>
  <c r="G681" i="2"/>
  <c r="G682" i="2"/>
  <c r="G683" i="2"/>
  <c r="G684" i="2"/>
  <c r="G685" i="2"/>
  <c r="K685" i="2" s="1"/>
  <c r="G686" i="2"/>
  <c r="G687" i="2"/>
  <c r="G688" i="2"/>
  <c r="G689" i="2"/>
  <c r="G690" i="2"/>
  <c r="G691" i="2"/>
  <c r="G692" i="2"/>
  <c r="G693" i="2"/>
  <c r="G694" i="2"/>
  <c r="G695" i="2"/>
  <c r="G696" i="2"/>
  <c r="G697" i="2"/>
  <c r="K697" i="2" s="1"/>
  <c r="G698" i="2"/>
  <c r="G699" i="2"/>
  <c r="G700" i="2"/>
  <c r="G701" i="2"/>
  <c r="G702" i="2"/>
  <c r="G703" i="2"/>
  <c r="G704" i="2"/>
  <c r="G705" i="2"/>
  <c r="G706" i="2"/>
  <c r="G707" i="2"/>
  <c r="G708" i="2"/>
  <c r="G709" i="2"/>
  <c r="K709" i="2" s="1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K733" i="2" s="1"/>
  <c r="G734" i="2"/>
  <c r="G735" i="2"/>
  <c r="G736" i="2"/>
  <c r="G737" i="2"/>
  <c r="G738" i="2"/>
  <c r="G739" i="2"/>
  <c r="G740" i="2"/>
  <c r="G741" i="2"/>
  <c r="G742" i="2"/>
  <c r="G743" i="2"/>
  <c r="G744" i="2"/>
  <c r="G745" i="2"/>
  <c r="K745" i="2" s="1"/>
  <c r="G746" i="2"/>
  <c r="G747" i="2"/>
  <c r="G748" i="2"/>
  <c r="G749" i="2"/>
  <c r="G750" i="2"/>
  <c r="G751" i="2"/>
  <c r="G752" i="2"/>
  <c r="G753" i="2"/>
  <c r="G754" i="2"/>
  <c r="G755" i="2"/>
  <c r="G756" i="2"/>
  <c r="G757" i="2"/>
  <c r="K757" i="2" s="1"/>
  <c r="G758" i="2"/>
  <c r="G759" i="2"/>
  <c r="G760" i="2"/>
  <c r="G761" i="2"/>
  <c r="G762" i="2"/>
  <c r="G763" i="2"/>
  <c r="G764" i="2"/>
  <c r="G765" i="2"/>
  <c r="G766" i="2"/>
  <c r="G767" i="2"/>
  <c r="G768" i="2"/>
  <c r="G769" i="2"/>
  <c r="K769" i="2" s="1"/>
  <c r="G770" i="2"/>
  <c r="G771" i="2"/>
  <c r="G772" i="2"/>
  <c r="G773" i="2"/>
  <c r="G774" i="2"/>
  <c r="G775" i="2"/>
  <c r="G776" i="2"/>
  <c r="G777" i="2"/>
  <c r="G778" i="2"/>
  <c r="G779" i="2"/>
  <c r="G780" i="2"/>
  <c r="G781" i="2"/>
  <c r="K781" i="2" s="1"/>
  <c r="G782" i="2"/>
  <c r="G783" i="2"/>
  <c r="G784" i="2"/>
  <c r="G785" i="2"/>
  <c r="G786" i="2"/>
  <c r="G787" i="2"/>
  <c r="G788" i="2"/>
  <c r="G789" i="2"/>
  <c r="G790" i="2"/>
  <c r="G791" i="2"/>
  <c r="G792" i="2"/>
  <c r="G793" i="2"/>
  <c r="K793" i="2" s="1"/>
  <c r="G794" i="2"/>
  <c r="G795" i="2"/>
  <c r="G796" i="2"/>
  <c r="G797" i="2"/>
  <c r="G798" i="2"/>
  <c r="G799" i="2"/>
  <c r="G800" i="2"/>
  <c r="G801" i="2"/>
  <c r="G802" i="2"/>
  <c r="G803" i="2"/>
  <c r="G804" i="2"/>
  <c r="G805" i="2"/>
  <c r="K805" i="2" s="1"/>
  <c r="G806" i="2"/>
  <c r="G807" i="2"/>
  <c r="G808" i="2"/>
  <c r="G809" i="2"/>
  <c r="G810" i="2"/>
  <c r="G811" i="2"/>
  <c r="G812" i="2"/>
  <c r="G813" i="2"/>
  <c r="G814" i="2"/>
  <c r="G815" i="2"/>
  <c r="G816" i="2"/>
  <c r="G817" i="2"/>
  <c r="K817" i="2" s="1"/>
  <c r="G818" i="2"/>
  <c r="G819" i="2"/>
  <c r="G820" i="2"/>
  <c r="G821" i="2"/>
  <c r="G822" i="2"/>
  <c r="G823" i="2"/>
  <c r="G824" i="2"/>
  <c r="G825" i="2"/>
  <c r="G826" i="2"/>
  <c r="G827" i="2"/>
  <c r="G828" i="2"/>
  <c r="G829" i="2"/>
  <c r="K829" i="2" s="1"/>
  <c r="G830" i="2"/>
  <c r="G831" i="2"/>
  <c r="G832" i="2"/>
  <c r="G833" i="2"/>
  <c r="G834" i="2"/>
  <c r="G835" i="2"/>
  <c r="G836" i="2"/>
  <c r="G837" i="2"/>
  <c r="G838" i="2"/>
  <c r="G839" i="2"/>
  <c r="G840" i="2"/>
  <c r="G841" i="2"/>
  <c r="K841" i="2" s="1"/>
  <c r="G842" i="2"/>
  <c r="G843" i="2"/>
  <c r="G844" i="2"/>
  <c r="G845" i="2"/>
  <c r="G846" i="2"/>
  <c r="G847" i="2"/>
  <c r="G848" i="2"/>
  <c r="G849" i="2"/>
  <c r="G850" i="2"/>
  <c r="G851" i="2"/>
  <c r="G852" i="2"/>
  <c r="G853" i="2"/>
  <c r="K853" i="2" s="1"/>
  <c r="G854" i="2"/>
  <c r="G855" i="2"/>
  <c r="G856" i="2"/>
  <c r="G857" i="2"/>
  <c r="G858" i="2"/>
  <c r="G859" i="2"/>
  <c r="G860" i="2"/>
  <c r="G861" i="2"/>
  <c r="G862" i="2"/>
  <c r="G863" i="2"/>
  <c r="G864" i="2"/>
  <c r="G865" i="2"/>
  <c r="K865" i="2" s="1"/>
  <c r="G866" i="2"/>
  <c r="G867" i="2"/>
  <c r="G868" i="2"/>
  <c r="G869" i="2"/>
  <c r="G870" i="2"/>
  <c r="G871" i="2"/>
  <c r="G872" i="2"/>
  <c r="G873" i="2"/>
  <c r="G874" i="2"/>
  <c r="G875" i="2"/>
  <c r="G876" i="2"/>
  <c r="G877" i="2"/>
  <c r="K877" i="2" s="1"/>
  <c r="G878" i="2"/>
  <c r="G879" i="2"/>
  <c r="G880" i="2"/>
  <c r="G881" i="2"/>
  <c r="G882" i="2"/>
  <c r="G883" i="2"/>
  <c r="G884" i="2"/>
  <c r="G885" i="2"/>
  <c r="G886" i="2"/>
  <c r="G887" i="2"/>
  <c r="G888" i="2"/>
  <c r="G889" i="2"/>
  <c r="K889" i="2" s="1"/>
  <c r="G890" i="2"/>
  <c r="G891" i="2"/>
  <c r="G892" i="2"/>
  <c r="G893" i="2"/>
  <c r="G894" i="2"/>
  <c r="G895" i="2"/>
  <c r="G896" i="2"/>
  <c r="G897" i="2"/>
  <c r="G898" i="2"/>
  <c r="G899" i="2"/>
  <c r="G900" i="2"/>
  <c r="G901" i="2"/>
  <c r="K901" i="2" s="1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K925" i="2" s="1"/>
  <c r="G926" i="2"/>
  <c r="G927" i="2"/>
  <c r="G928" i="2"/>
  <c r="G929" i="2"/>
  <c r="G930" i="2"/>
  <c r="G931" i="2"/>
  <c r="G932" i="2"/>
  <c r="G933" i="2"/>
  <c r="G934" i="2"/>
  <c r="G935" i="2"/>
  <c r="G936" i="2"/>
  <c r="G937" i="2"/>
  <c r="K937" i="2" s="1"/>
  <c r="G938" i="2"/>
  <c r="G939" i="2"/>
  <c r="G940" i="2"/>
  <c r="G941" i="2"/>
  <c r="G942" i="2"/>
  <c r="G943" i="2"/>
  <c r="G944" i="2"/>
  <c r="G945" i="2"/>
  <c r="G946" i="2"/>
  <c r="G947" i="2"/>
  <c r="G948" i="2"/>
  <c r="G949" i="2"/>
  <c r="K949" i="2" s="1"/>
  <c r="G950" i="2"/>
  <c r="G951" i="2"/>
  <c r="G952" i="2"/>
  <c r="G953" i="2"/>
  <c r="G954" i="2"/>
  <c r="G955" i="2"/>
  <c r="G956" i="2"/>
  <c r="G957" i="2"/>
  <c r="G958" i="2"/>
  <c r="G959" i="2"/>
  <c r="G960" i="2"/>
  <c r="G961" i="2"/>
  <c r="K961" i="2" s="1"/>
  <c r="G962" i="2"/>
  <c r="G963" i="2"/>
  <c r="G964" i="2"/>
  <c r="G965" i="2"/>
  <c r="G966" i="2"/>
  <c r="G967" i="2"/>
  <c r="G968" i="2"/>
  <c r="G969" i="2"/>
  <c r="G970" i="2"/>
  <c r="G971" i="2"/>
  <c r="G972" i="2"/>
  <c r="G973" i="2"/>
  <c r="K973" i="2" s="1"/>
  <c r="G974" i="2"/>
  <c r="G975" i="2"/>
  <c r="G976" i="2"/>
  <c r="G977" i="2"/>
  <c r="G978" i="2"/>
  <c r="G979" i="2"/>
  <c r="G980" i="2"/>
  <c r="G981" i="2"/>
  <c r="G982" i="2"/>
  <c r="G983" i="2"/>
  <c r="G984" i="2"/>
  <c r="G985" i="2"/>
  <c r="K985" i="2" s="1"/>
  <c r="G986" i="2"/>
  <c r="G987" i="2"/>
  <c r="G988" i="2"/>
  <c r="G989" i="2"/>
  <c r="G990" i="2"/>
  <c r="G991" i="2"/>
  <c r="G992" i="2"/>
  <c r="G993" i="2"/>
  <c r="G994" i="2"/>
  <c r="G995" i="2"/>
  <c r="G996" i="2"/>
  <c r="G997" i="2"/>
  <c r="K997" i="2" s="1"/>
  <c r="G998" i="2"/>
  <c r="G999" i="2"/>
  <c r="G1000" i="2"/>
  <c r="G1001" i="2"/>
  <c r="F3" i="2"/>
  <c r="F4" i="2"/>
  <c r="F5" i="2"/>
  <c r="F6" i="2"/>
  <c r="F7" i="2"/>
  <c r="F8" i="2"/>
  <c r="F9" i="2"/>
  <c r="F10" i="2"/>
  <c r="F11" i="2"/>
  <c r="F12" i="2"/>
  <c r="F13" i="2"/>
  <c r="J13" i="2" s="1" a="1"/>
  <c r="J13" i="2" s="1"/>
  <c r="F14" i="2"/>
  <c r="F15" i="2"/>
  <c r="F16" i="2"/>
  <c r="F17" i="2"/>
  <c r="F18" i="2"/>
  <c r="F19" i="2"/>
  <c r="F20" i="2"/>
  <c r="F21" i="2"/>
  <c r="F22" i="2"/>
  <c r="F23" i="2"/>
  <c r="F24" i="2"/>
  <c r="F25" i="2"/>
  <c r="J25" i="2" s="1" a="1"/>
  <c r="J25" i="2" s="1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J49" i="2" s="1" a="1"/>
  <c r="J49" i="2" s="1"/>
  <c r="F50" i="2"/>
  <c r="F51" i="2"/>
  <c r="F52" i="2"/>
  <c r="F53" i="2"/>
  <c r="F54" i="2"/>
  <c r="F55" i="2"/>
  <c r="F56" i="2"/>
  <c r="F57" i="2"/>
  <c r="F58" i="2"/>
  <c r="F59" i="2"/>
  <c r="F60" i="2"/>
  <c r="F61" i="2"/>
  <c r="J61" i="2" s="1" a="1"/>
  <c r="J61" i="2" s="1"/>
  <c r="F62" i="2"/>
  <c r="F63" i="2"/>
  <c r="F64" i="2"/>
  <c r="F65" i="2"/>
  <c r="F66" i="2"/>
  <c r="F67" i="2"/>
  <c r="F68" i="2"/>
  <c r="F69" i="2"/>
  <c r="F70" i="2"/>
  <c r="F71" i="2"/>
  <c r="F72" i="2"/>
  <c r="F73" i="2"/>
  <c r="J73" i="2" s="1" a="1"/>
  <c r="J73" i="2" s="1"/>
  <c r="F74" i="2"/>
  <c r="F75" i="2"/>
  <c r="F76" i="2"/>
  <c r="F77" i="2"/>
  <c r="F78" i="2"/>
  <c r="F79" i="2"/>
  <c r="F80" i="2"/>
  <c r="F81" i="2"/>
  <c r="F82" i="2"/>
  <c r="F83" i="2"/>
  <c r="F84" i="2"/>
  <c r="F85" i="2"/>
  <c r="J85" i="2" s="1" a="1"/>
  <c r="J85" i="2" s="1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J205" i="2" s="1" a="1"/>
  <c r="J205" i="2" s="1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J373" i="2" s="1" a="1"/>
  <c r="J373" i="2" s="1"/>
  <c r="F374" i="2"/>
  <c r="F375" i="2"/>
  <c r="F376" i="2"/>
  <c r="F377" i="2"/>
  <c r="F378" i="2"/>
  <c r="F379" i="2"/>
  <c r="F380" i="2"/>
  <c r="F381" i="2"/>
  <c r="F382" i="2"/>
  <c r="F383" i="2"/>
  <c r="F384" i="2"/>
  <c r="F385" i="2"/>
  <c r="J385" i="2" s="1" a="1"/>
  <c r="J385" i="2" s="1"/>
  <c r="F386" i="2"/>
  <c r="F387" i="2"/>
  <c r="F388" i="2"/>
  <c r="F389" i="2"/>
  <c r="F390" i="2"/>
  <c r="F391" i="2"/>
  <c r="F392" i="2"/>
  <c r="F393" i="2"/>
  <c r="F394" i="2"/>
  <c r="F395" i="2"/>
  <c r="F396" i="2"/>
  <c r="F397" i="2"/>
  <c r="J397" i="2" s="1" a="1"/>
  <c r="J397" i="2" s="1"/>
  <c r="F398" i="2"/>
  <c r="F399" i="2"/>
  <c r="F400" i="2"/>
  <c r="F401" i="2"/>
  <c r="F402" i="2"/>
  <c r="F403" i="2"/>
  <c r="F404" i="2"/>
  <c r="F405" i="2"/>
  <c r="F406" i="2"/>
  <c r="F407" i="2"/>
  <c r="F408" i="2"/>
  <c r="F409" i="2"/>
  <c r="J409" i="2" s="1" a="1"/>
  <c r="J409" i="2" s="1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J433" i="2" s="1" a="1"/>
  <c r="J433" i="2" s="1"/>
  <c r="F434" i="2"/>
  <c r="F435" i="2"/>
  <c r="F436" i="2"/>
  <c r="F437" i="2"/>
  <c r="F438" i="2"/>
  <c r="F439" i="2"/>
  <c r="F440" i="2"/>
  <c r="F441" i="2"/>
  <c r="F442" i="2"/>
  <c r="F443" i="2"/>
  <c r="F444" i="2"/>
  <c r="F445" i="2"/>
  <c r="J445" i="2" s="1" a="1"/>
  <c r="J445" i="2" s="1"/>
  <c r="F446" i="2"/>
  <c r="F447" i="2"/>
  <c r="F448" i="2"/>
  <c r="F449" i="2"/>
  <c r="F450" i="2"/>
  <c r="F451" i="2"/>
  <c r="F452" i="2"/>
  <c r="F453" i="2"/>
  <c r="F454" i="2"/>
  <c r="F455" i="2"/>
  <c r="F456" i="2"/>
  <c r="F457" i="2"/>
  <c r="J457" i="2" s="1" a="1"/>
  <c r="J457" i="2" s="1"/>
  <c r="F458" i="2"/>
  <c r="F459" i="2"/>
  <c r="F460" i="2"/>
  <c r="F461" i="2"/>
  <c r="F462" i="2"/>
  <c r="F463" i="2"/>
  <c r="F464" i="2"/>
  <c r="F465" i="2"/>
  <c r="F466" i="2"/>
  <c r="F467" i="2"/>
  <c r="F468" i="2"/>
  <c r="F469" i="2"/>
  <c r="J469" i="2" s="1" a="1"/>
  <c r="J469" i="2" s="1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J757" i="2" s="1" a="1"/>
  <c r="J757" i="2" s="1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E3" i="2"/>
  <c r="E4" i="2"/>
  <c r="E5" i="2"/>
  <c r="E6" i="2"/>
  <c r="E7" i="2"/>
  <c r="E8" i="2"/>
  <c r="E9" i="2"/>
  <c r="E10" i="2"/>
  <c r="E11" i="2"/>
  <c r="H11" i="2" s="1"/>
  <c r="M11" i="2" s="1"/>
  <c r="E12" i="2"/>
  <c r="E13" i="2"/>
  <c r="E14" i="2"/>
  <c r="E15" i="2"/>
  <c r="E16" i="2"/>
  <c r="E17" i="2"/>
  <c r="E18" i="2"/>
  <c r="E19" i="2"/>
  <c r="E20" i="2"/>
  <c r="E21" i="2"/>
  <c r="E22" i="2"/>
  <c r="E23" i="2"/>
  <c r="H23" i="2" s="1"/>
  <c r="M23" i="2" s="1"/>
  <c r="E24" i="2"/>
  <c r="E25" i="2"/>
  <c r="E26" i="2"/>
  <c r="E27" i="2"/>
  <c r="E28" i="2"/>
  <c r="E29" i="2"/>
  <c r="E30" i="2"/>
  <c r="E31" i="2"/>
  <c r="E32" i="2"/>
  <c r="E33" i="2"/>
  <c r="E34" i="2"/>
  <c r="E35" i="2"/>
  <c r="H35" i="2" s="1"/>
  <c r="M35" i="2" s="1"/>
  <c r="E36" i="2"/>
  <c r="E37" i="2"/>
  <c r="E38" i="2"/>
  <c r="E39" i="2"/>
  <c r="E40" i="2"/>
  <c r="E41" i="2"/>
  <c r="E42" i="2"/>
  <c r="E43" i="2"/>
  <c r="E44" i="2"/>
  <c r="E45" i="2"/>
  <c r="E46" i="2"/>
  <c r="E47" i="2"/>
  <c r="H47" i="2" s="1"/>
  <c r="M47" i="2" s="1"/>
  <c r="E48" i="2"/>
  <c r="E49" i="2"/>
  <c r="E50" i="2"/>
  <c r="E51" i="2"/>
  <c r="E52" i="2"/>
  <c r="E53" i="2"/>
  <c r="E54" i="2"/>
  <c r="E55" i="2"/>
  <c r="E56" i="2"/>
  <c r="E57" i="2"/>
  <c r="E58" i="2"/>
  <c r="E59" i="2"/>
  <c r="H59" i="2" s="1"/>
  <c r="M59" i="2" s="1"/>
  <c r="E60" i="2"/>
  <c r="E61" i="2"/>
  <c r="E62" i="2"/>
  <c r="E63" i="2"/>
  <c r="E64" i="2"/>
  <c r="E65" i="2"/>
  <c r="E66" i="2"/>
  <c r="E67" i="2"/>
  <c r="E68" i="2"/>
  <c r="E69" i="2"/>
  <c r="E70" i="2"/>
  <c r="E71" i="2"/>
  <c r="H71" i="2" s="1"/>
  <c r="M71" i="2" s="1"/>
  <c r="E72" i="2"/>
  <c r="E73" i="2"/>
  <c r="E74" i="2"/>
  <c r="E75" i="2"/>
  <c r="E76" i="2"/>
  <c r="E77" i="2"/>
  <c r="E78" i="2"/>
  <c r="E79" i="2"/>
  <c r="E80" i="2"/>
  <c r="E81" i="2"/>
  <c r="E82" i="2"/>
  <c r="E83" i="2"/>
  <c r="H83" i="2" s="1"/>
  <c r="M83" i="2" s="1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H107" i="2" s="1"/>
  <c r="M107" i="2" s="1"/>
  <c r="E108" i="2"/>
  <c r="E109" i="2"/>
  <c r="E110" i="2"/>
  <c r="E111" i="2"/>
  <c r="E112" i="2"/>
  <c r="E113" i="2"/>
  <c r="E114" i="2"/>
  <c r="E115" i="2"/>
  <c r="E116" i="2"/>
  <c r="E117" i="2"/>
  <c r="E118" i="2"/>
  <c r="E119" i="2"/>
  <c r="H119" i="2" s="1"/>
  <c r="M119" i="2" s="1"/>
  <c r="E120" i="2"/>
  <c r="E121" i="2"/>
  <c r="E122" i="2"/>
  <c r="E123" i="2"/>
  <c r="E124" i="2"/>
  <c r="E125" i="2"/>
  <c r="E126" i="2"/>
  <c r="E127" i="2"/>
  <c r="E128" i="2"/>
  <c r="E129" i="2"/>
  <c r="E130" i="2"/>
  <c r="E131" i="2"/>
  <c r="H131" i="2" s="1"/>
  <c r="M131" i="2" s="1"/>
  <c r="E132" i="2"/>
  <c r="E133" i="2"/>
  <c r="E134" i="2"/>
  <c r="E135" i="2"/>
  <c r="E136" i="2"/>
  <c r="E137" i="2"/>
  <c r="E138" i="2"/>
  <c r="E139" i="2"/>
  <c r="E140" i="2"/>
  <c r="E141" i="2"/>
  <c r="E142" i="2"/>
  <c r="E143" i="2"/>
  <c r="H143" i="2" s="1"/>
  <c r="M143" i="2" s="1"/>
  <c r="E144" i="2"/>
  <c r="E145" i="2"/>
  <c r="E146" i="2"/>
  <c r="E147" i="2"/>
  <c r="E148" i="2"/>
  <c r="E149" i="2"/>
  <c r="E150" i="2"/>
  <c r="E151" i="2"/>
  <c r="E152" i="2"/>
  <c r="E153" i="2"/>
  <c r="E154" i="2"/>
  <c r="E155" i="2"/>
  <c r="H155" i="2" s="1"/>
  <c r="M155" i="2" s="1"/>
  <c r="E156" i="2"/>
  <c r="E157" i="2"/>
  <c r="E158" i="2"/>
  <c r="E159" i="2"/>
  <c r="E160" i="2"/>
  <c r="E161" i="2"/>
  <c r="E162" i="2"/>
  <c r="E163" i="2"/>
  <c r="E164" i="2"/>
  <c r="E165" i="2"/>
  <c r="E166" i="2"/>
  <c r="E167" i="2"/>
  <c r="H167" i="2" s="1"/>
  <c r="M167" i="2" s="1"/>
  <c r="E168" i="2"/>
  <c r="E169" i="2"/>
  <c r="E170" i="2"/>
  <c r="E171" i="2"/>
  <c r="E172" i="2"/>
  <c r="E173" i="2"/>
  <c r="E174" i="2"/>
  <c r="E175" i="2"/>
  <c r="E176" i="2"/>
  <c r="E177" i="2"/>
  <c r="E178" i="2"/>
  <c r="E179" i="2"/>
  <c r="H179" i="2" s="1"/>
  <c r="M179" i="2" s="1"/>
  <c r="E180" i="2"/>
  <c r="E181" i="2"/>
  <c r="E182" i="2"/>
  <c r="E183" i="2"/>
  <c r="E184" i="2"/>
  <c r="E185" i="2"/>
  <c r="E186" i="2"/>
  <c r="E187" i="2"/>
  <c r="E188" i="2"/>
  <c r="E189" i="2"/>
  <c r="E190" i="2"/>
  <c r="E191" i="2"/>
  <c r="H191" i="2" s="1"/>
  <c r="M191" i="2" s="1"/>
  <c r="E192" i="2"/>
  <c r="E193" i="2"/>
  <c r="E194" i="2"/>
  <c r="E195" i="2"/>
  <c r="E196" i="2"/>
  <c r="E197" i="2"/>
  <c r="E198" i="2"/>
  <c r="E199" i="2"/>
  <c r="E200" i="2"/>
  <c r="E201" i="2"/>
  <c r="E202" i="2"/>
  <c r="E203" i="2"/>
  <c r="H203" i="2" s="1"/>
  <c r="M203" i="2" s="1"/>
  <c r="E204" i="2"/>
  <c r="E205" i="2"/>
  <c r="E206" i="2"/>
  <c r="E207" i="2"/>
  <c r="E208" i="2"/>
  <c r="E209" i="2"/>
  <c r="E210" i="2"/>
  <c r="E211" i="2"/>
  <c r="E212" i="2"/>
  <c r="E213" i="2"/>
  <c r="E214" i="2"/>
  <c r="E215" i="2"/>
  <c r="H215" i="2" s="1"/>
  <c r="M215" i="2" s="1"/>
  <c r="E216" i="2"/>
  <c r="E217" i="2"/>
  <c r="E218" i="2"/>
  <c r="E219" i="2"/>
  <c r="E220" i="2"/>
  <c r="E221" i="2"/>
  <c r="E222" i="2"/>
  <c r="E223" i="2"/>
  <c r="E224" i="2"/>
  <c r="E225" i="2"/>
  <c r="E226" i="2"/>
  <c r="E227" i="2"/>
  <c r="H227" i="2" s="1"/>
  <c r="M227" i="2" s="1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H251" i="2" s="1"/>
  <c r="M251" i="2" s="1"/>
  <c r="E252" i="2"/>
  <c r="E253" i="2"/>
  <c r="E254" i="2"/>
  <c r="E255" i="2"/>
  <c r="E256" i="2"/>
  <c r="E257" i="2"/>
  <c r="E258" i="2"/>
  <c r="E259" i="2"/>
  <c r="E260" i="2"/>
  <c r="E261" i="2"/>
  <c r="E262" i="2"/>
  <c r="E263" i="2"/>
  <c r="H263" i="2" s="1"/>
  <c r="M263" i="2" s="1"/>
  <c r="E264" i="2"/>
  <c r="E265" i="2"/>
  <c r="E266" i="2"/>
  <c r="E267" i="2"/>
  <c r="E268" i="2"/>
  <c r="E269" i="2"/>
  <c r="E270" i="2"/>
  <c r="E271" i="2"/>
  <c r="E272" i="2"/>
  <c r="E273" i="2"/>
  <c r="E274" i="2"/>
  <c r="E275" i="2"/>
  <c r="H275" i="2" s="1"/>
  <c r="M275" i="2" s="1"/>
  <c r="E276" i="2"/>
  <c r="E277" i="2"/>
  <c r="E278" i="2"/>
  <c r="E279" i="2"/>
  <c r="E280" i="2"/>
  <c r="E281" i="2"/>
  <c r="E282" i="2"/>
  <c r="E283" i="2"/>
  <c r="E284" i="2"/>
  <c r="E285" i="2"/>
  <c r="E286" i="2"/>
  <c r="E287" i="2"/>
  <c r="H287" i="2" s="1"/>
  <c r="M287" i="2" s="1"/>
  <c r="E288" i="2"/>
  <c r="E289" i="2"/>
  <c r="E290" i="2"/>
  <c r="E291" i="2"/>
  <c r="E292" i="2"/>
  <c r="E293" i="2"/>
  <c r="E294" i="2"/>
  <c r="E295" i="2"/>
  <c r="E296" i="2"/>
  <c r="E297" i="2"/>
  <c r="E298" i="2"/>
  <c r="E299" i="2"/>
  <c r="H299" i="2" s="1"/>
  <c r="M299" i="2" s="1"/>
  <c r="E300" i="2"/>
  <c r="E301" i="2"/>
  <c r="E302" i="2"/>
  <c r="E303" i="2"/>
  <c r="E304" i="2"/>
  <c r="E305" i="2"/>
  <c r="E306" i="2"/>
  <c r="E307" i="2"/>
  <c r="E308" i="2"/>
  <c r="E309" i="2"/>
  <c r="E310" i="2"/>
  <c r="E311" i="2"/>
  <c r="H311" i="2" s="1"/>
  <c r="M311" i="2" s="1"/>
  <c r="E312" i="2"/>
  <c r="E313" i="2"/>
  <c r="E314" i="2"/>
  <c r="E315" i="2"/>
  <c r="E316" i="2"/>
  <c r="E317" i="2"/>
  <c r="E318" i="2"/>
  <c r="E319" i="2"/>
  <c r="E320" i="2"/>
  <c r="E321" i="2"/>
  <c r="E322" i="2"/>
  <c r="E323" i="2"/>
  <c r="H323" i="2" s="1"/>
  <c r="M323" i="2" s="1"/>
  <c r="E324" i="2"/>
  <c r="E325" i="2"/>
  <c r="E326" i="2"/>
  <c r="E327" i="2"/>
  <c r="E328" i="2"/>
  <c r="E329" i="2"/>
  <c r="E330" i="2"/>
  <c r="E331" i="2"/>
  <c r="E332" i="2"/>
  <c r="E333" i="2"/>
  <c r="E334" i="2"/>
  <c r="E335" i="2"/>
  <c r="H335" i="2" s="1"/>
  <c r="M335" i="2" s="1"/>
  <c r="E336" i="2"/>
  <c r="E337" i="2"/>
  <c r="E338" i="2"/>
  <c r="E339" i="2"/>
  <c r="E340" i="2"/>
  <c r="E341" i="2"/>
  <c r="E342" i="2"/>
  <c r="E343" i="2"/>
  <c r="E344" i="2"/>
  <c r="E345" i="2"/>
  <c r="E346" i="2"/>
  <c r="E347" i="2"/>
  <c r="H347" i="2" s="1"/>
  <c r="M347" i="2" s="1"/>
  <c r="E348" i="2"/>
  <c r="E349" i="2"/>
  <c r="E350" i="2"/>
  <c r="E351" i="2"/>
  <c r="E352" i="2"/>
  <c r="E353" i="2"/>
  <c r="E354" i="2"/>
  <c r="E355" i="2"/>
  <c r="E356" i="2"/>
  <c r="E357" i="2"/>
  <c r="E358" i="2"/>
  <c r="E359" i="2"/>
  <c r="H359" i="2" s="1"/>
  <c r="M359" i="2" s="1"/>
  <c r="E360" i="2"/>
  <c r="E361" i="2"/>
  <c r="E362" i="2"/>
  <c r="E363" i="2"/>
  <c r="E364" i="2"/>
  <c r="E365" i="2"/>
  <c r="E366" i="2"/>
  <c r="E367" i="2"/>
  <c r="E368" i="2"/>
  <c r="E369" i="2"/>
  <c r="E370" i="2"/>
  <c r="E371" i="2"/>
  <c r="H371" i="2" s="1"/>
  <c r="M371" i="2" s="1"/>
  <c r="E372" i="2"/>
  <c r="E373" i="2"/>
  <c r="E374" i="2"/>
  <c r="E375" i="2"/>
  <c r="E376" i="2"/>
  <c r="E377" i="2"/>
  <c r="E378" i="2"/>
  <c r="E379" i="2"/>
  <c r="E380" i="2"/>
  <c r="E381" i="2"/>
  <c r="E382" i="2"/>
  <c r="E383" i="2"/>
  <c r="H383" i="2" s="1"/>
  <c r="M383" i="2" s="1"/>
  <c r="E384" i="2"/>
  <c r="E385" i="2"/>
  <c r="E386" i="2"/>
  <c r="E387" i="2"/>
  <c r="E388" i="2"/>
  <c r="E389" i="2"/>
  <c r="E390" i="2"/>
  <c r="E391" i="2"/>
  <c r="E392" i="2"/>
  <c r="E393" i="2"/>
  <c r="E394" i="2"/>
  <c r="E395" i="2"/>
  <c r="H395" i="2" s="1"/>
  <c r="M395" i="2" s="1"/>
  <c r="E396" i="2"/>
  <c r="E397" i="2"/>
  <c r="E398" i="2"/>
  <c r="E399" i="2"/>
  <c r="E400" i="2"/>
  <c r="E401" i="2"/>
  <c r="E402" i="2"/>
  <c r="E403" i="2"/>
  <c r="E404" i="2"/>
  <c r="E405" i="2"/>
  <c r="E406" i="2"/>
  <c r="E407" i="2"/>
  <c r="H407" i="2" s="1"/>
  <c r="M407" i="2" s="1"/>
  <c r="E408" i="2"/>
  <c r="E409" i="2"/>
  <c r="E410" i="2"/>
  <c r="E411" i="2"/>
  <c r="E412" i="2"/>
  <c r="E413" i="2"/>
  <c r="E414" i="2"/>
  <c r="E415" i="2"/>
  <c r="E416" i="2"/>
  <c r="E417" i="2"/>
  <c r="E418" i="2"/>
  <c r="E419" i="2"/>
  <c r="H419" i="2" s="1"/>
  <c r="M419" i="2" s="1"/>
  <c r="E420" i="2"/>
  <c r="E421" i="2"/>
  <c r="E422" i="2"/>
  <c r="E423" i="2"/>
  <c r="E424" i="2"/>
  <c r="E425" i="2"/>
  <c r="E426" i="2"/>
  <c r="E427" i="2"/>
  <c r="E428" i="2"/>
  <c r="E429" i="2"/>
  <c r="E430" i="2"/>
  <c r="E431" i="2"/>
  <c r="H431" i="2" s="1"/>
  <c r="M431" i="2" s="1"/>
  <c r="E432" i="2"/>
  <c r="E433" i="2"/>
  <c r="E434" i="2"/>
  <c r="E435" i="2"/>
  <c r="E436" i="2"/>
  <c r="E437" i="2"/>
  <c r="E438" i="2"/>
  <c r="E439" i="2"/>
  <c r="E440" i="2"/>
  <c r="E441" i="2"/>
  <c r="E442" i="2"/>
  <c r="E443" i="2"/>
  <c r="H443" i="2" s="1"/>
  <c r="M443" i="2" s="1"/>
  <c r="E444" i="2"/>
  <c r="E445" i="2"/>
  <c r="E446" i="2"/>
  <c r="E447" i="2"/>
  <c r="E448" i="2"/>
  <c r="E449" i="2"/>
  <c r="E450" i="2"/>
  <c r="E451" i="2"/>
  <c r="E452" i="2"/>
  <c r="E453" i="2"/>
  <c r="E454" i="2"/>
  <c r="E455" i="2"/>
  <c r="H455" i="2" s="1"/>
  <c r="M455" i="2" s="1"/>
  <c r="E456" i="2"/>
  <c r="E457" i="2"/>
  <c r="E458" i="2"/>
  <c r="E459" i="2"/>
  <c r="E460" i="2"/>
  <c r="E461" i="2"/>
  <c r="E462" i="2"/>
  <c r="E463" i="2"/>
  <c r="E464" i="2"/>
  <c r="E465" i="2"/>
  <c r="E466" i="2"/>
  <c r="E467" i="2"/>
  <c r="H467" i="2" s="1"/>
  <c r="M467" i="2" s="1"/>
  <c r="E468" i="2"/>
  <c r="E469" i="2"/>
  <c r="E470" i="2"/>
  <c r="E471" i="2"/>
  <c r="E472" i="2"/>
  <c r="E473" i="2"/>
  <c r="E474" i="2"/>
  <c r="E475" i="2"/>
  <c r="E476" i="2"/>
  <c r="E477" i="2"/>
  <c r="E478" i="2"/>
  <c r="E479" i="2"/>
  <c r="H479" i="2" s="1"/>
  <c r="M479" i="2" s="1"/>
  <c r="E480" i="2"/>
  <c r="E481" i="2"/>
  <c r="E482" i="2"/>
  <c r="E483" i="2"/>
  <c r="E484" i="2"/>
  <c r="E485" i="2"/>
  <c r="E486" i="2"/>
  <c r="E487" i="2"/>
  <c r="E488" i="2"/>
  <c r="E489" i="2"/>
  <c r="E490" i="2"/>
  <c r="E491" i="2"/>
  <c r="H491" i="2" s="1"/>
  <c r="M491" i="2" s="1"/>
  <c r="E492" i="2"/>
  <c r="E493" i="2"/>
  <c r="E494" i="2"/>
  <c r="E495" i="2"/>
  <c r="E496" i="2"/>
  <c r="E497" i="2"/>
  <c r="E498" i="2"/>
  <c r="E499" i="2"/>
  <c r="E500" i="2"/>
  <c r="E501" i="2"/>
  <c r="E502" i="2"/>
  <c r="E503" i="2"/>
  <c r="H503" i="2" s="1"/>
  <c r="M503" i="2" s="1"/>
  <c r="E504" i="2"/>
  <c r="E505" i="2"/>
  <c r="E506" i="2"/>
  <c r="E507" i="2"/>
  <c r="E508" i="2"/>
  <c r="E509" i="2"/>
  <c r="E510" i="2"/>
  <c r="E511" i="2"/>
  <c r="E512" i="2"/>
  <c r="E513" i="2"/>
  <c r="E514" i="2"/>
  <c r="E515" i="2"/>
  <c r="H515" i="2" s="1"/>
  <c r="M515" i="2" s="1"/>
  <c r="E516" i="2"/>
  <c r="E517" i="2"/>
  <c r="E518" i="2"/>
  <c r="E519" i="2"/>
  <c r="E520" i="2"/>
  <c r="E521" i="2"/>
  <c r="E522" i="2"/>
  <c r="E523" i="2"/>
  <c r="E524" i="2"/>
  <c r="E525" i="2"/>
  <c r="E526" i="2"/>
  <c r="E527" i="2"/>
  <c r="H527" i="2" s="1"/>
  <c r="M527" i="2" s="1"/>
  <c r="E528" i="2"/>
  <c r="E529" i="2"/>
  <c r="E530" i="2"/>
  <c r="E531" i="2"/>
  <c r="E532" i="2"/>
  <c r="E533" i="2"/>
  <c r="E534" i="2"/>
  <c r="E535" i="2"/>
  <c r="E536" i="2"/>
  <c r="E537" i="2"/>
  <c r="E538" i="2"/>
  <c r="E539" i="2"/>
  <c r="H539" i="2" s="1"/>
  <c r="M539" i="2" s="1"/>
  <c r="E540" i="2"/>
  <c r="E541" i="2"/>
  <c r="E542" i="2"/>
  <c r="E543" i="2"/>
  <c r="E544" i="2"/>
  <c r="E545" i="2"/>
  <c r="E546" i="2"/>
  <c r="E547" i="2"/>
  <c r="E548" i="2"/>
  <c r="E549" i="2"/>
  <c r="E550" i="2"/>
  <c r="E551" i="2"/>
  <c r="H551" i="2" s="1"/>
  <c r="M551" i="2" s="1"/>
  <c r="E552" i="2"/>
  <c r="E553" i="2"/>
  <c r="E554" i="2"/>
  <c r="E555" i="2"/>
  <c r="E556" i="2"/>
  <c r="E557" i="2"/>
  <c r="E558" i="2"/>
  <c r="E559" i="2"/>
  <c r="E560" i="2"/>
  <c r="E561" i="2"/>
  <c r="E562" i="2"/>
  <c r="E563" i="2"/>
  <c r="H563" i="2" s="1"/>
  <c r="M563" i="2" s="1"/>
  <c r="E564" i="2"/>
  <c r="E565" i="2"/>
  <c r="E566" i="2"/>
  <c r="E567" i="2"/>
  <c r="E568" i="2"/>
  <c r="E569" i="2"/>
  <c r="E570" i="2"/>
  <c r="E571" i="2"/>
  <c r="E572" i="2"/>
  <c r="E573" i="2"/>
  <c r="E574" i="2"/>
  <c r="E575" i="2"/>
  <c r="H575" i="2" s="1"/>
  <c r="M575" i="2" s="1"/>
  <c r="E576" i="2"/>
  <c r="E577" i="2"/>
  <c r="E578" i="2"/>
  <c r="E579" i="2"/>
  <c r="E580" i="2"/>
  <c r="E581" i="2"/>
  <c r="E582" i="2"/>
  <c r="E583" i="2"/>
  <c r="E584" i="2"/>
  <c r="E585" i="2"/>
  <c r="E586" i="2"/>
  <c r="E587" i="2"/>
  <c r="H587" i="2" s="1"/>
  <c r="M587" i="2" s="1"/>
  <c r="E588" i="2"/>
  <c r="E589" i="2"/>
  <c r="E590" i="2"/>
  <c r="E591" i="2"/>
  <c r="E592" i="2"/>
  <c r="E593" i="2"/>
  <c r="E594" i="2"/>
  <c r="E595" i="2"/>
  <c r="E596" i="2"/>
  <c r="E597" i="2"/>
  <c r="E598" i="2"/>
  <c r="E599" i="2"/>
  <c r="H599" i="2" s="1"/>
  <c r="M599" i="2" s="1"/>
  <c r="E600" i="2"/>
  <c r="E601" i="2"/>
  <c r="E602" i="2"/>
  <c r="E603" i="2"/>
  <c r="E604" i="2"/>
  <c r="E605" i="2"/>
  <c r="E606" i="2"/>
  <c r="E607" i="2"/>
  <c r="E608" i="2"/>
  <c r="E609" i="2"/>
  <c r="E610" i="2"/>
  <c r="E611" i="2"/>
  <c r="H611" i="2" s="1"/>
  <c r="M611" i="2" s="1"/>
  <c r="E612" i="2"/>
  <c r="E613" i="2"/>
  <c r="E614" i="2"/>
  <c r="E615" i="2"/>
  <c r="E616" i="2"/>
  <c r="E617" i="2"/>
  <c r="E618" i="2"/>
  <c r="E619" i="2"/>
  <c r="E620" i="2"/>
  <c r="E621" i="2"/>
  <c r="E622" i="2"/>
  <c r="E623" i="2"/>
  <c r="H623" i="2" s="1"/>
  <c r="M623" i="2" s="1"/>
  <c r="E624" i="2"/>
  <c r="E625" i="2"/>
  <c r="E626" i="2"/>
  <c r="E627" i="2"/>
  <c r="E628" i="2"/>
  <c r="E629" i="2"/>
  <c r="E630" i="2"/>
  <c r="E631" i="2"/>
  <c r="E632" i="2"/>
  <c r="E633" i="2"/>
  <c r="E634" i="2"/>
  <c r="E635" i="2"/>
  <c r="H635" i="2" s="1"/>
  <c r="M635" i="2" s="1"/>
  <c r="E636" i="2"/>
  <c r="E637" i="2"/>
  <c r="E638" i="2"/>
  <c r="E639" i="2"/>
  <c r="E640" i="2"/>
  <c r="E641" i="2"/>
  <c r="E642" i="2"/>
  <c r="E643" i="2"/>
  <c r="E644" i="2"/>
  <c r="E645" i="2"/>
  <c r="E646" i="2"/>
  <c r="E647" i="2"/>
  <c r="H647" i="2" s="1"/>
  <c r="M647" i="2" s="1"/>
  <c r="E648" i="2"/>
  <c r="E649" i="2"/>
  <c r="E650" i="2"/>
  <c r="E651" i="2"/>
  <c r="E652" i="2"/>
  <c r="E653" i="2"/>
  <c r="E654" i="2"/>
  <c r="E655" i="2"/>
  <c r="E656" i="2"/>
  <c r="E657" i="2"/>
  <c r="E658" i="2"/>
  <c r="E659" i="2"/>
  <c r="H659" i="2" s="1"/>
  <c r="M659" i="2" s="1"/>
  <c r="E660" i="2"/>
  <c r="E661" i="2"/>
  <c r="E662" i="2"/>
  <c r="E663" i="2"/>
  <c r="E664" i="2"/>
  <c r="E665" i="2"/>
  <c r="E666" i="2"/>
  <c r="E667" i="2"/>
  <c r="E668" i="2"/>
  <c r="E669" i="2"/>
  <c r="E670" i="2"/>
  <c r="E671" i="2"/>
  <c r="H671" i="2" s="1"/>
  <c r="M671" i="2" s="1"/>
  <c r="E672" i="2"/>
  <c r="E673" i="2"/>
  <c r="E674" i="2"/>
  <c r="E675" i="2"/>
  <c r="E676" i="2"/>
  <c r="E677" i="2"/>
  <c r="E678" i="2"/>
  <c r="E679" i="2"/>
  <c r="E680" i="2"/>
  <c r="E681" i="2"/>
  <c r="E682" i="2"/>
  <c r="E683" i="2"/>
  <c r="H683" i="2" s="1"/>
  <c r="M683" i="2" s="1"/>
  <c r="E684" i="2"/>
  <c r="E685" i="2"/>
  <c r="E686" i="2"/>
  <c r="E687" i="2"/>
  <c r="E688" i="2"/>
  <c r="E689" i="2"/>
  <c r="E690" i="2"/>
  <c r="E691" i="2"/>
  <c r="E692" i="2"/>
  <c r="E693" i="2"/>
  <c r="E694" i="2"/>
  <c r="E695" i="2"/>
  <c r="H695" i="2" s="1"/>
  <c r="M695" i="2" s="1"/>
  <c r="E696" i="2"/>
  <c r="E697" i="2"/>
  <c r="E698" i="2"/>
  <c r="E699" i="2"/>
  <c r="E700" i="2"/>
  <c r="E701" i="2"/>
  <c r="E702" i="2"/>
  <c r="E703" i="2"/>
  <c r="E704" i="2"/>
  <c r="E705" i="2"/>
  <c r="E706" i="2"/>
  <c r="E707" i="2"/>
  <c r="H707" i="2" s="1"/>
  <c r="M707" i="2" s="1"/>
  <c r="E708" i="2"/>
  <c r="E709" i="2"/>
  <c r="E710" i="2"/>
  <c r="E711" i="2"/>
  <c r="E712" i="2"/>
  <c r="E713" i="2"/>
  <c r="E714" i="2"/>
  <c r="E715" i="2"/>
  <c r="E716" i="2"/>
  <c r="E717" i="2"/>
  <c r="E718" i="2"/>
  <c r="E719" i="2"/>
  <c r="H719" i="2" s="1"/>
  <c r="M719" i="2" s="1"/>
  <c r="E720" i="2"/>
  <c r="E721" i="2"/>
  <c r="E722" i="2"/>
  <c r="E723" i="2"/>
  <c r="E724" i="2"/>
  <c r="E725" i="2"/>
  <c r="E726" i="2"/>
  <c r="E727" i="2"/>
  <c r="E728" i="2"/>
  <c r="E729" i="2"/>
  <c r="E730" i="2"/>
  <c r="E731" i="2"/>
  <c r="H731" i="2" s="1"/>
  <c r="M731" i="2" s="1"/>
  <c r="E732" i="2"/>
  <c r="E733" i="2"/>
  <c r="E734" i="2"/>
  <c r="E735" i="2"/>
  <c r="E736" i="2"/>
  <c r="E737" i="2"/>
  <c r="E738" i="2"/>
  <c r="E739" i="2"/>
  <c r="E740" i="2"/>
  <c r="E741" i="2"/>
  <c r="E742" i="2"/>
  <c r="E743" i="2"/>
  <c r="H743" i="2" s="1"/>
  <c r="M743" i="2" s="1"/>
  <c r="E744" i="2"/>
  <c r="E745" i="2"/>
  <c r="E746" i="2"/>
  <c r="E747" i="2"/>
  <c r="E748" i="2"/>
  <c r="E749" i="2"/>
  <c r="E750" i="2"/>
  <c r="E751" i="2"/>
  <c r="E752" i="2"/>
  <c r="E753" i="2"/>
  <c r="E754" i="2"/>
  <c r="E755" i="2"/>
  <c r="H755" i="2" s="1"/>
  <c r="M755" i="2" s="1"/>
  <c r="E756" i="2"/>
  <c r="E757" i="2"/>
  <c r="E758" i="2"/>
  <c r="E759" i="2"/>
  <c r="E760" i="2"/>
  <c r="E761" i="2"/>
  <c r="E762" i="2"/>
  <c r="E763" i="2"/>
  <c r="E764" i="2"/>
  <c r="E765" i="2"/>
  <c r="E766" i="2"/>
  <c r="E767" i="2"/>
  <c r="H767" i="2" s="1"/>
  <c r="M767" i="2" s="1"/>
  <c r="E768" i="2"/>
  <c r="E769" i="2"/>
  <c r="E770" i="2"/>
  <c r="E771" i="2"/>
  <c r="E772" i="2"/>
  <c r="E773" i="2"/>
  <c r="E774" i="2"/>
  <c r="E775" i="2"/>
  <c r="E776" i="2"/>
  <c r="E777" i="2"/>
  <c r="E778" i="2"/>
  <c r="E779" i="2"/>
  <c r="H779" i="2" s="1"/>
  <c r="M779" i="2" s="1"/>
  <c r="E780" i="2"/>
  <c r="E781" i="2"/>
  <c r="E782" i="2"/>
  <c r="E783" i="2"/>
  <c r="E784" i="2"/>
  <c r="E785" i="2"/>
  <c r="E786" i="2"/>
  <c r="E787" i="2"/>
  <c r="E788" i="2"/>
  <c r="E789" i="2"/>
  <c r="E790" i="2"/>
  <c r="E791" i="2"/>
  <c r="H791" i="2" s="1"/>
  <c r="M791" i="2" s="1"/>
  <c r="E792" i="2"/>
  <c r="E793" i="2"/>
  <c r="E794" i="2"/>
  <c r="E795" i="2"/>
  <c r="E796" i="2"/>
  <c r="E797" i="2"/>
  <c r="E798" i="2"/>
  <c r="E799" i="2"/>
  <c r="E800" i="2"/>
  <c r="E801" i="2"/>
  <c r="E802" i="2"/>
  <c r="E803" i="2"/>
  <c r="H803" i="2" s="1"/>
  <c r="M803" i="2" s="1"/>
  <c r="E804" i="2"/>
  <c r="E805" i="2"/>
  <c r="E806" i="2"/>
  <c r="E807" i="2"/>
  <c r="E808" i="2"/>
  <c r="E809" i="2"/>
  <c r="E810" i="2"/>
  <c r="E811" i="2"/>
  <c r="E812" i="2"/>
  <c r="E813" i="2"/>
  <c r="E814" i="2"/>
  <c r="E815" i="2"/>
  <c r="H815" i="2" s="1"/>
  <c r="M815" i="2" s="1"/>
  <c r="E816" i="2"/>
  <c r="E817" i="2"/>
  <c r="E818" i="2"/>
  <c r="E819" i="2"/>
  <c r="E820" i="2"/>
  <c r="E821" i="2"/>
  <c r="E822" i="2"/>
  <c r="E823" i="2"/>
  <c r="E824" i="2"/>
  <c r="E825" i="2"/>
  <c r="E826" i="2"/>
  <c r="E827" i="2"/>
  <c r="H827" i="2" s="1"/>
  <c r="M827" i="2" s="1"/>
  <c r="E828" i="2"/>
  <c r="E829" i="2"/>
  <c r="E830" i="2"/>
  <c r="E831" i="2"/>
  <c r="E832" i="2"/>
  <c r="E833" i="2"/>
  <c r="E834" i="2"/>
  <c r="E835" i="2"/>
  <c r="E836" i="2"/>
  <c r="E837" i="2"/>
  <c r="E838" i="2"/>
  <c r="E839" i="2"/>
  <c r="H839" i="2" s="1"/>
  <c r="M839" i="2" s="1"/>
  <c r="E840" i="2"/>
  <c r="E841" i="2"/>
  <c r="E842" i="2"/>
  <c r="E843" i="2"/>
  <c r="E844" i="2"/>
  <c r="E845" i="2"/>
  <c r="E846" i="2"/>
  <c r="E847" i="2"/>
  <c r="E848" i="2"/>
  <c r="E849" i="2"/>
  <c r="E850" i="2"/>
  <c r="E851" i="2"/>
  <c r="H851" i="2" s="1"/>
  <c r="M851" i="2" s="1"/>
  <c r="E852" i="2"/>
  <c r="E853" i="2"/>
  <c r="E854" i="2"/>
  <c r="E855" i="2"/>
  <c r="E856" i="2"/>
  <c r="E857" i="2"/>
  <c r="E858" i="2"/>
  <c r="E859" i="2"/>
  <c r="E860" i="2"/>
  <c r="E861" i="2"/>
  <c r="E862" i="2"/>
  <c r="E863" i="2"/>
  <c r="H863" i="2" s="1"/>
  <c r="M863" i="2" s="1"/>
  <c r="E864" i="2"/>
  <c r="E865" i="2"/>
  <c r="E866" i="2"/>
  <c r="E867" i="2"/>
  <c r="E868" i="2"/>
  <c r="E869" i="2"/>
  <c r="E870" i="2"/>
  <c r="E871" i="2"/>
  <c r="E872" i="2"/>
  <c r="E873" i="2"/>
  <c r="E874" i="2"/>
  <c r="E875" i="2"/>
  <c r="H875" i="2" s="1"/>
  <c r="M875" i="2" s="1"/>
  <c r="E876" i="2"/>
  <c r="E877" i="2"/>
  <c r="E878" i="2"/>
  <c r="E879" i="2"/>
  <c r="E880" i="2"/>
  <c r="E881" i="2"/>
  <c r="E882" i="2"/>
  <c r="E883" i="2"/>
  <c r="E884" i="2"/>
  <c r="E885" i="2"/>
  <c r="E886" i="2"/>
  <c r="E887" i="2"/>
  <c r="H887" i="2" s="1"/>
  <c r="M887" i="2" s="1"/>
  <c r="E888" i="2"/>
  <c r="E889" i="2"/>
  <c r="E890" i="2"/>
  <c r="E891" i="2"/>
  <c r="E892" i="2"/>
  <c r="E893" i="2"/>
  <c r="E894" i="2"/>
  <c r="E895" i="2"/>
  <c r="E896" i="2"/>
  <c r="E897" i="2"/>
  <c r="E898" i="2"/>
  <c r="E899" i="2"/>
  <c r="H899" i="2" s="1"/>
  <c r="M899" i="2" s="1"/>
  <c r="E900" i="2"/>
  <c r="E901" i="2"/>
  <c r="E902" i="2"/>
  <c r="E903" i="2"/>
  <c r="E904" i="2"/>
  <c r="E905" i="2"/>
  <c r="E906" i="2"/>
  <c r="E907" i="2"/>
  <c r="E908" i="2"/>
  <c r="E909" i="2"/>
  <c r="E910" i="2"/>
  <c r="E911" i="2"/>
  <c r="H911" i="2" s="1"/>
  <c r="M911" i="2" s="1"/>
  <c r="E912" i="2"/>
  <c r="E913" i="2"/>
  <c r="E914" i="2"/>
  <c r="E915" i="2"/>
  <c r="E916" i="2"/>
  <c r="E917" i="2"/>
  <c r="E918" i="2"/>
  <c r="E919" i="2"/>
  <c r="E920" i="2"/>
  <c r="E921" i="2"/>
  <c r="E922" i="2"/>
  <c r="E923" i="2"/>
  <c r="H923" i="2" s="1"/>
  <c r="M923" i="2" s="1"/>
  <c r="E924" i="2"/>
  <c r="E925" i="2"/>
  <c r="E926" i="2"/>
  <c r="E927" i="2"/>
  <c r="E928" i="2"/>
  <c r="E929" i="2"/>
  <c r="E930" i="2"/>
  <c r="E931" i="2"/>
  <c r="E932" i="2"/>
  <c r="E933" i="2"/>
  <c r="E934" i="2"/>
  <c r="E935" i="2"/>
  <c r="H935" i="2" s="1"/>
  <c r="M935" i="2" s="1"/>
  <c r="E936" i="2"/>
  <c r="E937" i="2"/>
  <c r="E938" i="2"/>
  <c r="E939" i="2"/>
  <c r="E940" i="2"/>
  <c r="E941" i="2"/>
  <c r="E942" i="2"/>
  <c r="E943" i="2"/>
  <c r="E944" i="2"/>
  <c r="E945" i="2"/>
  <c r="E946" i="2"/>
  <c r="E947" i="2"/>
  <c r="H947" i="2" s="1"/>
  <c r="M947" i="2" s="1"/>
  <c r="E948" i="2"/>
  <c r="E949" i="2"/>
  <c r="E950" i="2"/>
  <c r="E951" i="2"/>
  <c r="E952" i="2"/>
  <c r="E953" i="2"/>
  <c r="E954" i="2"/>
  <c r="E955" i="2"/>
  <c r="E956" i="2"/>
  <c r="E957" i="2"/>
  <c r="E958" i="2"/>
  <c r="E959" i="2"/>
  <c r="H959" i="2" s="1"/>
  <c r="M959" i="2" s="1"/>
  <c r="E960" i="2"/>
  <c r="E961" i="2"/>
  <c r="E962" i="2"/>
  <c r="E963" i="2"/>
  <c r="E964" i="2"/>
  <c r="E965" i="2"/>
  <c r="E966" i="2"/>
  <c r="E967" i="2"/>
  <c r="E968" i="2"/>
  <c r="E969" i="2"/>
  <c r="E970" i="2"/>
  <c r="E971" i="2"/>
  <c r="H971" i="2" s="1"/>
  <c r="M971" i="2" s="1"/>
  <c r="E972" i="2"/>
  <c r="E973" i="2"/>
  <c r="E974" i="2"/>
  <c r="E975" i="2"/>
  <c r="E976" i="2"/>
  <c r="E977" i="2"/>
  <c r="E978" i="2"/>
  <c r="E979" i="2"/>
  <c r="E980" i="2"/>
  <c r="E981" i="2"/>
  <c r="E982" i="2"/>
  <c r="E983" i="2"/>
  <c r="H983" i="2" s="1"/>
  <c r="M983" i="2" s="1"/>
  <c r="E984" i="2"/>
  <c r="E985" i="2"/>
  <c r="E986" i="2"/>
  <c r="E987" i="2"/>
  <c r="E988" i="2"/>
  <c r="E989" i="2"/>
  <c r="E990" i="2"/>
  <c r="E991" i="2"/>
  <c r="E992" i="2"/>
  <c r="E993" i="2"/>
  <c r="E994" i="2"/>
  <c r="E995" i="2"/>
  <c r="H995" i="2" s="1"/>
  <c r="M995" i="2" s="1"/>
  <c r="E996" i="2"/>
  <c r="E997" i="2"/>
  <c r="E998" i="2"/>
  <c r="E999" i="2"/>
  <c r="E1000" i="2"/>
  <c r="E100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G2" i="2"/>
  <c r="F2" i="2"/>
  <c r="E2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2" i="2"/>
  <c r="C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2" i="2"/>
  <c r="H612" i="2"/>
  <c r="M612" i="2" s="1"/>
  <c r="H369" i="2"/>
  <c r="M369" i="2" s="1"/>
  <c r="H2" i="2"/>
  <c r="M2" i="2" s="1"/>
  <c r="H370" i="2"/>
  <c r="M370" i="2" s="1"/>
  <c r="H372" i="2"/>
  <c r="M372" i="2" s="1"/>
  <c r="H373" i="2"/>
  <c r="M373" i="2" s="1"/>
  <c r="H374" i="2"/>
  <c r="M374" i="2" s="1"/>
  <c r="H375" i="2"/>
  <c r="M375" i="2" s="1"/>
  <c r="H3" i="2"/>
  <c r="M3" i="2" s="1"/>
  <c r="H376" i="2"/>
  <c r="M376" i="2" s="1"/>
  <c r="H377" i="2"/>
  <c r="M377" i="2" s="1"/>
  <c r="H378" i="2"/>
  <c r="M378" i="2" s="1"/>
  <c r="H379" i="2"/>
  <c r="M379" i="2" s="1"/>
  <c r="H380" i="2"/>
  <c r="M380" i="2" s="1"/>
  <c r="H381" i="2"/>
  <c r="M381" i="2" s="1"/>
  <c r="H382" i="2"/>
  <c r="M382" i="2" s="1"/>
  <c r="H384" i="2"/>
  <c r="M384" i="2" s="1"/>
  <c r="H385" i="2"/>
  <c r="M385" i="2" s="1"/>
  <c r="H386" i="2"/>
  <c r="M386" i="2" s="1"/>
  <c r="H4" i="2"/>
  <c r="M4" i="2" s="1"/>
  <c r="H5" i="2"/>
  <c r="M5" i="2" s="1"/>
  <c r="H6" i="2"/>
  <c r="M6" i="2" s="1"/>
  <c r="H194" i="2"/>
  <c r="M194" i="2" s="1"/>
  <c r="H747" i="2"/>
  <c r="M747" i="2" s="1"/>
  <c r="H387" i="2"/>
  <c r="M387" i="2" s="1"/>
  <c r="H748" i="2"/>
  <c r="M748" i="2" s="1"/>
  <c r="H388" i="2"/>
  <c r="M388" i="2" s="1"/>
  <c r="H7" i="2"/>
  <c r="M7" i="2" s="1"/>
  <c r="H389" i="2"/>
  <c r="M389" i="2" s="1"/>
  <c r="H8" i="2"/>
  <c r="M8" i="2" s="1"/>
  <c r="H749" i="2"/>
  <c r="M749" i="2" s="1"/>
  <c r="H9" i="2"/>
  <c r="M9" i="2" s="1"/>
  <c r="H390" i="2"/>
  <c r="M390" i="2" s="1"/>
  <c r="H750" i="2"/>
  <c r="M750" i="2" s="1"/>
  <c r="H391" i="2"/>
  <c r="M391" i="2" s="1"/>
  <c r="H10" i="2"/>
  <c r="M10" i="2" s="1"/>
  <c r="H751" i="2"/>
  <c r="M751" i="2" s="1"/>
  <c r="H12" i="2"/>
  <c r="M12" i="2" s="1"/>
  <c r="H13" i="2"/>
  <c r="M13" i="2" s="1"/>
  <c r="H752" i="2"/>
  <c r="M752" i="2" s="1"/>
  <c r="H14" i="2"/>
  <c r="M14" i="2" s="1"/>
  <c r="H15" i="2"/>
  <c r="M15" i="2" s="1"/>
  <c r="H392" i="2"/>
  <c r="M392" i="2" s="1"/>
  <c r="H16" i="2"/>
  <c r="M16" i="2" s="1"/>
  <c r="H17" i="2"/>
  <c r="M17" i="2" s="1"/>
  <c r="H18" i="2"/>
  <c r="M18" i="2" s="1"/>
  <c r="H19" i="2"/>
  <c r="M19" i="2" s="1"/>
  <c r="H393" i="2"/>
  <c r="M393" i="2" s="1"/>
  <c r="H394" i="2"/>
  <c r="M394" i="2" s="1"/>
  <c r="H20" i="2"/>
  <c r="M20" i="2" s="1"/>
  <c r="H21" i="2"/>
  <c r="M21" i="2" s="1"/>
  <c r="H22" i="2"/>
  <c r="M22" i="2" s="1"/>
  <c r="H396" i="2"/>
  <c r="M396" i="2" s="1"/>
  <c r="H753" i="2"/>
  <c r="M753" i="2" s="1"/>
  <c r="H397" i="2"/>
  <c r="M397" i="2" s="1"/>
  <c r="H398" i="2"/>
  <c r="M398" i="2" s="1"/>
  <c r="H24" i="2"/>
  <c r="M24" i="2" s="1"/>
  <c r="H25" i="2"/>
  <c r="M25" i="2" s="1"/>
  <c r="H399" i="2"/>
  <c r="M399" i="2" s="1"/>
  <c r="H26" i="2"/>
  <c r="M26" i="2" s="1"/>
  <c r="H400" i="2"/>
  <c r="M400" i="2" s="1"/>
  <c r="H27" i="2"/>
  <c r="M27" i="2" s="1"/>
  <c r="H401" i="2"/>
  <c r="M401" i="2" s="1"/>
  <c r="H28" i="2"/>
  <c r="M28" i="2" s="1"/>
  <c r="H754" i="2"/>
  <c r="M754" i="2" s="1"/>
  <c r="H29" i="2"/>
  <c r="M29" i="2" s="1"/>
  <c r="H30" i="2"/>
  <c r="M30" i="2" s="1"/>
  <c r="H31" i="2"/>
  <c r="M31" i="2" s="1"/>
  <c r="H402" i="2"/>
  <c r="M402" i="2" s="1"/>
  <c r="H32" i="2"/>
  <c r="M32" i="2" s="1"/>
  <c r="H195" i="2"/>
  <c r="M195" i="2" s="1"/>
  <c r="H33" i="2"/>
  <c r="M33" i="2" s="1"/>
  <c r="H403" i="2"/>
  <c r="M403" i="2" s="1"/>
  <c r="H34" i="2"/>
  <c r="M34" i="2" s="1"/>
  <c r="H404" i="2"/>
  <c r="M404" i="2" s="1"/>
  <c r="H36" i="2"/>
  <c r="M36" i="2" s="1"/>
  <c r="H405" i="2"/>
  <c r="M405" i="2" s="1"/>
  <c r="H37" i="2"/>
  <c r="M37" i="2" s="1"/>
  <c r="H406" i="2"/>
  <c r="M406" i="2" s="1"/>
  <c r="H408" i="2"/>
  <c r="M408" i="2" s="1"/>
  <c r="H409" i="2"/>
  <c r="M409" i="2" s="1"/>
  <c r="H38" i="2"/>
  <c r="M38" i="2" s="1"/>
  <c r="H410" i="2"/>
  <c r="M410" i="2" s="1"/>
  <c r="H411" i="2"/>
  <c r="M411" i="2" s="1"/>
  <c r="H412" i="2"/>
  <c r="M412" i="2" s="1"/>
  <c r="H756" i="2"/>
  <c r="M756" i="2" s="1"/>
  <c r="H413" i="2"/>
  <c r="M413" i="2" s="1"/>
  <c r="H414" i="2"/>
  <c r="M414" i="2" s="1"/>
  <c r="H196" i="2"/>
  <c r="M196" i="2" s="1"/>
  <c r="H39" i="2"/>
  <c r="M39" i="2" s="1"/>
  <c r="H40" i="2"/>
  <c r="M40" i="2" s="1"/>
  <c r="H415" i="2"/>
  <c r="M415" i="2" s="1"/>
  <c r="H41" i="2"/>
  <c r="M41" i="2" s="1"/>
  <c r="H416" i="2"/>
  <c r="M416" i="2" s="1"/>
  <c r="H42" i="2"/>
  <c r="M42" i="2" s="1"/>
  <c r="H43" i="2"/>
  <c r="M43" i="2" s="1"/>
  <c r="H44" i="2"/>
  <c r="M44" i="2" s="1"/>
  <c r="H417" i="2"/>
  <c r="M417" i="2" s="1"/>
  <c r="H418" i="2"/>
  <c r="M418" i="2" s="1"/>
  <c r="H45" i="2"/>
  <c r="M45" i="2" s="1"/>
  <c r="H46" i="2"/>
  <c r="M46" i="2" s="1"/>
  <c r="H48" i="2"/>
  <c r="M48" i="2" s="1"/>
  <c r="H420" i="2"/>
  <c r="M420" i="2" s="1"/>
  <c r="H421" i="2"/>
  <c r="M421" i="2" s="1"/>
  <c r="H49" i="2"/>
  <c r="M49" i="2" s="1"/>
  <c r="H50" i="2"/>
  <c r="M50" i="2" s="1"/>
  <c r="H422" i="2"/>
  <c r="M422" i="2" s="1"/>
  <c r="H51" i="2"/>
  <c r="M51" i="2" s="1"/>
  <c r="H52" i="2"/>
  <c r="M52" i="2" s="1"/>
  <c r="H423" i="2"/>
  <c r="M423" i="2" s="1"/>
  <c r="H424" i="2"/>
  <c r="M424" i="2" s="1"/>
  <c r="H757" i="2"/>
  <c r="M757" i="2" s="1"/>
  <c r="H758" i="2"/>
  <c r="M758" i="2" s="1"/>
  <c r="H425" i="2"/>
  <c r="M425" i="2" s="1"/>
  <c r="H426" i="2"/>
  <c r="M426" i="2" s="1"/>
  <c r="H53" i="2"/>
  <c r="M53" i="2" s="1"/>
  <c r="H54" i="2"/>
  <c r="M54" i="2" s="1"/>
  <c r="H759" i="2"/>
  <c r="M759" i="2" s="1"/>
  <c r="H55" i="2"/>
  <c r="M55" i="2" s="1"/>
  <c r="H56" i="2"/>
  <c r="M56" i="2" s="1"/>
  <c r="H57" i="2"/>
  <c r="M57" i="2" s="1"/>
  <c r="H427" i="2"/>
  <c r="M427" i="2" s="1"/>
  <c r="H58" i="2"/>
  <c r="M58" i="2" s="1"/>
  <c r="H60" i="2"/>
  <c r="M60" i="2" s="1"/>
  <c r="H61" i="2"/>
  <c r="M61" i="2" s="1"/>
  <c r="H428" i="2"/>
  <c r="M428" i="2" s="1"/>
  <c r="H429" i="2"/>
  <c r="M429" i="2" s="1"/>
  <c r="H62" i="2"/>
  <c r="M62" i="2" s="1"/>
  <c r="H63" i="2"/>
  <c r="M63" i="2" s="1"/>
  <c r="H64" i="2"/>
  <c r="M64" i="2" s="1"/>
  <c r="H65" i="2"/>
  <c r="M65" i="2" s="1"/>
  <c r="H430" i="2"/>
  <c r="M430" i="2" s="1"/>
  <c r="H66" i="2"/>
  <c r="M66" i="2" s="1"/>
  <c r="H67" i="2"/>
  <c r="M67" i="2" s="1"/>
  <c r="H432" i="2"/>
  <c r="M432" i="2" s="1"/>
  <c r="H68" i="2"/>
  <c r="M68" i="2" s="1"/>
  <c r="H433" i="2"/>
  <c r="M433" i="2" s="1"/>
  <c r="H197" i="2"/>
  <c r="M197" i="2" s="1"/>
  <c r="H434" i="2"/>
  <c r="M434" i="2" s="1"/>
  <c r="H69" i="2"/>
  <c r="M69" i="2" s="1"/>
  <c r="H70" i="2"/>
  <c r="M70" i="2" s="1"/>
  <c r="H760" i="2"/>
  <c r="M760" i="2" s="1"/>
  <c r="H198" i="2"/>
  <c r="M198" i="2" s="1"/>
  <c r="H741" i="2"/>
  <c r="M741" i="2" s="1"/>
  <c r="H72" i="2"/>
  <c r="M72" i="2" s="1"/>
  <c r="H435" i="2"/>
  <c r="M435" i="2" s="1"/>
  <c r="H73" i="2"/>
  <c r="M73" i="2" s="1"/>
  <c r="H436" i="2"/>
  <c r="M436" i="2" s="1"/>
  <c r="H437" i="2"/>
  <c r="M437" i="2" s="1"/>
  <c r="H74" i="2"/>
  <c r="M74" i="2" s="1"/>
  <c r="H438" i="2"/>
  <c r="M438" i="2" s="1"/>
  <c r="H439" i="2"/>
  <c r="M439" i="2" s="1"/>
  <c r="H75" i="2"/>
  <c r="M75" i="2" s="1"/>
  <c r="H76" i="2"/>
  <c r="M76" i="2" s="1"/>
  <c r="H613" i="2"/>
  <c r="M613" i="2" s="1"/>
  <c r="H77" i="2"/>
  <c r="M77" i="2" s="1"/>
  <c r="H78" i="2"/>
  <c r="M78" i="2" s="1"/>
  <c r="H199" i="2"/>
  <c r="M199" i="2" s="1"/>
  <c r="H79" i="2"/>
  <c r="M79" i="2" s="1"/>
  <c r="H440" i="2"/>
  <c r="M440" i="2" s="1"/>
  <c r="H441" i="2"/>
  <c r="M441" i="2" s="1"/>
  <c r="H442" i="2"/>
  <c r="M442" i="2" s="1"/>
  <c r="H444" i="2"/>
  <c r="M444" i="2" s="1"/>
  <c r="H200" i="2"/>
  <c r="M200" i="2" s="1"/>
  <c r="H201" i="2"/>
  <c r="M201" i="2" s="1"/>
  <c r="H80" i="2"/>
  <c r="M80" i="2" s="1"/>
  <c r="H761" i="2"/>
  <c r="M761" i="2" s="1"/>
  <c r="H81" i="2"/>
  <c r="M81" i="2" s="1"/>
  <c r="H82" i="2"/>
  <c r="M82" i="2" s="1"/>
  <c r="H445" i="2"/>
  <c r="M445" i="2" s="1"/>
  <c r="H446" i="2"/>
  <c r="M446" i="2" s="1"/>
  <c r="H447" i="2"/>
  <c r="M447" i="2" s="1"/>
  <c r="H814" i="2"/>
  <c r="M814" i="2" s="1"/>
  <c r="H202" i="2"/>
  <c r="M202" i="2" s="1"/>
  <c r="H84" i="2"/>
  <c r="M84" i="2" s="1"/>
  <c r="H448" i="2"/>
  <c r="M448" i="2" s="1"/>
  <c r="H762" i="2"/>
  <c r="M762" i="2" s="1"/>
  <c r="H449" i="2"/>
  <c r="M449" i="2" s="1"/>
  <c r="H450" i="2"/>
  <c r="M450" i="2" s="1"/>
  <c r="H614" i="2"/>
  <c r="M614" i="2" s="1"/>
  <c r="H763" i="2"/>
  <c r="M763" i="2" s="1"/>
  <c r="H204" i="2"/>
  <c r="M204" i="2" s="1"/>
  <c r="H451" i="2"/>
  <c r="M451" i="2" s="1"/>
  <c r="H452" i="2"/>
  <c r="M452" i="2" s="1"/>
  <c r="H85" i="2"/>
  <c r="M85" i="2" s="1"/>
  <c r="H453" i="2"/>
  <c r="M453" i="2" s="1"/>
  <c r="H454" i="2"/>
  <c r="M454" i="2" s="1"/>
  <c r="H456" i="2"/>
  <c r="M456" i="2" s="1"/>
  <c r="H457" i="2"/>
  <c r="M457" i="2" s="1"/>
  <c r="H458" i="2"/>
  <c r="M458" i="2" s="1"/>
  <c r="H86" i="2"/>
  <c r="M86" i="2" s="1"/>
  <c r="H205" i="2"/>
  <c r="M205" i="2" s="1"/>
  <c r="H206" i="2"/>
  <c r="M206" i="2" s="1"/>
  <c r="H764" i="2"/>
  <c r="M764" i="2" s="1"/>
  <c r="H459" i="2"/>
  <c r="M459" i="2" s="1"/>
  <c r="H87" i="2"/>
  <c r="M87" i="2" s="1"/>
  <c r="H460" i="2"/>
  <c r="M460" i="2" s="1"/>
  <c r="H461" i="2"/>
  <c r="M461" i="2" s="1"/>
  <c r="H88" i="2"/>
  <c r="M88" i="2" s="1"/>
  <c r="H462" i="2"/>
  <c r="M462" i="2" s="1"/>
  <c r="H89" i="2"/>
  <c r="M89" i="2" s="1"/>
  <c r="H765" i="2"/>
  <c r="M765" i="2" s="1"/>
  <c r="H463" i="2"/>
  <c r="M463" i="2" s="1"/>
  <c r="H90" i="2"/>
  <c r="M90" i="2" s="1"/>
  <c r="H91" i="2"/>
  <c r="M91" i="2" s="1"/>
  <c r="H92" i="2"/>
  <c r="M92" i="2" s="1"/>
  <c r="H93" i="2"/>
  <c r="M93" i="2" s="1"/>
  <c r="H94" i="2"/>
  <c r="M94" i="2" s="1"/>
  <c r="H464" i="2"/>
  <c r="M464" i="2" s="1"/>
  <c r="H95" i="2"/>
  <c r="M95" i="2" s="1"/>
  <c r="H465" i="2"/>
  <c r="M465" i="2" s="1"/>
  <c r="H466" i="2"/>
  <c r="M466" i="2" s="1"/>
  <c r="H468" i="2"/>
  <c r="M468" i="2" s="1"/>
  <c r="H469" i="2"/>
  <c r="M469" i="2" s="1"/>
  <c r="H96" i="2"/>
  <c r="M96" i="2" s="1"/>
  <c r="H742" i="2"/>
  <c r="M742" i="2" s="1"/>
  <c r="H766" i="2"/>
  <c r="M766" i="2" s="1"/>
  <c r="H97" i="2"/>
  <c r="M97" i="2" s="1"/>
  <c r="H470" i="2"/>
  <c r="M470" i="2" s="1"/>
  <c r="H98" i="2"/>
  <c r="M98" i="2" s="1"/>
  <c r="H471" i="2"/>
  <c r="M471" i="2" s="1"/>
  <c r="H472" i="2"/>
  <c r="M472" i="2" s="1"/>
  <c r="H207" i="2"/>
  <c r="M207" i="2" s="1"/>
  <c r="H99" i="2"/>
  <c r="M99" i="2" s="1"/>
  <c r="H473" i="2"/>
  <c r="M473" i="2" s="1"/>
  <c r="H100" i="2"/>
  <c r="M100" i="2" s="1"/>
  <c r="H474" i="2"/>
  <c r="M474" i="2" s="1"/>
  <c r="H101" i="2"/>
  <c r="M101" i="2" s="1"/>
  <c r="H475" i="2"/>
  <c r="M475" i="2" s="1"/>
  <c r="H208" i="2"/>
  <c r="M208" i="2" s="1"/>
  <c r="H476" i="2"/>
  <c r="M476" i="2" s="1"/>
  <c r="H102" i="2"/>
  <c r="M102" i="2" s="1"/>
  <c r="H103" i="2"/>
  <c r="M103" i="2" s="1"/>
  <c r="H477" i="2"/>
  <c r="M477" i="2" s="1"/>
  <c r="H615" i="2"/>
  <c r="M615" i="2" s="1"/>
  <c r="H209" i="2"/>
  <c r="M209" i="2" s="1"/>
  <c r="H478" i="2"/>
  <c r="M478" i="2" s="1"/>
  <c r="H104" i="2"/>
  <c r="M104" i="2" s="1"/>
  <c r="H480" i="2"/>
  <c r="M480" i="2" s="1"/>
  <c r="H481" i="2"/>
  <c r="M481" i="2" s="1"/>
  <c r="H482" i="2"/>
  <c r="M482" i="2" s="1"/>
  <c r="H483" i="2"/>
  <c r="M483" i="2" s="1"/>
  <c r="H484" i="2"/>
  <c r="M484" i="2" s="1"/>
  <c r="H485" i="2"/>
  <c r="M485" i="2" s="1"/>
  <c r="H486" i="2"/>
  <c r="M486" i="2" s="1"/>
  <c r="H487" i="2"/>
  <c r="M487" i="2" s="1"/>
  <c r="H488" i="2"/>
  <c r="M488" i="2" s="1"/>
  <c r="H105" i="2"/>
  <c r="M105" i="2" s="1"/>
  <c r="H489" i="2"/>
  <c r="M489" i="2" s="1"/>
  <c r="H106" i="2"/>
  <c r="M106" i="2" s="1"/>
  <c r="H490" i="2"/>
  <c r="M490" i="2" s="1"/>
  <c r="H108" i="2"/>
  <c r="M108" i="2" s="1"/>
  <c r="H109" i="2"/>
  <c r="M109" i="2" s="1"/>
  <c r="H768" i="2"/>
  <c r="M768" i="2" s="1"/>
  <c r="H492" i="2"/>
  <c r="M492" i="2" s="1"/>
  <c r="H210" i="2"/>
  <c r="M210" i="2" s="1"/>
  <c r="H493" i="2"/>
  <c r="M493" i="2" s="1"/>
  <c r="H494" i="2"/>
  <c r="M494" i="2" s="1"/>
  <c r="H616" i="2"/>
  <c r="M616" i="2" s="1"/>
  <c r="H495" i="2"/>
  <c r="M495" i="2" s="1"/>
  <c r="H110" i="2"/>
  <c r="M110" i="2" s="1"/>
  <c r="H111" i="2"/>
  <c r="M111" i="2" s="1"/>
  <c r="H769" i="2"/>
  <c r="M769" i="2" s="1"/>
  <c r="H617" i="2"/>
  <c r="M617" i="2" s="1"/>
  <c r="H112" i="2"/>
  <c r="M112" i="2" s="1"/>
  <c r="H496" i="2"/>
  <c r="M496" i="2" s="1"/>
  <c r="H770" i="2"/>
  <c r="M770" i="2" s="1"/>
  <c r="H497" i="2"/>
  <c r="M497" i="2" s="1"/>
  <c r="H498" i="2"/>
  <c r="M498" i="2" s="1"/>
  <c r="H211" i="2"/>
  <c r="M211" i="2" s="1"/>
  <c r="H499" i="2"/>
  <c r="M499" i="2" s="1"/>
  <c r="H113" i="2"/>
  <c r="M113" i="2" s="1"/>
  <c r="H114" i="2"/>
  <c r="M114" i="2" s="1"/>
  <c r="H500" i="2"/>
  <c r="M500" i="2" s="1"/>
  <c r="H771" i="2"/>
  <c r="M771" i="2" s="1"/>
  <c r="H618" i="2"/>
  <c r="M618" i="2" s="1"/>
  <c r="H501" i="2"/>
  <c r="M501" i="2" s="1"/>
  <c r="H502" i="2"/>
  <c r="M502" i="2" s="1"/>
  <c r="H115" i="2"/>
  <c r="M115" i="2" s="1"/>
  <c r="H504" i="2"/>
  <c r="M504" i="2" s="1"/>
  <c r="H505" i="2"/>
  <c r="M505" i="2" s="1"/>
  <c r="H506" i="2"/>
  <c r="M506" i="2" s="1"/>
  <c r="H116" i="2"/>
  <c r="M116" i="2" s="1"/>
  <c r="H507" i="2"/>
  <c r="M507" i="2" s="1"/>
  <c r="H508" i="2"/>
  <c r="M508" i="2" s="1"/>
  <c r="H509" i="2"/>
  <c r="M509" i="2" s="1"/>
  <c r="H510" i="2"/>
  <c r="M510" i="2" s="1"/>
  <c r="H511" i="2"/>
  <c r="M511" i="2" s="1"/>
  <c r="H117" i="2"/>
  <c r="M117" i="2" s="1"/>
  <c r="H118" i="2"/>
  <c r="M118" i="2" s="1"/>
  <c r="H772" i="2"/>
  <c r="M772" i="2" s="1"/>
  <c r="H512" i="2"/>
  <c r="M512" i="2" s="1"/>
  <c r="H513" i="2"/>
  <c r="M513" i="2" s="1"/>
  <c r="H514" i="2"/>
  <c r="M514" i="2" s="1"/>
  <c r="H516" i="2"/>
  <c r="M516" i="2" s="1"/>
  <c r="H120" i="2"/>
  <c r="M120" i="2" s="1"/>
  <c r="H517" i="2"/>
  <c r="M517" i="2" s="1"/>
  <c r="H212" i="2"/>
  <c r="M212" i="2" s="1"/>
  <c r="H121" i="2"/>
  <c r="M121" i="2" s="1"/>
  <c r="H122" i="2"/>
  <c r="M122" i="2" s="1"/>
  <c r="H213" i="2"/>
  <c r="M213" i="2" s="1"/>
  <c r="H518" i="2"/>
  <c r="M518" i="2" s="1"/>
  <c r="H519" i="2"/>
  <c r="M519" i="2" s="1"/>
  <c r="H520" i="2"/>
  <c r="M520" i="2" s="1"/>
  <c r="H773" i="2"/>
  <c r="M773" i="2" s="1"/>
  <c r="H774" i="2"/>
  <c r="M774" i="2" s="1"/>
  <c r="H521" i="2"/>
  <c r="M521" i="2" s="1"/>
  <c r="H522" i="2"/>
  <c r="M522" i="2" s="1"/>
  <c r="H214" i="2"/>
  <c r="M214" i="2" s="1"/>
  <c r="H123" i="2"/>
  <c r="M123" i="2" s="1"/>
  <c r="H523" i="2"/>
  <c r="M523" i="2" s="1"/>
  <c r="H124" i="2"/>
  <c r="M124" i="2" s="1"/>
  <c r="H125" i="2"/>
  <c r="M125" i="2" s="1"/>
  <c r="H524" i="2"/>
  <c r="M524" i="2" s="1"/>
  <c r="H525" i="2"/>
  <c r="M525" i="2" s="1"/>
  <c r="H126" i="2"/>
  <c r="M126" i="2" s="1"/>
  <c r="H526" i="2"/>
  <c r="M526" i="2" s="1"/>
  <c r="H127" i="2"/>
  <c r="M127" i="2" s="1"/>
  <c r="H128" i="2"/>
  <c r="M128" i="2" s="1"/>
  <c r="H927" i="2"/>
  <c r="M927" i="2" s="1"/>
  <c r="H775" i="2"/>
  <c r="M775" i="2" s="1"/>
  <c r="H928" i="2"/>
  <c r="M928" i="2" s="1"/>
  <c r="H929" i="2"/>
  <c r="M929" i="2" s="1"/>
  <c r="H930" i="2"/>
  <c r="M930" i="2" s="1"/>
  <c r="H776" i="2"/>
  <c r="M776" i="2" s="1"/>
  <c r="H777" i="2"/>
  <c r="M777" i="2" s="1"/>
  <c r="H778" i="2"/>
  <c r="M778" i="2" s="1"/>
  <c r="H931" i="2"/>
  <c r="M931" i="2" s="1"/>
  <c r="H932" i="2"/>
  <c r="M932" i="2" s="1"/>
  <c r="H129" i="2"/>
  <c r="M129" i="2" s="1"/>
  <c r="H933" i="2"/>
  <c r="M933" i="2" s="1"/>
  <c r="H130" i="2"/>
  <c r="M130" i="2" s="1"/>
  <c r="H934" i="2"/>
  <c r="M934" i="2" s="1"/>
  <c r="H936" i="2"/>
  <c r="M936" i="2" s="1"/>
  <c r="H780" i="2"/>
  <c r="M780" i="2" s="1"/>
  <c r="H781" i="2"/>
  <c r="M781" i="2" s="1"/>
  <c r="H937" i="2"/>
  <c r="M937" i="2" s="1"/>
  <c r="H938" i="2"/>
  <c r="M938" i="2" s="1"/>
  <c r="H939" i="2"/>
  <c r="M939" i="2" s="1"/>
  <c r="H940" i="2"/>
  <c r="M940" i="2" s="1"/>
  <c r="H941" i="2"/>
  <c r="M941" i="2" s="1"/>
  <c r="H782" i="2"/>
  <c r="M782" i="2" s="1"/>
  <c r="H942" i="2"/>
  <c r="M942" i="2" s="1"/>
  <c r="H783" i="2"/>
  <c r="M783" i="2" s="1"/>
  <c r="H943" i="2"/>
  <c r="M943" i="2" s="1"/>
  <c r="H784" i="2"/>
  <c r="M784" i="2" s="1"/>
  <c r="H132" i="2"/>
  <c r="M132" i="2" s="1"/>
  <c r="H785" i="2"/>
  <c r="M785" i="2" s="1"/>
  <c r="H944" i="2"/>
  <c r="M944" i="2" s="1"/>
  <c r="H786" i="2"/>
  <c r="M786" i="2" s="1"/>
  <c r="H787" i="2"/>
  <c r="M787" i="2" s="1"/>
  <c r="H528" i="2"/>
  <c r="M528" i="2" s="1"/>
  <c r="H133" i="2"/>
  <c r="M133" i="2" s="1"/>
  <c r="H945" i="2"/>
  <c r="M945" i="2" s="1"/>
  <c r="H946" i="2"/>
  <c r="M946" i="2" s="1"/>
  <c r="H948" i="2"/>
  <c r="M948" i="2" s="1"/>
  <c r="H529" i="2"/>
  <c r="M529" i="2" s="1"/>
  <c r="H134" i="2"/>
  <c r="M134" i="2" s="1"/>
  <c r="H949" i="2"/>
  <c r="M949" i="2" s="1"/>
  <c r="H950" i="2"/>
  <c r="M950" i="2" s="1"/>
  <c r="H951" i="2"/>
  <c r="M951" i="2" s="1"/>
  <c r="H952" i="2"/>
  <c r="M952" i="2" s="1"/>
  <c r="H953" i="2"/>
  <c r="M953" i="2" s="1"/>
  <c r="H954" i="2"/>
  <c r="M954" i="2" s="1"/>
  <c r="H955" i="2"/>
  <c r="M955" i="2" s="1"/>
  <c r="H135" i="2"/>
  <c r="M135" i="2" s="1"/>
  <c r="H788" i="2"/>
  <c r="M788" i="2" s="1"/>
  <c r="H956" i="2"/>
  <c r="M956" i="2" s="1"/>
  <c r="H957" i="2"/>
  <c r="M957" i="2" s="1"/>
  <c r="H789" i="2"/>
  <c r="M789" i="2" s="1"/>
  <c r="H790" i="2"/>
  <c r="M790" i="2" s="1"/>
  <c r="H958" i="2"/>
  <c r="M958" i="2" s="1"/>
  <c r="H960" i="2"/>
  <c r="M960" i="2" s="1"/>
  <c r="H530" i="2"/>
  <c r="M530" i="2" s="1"/>
  <c r="H961" i="2"/>
  <c r="M961" i="2" s="1"/>
  <c r="H962" i="2"/>
  <c r="M962" i="2" s="1"/>
  <c r="H963" i="2"/>
  <c r="M963" i="2" s="1"/>
  <c r="H964" i="2"/>
  <c r="M964" i="2" s="1"/>
  <c r="H965" i="2"/>
  <c r="M965" i="2" s="1"/>
  <c r="H531" i="2"/>
  <c r="M531" i="2" s="1"/>
  <c r="H966" i="2"/>
  <c r="M966" i="2" s="1"/>
  <c r="H967" i="2"/>
  <c r="M967" i="2" s="1"/>
  <c r="H792" i="2"/>
  <c r="M792" i="2" s="1"/>
  <c r="H968" i="2"/>
  <c r="M968" i="2" s="1"/>
  <c r="H969" i="2"/>
  <c r="M969" i="2" s="1"/>
  <c r="H793" i="2"/>
  <c r="M793" i="2" s="1"/>
  <c r="H970" i="2"/>
  <c r="M970" i="2" s="1"/>
  <c r="H532" i="2"/>
  <c r="M532" i="2" s="1"/>
  <c r="H972" i="2"/>
  <c r="M972" i="2" s="1"/>
  <c r="H794" i="2"/>
  <c r="M794" i="2" s="1"/>
  <c r="H533" i="2"/>
  <c r="M533" i="2" s="1"/>
  <c r="H973" i="2"/>
  <c r="M973" i="2" s="1"/>
  <c r="H795" i="2"/>
  <c r="M795" i="2" s="1"/>
  <c r="H974" i="2"/>
  <c r="M974" i="2" s="1"/>
  <c r="H796" i="2"/>
  <c r="M796" i="2" s="1"/>
  <c r="H797" i="2"/>
  <c r="M797" i="2" s="1"/>
  <c r="H798" i="2"/>
  <c r="M798" i="2" s="1"/>
  <c r="H975" i="2"/>
  <c r="M975" i="2" s="1"/>
  <c r="H136" i="2"/>
  <c r="M136" i="2" s="1"/>
  <c r="H976" i="2"/>
  <c r="M976" i="2" s="1"/>
  <c r="H799" i="2"/>
  <c r="M799" i="2" s="1"/>
  <c r="H816" i="2"/>
  <c r="M816" i="2" s="1"/>
  <c r="H977" i="2"/>
  <c r="M977" i="2" s="1"/>
  <c r="H978" i="2"/>
  <c r="M978" i="2" s="1"/>
  <c r="H137" i="2"/>
  <c r="M137" i="2" s="1"/>
  <c r="H979" i="2"/>
  <c r="M979" i="2" s="1"/>
  <c r="H980" i="2"/>
  <c r="M980" i="2" s="1"/>
  <c r="H981" i="2"/>
  <c r="M981" i="2" s="1"/>
  <c r="H800" i="2"/>
  <c r="M800" i="2" s="1"/>
  <c r="H801" i="2"/>
  <c r="M801" i="2" s="1"/>
  <c r="H802" i="2"/>
  <c r="M802" i="2" s="1"/>
  <c r="H982" i="2"/>
  <c r="M982" i="2" s="1"/>
  <c r="H984" i="2"/>
  <c r="M984" i="2" s="1"/>
  <c r="H138" i="2"/>
  <c r="M138" i="2" s="1"/>
  <c r="H985" i="2"/>
  <c r="M985" i="2" s="1"/>
  <c r="H986" i="2"/>
  <c r="M986" i="2" s="1"/>
  <c r="H987" i="2"/>
  <c r="M987" i="2" s="1"/>
  <c r="H988" i="2"/>
  <c r="M988" i="2" s="1"/>
  <c r="H534" i="2"/>
  <c r="M534" i="2" s="1"/>
  <c r="H989" i="2"/>
  <c r="M989" i="2" s="1"/>
  <c r="H139" i="2"/>
  <c r="M139" i="2" s="1"/>
  <c r="H804" i="2"/>
  <c r="M804" i="2" s="1"/>
  <c r="H805" i="2"/>
  <c r="M805" i="2" s="1"/>
  <c r="H535" i="2"/>
  <c r="M535" i="2" s="1"/>
  <c r="H990" i="2"/>
  <c r="M990" i="2" s="1"/>
  <c r="H991" i="2"/>
  <c r="M991" i="2" s="1"/>
  <c r="H992" i="2"/>
  <c r="M992" i="2" s="1"/>
  <c r="H993" i="2"/>
  <c r="M993" i="2" s="1"/>
  <c r="H536" i="2"/>
  <c r="M536" i="2" s="1"/>
  <c r="H140" i="2"/>
  <c r="M140" i="2" s="1"/>
  <c r="H994" i="2"/>
  <c r="M994" i="2" s="1"/>
  <c r="H806" i="2"/>
  <c r="M806" i="2" s="1"/>
  <c r="H141" i="2"/>
  <c r="M141" i="2" s="1"/>
  <c r="H996" i="2"/>
  <c r="M996" i="2" s="1"/>
  <c r="H997" i="2"/>
  <c r="M997" i="2" s="1"/>
  <c r="H998" i="2"/>
  <c r="M998" i="2" s="1"/>
  <c r="H999" i="2"/>
  <c r="M999" i="2" s="1"/>
  <c r="H807" i="2"/>
  <c r="M807" i="2" s="1"/>
  <c r="H1000" i="2"/>
  <c r="M1000" i="2" s="1"/>
  <c r="H1001" i="2"/>
  <c r="M1001" i="2" s="1"/>
  <c r="H142" i="2"/>
  <c r="M142" i="2" s="1"/>
  <c r="H537" i="2"/>
  <c r="M537" i="2" s="1"/>
  <c r="H538" i="2"/>
  <c r="M538" i="2" s="1"/>
  <c r="H540" i="2"/>
  <c r="M540" i="2" s="1"/>
  <c r="H144" i="2"/>
  <c r="M144" i="2" s="1"/>
  <c r="H145" i="2"/>
  <c r="M145" i="2" s="1"/>
  <c r="H541" i="2"/>
  <c r="M541" i="2" s="1"/>
  <c r="H146" i="2"/>
  <c r="M146" i="2" s="1"/>
  <c r="H808" i="2"/>
  <c r="M808" i="2" s="1"/>
  <c r="H542" i="2"/>
  <c r="M542" i="2" s="1"/>
  <c r="H809" i="2"/>
  <c r="M809" i="2" s="1"/>
  <c r="H147" i="2"/>
  <c r="M147" i="2" s="1"/>
  <c r="H543" i="2"/>
  <c r="M543" i="2" s="1"/>
  <c r="H148" i="2"/>
  <c r="M148" i="2" s="1"/>
  <c r="H544" i="2"/>
  <c r="M544" i="2" s="1"/>
  <c r="H545" i="2"/>
  <c r="M545" i="2" s="1"/>
  <c r="H149" i="2"/>
  <c r="M149" i="2" s="1"/>
  <c r="H150" i="2"/>
  <c r="M150" i="2" s="1"/>
  <c r="H151" i="2"/>
  <c r="M151" i="2" s="1"/>
  <c r="H546" i="2"/>
  <c r="M546" i="2" s="1"/>
  <c r="H152" i="2"/>
  <c r="M152" i="2" s="1"/>
  <c r="H547" i="2"/>
  <c r="M547" i="2" s="1"/>
  <c r="H744" i="2"/>
  <c r="M744" i="2" s="1"/>
  <c r="H548" i="2"/>
  <c r="M548" i="2" s="1"/>
  <c r="H549" i="2"/>
  <c r="M549" i="2" s="1"/>
  <c r="H153" i="2"/>
  <c r="M153" i="2" s="1"/>
  <c r="H154" i="2"/>
  <c r="M154" i="2" s="1"/>
  <c r="H550" i="2"/>
  <c r="M550" i="2" s="1"/>
  <c r="H552" i="2"/>
  <c r="M552" i="2" s="1"/>
  <c r="H553" i="2"/>
  <c r="M553" i="2" s="1"/>
  <c r="H156" i="2"/>
  <c r="M156" i="2" s="1"/>
  <c r="H810" i="2"/>
  <c r="M810" i="2" s="1"/>
  <c r="H554" i="2"/>
  <c r="M554" i="2" s="1"/>
  <c r="H555" i="2"/>
  <c r="M555" i="2" s="1"/>
  <c r="H556" i="2"/>
  <c r="M556" i="2" s="1"/>
  <c r="H557" i="2"/>
  <c r="M557" i="2" s="1"/>
  <c r="H157" i="2"/>
  <c r="M157" i="2" s="1"/>
  <c r="H558" i="2"/>
  <c r="M558" i="2" s="1"/>
  <c r="H745" i="2"/>
  <c r="M745" i="2" s="1"/>
  <c r="H559" i="2"/>
  <c r="M559" i="2" s="1"/>
  <c r="H560" i="2"/>
  <c r="M560" i="2" s="1"/>
  <c r="H561" i="2"/>
  <c r="M561" i="2" s="1"/>
  <c r="H158" i="2"/>
  <c r="M158" i="2" s="1"/>
  <c r="H562" i="2"/>
  <c r="M562" i="2" s="1"/>
  <c r="H159" i="2"/>
  <c r="M159" i="2" s="1"/>
  <c r="H160" i="2"/>
  <c r="M160" i="2" s="1"/>
  <c r="H564" i="2"/>
  <c r="M564" i="2" s="1"/>
  <c r="H161" i="2"/>
  <c r="M161" i="2" s="1"/>
  <c r="H565" i="2"/>
  <c r="M565" i="2" s="1"/>
  <c r="H566" i="2"/>
  <c r="M566" i="2" s="1"/>
  <c r="H567" i="2"/>
  <c r="M567" i="2" s="1"/>
  <c r="H162" i="2"/>
  <c r="M162" i="2" s="1"/>
  <c r="H811" i="2"/>
  <c r="M811" i="2" s="1"/>
  <c r="H568" i="2"/>
  <c r="M568" i="2" s="1"/>
  <c r="H163" i="2"/>
  <c r="M163" i="2" s="1"/>
  <c r="H164" i="2"/>
  <c r="M164" i="2" s="1"/>
  <c r="H165" i="2"/>
  <c r="M165" i="2" s="1"/>
  <c r="H166" i="2"/>
  <c r="M166" i="2" s="1"/>
  <c r="H569" i="2"/>
  <c r="M569" i="2" s="1"/>
  <c r="H168" i="2"/>
  <c r="M168" i="2" s="1"/>
  <c r="H570" i="2"/>
  <c r="M570" i="2" s="1"/>
  <c r="H169" i="2"/>
  <c r="M169" i="2" s="1"/>
  <c r="H170" i="2"/>
  <c r="M170" i="2" s="1"/>
  <c r="H571" i="2"/>
  <c r="M571" i="2" s="1"/>
  <c r="H572" i="2"/>
  <c r="M572" i="2" s="1"/>
  <c r="H171" i="2"/>
  <c r="M171" i="2" s="1"/>
  <c r="H172" i="2"/>
  <c r="M172" i="2" s="1"/>
  <c r="H573" i="2"/>
  <c r="M573" i="2" s="1"/>
  <c r="H574" i="2"/>
  <c r="M574" i="2" s="1"/>
  <c r="H173" i="2"/>
  <c r="M173" i="2" s="1"/>
  <c r="H174" i="2"/>
  <c r="M174" i="2" s="1"/>
  <c r="H175" i="2"/>
  <c r="M175" i="2" s="1"/>
  <c r="H576" i="2"/>
  <c r="M576" i="2" s="1"/>
  <c r="H176" i="2"/>
  <c r="M176" i="2" s="1"/>
  <c r="H812" i="2"/>
  <c r="M812" i="2" s="1"/>
  <c r="H577" i="2"/>
  <c r="M577" i="2" s="1"/>
  <c r="H177" i="2"/>
  <c r="M177" i="2" s="1"/>
  <c r="H178" i="2"/>
  <c r="M178" i="2" s="1"/>
  <c r="H578" i="2"/>
  <c r="M578" i="2" s="1"/>
  <c r="H579" i="2"/>
  <c r="M579" i="2" s="1"/>
  <c r="H180" i="2"/>
  <c r="M180" i="2" s="1"/>
  <c r="H580" i="2"/>
  <c r="M580" i="2" s="1"/>
  <c r="H581" i="2"/>
  <c r="M581" i="2" s="1"/>
  <c r="H181" i="2"/>
  <c r="M181" i="2" s="1"/>
  <c r="H582" i="2"/>
  <c r="M582" i="2" s="1"/>
  <c r="H583" i="2"/>
  <c r="M583" i="2" s="1"/>
  <c r="H584" i="2"/>
  <c r="M584" i="2" s="1"/>
  <c r="H585" i="2"/>
  <c r="M585" i="2" s="1"/>
  <c r="H586" i="2"/>
  <c r="M586" i="2" s="1"/>
  <c r="H182" i="2"/>
  <c r="M182" i="2" s="1"/>
  <c r="H588" i="2"/>
  <c r="M588" i="2" s="1"/>
  <c r="H589" i="2"/>
  <c r="M589" i="2" s="1"/>
  <c r="H590" i="2"/>
  <c r="M590" i="2" s="1"/>
  <c r="H591" i="2"/>
  <c r="M591" i="2" s="1"/>
  <c r="H592" i="2"/>
  <c r="M592" i="2" s="1"/>
  <c r="H593" i="2"/>
  <c r="M593" i="2" s="1"/>
  <c r="H594" i="2"/>
  <c r="M594" i="2" s="1"/>
  <c r="H595" i="2"/>
  <c r="M595" i="2" s="1"/>
  <c r="H596" i="2"/>
  <c r="M596" i="2" s="1"/>
  <c r="H597" i="2"/>
  <c r="M597" i="2" s="1"/>
  <c r="H598" i="2"/>
  <c r="M598" i="2" s="1"/>
  <c r="H183" i="2"/>
  <c r="M183" i="2" s="1"/>
  <c r="H184" i="2"/>
  <c r="M184" i="2" s="1"/>
  <c r="H185" i="2"/>
  <c r="M185" i="2" s="1"/>
  <c r="H600" i="2"/>
  <c r="M600" i="2" s="1"/>
  <c r="H601" i="2"/>
  <c r="M601" i="2" s="1"/>
  <c r="H602" i="2"/>
  <c r="M602" i="2" s="1"/>
  <c r="H603" i="2"/>
  <c r="M603" i="2" s="1"/>
  <c r="H746" i="2"/>
  <c r="M746" i="2" s="1"/>
  <c r="H604" i="2"/>
  <c r="M604" i="2" s="1"/>
  <c r="H186" i="2"/>
  <c r="M186" i="2" s="1"/>
  <c r="H187" i="2"/>
  <c r="M187" i="2" s="1"/>
  <c r="H188" i="2"/>
  <c r="M188" i="2" s="1"/>
  <c r="H605" i="2"/>
  <c r="M605" i="2" s="1"/>
  <c r="H813" i="2"/>
  <c r="M813" i="2" s="1"/>
  <c r="H189" i="2"/>
  <c r="M189" i="2" s="1"/>
  <c r="H606" i="2"/>
  <c r="M606" i="2" s="1"/>
  <c r="H190" i="2"/>
  <c r="M190" i="2" s="1"/>
  <c r="H607" i="2"/>
  <c r="M607" i="2" s="1"/>
  <c r="H608" i="2"/>
  <c r="M608" i="2" s="1"/>
  <c r="H192" i="2"/>
  <c r="M192" i="2" s="1"/>
  <c r="H609" i="2"/>
  <c r="M609" i="2" s="1"/>
  <c r="H610" i="2"/>
  <c r="M610" i="2" s="1"/>
  <c r="H193" i="2"/>
  <c r="M193" i="2" s="1"/>
  <c r="H216" i="2"/>
  <c r="M216" i="2" s="1"/>
  <c r="H217" i="2"/>
  <c r="M217" i="2" s="1"/>
  <c r="H817" i="2"/>
  <c r="M817" i="2" s="1"/>
  <c r="H818" i="2"/>
  <c r="M818" i="2" s="1"/>
  <c r="H619" i="2"/>
  <c r="M619" i="2" s="1"/>
  <c r="H620" i="2"/>
  <c r="M620" i="2" s="1"/>
  <c r="H218" i="2"/>
  <c r="M218" i="2" s="1"/>
  <c r="H621" i="2"/>
  <c r="M621" i="2" s="1"/>
  <c r="H622" i="2"/>
  <c r="M622" i="2" s="1"/>
  <c r="H219" i="2"/>
  <c r="M219" i="2" s="1"/>
  <c r="H819" i="2"/>
  <c r="M819" i="2" s="1"/>
  <c r="H220" i="2"/>
  <c r="M220" i="2" s="1"/>
  <c r="H221" i="2"/>
  <c r="M221" i="2" s="1"/>
  <c r="H820" i="2"/>
  <c r="M820" i="2" s="1"/>
  <c r="H222" i="2"/>
  <c r="M222" i="2" s="1"/>
  <c r="H223" i="2"/>
  <c r="M223" i="2" s="1"/>
  <c r="H224" i="2"/>
  <c r="M224" i="2" s="1"/>
  <c r="H225" i="2"/>
  <c r="M225" i="2" s="1"/>
  <c r="H821" i="2"/>
  <c r="M821" i="2" s="1"/>
  <c r="H624" i="2"/>
  <c r="M624" i="2" s="1"/>
  <c r="H226" i="2"/>
  <c r="M226" i="2" s="1"/>
  <c r="H822" i="2"/>
  <c r="M822" i="2" s="1"/>
  <c r="H228" i="2"/>
  <c r="M228" i="2" s="1"/>
  <c r="H823" i="2"/>
  <c r="M823" i="2" s="1"/>
  <c r="H229" i="2"/>
  <c r="M229" i="2" s="1"/>
  <c r="H824" i="2"/>
  <c r="M824" i="2" s="1"/>
  <c r="H230" i="2"/>
  <c r="M230" i="2" s="1"/>
  <c r="H625" i="2"/>
  <c r="M625" i="2" s="1"/>
  <c r="H231" i="2"/>
  <c r="M231" i="2" s="1"/>
  <c r="H232" i="2"/>
  <c r="M232" i="2" s="1"/>
  <c r="H626" i="2"/>
  <c r="M626" i="2" s="1"/>
  <c r="H233" i="2"/>
  <c r="M233" i="2" s="1"/>
  <c r="H627" i="2"/>
  <c r="M627" i="2" s="1"/>
  <c r="H234" i="2"/>
  <c r="M234" i="2" s="1"/>
  <c r="H235" i="2"/>
  <c r="M235" i="2" s="1"/>
  <c r="H628" i="2"/>
  <c r="M628" i="2" s="1"/>
  <c r="H825" i="2"/>
  <c r="M825" i="2" s="1"/>
  <c r="H236" i="2"/>
  <c r="M236" i="2" s="1"/>
  <c r="H237" i="2"/>
  <c r="M237" i="2" s="1"/>
  <c r="H629" i="2"/>
  <c r="M629" i="2" s="1"/>
  <c r="H238" i="2"/>
  <c r="M238" i="2" s="1"/>
  <c r="H239" i="2"/>
  <c r="M239" i="2" s="1"/>
  <c r="H240" i="2"/>
  <c r="M240" i="2" s="1"/>
  <c r="H826" i="2"/>
  <c r="M826" i="2" s="1"/>
  <c r="H630" i="2"/>
  <c r="M630" i="2" s="1"/>
  <c r="H241" i="2"/>
  <c r="M241" i="2" s="1"/>
  <c r="H242" i="2"/>
  <c r="M242" i="2" s="1"/>
  <c r="H243" i="2"/>
  <c r="M243" i="2" s="1"/>
  <c r="H631" i="2"/>
  <c r="M631" i="2" s="1"/>
  <c r="H828" i="2"/>
  <c r="M828" i="2" s="1"/>
  <c r="H244" i="2"/>
  <c r="M244" i="2" s="1"/>
  <c r="H829" i="2"/>
  <c r="M829" i="2" s="1"/>
  <c r="H632" i="2"/>
  <c r="M632" i="2" s="1"/>
  <c r="H633" i="2"/>
  <c r="M633" i="2" s="1"/>
  <c r="H830" i="2"/>
  <c r="M830" i="2" s="1"/>
  <c r="H634" i="2"/>
  <c r="M634" i="2" s="1"/>
  <c r="H831" i="2"/>
  <c r="M831" i="2" s="1"/>
  <c r="H245" i="2"/>
  <c r="M245" i="2" s="1"/>
  <c r="H246" i="2"/>
  <c r="M246" i="2" s="1"/>
  <c r="H247" i="2"/>
  <c r="M247" i="2" s="1"/>
  <c r="H636" i="2"/>
  <c r="M636" i="2" s="1"/>
  <c r="H637" i="2"/>
  <c r="M637" i="2" s="1"/>
  <c r="H638" i="2"/>
  <c r="M638" i="2" s="1"/>
  <c r="H248" i="2"/>
  <c r="M248" i="2" s="1"/>
  <c r="H832" i="2"/>
  <c r="M832" i="2" s="1"/>
  <c r="H249" i="2"/>
  <c r="M249" i="2" s="1"/>
  <c r="H639" i="2"/>
  <c r="M639" i="2" s="1"/>
  <c r="H250" i="2"/>
  <c r="M250" i="2" s="1"/>
  <c r="H252" i="2"/>
  <c r="M252" i="2" s="1"/>
  <c r="H640" i="2"/>
  <c r="M640" i="2" s="1"/>
  <c r="H833" i="2"/>
  <c r="M833" i="2" s="1"/>
  <c r="H253" i="2"/>
  <c r="M253" i="2" s="1"/>
  <c r="H254" i="2"/>
  <c r="M254" i="2" s="1"/>
  <c r="H834" i="2"/>
  <c r="M834" i="2" s="1"/>
  <c r="H255" i="2"/>
  <c r="M255" i="2" s="1"/>
  <c r="H641" i="2"/>
  <c r="M641" i="2" s="1"/>
  <c r="H835" i="2"/>
  <c r="M835" i="2" s="1"/>
  <c r="H642" i="2"/>
  <c r="M642" i="2" s="1"/>
  <c r="H836" i="2"/>
  <c r="M836" i="2" s="1"/>
  <c r="H256" i="2"/>
  <c r="M256" i="2" s="1"/>
  <c r="H837" i="2"/>
  <c r="M837" i="2" s="1"/>
  <c r="H838" i="2"/>
  <c r="M838" i="2" s="1"/>
  <c r="H643" i="2"/>
  <c r="M643" i="2" s="1"/>
  <c r="H644" i="2"/>
  <c r="M644" i="2" s="1"/>
  <c r="H257" i="2"/>
  <c r="M257" i="2" s="1"/>
  <c r="H645" i="2"/>
  <c r="M645" i="2" s="1"/>
  <c r="H258" i="2"/>
  <c r="M258" i="2" s="1"/>
  <c r="H259" i="2"/>
  <c r="M259" i="2" s="1"/>
  <c r="H840" i="2"/>
  <c r="M840" i="2" s="1"/>
  <c r="H646" i="2"/>
  <c r="M646" i="2" s="1"/>
  <c r="H648" i="2"/>
  <c r="M648" i="2" s="1"/>
  <c r="H260" i="2"/>
  <c r="M260" i="2" s="1"/>
  <c r="H841" i="2"/>
  <c r="M841" i="2" s="1"/>
  <c r="H649" i="2"/>
  <c r="M649" i="2" s="1"/>
  <c r="H842" i="2"/>
  <c r="M842" i="2" s="1"/>
  <c r="H650" i="2"/>
  <c r="M650" i="2" s="1"/>
  <c r="H843" i="2"/>
  <c r="M843" i="2" s="1"/>
  <c r="H261" i="2"/>
  <c r="M261" i="2" s="1"/>
  <c r="H262" i="2"/>
  <c r="M262" i="2" s="1"/>
  <c r="H844" i="2"/>
  <c r="M844" i="2" s="1"/>
  <c r="H651" i="2"/>
  <c r="M651" i="2" s="1"/>
  <c r="H264" i="2"/>
  <c r="M264" i="2" s="1"/>
  <c r="H265" i="2"/>
  <c r="M265" i="2" s="1"/>
  <c r="H845" i="2"/>
  <c r="M845" i="2" s="1"/>
  <c r="H652" i="2"/>
  <c r="M652" i="2" s="1"/>
  <c r="H266" i="2"/>
  <c r="M266" i="2" s="1"/>
  <c r="H267" i="2"/>
  <c r="M267" i="2" s="1"/>
  <c r="H653" i="2"/>
  <c r="M653" i="2" s="1"/>
  <c r="H654" i="2"/>
  <c r="M654" i="2" s="1"/>
  <c r="H268" i="2"/>
  <c r="M268" i="2" s="1"/>
  <c r="H269" i="2"/>
  <c r="M269" i="2" s="1"/>
  <c r="H270" i="2"/>
  <c r="M270" i="2" s="1"/>
  <c r="H846" i="2"/>
  <c r="M846" i="2" s="1"/>
  <c r="H655" i="2"/>
  <c r="M655" i="2" s="1"/>
  <c r="H847" i="2"/>
  <c r="M847" i="2" s="1"/>
  <c r="H271" i="2"/>
  <c r="M271" i="2" s="1"/>
  <c r="H656" i="2"/>
  <c r="M656" i="2" s="1"/>
  <c r="H848" i="2"/>
  <c r="M848" i="2" s="1"/>
  <c r="H849" i="2"/>
  <c r="M849" i="2" s="1"/>
  <c r="H657" i="2"/>
  <c r="M657" i="2" s="1"/>
  <c r="H272" i="2"/>
  <c r="M272" i="2" s="1"/>
  <c r="H850" i="2"/>
  <c r="M850" i="2" s="1"/>
  <c r="H658" i="2"/>
  <c r="M658" i="2" s="1"/>
  <c r="H273" i="2"/>
  <c r="M273" i="2" s="1"/>
  <c r="H274" i="2"/>
  <c r="M274" i="2" s="1"/>
  <c r="H660" i="2"/>
  <c r="M660" i="2" s="1"/>
  <c r="H276" i="2"/>
  <c r="M276" i="2" s="1"/>
  <c r="H277" i="2"/>
  <c r="M277" i="2" s="1"/>
  <c r="H852" i="2"/>
  <c r="M852" i="2" s="1"/>
  <c r="H853" i="2"/>
  <c r="M853" i="2" s="1"/>
  <c r="H278" i="2"/>
  <c r="M278" i="2" s="1"/>
  <c r="H661" i="2"/>
  <c r="M661" i="2" s="1"/>
  <c r="H279" i="2"/>
  <c r="M279" i="2" s="1"/>
  <c r="H662" i="2"/>
  <c r="M662" i="2" s="1"/>
  <c r="H663" i="2"/>
  <c r="M663" i="2" s="1"/>
  <c r="H854" i="2"/>
  <c r="M854" i="2" s="1"/>
  <c r="H664" i="2"/>
  <c r="M664" i="2" s="1"/>
  <c r="H855" i="2"/>
  <c r="M855" i="2" s="1"/>
  <c r="H856" i="2"/>
  <c r="M856" i="2" s="1"/>
  <c r="H280" i="2"/>
  <c r="M280" i="2" s="1"/>
  <c r="H857" i="2"/>
  <c r="M857" i="2" s="1"/>
  <c r="H858" i="2"/>
  <c r="M858" i="2" s="1"/>
  <c r="H859" i="2"/>
  <c r="M859" i="2" s="1"/>
  <c r="H281" i="2"/>
  <c r="M281" i="2" s="1"/>
  <c r="H282" i="2"/>
  <c r="M282" i="2" s="1"/>
  <c r="H665" i="2"/>
  <c r="M665" i="2" s="1"/>
  <c r="H860" i="2"/>
  <c r="M860" i="2" s="1"/>
  <c r="H283" i="2"/>
  <c r="M283" i="2" s="1"/>
  <c r="H284" i="2"/>
  <c r="M284" i="2" s="1"/>
  <c r="H285" i="2"/>
  <c r="M285" i="2" s="1"/>
  <c r="H666" i="2"/>
  <c r="M666" i="2" s="1"/>
  <c r="H667" i="2"/>
  <c r="M667" i="2" s="1"/>
  <c r="H286" i="2"/>
  <c r="M286" i="2" s="1"/>
  <c r="H861" i="2"/>
  <c r="M861" i="2" s="1"/>
  <c r="H668" i="2"/>
  <c r="M668" i="2" s="1"/>
  <c r="H669" i="2"/>
  <c r="M669" i="2" s="1"/>
  <c r="H670" i="2"/>
  <c r="M670" i="2" s="1"/>
  <c r="H862" i="2"/>
  <c r="M862" i="2" s="1"/>
  <c r="H672" i="2"/>
  <c r="M672" i="2" s="1"/>
  <c r="H673" i="2"/>
  <c r="M673" i="2" s="1"/>
  <c r="H674" i="2"/>
  <c r="M674" i="2" s="1"/>
  <c r="H288" i="2"/>
  <c r="M288" i="2" s="1"/>
  <c r="H675" i="2"/>
  <c r="M675" i="2" s="1"/>
  <c r="H864" i="2"/>
  <c r="M864" i="2" s="1"/>
  <c r="H289" i="2"/>
  <c r="M289" i="2" s="1"/>
  <c r="H676" i="2"/>
  <c r="M676" i="2" s="1"/>
  <c r="H290" i="2"/>
  <c r="M290" i="2" s="1"/>
  <c r="H677" i="2"/>
  <c r="M677" i="2" s="1"/>
  <c r="H678" i="2"/>
  <c r="M678" i="2" s="1"/>
  <c r="H291" i="2"/>
  <c r="M291" i="2" s="1"/>
  <c r="H679" i="2"/>
  <c r="M679" i="2" s="1"/>
  <c r="H292" i="2"/>
  <c r="M292" i="2" s="1"/>
  <c r="H293" i="2"/>
  <c r="M293" i="2" s="1"/>
  <c r="H294" i="2"/>
  <c r="M294" i="2" s="1"/>
  <c r="H295" i="2"/>
  <c r="M295" i="2" s="1"/>
  <c r="H680" i="2"/>
  <c r="M680" i="2" s="1"/>
  <c r="H865" i="2"/>
  <c r="M865" i="2" s="1"/>
  <c r="H296" i="2"/>
  <c r="M296" i="2" s="1"/>
  <c r="H681" i="2"/>
  <c r="M681" i="2" s="1"/>
  <c r="H682" i="2"/>
  <c r="M682" i="2" s="1"/>
  <c r="H297" i="2"/>
  <c r="M297" i="2" s="1"/>
  <c r="H298" i="2"/>
  <c r="M298" i="2" s="1"/>
  <c r="H866" i="2"/>
  <c r="M866" i="2" s="1"/>
  <c r="H684" i="2"/>
  <c r="M684" i="2" s="1"/>
  <c r="H867" i="2"/>
  <c r="M867" i="2" s="1"/>
  <c r="H868" i="2"/>
  <c r="M868" i="2" s="1"/>
  <c r="H869" i="2"/>
  <c r="M869" i="2" s="1"/>
  <c r="H685" i="2"/>
  <c r="M685" i="2" s="1"/>
  <c r="H300" i="2"/>
  <c r="M300" i="2" s="1"/>
  <c r="H686" i="2"/>
  <c r="M686" i="2" s="1"/>
  <c r="H687" i="2"/>
  <c r="M687" i="2" s="1"/>
  <c r="H870" i="2"/>
  <c r="M870" i="2" s="1"/>
  <c r="H301" i="2"/>
  <c r="M301" i="2" s="1"/>
  <c r="H688" i="2"/>
  <c r="M688" i="2" s="1"/>
  <c r="H302" i="2"/>
  <c r="M302" i="2" s="1"/>
  <c r="H303" i="2"/>
  <c r="M303" i="2" s="1"/>
  <c r="H689" i="2"/>
  <c r="M689" i="2" s="1"/>
  <c r="H871" i="2"/>
  <c r="M871" i="2" s="1"/>
  <c r="H690" i="2"/>
  <c r="M690" i="2" s="1"/>
  <c r="H691" i="2"/>
  <c r="M691" i="2" s="1"/>
  <c r="H872" i="2"/>
  <c r="M872" i="2" s="1"/>
  <c r="H873" i="2"/>
  <c r="M873" i="2" s="1"/>
  <c r="H304" i="2"/>
  <c r="M304" i="2" s="1"/>
  <c r="H874" i="2"/>
  <c r="M874" i="2" s="1"/>
  <c r="H692" i="2"/>
  <c r="M692" i="2" s="1"/>
  <c r="H305" i="2"/>
  <c r="M305" i="2" s="1"/>
  <c r="H306" i="2"/>
  <c r="M306" i="2" s="1"/>
  <c r="H307" i="2"/>
  <c r="M307" i="2" s="1"/>
  <c r="H308" i="2"/>
  <c r="M308" i="2" s="1"/>
  <c r="H309" i="2"/>
  <c r="M309" i="2" s="1"/>
  <c r="H876" i="2"/>
  <c r="M876" i="2" s="1"/>
  <c r="H310" i="2"/>
  <c r="M310" i="2" s="1"/>
  <c r="H693" i="2"/>
  <c r="M693" i="2" s="1"/>
  <c r="H877" i="2"/>
  <c r="M877" i="2" s="1"/>
  <c r="H878" i="2"/>
  <c r="M878" i="2" s="1"/>
  <c r="H312" i="2"/>
  <c r="M312" i="2" s="1"/>
  <c r="H313" i="2"/>
  <c r="M313" i="2" s="1"/>
  <c r="H879" i="2"/>
  <c r="M879" i="2" s="1"/>
  <c r="H314" i="2"/>
  <c r="M314" i="2" s="1"/>
  <c r="H880" i="2"/>
  <c r="M880" i="2" s="1"/>
  <c r="H881" i="2"/>
  <c r="M881" i="2" s="1"/>
  <c r="H882" i="2"/>
  <c r="M882" i="2" s="1"/>
  <c r="H315" i="2"/>
  <c r="M315" i="2" s="1"/>
  <c r="H694" i="2"/>
  <c r="M694" i="2" s="1"/>
  <c r="H883" i="2"/>
  <c r="M883" i="2" s="1"/>
  <c r="H696" i="2"/>
  <c r="M696" i="2" s="1"/>
  <c r="H884" i="2"/>
  <c r="M884" i="2" s="1"/>
  <c r="H885" i="2"/>
  <c r="M885" i="2" s="1"/>
  <c r="H886" i="2"/>
  <c r="M886" i="2" s="1"/>
  <c r="H316" i="2"/>
  <c r="M316" i="2" s="1"/>
  <c r="H888" i="2"/>
  <c r="M888" i="2" s="1"/>
  <c r="H317" i="2"/>
  <c r="M317" i="2" s="1"/>
  <c r="H697" i="2"/>
  <c r="M697" i="2" s="1"/>
  <c r="H698" i="2"/>
  <c r="M698" i="2" s="1"/>
  <c r="H318" i="2"/>
  <c r="M318" i="2" s="1"/>
  <c r="H319" i="2"/>
  <c r="M319" i="2" s="1"/>
  <c r="H889" i="2"/>
  <c r="M889" i="2" s="1"/>
  <c r="H699" i="2"/>
  <c r="M699" i="2" s="1"/>
  <c r="H700" i="2"/>
  <c r="M700" i="2" s="1"/>
  <c r="H320" i="2"/>
  <c r="M320" i="2" s="1"/>
  <c r="H890" i="2"/>
  <c r="M890" i="2" s="1"/>
  <c r="H321" i="2"/>
  <c r="M321" i="2" s="1"/>
  <c r="H322" i="2"/>
  <c r="M322" i="2" s="1"/>
  <c r="H701" i="2"/>
  <c r="M701" i="2" s="1"/>
  <c r="H324" i="2"/>
  <c r="M324" i="2" s="1"/>
  <c r="H325" i="2"/>
  <c r="M325" i="2" s="1"/>
  <c r="H891" i="2"/>
  <c r="M891" i="2" s="1"/>
  <c r="H326" i="2"/>
  <c r="M326" i="2" s="1"/>
  <c r="H327" i="2"/>
  <c r="M327" i="2" s="1"/>
  <c r="H702" i="2"/>
  <c r="M702" i="2" s="1"/>
  <c r="H703" i="2"/>
  <c r="M703" i="2" s="1"/>
  <c r="H892" i="2"/>
  <c r="M892" i="2" s="1"/>
  <c r="H893" i="2"/>
  <c r="M893" i="2" s="1"/>
  <c r="H328" i="2"/>
  <c r="M328" i="2" s="1"/>
  <c r="H894" i="2"/>
  <c r="M894" i="2" s="1"/>
  <c r="H704" i="2"/>
  <c r="M704" i="2" s="1"/>
  <c r="H329" i="2"/>
  <c r="M329" i="2" s="1"/>
  <c r="H895" i="2"/>
  <c r="M895" i="2" s="1"/>
  <c r="H330" i="2"/>
  <c r="M330" i="2" s="1"/>
  <c r="H896" i="2"/>
  <c r="M896" i="2" s="1"/>
  <c r="H705" i="2"/>
  <c r="M705" i="2" s="1"/>
  <c r="H331" i="2"/>
  <c r="M331" i="2" s="1"/>
  <c r="H332" i="2"/>
  <c r="M332" i="2" s="1"/>
  <c r="H706" i="2"/>
  <c r="M706" i="2" s="1"/>
  <c r="H897" i="2"/>
  <c r="M897" i="2" s="1"/>
  <c r="H898" i="2"/>
  <c r="M898" i="2" s="1"/>
  <c r="H900" i="2"/>
  <c r="M900" i="2" s="1"/>
  <c r="H333" i="2"/>
  <c r="M333" i="2" s="1"/>
  <c r="H901" i="2"/>
  <c r="M901" i="2" s="1"/>
  <c r="H902" i="2"/>
  <c r="M902" i="2" s="1"/>
  <c r="H334" i="2"/>
  <c r="M334" i="2" s="1"/>
  <c r="H708" i="2"/>
  <c r="M708" i="2" s="1"/>
  <c r="H709" i="2"/>
  <c r="M709" i="2" s="1"/>
  <c r="H903" i="2"/>
  <c r="M903" i="2" s="1"/>
  <c r="H904" i="2"/>
  <c r="M904" i="2" s="1"/>
  <c r="H710" i="2"/>
  <c r="M710" i="2" s="1"/>
  <c r="H711" i="2"/>
  <c r="M711" i="2" s="1"/>
  <c r="H905" i="2"/>
  <c r="M905" i="2" s="1"/>
  <c r="H336" i="2"/>
  <c r="M336" i="2" s="1"/>
  <c r="H712" i="2"/>
  <c r="M712" i="2" s="1"/>
  <c r="H906" i="2"/>
  <c r="M906" i="2" s="1"/>
  <c r="H713" i="2"/>
  <c r="M713" i="2" s="1"/>
  <c r="H337" i="2"/>
  <c r="M337" i="2" s="1"/>
  <c r="H338" i="2"/>
  <c r="M338" i="2" s="1"/>
  <c r="H907" i="2"/>
  <c r="M907" i="2" s="1"/>
  <c r="H714" i="2"/>
  <c r="M714" i="2" s="1"/>
  <c r="H339" i="2"/>
  <c r="M339" i="2" s="1"/>
  <c r="H340" i="2"/>
  <c r="M340" i="2" s="1"/>
  <c r="H715" i="2"/>
  <c r="M715" i="2" s="1"/>
  <c r="H908" i="2"/>
  <c r="M908" i="2" s="1"/>
  <c r="H716" i="2"/>
  <c r="M716" i="2" s="1"/>
  <c r="H717" i="2"/>
  <c r="M717" i="2" s="1"/>
  <c r="H718" i="2"/>
  <c r="M718" i="2" s="1"/>
  <c r="H909" i="2"/>
  <c r="M909" i="2" s="1"/>
  <c r="H720" i="2"/>
  <c r="M720" i="2" s="1"/>
  <c r="H341" i="2"/>
  <c r="M341" i="2" s="1"/>
  <c r="H721" i="2"/>
  <c r="M721" i="2" s="1"/>
  <c r="H722" i="2"/>
  <c r="M722" i="2" s="1"/>
  <c r="H910" i="2"/>
  <c r="M910" i="2" s="1"/>
  <c r="H342" i="2"/>
  <c r="M342" i="2" s="1"/>
  <c r="H912" i="2"/>
  <c r="M912" i="2" s="1"/>
  <c r="H723" i="2"/>
  <c r="M723" i="2" s="1"/>
  <c r="H343" i="2"/>
  <c r="M343" i="2" s="1"/>
  <c r="H344" i="2"/>
  <c r="M344" i="2" s="1"/>
  <c r="H345" i="2"/>
  <c r="M345" i="2" s="1"/>
  <c r="H724" i="2"/>
  <c r="M724" i="2" s="1"/>
  <c r="H725" i="2"/>
  <c r="M725" i="2" s="1"/>
  <c r="H346" i="2"/>
  <c r="M346" i="2" s="1"/>
  <c r="H348" i="2"/>
  <c r="M348" i="2" s="1"/>
  <c r="H349" i="2"/>
  <c r="M349" i="2" s="1"/>
  <c r="H350" i="2"/>
  <c r="M350" i="2" s="1"/>
  <c r="H351" i="2"/>
  <c r="M351" i="2" s="1"/>
  <c r="H726" i="2"/>
  <c r="M726" i="2" s="1"/>
  <c r="H727" i="2"/>
  <c r="M727" i="2" s="1"/>
  <c r="H728" i="2"/>
  <c r="M728" i="2" s="1"/>
  <c r="H352" i="2"/>
  <c r="M352" i="2" s="1"/>
  <c r="H353" i="2"/>
  <c r="M353" i="2" s="1"/>
  <c r="H354" i="2"/>
  <c r="M354" i="2" s="1"/>
  <c r="H913" i="2"/>
  <c r="M913" i="2" s="1"/>
  <c r="H729" i="2"/>
  <c r="M729" i="2" s="1"/>
  <c r="H914" i="2"/>
  <c r="M914" i="2" s="1"/>
  <c r="H915" i="2"/>
  <c r="M915" i="2" s="1"/>
  <c r="H355" i="2"/>
  <c r="M355" i="2" s="1"/>
  <c r="H356" i="2"/>
  <c r="M356" i="2" s="1"/>
  <c r="H916" i="2"/>
  <c r="M916" i="2" s="1"/>
  <c r="H730" i="2"/>
  <c r="M730" i="2" s="1"/>
  <c r="H917" i="2"/>
  <c r="M917" i="2" s="1"/>
  <c r="H918" i="2"/>
  <c r="M918" i="2" s="1"/>
  <c r="H919" i="2"/>
  <c r="M919" i="2" s="1"/>
  <c r="H920" i="2"/>
  <c r="M920" i="2" s="1"/>
  <c r="H732" i="2"/>
  <c r="M732" i="2" s="1"/>
  <c r="H357" i="2"/>
  <c r="M357" i="2" s="1"/>
  <c r="H921" i="2"/>
  <c r="M921" i="2" s="1"/>
  <c r="H358" i="2"/>
  <c r="M358" i="2" s="1"/>
  <c r="H733" i="2"/>
  <c r="M733" i="2" s="1"/>
  <c r="H734" i="2"/>
  <c r="M734" i="2" s="1"/>
  <c r="H922" i="2"/>
  <c r="M922" i="2" s="1"/>
  <c r="H924" i="2"/>
  <c r="M924" i="2" s="1"/>
  <c r="H735" i="2"/>
  <c r="M735" i="2" s="1"/>
  <c r="H360" i="2"/>
  <c r="M360" i="2" s="1"/>
  <c r="H736" i="2"/>
  <c r="M736" i="2" s="1"/>
  <c r="H361" i="2"/>
  <c r="M361" i="2" s="1"/>
  <c r="H737" i="2"/>
  <c r="M737" i="2" s="1"/>
  <c r="H738" i="2"/>
  <c r="M738" i="2" s="1"/>
  <c r="H925" i="2"/>
  <c r="M925" i="2" s="1"/>
  <c r="H362" i="2"/>
  <c r="M362" i="2" s="1"/>
  <c r="H363" i="2"/>
  <c r="M363" i="2" s="1"/>
  <c r="H739" i="2"/>
  <c r="M739" i="2" s="1"/>
  <c r="H740" i="2"/>
  <c r="M740" i="2" s="1"/>
  <c r="H364" i="2"/>
  <c r="M364" i="2" s="1"/>
  <c r="H365" i="2"/>
  <c r="M365" i="2" s="1"/>
  <c r="H926" i="2"/>
  <c r="M926" i="2" s="1"/>
  <c r="H366" i="2"/>
  <c r="M366" i="2" s="1"/>
  <c r="H367" i="2"/>
  <c r="M367" i="2" s="1"/>
  <c r="K612" i="2"/>
  <c r="K369" i="2"/>
  <c r="K2" i="2"/>
  <c r="K370" i="2"/>
  <c r="K371" i="2"/>
  <c r="K372" i="2"/>
  <c r="K374" i="2"/>
  <c r="K375" i="2"/>
  <c r="K3" i="2"/>
  <c r="K376" i="2"/>
  <c r="K377" i="2"/>
  <c r="K378" i="2"/>
  <c r="K379" i="2"/>
  <c r="K380" i="2"/>
  <c r="K381" i="2"/>
  <c r="K382" i="2"/>
  <c r="K383" i="2"/>
  <c r="K384" i="2"/>
  <c r="K386" i="2"/>
  <c r="K4" i="2"/>
  <c r="K5" i="2"/>
  <c r="K6" i="2"/>
  <c r="K194" i="2"/>
  <c r="K747" i="2"/>
  <c r="K387" i="2"/>
  <c r="K748" i="2"/>
  <c r="K388" i="2"/>
  <c r="K7" i="2"/>
  <c r="K389" i="2"/>
  <c r="K8" i="2"/>
  <c r="K749" i="2"/>
  <c r="K9" i="2"/>
  <c r="K390" i="2"/>
  <c r="K750" i="2"/>
  <c r="K391" i="2"/>
  <c r="K10" i="2"/>
  <c r="K11" i="2"/>
  <c r="K751" i="2"/>
  <c r="K12" i="2"/>
  <c r="K752" i="2"/>
  <c r="K14" i="2"/>
  <c r="K15" i="2"/>
  <c r="K392" i="2"/>
  <c r="K16" i="2"/>
  <c r="K17" i="2"/>
  <c r="K18" i="2"/>
  <c r="K19" i="2"/>
  <c r="K393" i="2"/>
  <c r="K394" i="2"/>
  <c r="K20" i="2"/>
  <c r="K21" i="2"/>
  <c r="K22" i="2"/>
  <c r="K395" i="2"/>
  <c r="K396" i="2"/>
  <c r="K23" i="2"/>
  <c r="K753" i="2"/>
  <c r="K398" i="2"/>
  <c r="K24" i="2"/>
  <c r="K399" i="2"/>
  <c r="K26" i="2"/>
  <c r="K400" i="2"/>
  <c r="K27" i="2"/>
  <c r="K401" i="2"/>
  <c r="K28" i="2"/>
  <c r="K754" i="2"/>
  <c r="K29" i="2"/>
  <c r="K30" i="2"/>
  <c r="K31" i="2"/>
  <c r="K402" i="2"/>
  <c r="K755" i="2"/>
  <c r="K32" i="2"/>
  <c r="K195" i="2"/>
  <c r="K33" i="2"/>
  <c r="K403" i="2"/>
  <c r="K34" i="2"/>
  <c r="K404" i="2"/>
  <c r="K35" i="2"/>
  <c r="K36" i="2"/>
  <c r="K405" i="2"/>
  <c r="K37" i="2"/>
  <c r="K406" i="2"/>
  <c r="K407" i="2"/>
  <c r="K408" i="2"/>
  <c r="K38" i="2"/>
  <c r="K410" i="2"/>
  <c r="K411" i="2"/>
  <c r="K412" i="2"/>
  <c r="K756" i="2"/>
  <c r="K413" i="2"/>
  <c r="K414" i="2"/>
  <c r="K196" i="2"/>
  <c r="K39" i="2"/>
  <c r="K40" i="2"/>
  <c r="K415" i="2"/>
  <c r="K41" i="2"/>
  <c r="K416" i="2"/>
  <c r="K42" i="2"/>
  <c r="K43" i="2"/>
  <c r="K44" i="2"/>
  <c r="K417" i="2"/>
  <c r="K418" i="2"/>
  <c r="K45" i="2"/>
  <c r="K46" i="2"/>
  <c r="K419" i="2"/>
  <c r="K47" i="2"/>
  <c r="K48" i="2"/>
  <c r="K420" i="2"/>
  <c r="K50" i="2"/>
  <c r="K422" i="2"/>
  <c r="K51" i="2"/>
  <c r="K52" i="2"/>
  <c r="K423" i="2"/>
  <c r="K424" i="2"/>
  <c r="K758" i="2"/>
  <c r="K425" i="2"/>
  <c r="K426" i="2"/>
  <c r="K53" i="2"/>
  <c r="K54" i="2"/>
  <c r="K759" i="2"/>
  <c r="K55" i="2"/>
  <c r="K56" i="2"/>
  <c r="K57" i="2"/>
  <c r="K427" i="2"/>
  <c r="K58" i="2"/>
  <c r="K59" i="2"/>
  <c r="K60" i="2"/>
  <c r="K428" i="2"/>
  <c r="K429" i="2"/>
  <c r="K62" i="2"/>
  <c r="K63" i="2"/>
  <c r="K64" i="2"/>
  <c r="K65" i="2"/>
  <c r="K430" i="2"/>
  <c r="K66" i="2"/>
  <c r="K67" i="2"/>
  <c r="K431" i="2"/>
  <c r="K432" i="2"/>
  <c r="K68" i="2"/>
  <c r="K197" i="2"/>
  <c r="K434" i="2"/>
  <c r="K69" i="2"/>
  <c r="K70" i="2"/>
  <c r="K760" i="2"/>
  <c r="K198" i="2"/>
  <c r="K71" i="2"/>
  <c r="K741" i="2"/>
  <c r="K72" i="2"/>
  <c r="K435" i="2"/>
  <c r="K436" i="2"/>
  <c r="K437" i="2"/>
  <c r="K74" i="2"/>
  <c r="K438" i="2"/>
  <c r="K439" i="2"/>
  <c r="K75" i="2"/>
  <c r="K76" i="2"/>
  <c r="K77" i="2"/>
  <c r="K78" i="2"/>
  <c r="K199" i="2"/>
  <c r="K79" i="2"/>
  <c r="K440" i="2"/>
  <c r="K441" i="2"/>
  <c r="K442" i="2"/>
  <c r="K443" i="2"/>
  <c r="K444" i="2"/>
  <c r="K200" i="2"/>
  <c r="K201" i="2"/>
  <c r="K80" i="2"/>
  <c r="K761" i="2"/>
  <c r="K81" i="2"/>
  <c r="K82" i="2"/>
  <c r="K446" i="2"/>
  <c r="K447" i="2"/>
  <c r="K83" i="2"/>
  <c r="K814" i="2"/>
  <c r="K202" i="2"/>
  <c r="K84" i="2"/>
  <c r="K448" i="2"/>
  <c r="K762" i="2"/>
  <c r="K449" i="2"/>
  <c r="K450" i="2"/>
  <c r="K203" i="2"/>
  <c r="K614" i="2"/>
  <c r="K763" i="2"/>
  <c r="K204" i="2"/>
  <c r="K451" i="2"/>
  <c r="K452" i="2"/>
  <c r="K453" i="2"/>
  <c r="K454" i="2"/>
  <c r="K455" i="2"/>
  <c r="K456" i="2"/>
  <c r="K458" i="2"/>
  <c r="K86" i="2"/>
  <c r="K206" i="2"/>
  <c r="K764" i="2"/>
  <c r="K459" i="2"/>
  <c r="K87" i="2"/>
  <c r="K460" i="2"/>
  <c r="K461" i="2"/>
  <c r="K88" i="2"/>
  <c r="K462" i="2"/>
  <c r="K89" i="2"/>
  <c r="K765" i="2"/>
  <c r="K463" i="2"/>
  <c r="K90" i="2"/>
  <c r="K91" i="2"/>
  <c r="K92" i="2"/>
  <c r="K93" i="2"/>
  <c r="K94" i="2"/>
  <c r="K464" i="2"/>
  <c r="K95" i="2"/>
  <c r="K465" i="2"/>
  <c r="K466" i="2"/>
  <c r="K467" i="2"/>
  <c r="K468" i="2"/>
  <c r="K96" i="2"/>
  <c r="K742" i="2"/>
  <c r="K766" i="2"/>
  <c r="K470" i="2"/>
  <c r="K98" i="2"/>
  <c r="K471" i="2"/>
  <c r="K472" i="2"/>
  <c r="K207" i="2"/>
  <c r="K99" i="2"/>
  <c r="K473" i="2"/>
  <c r="K100" i="2"/>
  <c r="K474" i="2"/>
  <c r="K101" i="2"/>
  <c r="K475" i="2"/>
  <c r="K208" i="2"/>
  <c r="K476" i="2"/>
  <c r="K102" i="2"/>
  <c r="K103" i="2"/>
  <c r="K477" i="2"/>
  <c r="K615" i="2"/>
  <c r="K209" i="2"/>
  <c r="K478" i="2"/>
  <c r="K767" i="2"/>
  <c r="K479" i="2"/>
  <c r="K104" i="2"/>
  <c r="K480" i="2"/>
  <c r="K482" i="2"/>
  <c r="K483" i="2"/>
  <c r="K484" i="2"/>
  <c r="K485" i="2"/>
  <c r="K486" i="2"/>
  <c r="K487" i="2"/>
  <c r="K488" i="2"/>
  <c r="K105" i="2"/>
  <c r="K489" i="2"/>
  <c r="K106" i="2"/>
  <c r="K107" i="2"/>
  <c r="K490" i="2"/>
  <c r="K491" i="2"/>
  <c r="K108" i="2"/>
  <c r="K768" i="2"/>
  <c r="K492" i="2"/>
  <c r="K210" i="2"/>
  <c r="K494" i="2"/>
  <c r="K616" i="2"/>
  <c r="K495" i="2"/>
  <c r="K110" i="2"/>
  <c r="K111" i="2"/>
  <c r="K617" i="2"/>
  <c r="K112" i="2"/>
  <c r="K496" i="2"/>
  <c r="K770" i="2"/>
  <c r="K497" i="2"/>
  <c r="K498" i="2"/>
  <c r="K211" i="2"/>
  <c r="K499" i="2"/>
  <c r="K113" i="2"/>
  <c r="K114" i="2"/>
  <c r="K500" i="2"/>
  <c r="K771" i="2"/>
  <c r="K618" i="2"/>
  <c r="K501" i="2"/>
  <c r="K502" i="2"/>
  <c r="K503" i="2"/>
  <c r="K115" i="2"/>
  <c r="K504" i="2"/>
  <c r="K506" i="2"/>
  <c r="K116" i="2"/>
  <c r="K507" i="2"/>
  <c r="K508" i="2"/>
  <c r="K509" i="2"/>
  <c r="K510" i="2"/>
  <c r="K511" i="2"/>
  <c r="K117" i="2"/>
  <c r="K118" i="2"/>
  <c r="K119" i="2"/>
  <c r="K772" i="2"/>
  <c r="K512" i="2"/>
  <c r="K513" i="2"/>
  <c r="K514" i="2"/>
  <c r="K515" i="2"/>
  <c r="K516" i="2"/>
  <c r="K120" i="2"/>
  <c r="K212" i="2"/>
  <c r="K122" i="2"/>
  <c r="K213" i="2"/>
  <c r="K518" i="2"/>
  <c r="K519" i="2"/>
  <c r="K520" i="2"/>
  <c r="K773" i="2"/>
  <c r="K815" i="2"/>
  <c r="K774" i="2"/>
  <c r="K521" i="2"/>
  <c r="K522" i="2"/>
  <c r="K214" i="2"/>
  <c r="K123" i="2"/>
  <c r="K523" i="2"/>
  <c r="K124" i="2"/>
  <c r="K125" i="2"/>
  <c r="K524" i="2"/>
  <c r="K525" i="2"/>
  <c r="K126" i="2"/>
  <c r="K526" i="2"/>
  <c r="K527" i="2"/>
  <c r="K127" i="2"/>
  <c r="K215" i="2"/>
  <c r="K128" i="2"/>
  <c r="K927" i="2"/>
  <c r="K775" i="2"/>
  <c r="K928" i="2"/>
  <c r="K929" i="2"/>
  <c r="K930" i="2"/>
  <c r="K776" i="2"/>
  <c r="K777" i="2"/>
  <c r="K778" i="2"/>
  <c r="K931" i="2"/>
  <c r="K932" i="2"/>
  <c r="K129" i="2"/>
  <c r="K933" i="2"/>
  <c r="K130" i="2"/>
  <c r="K934" i="2"/>
  <c r="K779" i="2"/>
  <c r="K935" i="2"/>
  <c r="K936" i="2"/>
  <c r="K780" i="2"/>
  <c r="K938" i="2"/>
  <c r="K939" i="2"/>
  <c r="K131" i="2"/>
  <c r="K940" i="2"/>
  <c r="K941" i="2"/>
  <c r="K782" i="2"/>
  <c r="K942" i="2"/>
  <c r="K783" i="2"/>
  <c r="K943" i="2"/>
  <c r="K784" i="2"/>
  <c r="K132" i="2"/>
  <c r="K785" i="2"/>
  <c r="K944" i="2"/>
  <c r="K786" i="2"/>
  <c r="K787" i="2"/>
  <c r="K528" i="2"/>
  <c r="K945" i="2"/>
  <c r="K946" i="2"/>
  <c r="K947" i="2"/>
  <c r="K948" i="2"/>
  <c r="K134" i="2"/>
  <c r="K950" i="2"/>
  <c r="K951" i="2"/>
  <c r="K952" i="2"/>
  <c r="K953" i="2"/>
  <c r="K954" i="2"/>
  <c r="K955" i="2"/>
  <c r="K135" i="2"/>
  <c r="K788" i="2"/>
  <c r="K956" i="2"/>
  <c r="K957" i="2"/>
  <c r="K789" i="2"/>
  <c r="K790" i="2"/>
  <c r="K958" i="2"/>
  <c r="K959" i="2"/>
  <c r="K960" i="2"/>
  <c r="K530" i="2"/>
  <c r="K962" i="2"/>
  <c r="K963" i="2"/>
  <c r="K791" i="2"/>
  <c r="K964" i="2"/>
  <c r="K965" i="2"/>
  <c r="K531" i="2"/>
  <c r="K966" i="2"/>
  <c r="K967" i="2"/>
  <c r="K792" i="2"/>
  <c r="K968" i="2"/>
  <c r="K969" i="2"/>
  <c r="K970" i="2"/>
  <c r="K971" i="2"/>
  <c r="K532" i="2"/>
  <c r="K972" i="2"/>
  <c r="K794" i="2"/>
  <c r="K533" i="2"/>
  <c r="K795" i="2"/>
  <c r="K974" i="2"/>
  <c r="K796" i="2"/>
  <c r="K797" i="2"/>
  <c r="K798" i="2"/>
  <c r="K975" i="2"/>
  <c r="K136" i="2"/>
  <c r="K976" i="2"/>
  <c r="K799" i="2"/>
  <c r="K816" i="2"/>
  <c r="K977" i="2"/>
  <c r="K978" i="2"/>
  <c r="K137" i="2"/>
  <c r="K979" i="2"/>
  <c r="K980" i="2"/>
  <c r="K981" i="2"/>
  <c r="K800" i="2"/>
  <c r="K801" i="2"/>
  <c r="K802" i="2"/>
  <c r="K982" i="2"/>
  <c r="K983" i="2"/>
  <c r="K984" i="2"/>
  <c r="K138" i="2"/>
  <c r="K986" i="2"/>
  <c r="K987" i="2"/>
  <c r="K988" i="2"/>
  <c r="K534" i="2"/>
  <c r="K989" i="2"/>
  <c r="K803" i="2"/>
  <c r="K139" i="2"/>
  <c r="K804" i="2"/>
  <c r="K535" i="2"/>
  <c r="K990" i="2"/>
  <c r="K991" i="2"/>
  <c r="K992" i="2"/>
  <c r="K993" i="2"/>
  <c r="K536" i="2"/>
  <c r="K140" i="2"/>
  <c r="K994" i="2"/>
  <c r="K806" i="2"/>
  <c r="K141" i="2"/>
  <c r="K995" i="2"/>
  <c r="K996" i="2"/>
  <c r="K998" i="2"/>
  <c r="K999" i="2"/>
  <c r="K807" i="2"/>
  <c r="K1000" i="2"/>
  <c r="K1001" i="2"/>
  <c r="K142" i="2"/>
  <c r="K537" i="2"/>
  <c r="K538" i="2"/>
  <c r="K539" i="2"/>
  <c r="K143" i="2"/>
  <c r="K540" i="2"/>
  <c r="K144" i="2"/>
  <c r="K146" i="2"/>
  <c r="K808" i="2"/>
  <c r="K542" i="2"/>
  <c r="K809" i="2"/>
  <c r="K147" i="2"/>
  <c r="K543" i="2"/>
  <c r="K148" i="2"/>
  <c r="K544" i="2"/>
  <c r="K545" i="2"/>
  <c r="K743" i="2"/>
  <c r="K149" i="2"/>
  <c r="K150" i="2"/>
  <c r="K151" i="2"/>
  <c r="K546" i="2"/>
  <c r="K152" i="2"/>
  <c r="K547" i="2"/>
  <c r="K744" i="2"/>
  <c r="K548" i="2"/>
  <c r="K549" i="2"/>
  <c r="K153" i="2"/>
  <c r="K154" i="2"/>
  <c r="K550" i="2"/>
  <c r="K155" i="2"/>
  <c r="K551" i="2"/>
  <c r="K552" i="2"/>
  <c r="K156" i="2"/>
  <c r="K810" i="2"/>
  <c r="K554" i="2"/>
  <c r="K555" i="2"/>
  <c r="K556" i="2"/>
  <c r="K557" i="2"/>
  <c r="K558" i="2"/>
  <c r="K559" i="2"/>
  <c r="K560" i="2"/>
  <c r="K561" i="2"/>
  <c r="K158" i="2"/>
  <c r="K562" i="2"/>
  <c r="K563" i="2"/>
  <c r="K159" i="2"/>
  <c r="K160" i="2"/>
  <c r="K564" i="2"/>
  <c r="K161" i="2"/>
  <c r="K566" i="2"/>
  <c r="K567" i="2"/>
  <c r="K162" i="2"/>
  <c r="K811" i="2"/>
  <c r="K568" i="2"/>
  <c r="K163" i="2"/>
  <c r="K164" i="2"/>
  <c r="K165" i="2"/>
  <c r="K166" i="2"/>
  <c r="K569" i="2"/>
  <c r="K167" i="2"/>
  <c r="K168" i="2"/>
  <c r="K570" i="2"/>
  <c r="K170" i="2"/>
  <c r="K571" i="2"/>
  <c r="K572" i="2"/>
  <c r="K171" i="2"/>
  <c r="K172" i="2"/>
  <c r="K573" i="2"/>
  <c r="K574" i="2"/>
  <c r="K173" i="2"/>
  <c r="K575" i="2"/>
  <c r="K174" i="2"/>
  <c r="K175" i="2"/>
  <c r="K576" i="2"/>
  <c r="K176" i="2"/>
  <c r="K812" i="2"/>
  <c r="K177" i="2"/>
  <c r="K178" i="2"/>
  <c r="K578" i="2"/>
  <c r="K579" i="2"/>
  <c r="K179" i="2"/>
  <c r="K180" i="2"/>
  <c r="K580" i="2"/>
  <c r="K581" i="2"/>
  <c r="K582" i="2"/>
  <c r="K583" i="2"/>
  <c r="K584" i="2"/>
  <c r="K585" i="2"/>
  <c r="K586" i="2"/>
  <c r="K182" i="2"/>
  <c r="K587" i="2"/>
  <c r="K588" i="2"/>
  <c r="K590" i="2"/>
  <c r="K591" i="2"/>
  <c r="K592" i="2"/>
  <c r="K593" i="2"/>
  <c r="K594" i="2"/>
  <c r="K595" i="2"/>
  <c r="K596" i="2"/>
  <c r="K597" i="2"/>
  <c r="K598" i="2"/>
  <c r="K599" i="2"/>
  <c r="K183" i="2"/>
  <c r="K184" i="2"/>
  <c r="K185" i="2"/>
  <c r="K600" i="2"/>
  <c r="K602" i="2"/>
  <c r="K603" i="2"/>
  <c r="K746" i="2"/>
  <c r="K604" i="2"/>
  <c r="K186" i="2"/>
  <c r="K187" i="2"/>
  <c r="K188" i="2"/>
  <c r="K605" i="2"/>
  <c r="K813" i="2"/>
  <c r="K189" i="2"/>
  <c r="K606" i="2"/>
  <c r="K190" i="2"/>
  <c r="K191" i="2"/>
  <c r="K607" i="2"/>
  <c r="K608" i="2"/>
  <c r="K192" i="2"/>
  <c r="K609" i="2"/>
  <c r="K610" i="2"/>
  <c r="K611" i="2"/>
  <c r="K216" i="2"/>
  <c r="K818" i="2"/>
  <c r="K619" i="2"/>
  <c r="K620" i="2"/>
  <c r="K218" i="2"/>
  <c r="K621" i="2"/>
  <c r="K622" i="2"/>
  <c r="K219" i="2"/>
  <c r="K819" i="2"/>
  <c r="K220" i="2"/>
  <c r="K221" i="2"/>
  <c r="K820" i="2"/>
  <c r="K222" i="2"/>
  <c r="K223" i="2"/>
  <c r="K224" i="2"/>
  <c r="K623" i="2"/>
  <c r="K225" i="2"/>
  <c r="K821" i="2"/>
  <c r="K624" i="2"/>
  <c r="K226" i="2"/>
  <c r="K822" i="2"/>
  <c r="K227" i="2"/>
  <c r="K228" i="2"/>
  <c r="K823" i="2"/>
  <c r="K824" i="2"/>
  <c r="K230" i="2"/>
  <c r="K231" i="2"/>
  <c r="K232" i="2"/>
  <c r="K626" i="2"/>
  <c r="K233" i="2"/>
  <c r="K627" i="2"/>
  <c r="K234" i="2"/>
  <c r="K235" i="2"/>
  <c r="K628" i="2"/>
  <c r="K825" i="2"/>
  <c r="K236" i="2"/>
  <c r="K237" i="2"/>
  <c r="K629" i="2"/>
  <c r="K238" i="2"/>
  <c r="K239" i="2"/>
  <c r="K240" i="2"/>
  <c r="K826" i="2"/>
  <c r="K630" i="2"/>
  <c r="K827" i="2"/>
  <c r="K242" i="2"/>
  <c r="K243" i="2"/>
  <c r="K631" i="2"/>
  <c r="K828" i="2"/>
  <c r="K244" i="2"/>
  <c r="K632" i="2"/>
  <c r="K633" i="2"/>
  <c r="K830" i="2"/>
  <c r="K634" i="2"/>
  <c r="K831" i="2"/>
  <c r="K635" i="2"/>
  <c r="K245" i="2"/>
  <c r="K246" i="2"/>
  <c r="K247" i="2"/>
  <c r="K636" i="2"/>
  <c r="K638" i="2"/>
  <c r="K248" i="2"/>
  <c r="K832" i="2"/>
  <c r="K249" i="2"/>
  <c r="K639" i="2"/>
  <c r="K250" i="2"/>
  <c r="K251" i="2"/>
  <c r="K252" i="2"/>
  <c r="K640" i="2"/>
  <c r="K833" i="2"/>
  <c r="K254" i="2"/>
  <c r="K834" i="2"/>
  <c r="K255" i="2"/>
  <c r="K641" i="2"/>
  <c r="K835" i="2"/>
  <c r="K642" i="2"/>
  <c r="K836" i="2"/>
  <c r="K256" i="2"/>
  <c r="K837" i="2"/>
  <c r="K838" i="2"/>
  <c r="K839" i="2"/>
  <c r="K643" i="2"/>
  <c r="K644" i="2"/>
  <c r="K257" i="2"/>
  <c r="K645" i="2"/>
  <c r="K258" i="2"/>
  <c r="K259" i="2"/>
  <c r="K840" i="2"/>
  <c r="K646" i="2"/>
  <c r="K647" i="2"/>
  <c r="K648" i="2"/>
  <c r="K260" i="2"/>
  <c r="K842" i="2"/>
  <c r="K650" i="2"/>
  <c r="K843" i="2"/>
  <c r="K261" i="2"/>
  <c r="K262" i="2"/>
  <c r="K844" i="2"/>
  <c r="K651" i="2"/>
  <c r="K263" i="2"/>
  <c r="K264" i="2"/>
  <c r="K845" i="2"/>
  <c r="K652" i="2"/>
  <c r="K266" i="2"/>
  <c r="K267" i="2"/>
  <c r="K653" i="2"/>
  <c r="K654" i="2"/>
  <c r="K268" i="2"/>
  <c r="K269" i="2"/>
  <c r="K270" i="2"/>
  <c r="K846" i="2"/>
  <c r="K655" i="2"/>
  <c r="K847" i="2"/>
  <c r="K271" i="2"/>
  <c r="K656" i="2"/>
  <c r="K848" i="2"/>
  <c r="K849" i="2"/>
  <c r="K657" i="2"/>
  <c r="K272" i="2"/>
  <c r="K850" i="2"/>
  <c r="K658" i="2"/>
  <c r="K659" i="2"/>
  <c r="K273" i="2"/>
  <c r="K274" i="2"/>
  <c r="K275" i="2"/>
  <c r="K660" i="2"/>
  <c r="K276" i="2"/>
  <c r="K851" i="2"/>
  <c r="K852" i="2"/>
  <c r="K278" i="2"/>
  <c r="K279" i="2"/>
  <c r="K662" i="2"/>
  <c r="K663" i="2"/>
  <c r="K854" i="2"/>
  <c r="K664" i="2"/>
  <c r="K855" i="2"/>
  <c r="K856" i="2"/>
  <c r="K280" i="2"/>
  <c r="K857" i="2"/>
  <c r="K858" i="2"/>
  <c r="K859" i="2"/>
  <c r="K281" i="2"/>
  <c r="K282" i="2"/>
  <c r="K665" i="2"/>
  <c r="K860" i="2"/>
  <c r="K283" i="2"/>
  <c r="K284" i="2"/>
  <c r="K285" i="2"/>
  <c r="K666" i="2"/>
  <c r="K667" i="2"/>
  <c r="K286" i="2"/>
  <c r="K861" i="2"/>
  <c r="K668" i="2"/>
  <c r="K669" i="2"/>
  <c r="K670" i="2"/>
  <c r="K671" i="2"/>
  <c r="K862" i="2"/>
  <c r="K672" i="2"/>
  <c r="K287" i="2"/>
  <c r="K863" i="2"/>
  <c r="K674" i="2"/>
  <c r="K288" i="2"/>
  <c r="K675" i="2"/>
  <c r="K864" i="2"/>
  <c r="K676" i="2"/>
  <c r="K290" i="2"/>
  <c r="K677" i="2"/>
  <c r="K678" i="2"/>
  <c r="K291" i="2"/>
  <c r="K679" i="2"/>
  <c r="K292" i="2"/>
  <c r="K293" i="2"/>
  <c r="K294" i="2"/>
  <c r="K295" i="2"/>
  <c r="K680" i="2"/>
  <c r="K296" i="2"/>
  <c r="K681" i="2"/>
  <c r="K682" i="2"/>
  <c r="K297" i="2"/>
  <c r="K298" i="2"/>
  <c r="K866" i="2"/>
  <c r="K683" i="2"/>
  <c r="K684" i="2"/>
  <c r="K867" i="2"/>
  <c r="K868" i="2"/>
  <c r="K869" i="2"/>
  <c r="K299" i="2"/>
  <c r="K300" i="2"/>
  <c r="K686" i="2"/>
  <c r="K687" i="2"/>
  <c r="K870" i="2"/>
  <c r="K688" i="2"/>
  <c r="K302" i="2"/>
  <c r="K303" i="2"/>
  <c r="K689" i="2"/>
  <c r="K871" i="2"/>
  <c r="K690" i="2"/>
  <c r="K691" i="2"/>
  <c r="K872" i="2"/>
  <c r="K873" i="2"/>
  <c r="K304" i="2"/>
  <c r="K874" i="2"/>
  <c r="K692" i="2"/>
  <c r="K305" i="2"/>
  <c r="K306" i="2"/>
  <c r="K307" i="2"/>
  <c r="K875" i="2"/>
  <c r="K308" i="2"/>
  <c r="K309" i="2"/>
  <c r="K876" i="2"/>
  <c r="K310" i="2"/>
  <c r="K693" i="2"/>
  <c r="K311" i="2"/>
  <c r="K878" i="2"/>
  <c r="K312" i="2"/>
  <c r="K879" i="2"/>
  <c r="K314" i="2"/>
  <c r="K880" i="2"/>
  <c r="K881" i="2"/>
  <c r="K882" i="2"/>
  <c r="K315" i="2"/>
  <c r="K694" i="2"/>
  <c r="K883" i="2"/>
  <c r="K695" i="2"/>
  <c r="K696" i="2"/>
  <c r="K884" i="2"/>
  <c r="K885" i="2"/>
  <c r="K886" i="2"/>
  <c r="K316" i="2"/>
  <c r="K887" i="2"/>
  <c r="K888" i="2"/>
  <c r="K317" i="2"/>
  <c r="K698" i="2"/>
  <c r="K318" i="2"/>
  <c r="K319" i="2"/>
  <c r="K699" i="2"/>
  <c r="K700" i="2"/>
  <c r="K320" i="2"/>
  <c r="K890" i="2"/>
  <c r="K321" i="2"/>
  <c r="K322" i="2"/>
  <c r="K323" i="2"/>
  <c r="K701" i="2"/>
  <c r="K324" i="2"/>
  <c r="K891" i="2"/>
  <c r="K326" i="2"/>
  <c r="K327" i="2"/>
  <c r="K702" i="2"/>
  <c r="K703" i="2"/>
  <c r="K892" i="2"/>
  <c r="K893" i="2"/>
  <c r="K328" i="2"/>
  <c r="K894" i="2"/>
  <c r="K704" i="2"/>
  <c r="K329" i="2"/>
  <c r="K895" i="2"/>
  <c r="K330" i="2"/>
  <c r="K896" i="2"/>
  <c r="K705" i="2"/>
  <c r="K331" i="2"/>
  <c r="K332" i="2"/>
  <c r="K706" i="2"/>
  <c r="K897" i="2"/>
  <c r="K898" i="2"/>
  <c r="K899" i="2"/>
  <c r="K900" i="2"/>
  <c r="K333" i="2"/>
  <c r="K902" i="2"/>
  <c r="K334" i="2"/>
  <c r="K707" i="2"/>
  <c r="K335" i="2"/>
  <c r="K708" i="2"/>
  <c r="K903" i="2"/>
  <c r="K904" i="2"/>
  <c r="K710" i="2"/>
  <c r="K711" i="2"/>
  <c r="K905" i="2"/>
  <c r="K336" i="2"/>
  <c r="K712" i="2"/>
  <c r="K906" i="2"/>
  <c r="K713" i="2"/>
  <c r="K338" i="2"/>
  <c r="K907" i="2"/>
  <c r="K714" i="2"/>
  <c r="K339" i="2"/>
  <c r="K340" i="2"/>
  <c r="K715" i="2"/>
  <c r="K908" i="2"/>
  <c r="K716" i="2"/>
  <c r="K717" i="2"/>
  <c r="K718" i="2"/>
  <c r="K719" i="2"/>
  <c r="K909" i="2"/>
  <c r="K720" i="2"/>
  <c r="K341" i="2"/>
  <c r="K721" i="2"/>
  <c r="K722" i="2"/>
  <c r="K910" i="2"/>
  <c r="K342" i="2"/>
  <c r="K911" i="2"/>
  <c r="K912" i="2"/>
  <c r="K723" i="2"/>
  <c r="K343" i="2"/>
  <c r="K344" i="2"/>
  <c r="K345" i="2"/>
  <c r="K724" i="2"/>
  <c r="K725" i="2"/>
  <c r="K346" i="2"/>
  <c r="K347" i="2"/>
  <c r="K348" i="2"/>
  <c r="K350" i="2"/>
  <c r="K351" i="2"/>
  <c r="K726" i="2"/>
  <c r="K727" i="2"/>
  <c r="K728" i="2"/>
  <c r="K352" i="2"/>
  <c r="K353" i="2"/>
  <c r="K354" i="2"/>
  <c r="K913" i="2"/>
  <c r="K729" i="2"/>
  <c r="K914" i="2"/>
  <c r="K915" i="2"/>
  <c r="K355" i="2"/>
  <c r="K356" i="2"/>
  <c r="K916" i="2"/>
  <c r="K730" i="2"/>
  <c r="K917" i="2"/>
  <c r="K918" i="2"/>
  <c r="K919" i="2"/>
  <c r="K920" i="2"/>
  <c r="K731" i="2"/>
  <c r="K732" i="2"/>
  <c r="K357" i="2"/>
  <c r="K921" i="2"/>
  <c r="K358" i="2"/>
  <c r="K734" i="2"/>
  <c r="K922" i="2"/>
  <c r="K359" i="2"/>
  <c r="K923" i="2"/>
  <c r="K924" i="2"/>
  <c r="K735" i="2"/>
  <c r="K360" i="2"/>
  <c r="K736" i="2"/>
  <c r="K737" i="2"/>
  <c r="K738" i="2"/>
  <c r="K362" i="2"/>
  <c r="K363" i="2"/>
  <c r="K739" i="2"/>
  <c r="K740" i="2"/>
  <c r="K364" i="2"/>
  <c r="K365" i="2"/>
  <c r="K926" i="2"/>
  <c r="K366" i="2"/>
  <c r="K367" i="2"/>
  <c r="J612" i="2" a="1"/>
  <c r="J612" i="2" s="1"/>
  <c r="J369" i="2" a="1"/>
  <c r="J369" i="2" s="1"/>
  <c r="J2" i="2" a="1"/>
  <c r="J2" i="2" s="1"/>
  <c r="J370" i="2" a="1"/>
  <c r="J370" i="2" s="1"/>
  <c r="J371" i="2" a="1"/>
  <c r="J371" i="2" s="1"/>
  <c r="J372" i="2" a="1"/>
  <c r="J372" i="2" s="1"/>
  <c r="J374" i="2" a="1"/>
  <c r="J374" i="2" s="1"/>
  <c r="J375" i="2" a="1"/>
  <c r="J375" i="2" s="1"/>
  <c r="J3" i="2" a="1"/>
  <c r="J3" i="2" s="1"/>
  <c r="J376" i="2" a="1"/>
  <c r="J376" i="2" s="1"/>
  <c r="J377" i="2" a="1"/>
  <c r="J377" i="2" s="1"/>
  <c r="J378" i="2" a="1"/>
  <c r="J378" i="2" s="1"/>
  <c r="J379" i="2" a="1"/>
  <c r="J379" i="2" s="1"/>
  <c r="J380" i="2" a="1"/>
  <c r="J380" i="2" s="1"/>
  <c r="J381" i="2" a="1"/>
  <c r="J381" i="2" s="1"/>
  <c r="J382" i="2" a="1"/>
  <c r="J382" i="2" s="1"/>
  <c r="J383" i="2" a="1"/>
  <c r="J383" i="2" s="1"/>
  <c r="J384" i="2" a="1"/>
  <c r="J384" i="2" s="1"/>
  <c r="J386" i="2" a="1"/>
  <c r="J386" i="2" s="1"/>
  <c r="J4" i="2" a="1"/>
  <c r="J4" i="2" s="1"/>
  <c r="J5" i="2" a="1"/>
  <c r="J5" i="2" s="1"/>
  <c r="J6" i="2" a="1"/>
  <c r="J6" i="2" s="1"/>
  <c r="J194" i="2" a="1"/>
  <c r="J194" i="2" s="1"/>
  <c r="J747" i="2" a="1"/>
  <c r="J747" i="2" s="1"/>
  <c r="J387" i="2" a="1"/>
  <c r="J387" i="2" s="1"/>
  <c r="J748" i="2" a="1"/>
  <c r="J748" i="2" s="1"/>
  <c r="J388" i="2" a="1"/>
  <c r="J388" i="2" s="1"/>
  <c r="J7" i="2" a="1"/>
  <c r="J7" i="2" s="1"/>
  <c r="J389" i="2" a="1"/>
  <c r="J389" i="2" s="1"/>
  <c r="J8" i="2" a="1"/>
  <c r="J8" i="2" s="1"/>
  <c r="J749" i="2" a="1"/>
  <c r="J749" i="2" s="1"/>
  <c r="J9" i="2" a="1"/>
  <c r="J9" i="2" s="1"/>
  <c r="J390" i="2" a="1"/>
  <c r="J390" i="2" s="1"/>
  <c r="J750" i="2" a="1"/>
  <c r="J750" i="2" s="1"/>
  <c r="J391" i="2" a="1"/>
  <c r="J391" i="2" s="1"/>
  <c r="J10" i="2" a="1"/>
  <c r="J10" i="2" s="1"/>
  <c r="J11" i="2" a="1"/>
  <c r="J11" i="2" s="1"/>
  <c r="J751" i="2" a="1"/>
  <c r="J751" i="2" s="1"/>
  <c r="J12" i="2" a="1"/>
  <c r="J12" i="2" s="1"/>
  <c r="J752" i="2" a="1"/>
  <c r="J752" i="2" s="1"/>
  <c r="J14" i="2" a="1"/>
  <c r="J14" i="2" s="1"/>
  <c r="J15" i="2" a="1"/>
  <c r="J15" i="2" s="1"/>
  <c r="J392" i="2" a="1"/>
  <c r="J392" i="2" s="1"/>
  <c r="J16" i="2" a="1"/>
  <c r="J16" i="2" s="1"/>
  <c r="J17" i="2" a="1"/>
  <c r="J17" i="2" s="1"/>
  <c r="J18" i="2" a="1"/>
  <c r="J18" i="2" s="1"/>
  <c r="J19" i="2" a="1"/>
  <c r="J19" i="2" s="1"/>
  <c r="J393" i="2" a="1"/>
  <c r="J393" i="2" s="1"/>
  <c r="J394" i="2" a="1"/>
  <c r="J394" i="2" s="1"/>
  <c r="J20" i="2" a="1"/>
  <c r="J20" i="2" s="1"/>
  <c r="J21" i="2" a="1"/>
  <c r="J21" i="2" s="1"/>
  <c r="J22" i="2" a="1"/>
  <c r="J22" i="2" s="1"/>
  <c r="J395" i="2" a="1"/>
  <c r="J395" i="2" s="1"/>
  <c r="J396" i="2" a="1"/>
  <c r="J396" i="2" s="1"/>
  <c r="J23" i="2" a="1"/>
  <c r="J23" i="2" s="1"/>
  <c r="J753" i="2" a="1"/>
  <c r="J753" i="2" s="1"/>
  <c r="J398" i="2" a="1"/>
  <c r="J398" i="2" s="1"/>
  <c r="J24" i="2" a="1"/>
  <c r="J24" i="2" s="1"/>
  <c r="J399" i="2" a="1"/>
  <c r="J399" i="2" s="1"/>
  <c r="J26" i="2" a="1"/>
  <c r="J26" i="2" s="1"/>
  <c r="J400" i="2" a="1"/>
  <c r="J400" i="2" s="1"/>
  <c r="J27" i="2" a="1"/>
  <c r="J27" i="2" s="1"/>
  <c r="J401" i="2" a="1"/>
  <c r="J401" i="2" s="1"/>
  <c r="J28" i="2" a="1"/>
  <c r="J28" i="2" s="1"/>
  <c r="J754" i="2" a="1"/>
  <c r="J754" i="2" s="1"/>
  <c r="J29" i="2" a="1"/>
  <c r="J29" i="2" s="1"/>
  <c r="J30" i="2" a="1"/>
  <c r="J30" i="2" s="1"/>
  <c r="J31" i="2" a="1"/>
  <c r="J31" i="2" s="1"/>
  <c r="J402" i="2" a="1"/>
  <c r="J402" i="2" s="1"/>
  <c r="J755" i="2" a="1"/>
  <c r="J755" i="2" s="1"/>
  <c r="J32" i="2" a="1"/>
  <c r="J32" i="2" s="1"/>
  <c r="J195" i="2" a="1"/>
  <c r="J195" i="2" s="1"/>
  <c r="J33" i="2" a="1"/>
  <c r="J33" i="2" s="1"/>
  <c r="J403" i="2" a="1"/>
  <c r="J403" i="2" s="1"/>
  <c r="J34" i="2" a="1"/>
  <c r="J34" i="2" s="1"/>
  <c r="J404" i="2" a="1"/>
  <c r="J404" i="2" s="1"/>
  <c r="J35" i="2" a="1"/>
  <c r="J35" i="2" s="1"/>
  <c r="J36" i="2" a="1"/>
  <c r="J36" i="2" s="1"/>
  <c r="J405" i="2" a="1"/>
  <c r="J405" i="2" s="1"/>
  <c r="J37" i="2" a="1"/>
  <c r="J37" i="2" s="1"/>
  <c r="J406" i="2" a="1"/>
  <c r="J406" i="2" s="1"/>
  <c r="J407" i="2" a="1"/>
  <c r="J407" i="2" s="1"/>
  <c r="J408" i="2" a="1"/>
  <c r="J408" i="2" s="1"/>
  <c r="J38" i="2" a="1"/>
  <c r="J38" i="2" s="1"/>
  <c r="J410" i="2" a="1"/>
  <c r="J410" i="2" s="1"/>
  <c r="J411" i="2" a="1"/>
  <c r="J411" i="2" s="1"/>
  <c r="J412" i="2" a="1"/>
  <c r="J412" i="2" s="1"/>
  <c r="J756" i="2" a="1"/>
  <c r="J756" i="2" s="1"/>
  <c r="J413" i="2" a="1"/>
  <c r="J413" i="2" s="1"/>
  <c r="J414" i="2" a="1"/>
  <c r="J414" i="2" s="1"/>
  <c r="J196" i="2" a="1"/>
  <c r="J196" i="2" s="1"/>
  <c r="J39" i="2" a="1"/>
  <c r="J39" i="2" s="1"/>
  <c r="J40" i="2" a="1"/>
  <c r="J40" i="2" s="1"/>
  <c r="J415" i="2" a="1"/>
  <c r="J415" i="2" s="1"/>
  <c r="J41" i="2" a="1"/>
  <c r="J41" i="2" s="1"/>
  <c r="J416" i="2" a="1"/>
  <c r="J416" i="2" s="1"/>
  <c r="J42" i="2" a="1"/>
  <c r="J42" i="2" s="1"/>
  <c r="J43" i="2" a="1"/>
  <c r="J43" i="2" s="1"/>
  <c r="J44" i="2" a="1"/>
  <c r="J44" i="2" s="1"/>
  <c r="J417" i="2" a="1"/>
  <c r="J417" i="2" s="1"/>
  <c r="J418" i="2" a="1"/>
  <c r="J418" i="2" s="1"/>
  <c r="J45" i="2" a="1"/>
  <c r="J45" i="2" s="1"/>
  <c r="J46" i="2" a="1"/>
  <c r="J46" i="2" s="1"/>
  <c r="J419" i="2" a="1"/>
  <c r="J419" i="2" s="1"/>
  <c r="J47" i="2" a="1"/>
  <c r="J47" i="2" s="1"/>
  <c r="J48" i="2" a="1"/>
  <c r="J48" i="2" s="1"/>
  <c r="J420" i="2" a="1"/>
  <c r="J420" i="2" s="1"/>
  <c r="J421" i="2" a="1"/>
  <c r="J421" i="2" s="1"/>
  <c r="J50" i="2" a="1"/>
  <c r="J50" i="2" s="1"/>
  <c r="J422" i="2" a="1"/>
  <c r="J422" i="2" s="1"/>
  <c r="J51" i="2" a="1"/>
  <c r="J51" i="2" s="1"/>
  <c r="J52" i="2" a="1"/>
  <c r="J52" i="2" s="1"/>
  <c r="J423" i="2" a="1"/>
  <c r="J423" i="2" s="1"/>
  <c r="J424" i="2" a="1"/>
  <c r="J424" i="2" s="1"/>
  <c r="J758" i="2" a="1"/>
  <c r="J758" i="2" s="1"/>
  <c r="J425" i="2" a="1"/>
  <c r="J425" i="2" s="1"/>
  <c r="J426" i="2" a="1"/>
  <c r="J426" i="2" s="1"/>
  <c r="J53" i="2" a="1"/>
  <c r="J53" i="2" s="1"/>
  <c r="J54" i="2" a="1"/>
  <c r="J54" i="2" s="1"/>
  <c r="J759" i="2" a="1"/>
  <c r="J759" i="2" s="1"/>
  <c r="J55" i="2" a="1"/>
  <c r="J55" i="2" s="1"/>
  <c r="J56" i="2" a="1"/>
  <c r="J56" i="2" s="1"/>
  <c r="J57" i="2" a="1"/>
  <c r="J57" i="2" s="1"/>
  <c r="J427" i="2" a="1"/>
  <c r="J427" i="2" s="1"/>
  <c r="J58" i="2" a="1"/>
  <c r="J58" i="2" s="1"/>
  <c r="J59" i="2" a="1"/>
  <c r="J59" i="2" s="1"/>
  <c r="J60" i="2" a="1"/>
  <c r="J60" i="2" s="1"/>
  <c r="J428" i="2" a="1"/>
  <c r="J428" i="2" s="1"/>
  <c r="J429" i="2" a="1"/>
  <c r="J429" i="2" s="1"/>
  <c r="J62" i="2" a="1"/>
  <c r="J62" i="2" s="1"/>
  <c r="J63" i="2" a="1"/>
  <c r="J63" i="2" s="1"/>
  <c r="J64" i="2" a="1"/>
  <c r="J64" i="2" s="1"/>
  <c r="J65" i="2" a="1"/>
  <c r="J65" i="2" s="1"/>
  <c r="J430" i="2" a="1"/>
  <c r="J430" i="2" s="1"/>
  <c r="J66" i="2" a="1"/>
  <c r="J66" i="2" s="1"/>
  <c r="J67" i="2" a="1"/>
  <c r="J67" i="2" s="1"/>
  <c r="J431" i="2" a="1"/>
  <c r="J431" i="2" s="1"/>
  <c r="J432" i="2" a="1"/>
  <c r="J432" i="2" s="1"/>
  <c r="J68" i="2" a="1"/>
  <c r="J68" i="2" s="1"/>
  <c r="J197" i="2" a="1"/>
  <c r="J197" i="2" s="1"/>
  <c r="J434" i="2" a="1"/>
  <c r="J434" i="2" s="1"/>
  <c r="J69" i="2" a="1"/>
  <c r="J69" i="2" s="1"/>
  <c r="J70" i="2" a="1"/>
  <c r="J70" i="2" s="1"/>
  <c r="J760" i="2" a="1"/>
  <c r="J760" i="2" s="1"/>
  <c r="J198" i="2" a="1"/>
  <c r="J198" i="2" s="1"/>
  <c r="J71" i="2" a="1"/>
  <c r="J71" i="2" s="1"/>
  <c r="J741" i="2" a="1"/>
  <c r="J741" i="2" s="1"/>
  <c r="J72" i="2" a="1"/>
  <c r="J72" i="2" s="1"/>
  <c r="J435" i="2" a="1"/>
  <c r="J435" i="2" s="1"/>
  <c r="J436" i="2" a="1"/>
  <c r="J436" i="2" s="1"/>
  <c r="J437" i="2" a="1"/>
  <c r="J437" i="2" s="1"/>
  <c r="J74" i="2" a="1"/>
  <c r="J74" i="2" s="1"/>
  <c r="J438" i="2" a="1"/>
  <c r="J438" i="2" s="1"/>
  <c r="J439" i="2" a="1"/>
  <c r="J439" i="2" s="1"/>
  <c r="J75" i="2" a="1"/>
  <c r="J75" i="2" s="1"/>
  <c r="J76" i="2" a="1"/>
  <c r="J76" i="2" s="1"/>
  <c r="J613" i="2" a="1"/>
  <c r="J613" i="2" s="1"/>
  <c r="J77" i="2" a="1"/>
  <c r="J77" i="2" s="1"/>
  <c r="J78" i="2" a="1"/>
  <c r="J78" i="2" s="1"/>
  <c r="J199" i="2" a="1"/>
  <c r="J199" i="2" s="1"/>
  <c r="J79" i="2" a="1"/>
  <c r="J79" i="2" s="1"/>
  <c r="J440" i="2" a="1"/>
  <c r="J440" i="2" s="1"/>
  <c r="J441" i="2" a="1"/>
  <c r="J441" i="2" s="1"/>
  <c r="J442" i="2" a="1"/>
  <c r="J442" i="2" s="1"/>
  <c r="J443" i="2" a="1"/>
  <c r="J443" i="2" s="1"/>
  <c r="J444" i="2" a="1"/>
  <c r="J444" i="2" s="1"/>
  <c r="J200" i="2" a="1"/>
  <c r="J200" i="2" s="1"/>
  <c r="J201" i="2" a="1"/>
  <c r="J201" i="2" s="1"/>
  <c r="J80" i="2" a="1"/>
  <c r="J80" i="2" s="1"/>
  <c r="J761" i="2" a="1"/>
  <c r="J761" i="2" s="1"/>
  <c r="J81" i="2" a="1"/>
  <c r="J81" i="2" s="1"/>
  <c r="J82" i="2" a="1"/>
  <c r="J82" i="2" s="1"/>
  <c r="J446" i="2" a="1"/>
  <c r="J446" i="2" s="1"/>
  <c r="J447" i="2" a="1"/>
  <c r="J447" i="2" s="1"/>
  <c r="J83" i="2" a="1"/>
  <c r="J83" i="2" s="1"/>
  <c r="J814" i="2" a="1"/>
  <c r="J814" i="2" s="1"/>
  <c r="J202" i="2" a="1"/>
  <c r="J202" i="2" s="1"/>
  <c r="J84" i="2" a="1"/>
  <c r="J84" i="2" s="1"/>
  <c r="J448" i="2" a="1"/>
  <c r="J448" i="2" s="1"/>
  <c r="J762" i="2" a="1"/>
  <c r="J762" i="2" s="1"/>
  <c r="J449" i="2" a="1"/>
  <c r="J449" i="2" s="1"/>
  <c r="J450" i="2" a="1"/>
  <c r="J450" i="2" s="1"/>
  <c r="J203" i="2" a="1"/>
  <c r="J203" i="2" s="1"/>
  <c r="J614" i="2" a="1"/>
  <c r="J614" i="2" s="1"/>
  <c r="J763" i="2" a="1"/>
  <c r="J763" i="2" s="1"/>
  <c r="J204" i="2" a="1"/>
  <c r="J204" i="2" s="1"/>
  <c r="J451" i="2" a="1"/>
  <c r="J451" i="2" s="1"/>
  <c r="J452" i="2" a="1"/>
  <c r="J452" i="2" s="1"/>
  <c r="J453" i="2" a="1"/>
  <c r="J453" i="2" s="1"/>
  <c r="J454" i="2" a="1"/>
  <c r="J454" i="2" s="1"/>
  <c r="J455" i="2" a="1"/>
  <c r="J455" i="2" s="1"/>
  <c r="J456" i="2" a="1"/>
  <c r="J456" i="2" s="1"/>
  <c r="J458" i="2" a="1"/>
  <c r="J458" i="2" s="1"/>
  <c r="J86" i="2" a="1"/>
  <c r="J86" i="2" s="1"/>
  <c r="J206" i="2" a="1"/>
  <c r="J206" i="2" s="1"/>
  <c r="J764" i="2" a="1"/>
  <c r="J764" i="2" s="1"/>
  <c r="J459" i="2" a="1"/>
  <c r="J459" i="2" s="1"/>
  <c r="J87" i="2" a="1"/>
  <c r="J87" i="2" s="1"/>
  <c r="J460" i="2" a="1"/>
  <c r="J460" i="2" s="1"/>
  <c r="J461" i="2" a="1"/>
  <c r="J461" i="2" s="1"/>
  <c r="J88" i="2" a="1"/>
  <c r="J88" i="2" s="1"/>
  <c r="J462" i="2" a="1"/>
  <c r="J462" i="2" s="1"/>
  <c r="J89" i="2" a="1"/>
  <c r="J89" i="2" s="1"/>
  <c r="J765" i="2" a="1"/>
  <c r="J765" i="2" s="1"/>
  <c r="J463" i="2" a="1"/>
  <c r="J463" i="2" s="1"/>
  <c r="J90" i="2" a="1"/>
  <c r="J90" i="2" s="1"/>
  <c r="J91" i="2" a="1"/>
  <c r="J91" i="2" s="1"/>
  <c r="J92" i="2" a="1"/>
  <c r="J92" i="2" s="1"/>
  <c r="J93" i="2" a="1"/>
  <c r="J93" i="2" s="1"/>
  <c r="J94" i="2" a="1"/>
  <c r="J94" i="2" s="1"/>
  <c r="J464" i="2" a="1"/>
  <c r="J464" i="2" s="1"/>
  <c r="J95" i="2" a="1"/>
  <c r="J95" i="2" s="1"/>
  <c r="J465" i="2" a="1"/>
  <c r="J465" i="2" s="1"/>
  <c r="J466" i="2" a="1"/>
  <c r="J466" i="2" s="1"/>
  <c r="J467" i="2" a="1"/>
  <c r="J467" i="2" s="1"/>
  <c r="J468" i="2" a="1"/>
  <c r="J468" i="2" s="1"/>
  <c r="J96" i="2" a="1"/>
  <c r="J96" i="2" s="1"/>
  <c r="J742" i="2" a="1"/>
  <c r="J742" i="2" s="1"/>
  <c r="J766" i="2" a="1"/>
  <c r="J766" i="2" s="1"/>
  <c r="J97" i="2" a="1"/>
  <c r="J97" i="2" s="1"/>
  <c r="J470" i="2" a="1"/>
  <c r="J470" i="2" s="1"/>
  <c r="J98" i="2" a="1"/>
  <c r="J98" i="2" s="1"/>
  <c r="J471" i="2" a="1"/>
  <c r="J471" i="2" s="1"/>
  <c r="J472" i="2" a="1"/>
  <c r="J472" i="2" s="1"/>
  <c r="J207" i="2" a="1"/>
  <c r="J207" i="2" s="1"/>
  <c r="J99" i="2" a="1"/>
  <c r="J99" i="2" s="1"/>
  <c r="J473" i="2" a="1"/>
  <c r="J473" i="2" s="1"/>
  <c r="J100" i="2" a="1"/>
  <c r="J100" i="2" s="1"/>
  <c r="J474" i="2" a="1"/>
  <c r="J474" i="2" s="1"/>
  <c r="J101" i="2" a="1"/>
  <c r="J101" i="2" s="1"/>
  <c r="J475" i="2" a="1"/>
  <c r="J475" i="2" s="1"/>
  <c r="J208" i="2" a="1"/>
  <c r="J208" i="2" s="1"/>
  <c r="J476" i="2" a="1"/>
  <c r="J476" i="2" s="1"/>
  <c r="J102" i="2" a="1"/>
  <c r="J102" i="2" s="1"/>
  <c r="J103" i="2" a="1"/>
  <c r="J103" i="2" s="1"/>
  <c r="J477" i="2" a="1"/>
  <c r="J477" i="2" s="1"/>
  <c r="J615" i="2" a="1"/>
  <c r="J615" i="2" s="1"/>
  <c r="J209" i="2" a="1"/>
  <c r="J209" i="2" s="1"/>
  <c r="J478" i="2" a="1"/>
  <c r="J478" i="2" s="1"/>
  <c r="J767" i="2" a="1"/>
  <c r="J767" i="2" s="1"/>
  <c r="J479" i="2" a="1"/>
  <c r="J479" i="2" s="1"/>
  <c r="J104" i="2" a="1"/>
  <c r="J104" i="2" s="1"/>
  <c r="J480" i="2" a="1"/>
  <c r="J480" i="2" s="1"/>
  <c r="J481" i="2" a="1"/>
  <c r="J481" i="2" s="1"/>
  <c r="J482" i="2" a="1"/>
  <c r="J482" i="2" s="1"/>
  <c r="J483" i="2" a="1"/>
  <c r="J483" i="2" s="1"/>
  <c r="J484" i="2" a="1"/>
  <c r="J484" i="2" s="1"/>
  <c r="J485" i="2" a="1"/>
  <c r="J485" i="2" s="1"/>
  <c r="J486" i="2" a="1"/>
  <c r="J486" i="2" s="1"/>
  <c r="J487" i="2" a="1"/>
  <c r="J487" i="2" s="1"/>
  <c r="J488" i="2" a="1"/>
  <c r="J488" i="2" s="1"/>
  <c r="J105" i="2" a="1"/>
  <c r="J105" i="2" s="1"/>
  <c r="J489" i="2" a="1"/>
  <c r="J489" i="2" s="1"/>
  <c r="J106" i="2" a="1"/>
  <c r="J106" i="2" s="1"/>
  <c r="J107" i="2" a="1"/>
  <c r="J107" i="2" s="1"/>
  <c r="J490" i="2" a="1"/>
  <c r="J490" i="2" s="1"/>
  <c r="J491" i="2" a="1"/>
  <c r="J491" i="2" s="1"/>
  <c r="J108" i="2" a="1"/>
  <c r="J108" i="2" s="1"/>
  <c r="J109" i="2" a="1"/>
  <c r="J109" i="2" s="1"/>
  <c r="J768" i="2" a="1"/>
  <c r="J768" i="2" s="1"/>
  <c r="J492" i="2" a="1"/>
  <c r="J492" i="2" s="1"/>
  <c r="J210" i="2" a="1"/>
  <c r="J210" i="2" s="1"/>
  <c r="J493" i="2" a="1"/>
  <c r="J493" i="2" s="1"/>
  <c r="J494" i="2" a="1"/>
  <c r="J494" i="2" s="1"/>
  <c r="J616" i="2" a="1"/>
  <c r="J616" i="2" s="1"/>
  <c r="J495" i="2" a="1"/>
  <c r="J495" i="2" s="1"/>
  <c r="J110" i="2" a="1"/>
  <c r="J110" i="2" s="1"/>
  <c r="J111" i="2" a="1"/>
  <c r="J111" i="2" s="1"/>
  <c r="J769" i="2" a="1"/>
  <c r="J769" i="2" s="1"/>
  <c r="J617" i="2" a="1"/>
  <c r="J617" i="2" s="1"/>
  <c r="J112" i="2" a="1"/>
  <c r="J112" i="2" s="1"/>
  <c r="J496" i="2" a="1"/>
  <c r="J496" i="2" s="1"/>
  <c r="J770" i="2" a="1"/>
  <c r="J770" i="2" s="1"/>
  <c r="J497" i="2" a="1"/>
  <c r="J497" i="2" s="1"/>
  <c r="J498" i="2" a="1"/>
  <c r="J498" i="2" s="1"/>
  <c r="J211" i="2" a="1"/>
  <c r="J211" i="2" s="1"/>
  <c r="J499" i="2" a="1"/>
  <c r="J499" i="2" s="1"/>
  <c r="J113" i="2" a="1"/>
  <c r="J113" i="2" s="1"/>
  <c r="J114" i="2" a="1"/>
  <c r="J114" i="2" s="1"/>
  <c r="J500" i="2" a="1"/>
  <c r="J500" i="2" s="1"/>
  <c r="J771" i="2" a="1"/>
  <c r="J771" i="2" s="1"/>
  <c r="J618" i="2" a="1"/>
  <c r="J618" i="2" s="1"/>
  <c r="J501" i="2" a="1"/>
  <c r="J501" i="2" s="1"/>
  <c r="J502" i="2" a="1"/>
  <c r="J502" i="2" s="1"/>
  <c r="J503" i="2" a="1"/>
  <c r="J503" i="2" s="1"/>
  <c r="J115" i="2" a="1"/>
  <c r="J115" i="2" s="1"/>
  <c r="J504" i="2" a="1"/>
  <c r="J504" i="2" s="1"/>
  <c r="J505" i="2" a="1"/>
  <c r="J505" i="2" s="1"/>
  <c r="J506" i="2" a="1"/>
  <c r="J506" i="2" s="1"/>
  <c r="J116" i="2" a="1"/>
  <c r="J116" i="2" s="1"/>
  <c r="J507" i="2" a="1"/>
  <c r="J507" i="2" s="1"/>
  <c r="J508" i="2" a="1"/>
  <c r="J508" i="2" s="1"/>
  <c r="J509" i="2" a="1"/>
  <c r="J509" i="2" s="1"/>
  <c r="J510" i="2" a="1"/>
  <c r="J510" i="2" s="1"/>
  <c r="J511" i="2" a="1"/>
  <c r="J511" i="2" s="1"/>
  <c r="J117" i="2" a="1"/>
  <c r="J117" i="2" s="1"/>
  <c r="J118" i="2" a="1"/>
  <c r="J118" i="2" s="1"/>
  <c r="J119" i="2" a="1"/>
  <c r="J119" i="2" s="1"/>
  <c r="J772" i="2" a="1"/>
  <c r="J772" i="2" s="1"/>
  <c r="J512" i="2" a="1"/>
  <c r="J512" i="2" s="1"/>
  <c r="J513" i="2" a="1"/>
  <c r="J513" i="2" s="1"/>
  <c r="J514" i="2" a="1"/>
  <c r="J514" i="2" s="1"/>
  <c r="J515" i="2" a="1"/>
  <c r="J515" i="2" s="1"/>
  <c r="J516" i="2" a="1"/>
  <c r="J516" i="2" s="1"/>
  <c r="J120" i="2" a="1"/>
  <c r="J120" i="2" s="1"/>
  <c r="J517" i="2" a="1"/>
  <c r="J517" i="2" s="1"/>
  <c r="J212" i="2" a="1"/>
  <c r="J212" i="2" s="1"/>
  <c r="J121" i="2" a="1"/>
  <c r="J121" i="2" s="1"/>
  <c r="J122" i="2" a="1"/>
  <c r="J122" i="2" s="1"/>
  <c r="J213" i="2" a="1"/>
  <c r="J213" i="2" s="1"/>
  <c r="J518" i="2" a="1"/>
  <c r="J518" i="2" s="1"/>
  <c r="J519" i="2" a="1"/>
  <c r="J519" i="2" s="1"/>
  <c r="J520" i="2" a="1"/>
  <c r="J520" i="2" s="1"/>
  <c r="J773" i="2" a="1"/>
  <c r="J773" i="2" s="1"/>
  <c r="J815" i="2" a="1"/>
  <c r="J815" i="2" s="1"/>
  <c r="J774" i="2" a="1"/>
  <c r="J774" i="2" s="1"/>
  <c r="J521" i="2" a="1"/>
  <c r="J521" i="2" s="1"/>
  <c r="J522" i="2" a="1"/>
  <c r="J522" i="2" s="1"/>
  <c r="J214" i="2" a="1"/>
  <c r="J214" i="2" s="1"/>
  <c r="J123" i="2" a="1"/>
  <c r="J123" i="2" s="1"/>
  <c r="J523" i="2" a="1"/>
  <c r="J523" i="2" s="1"/>
  <c r="J124" i="2" a="1"/>
  <c r="J124" i="2" s="1"/>
  <c r="J125" i="2" a="1"/>
  <c r="J125" i="2" s="1"/>
  <c r="J524" i="2" a="1"/>
  <c r="J524" i="2" s="1"/>
  <c r="J525" i="2" a="1"/>
  <c r="J525" i="2" s="1"/>
  <c r="J126" i="2" a="1"/>
  <c r="J126" i="2" s="1"/>
  <c r="J526" i="2" a="1"/>
  <c r="J526" i="2" s="1"/>
  <c r="J527" i="2" a="1"/>
  <c r="J527" i="2" s="1"/>
  <c r="J127" i="2" a="1"/>
  <c r="J127" i="2" s="1"/>
  <c r="J215" i="2" a="1"/>
  <c r="J215" i="2" s="1"/>
  <c r="J128" i="2" a="1"/>
  <c r="J128" i="2" s="1"/>
  <c r="J927" i="2" a="1"/>
  <c r="J927" i="2" s="1"/>
  <c r="J775" i="2" a="1"/>
  <c r="J775" i="2" s="1"/>
  <c r="J928" i="2" a="1"/>
  <c r="J928" i="2" s="1"/>
  <c r="J929" i="2" a="1"/>
  <c r="J929" i="2" s="1"/>
  <c r="J930" i="2" a="1"/>
  <c r="J930" i="2" s="1"/>
  <c r="J776" i="2" a="1"/>
  <c r="J776" i="2" s="1"/>
  <c r="J777" i="2" a="1"/>
  <c r="J777" i="2" s="1"/>
  <c r="J778" i="2" a="1"/>
  <c r="J778" i="2" s="1"/>
  <c r="J931" i="2" a="1"/>
  <c r="J931" i="2" s="1"/>
  <c r="J932" i="2" a="1"/>
  <c r="J932" i="2" s="1"/>
  <c r="J129" i="2" a="1"/>
  <c r="J129" i="2" s="1"/>
  <c r="J933" i="2" a="1"/>
  <c r="J933" i="2" s="1"/>
  <c r="J130" i="2" a="1"/>
  <c r="J130" i="2" s="1"/>
  <c r="J934" i="2" a="1"/>
  <c r="J934" i="2" s="1"/>
  <c r="J779" i="2" a="1"/>
  <c r="J779" i="2" s="1"/>
  <c r="J935" i="2" a="1"/>
  <c r="J935" i="2" s="1"/>
  <c r="J936" i="2" a="1"/>
  <c r="J936" i="2" s="1"/>
  <c r="J780" i="2" a="1"/>
  <c r="J780" i="2" s="1"/>
  <c r="J781" i="2" a="1"/>
  <c r="J781" i="2" s="1"/>
  <c r="J937" i="2" a="1"/>
  <c r="J937" i="2" s="1"/>
  <c r="J938" i="2" a="1"/>
  <c r="J938" i="2" s="1"/>
  <c r="J939" i="2" a="1"/>
  <c r="J939" i="2" s="1"/>
  <c r="J131" i="2" a="1"/>
  <c r="J131" i="2" s="1"/>
  <c r="J940" i="2" a="1"/>
  <c r="J940" i="2" s="1"/>
  <c r="J941" i="2" a="1"/>
  <c r="J941" i="2" s="1"/>
  <c r="J782" i="2" a="1"/>
  <c r="J782" i="2" s="1"/>
  <c r="J942" i="2" a="1"/>
  <c r="J942" i="2" s="1"/>
  <c r="J783" i="2" a="1"/>
  <c r="J783" i="2" s="1"/>
  <c r="J943" i="2" a="1"/>
  <c r="J943" i="2" s="1"/>
  <c r="J784" i="2" a="1"/>
  <c r="J784" i="2" s="1"/>
  <c r="J132" i="2" a="1"/>
  <c r="J132" i="2" s="1"/>
  <c r="J785" i="2" a="1"/>
  <c r="J785" i="2" s="1"/>
  <c r="J944" i="2" a="1"/>
  <c r="J944" i="2" s="1"/>
  <c r="J786" i="2" a="1"/>
  <c r="J786" i="2" s="1"/>
  <c r="J787" i="2" a="1"/>
  <c r="J787" i="2" s="1"/>
  <c r="J528" i="2" a="1"/>
  <c r="J528" i="2" s="1"/>
  <c r="J133" i="2" a="1"/>
  <c r="J133" i="2" s="1"/>
  <c r="J945" i="2" a="1"/>
  <c r="J945" i="2" s="1"/>
  <c r="J946" i="2" a="1"/>
  <c r="J946" i="2" s="1"/>
  <c r="J947" i="2" a="1"/>
  <c r="J947" i="2" s="1"/>
  <c r="J948" i="2" a="1"/>
  <c r="J948" i="2" s="1"/>
  <c r="J529" i="2" a="1"/>
  <c r="J529" i="2" s="1"/>
  <c r="J134" i="2" a="1"/>
  <c r="J134" i="2" s="1"/>
  <c r="J949" i="2" a="1"/>
  <c r="J949" i="2" s="1"/>
  <c r="J950" i="2" a="1"/>
  <c r="J950" i="2" s="1"/>
  <c r="J951" i="2" a="1"/>
  <c r="J951" i="2" s="1"/>
  <c r="J952" i="2" a="1"/>
  <c r="J952" i="2" s="1"/>
  <c r="J953" i="2" a="1"/>
  <c r="J953" i="2" s="1"/>
  <c r="J954" i="2" a="1"/>
  <c r="J954" i="2" s="1"/>
  <c r="J955" i="2" a="1"/>
  <c r="J955" i="2" s="1"/>
  <c r="J135" i="2" a="1"/>
  <c r="J135" i="2" s="1"/>
  <c r="J788" i="2" a="1"/>
  <c r="J788" i="2" s="1"/>
  <c r="J956" i="2" a="1"/>
  <c r="J956" i="2" s="1"/>
  <c r="J957" i="2" a="1"/>
  <c r="J957" i="2" s="1"/>
  <c r="J789" i="2" a="1"/>
  <c r="J789" i="2" s="1"/>
  <c r="J790" i="2" a="1"/>
  <c r="J790" i="2" s="1"/>
  <c r="J958" i="2" a="1"/>
  <c r="J958" i="2" s="1"/>
  <c r="J959" i="2" a="1"/>
  <c r="J959" i="2" s="1"/>
  <c r="J960" i="2" a="1"/>
  <c r="J960" i="2" s="1"/>
  <c r="J530" i="2" a="1"/>
  <c r="J530" i="2" s="1"/>
  <c r="J961" i="2" a="1"/>
  <c r="J961" i="2" s="1"/>
  <c r="J962" i="2" a="1"/>
  <c r="J962" i="2" s="1"/>
  <c r="J963" i="2" a="1"/>
  <c r="J963" i="2" s="1"/>
  <c r="J791" i="2" a="1"/>
  <c r="J791" i="2" s="1"/>
  <c r="J964" i="2" a="1"/>
  <c r="J964" i="2" s="1"/>
  <c r="J965" i="2" a="1"/>
  <c r="J965" i="2" s="1"/>
  <c r="J531" i="2" a="1"/>
  <c r="J531" i="2" s="1"/>
  <c r="J966" i="2" a="1"/>
  <c r="J966" i="2" s="1"/>
  <c r="J967" i="2" a="1"/>
  <c r="J967" i="2" s="1"/>
  <c r="J792" i="2" a="1"/>
  <c r="J792" i="2" s="1"/>
  <c r="J968" i="2" a="1"/>
  <c r="J968" i="2" s="1"/>
  <c r="J969" i="2" a="1"/>
  <c r="J969" i="2" s="1"/>
  <c r="J793" i="2" a="1"/>
  <c r="J793" i="2" s="1"/>
  <c r="J970" i="2" a="1"/>
  <c r="J970" i="2" s="1"/>
  <c r="J971" i="2" a="1"/>
  <c r="J971" i="2" s="1"/>
  <c r="J532" i="2" a="1"/>
  <c r="J532" i="2" s="1"/>
  <c r="J972" i="2" a="1"/>
  <c r="J972" i="2" s="1"/>
  <c r="J794" i="2" a="1"/>
  <c r="J794" i="2" s="1"/>
  <c r="J533" i="2" a="1"/>
  <c r="J533" i="2" s="1"/>
  <c r="J973" i="2" a="1"/>
  <c r="J973" i="2" s="1"/>
  <c r="J795" i="2" a="1"/>
  <c r="J795" i="2" s="1"/>
  <c r="J974" i="2" a="1"/>
  <c r="J974" i="2" s="1"/>
  <c r="J796" i="2" a="1"/>
  <c r="J796" i="2" s="1"/>
  <c r="J797" i="2" a="1"/>
  <c r="J797" i="2" s="1"/>
  <c r="J798" i="2" a="1"/>
  <c r="J798" i="2" s="1"/>
  <c r="J975" i="2" a="1"/>
  <c r="J975" i="2" s="1"/>
  <c r="J136" i="2" a="1"/>
  <c r="J136" i="2" s="1"/>
  <c r="J976" i="2" a="1"/>
  <c r="J976" i="2" s="1"/>
  <c r="J799" i="2" a="1"/>
  <c r="J799" i="2" s="1"/>
  <c r="J816" i="2" a="1"/>
  <c r="J816" i="2" s="1"/>
  <c r="J977" i="2" a="1"/>
  <c r="J977" i="2" s="1"/>
  <c r="J978" i="2" a="1"/>
  <c r="J978" i="2" s="1"/>
  <c r="J137" i="2" a="1"/>
  <c r="J137" i="2" s="1"/>
  <c r="J979" i="2" a="1"/>
  <c r="J979" i="2" s="1"/>
  <c r="J980" i="2" a="1"/>
  <c r="J980" i="2" s="1"/>
  <c r="J981" i="2" a="1"/>
  <c r="J981" i="2" s="1"/>
  <c r="J800" i="2" a="1"/>
  <c r="J800" i="2" s="1"/>
  <c r="J801" i="2" a="1"/>
  <c r="J801" i="2" s="1"/>
  <c r="J802" i="2" a="1"/>
  <c r="J802" i="2" s="1"/>
  <c r="J982" i="2" a="1"/>
  <c r="J982" i="2" s="1"/>
  <c r="J983" i="2" a="1"/>
  <c r="J983" i="2" s="1"/>
  <c r="J984" i="2" a="1"/>
  <c r="J984" i="2" s="1"/>
  <c r="J138" i="2" a="1"/>
  <c r="J138" i="2" s="1"/>
  <c r="J985" i="2" a="1"/>
  <c r="J985" i="2" s="1"/>
  <c r="J986" i="2" a="1"/>
  <c r="J986" i="2" s="1"/>
  <c r="J987" i="2" a="1"/>
  <c r="J987" i="2" s="1"/>
  <c r="J988" i="2" a="1"/>
  <c r="J988" i="2" s="1"/>
  <c r="J534" i="2" a="1"/>
  <c r="J534" i="2" s="1"/>
  <c r="J989" i="2" a="1"/>
  <c r="J989" i="2" s="1"/>
  <c r="J803" i="2" a="1"/>
  <c r="J803" i="2" s="1"/>
  <c r="J139" i="2" a="1"/>
  <c r="J139" i="2" s="1"/>
  <c r="J804" i="2" a="1"/>
  <c r="J804" i="2" s="1"/>
  <c r="J805" i="2" a="1"/>
  <c r="J805" i="2" s="1"/>
  <c r="J535" i="2" a="1"/>
  <c r="J535" i="2" s="1"/>
  <c r="J990" i="2" a="1"/>
  <c r="J990" i="2" s="1"/>
  <c r="J991" i="2" a="1"/>
  <c r="J991" i="2" s="1"/>
  <c r="J992" i="2" a="1"/>
  <c r="J992" i="2" s="1"/>
  <c r="J993" i="2" a="1"/>
  <c r="J993" i="2" s="1"/>
  <c r="J536" i="2" a="1"/>
  <c r="J536" i="2" s="1"/>
  <c r="J140" i="2" a="1"/>
  <c r="J140" i="2" s="1"/>
  <c r="J994" i="2" a="1"/>
  <c r="J994" i="2" s="1"/>
  <c r="J806" i="2" a="1"/>
  <c r="J806" i="2" s="1"/>
  <c r="J141" i="2" a="1"/>
  <c r="J141" i="2" s="1"/>
  <c r="J995" i="2" a="1"/>
  <c r="J995" i="2" s="1"/>
  <c r="J996" i="2" a="1"/>
  <c r="J996" i="2" s="1"/>
  <c r="J997" i="2" a="1"/>
  <c r="J997" i="2" s="1"/>
  <c r="J998" i="2" a="1"/>
  <c r="J998" i="2" s="1"/>
  <c r="J999" i="2" a="1"/>
  <c r="J999" i="2" s="1"/>
  <c r="J807" i="2" a="1"/>
  <c r="J807" i="2" s="1"/>
  <c r="J1000" i="2" a="1"/>
  <c r="J1000" i="2" s="1"/>
  <c r="J1001" i="2" a="1"/>
  <c r="J1001" i="2" s="1"/>
  <c r="J142" i="2" a="1"/>
  <c r="J142" i="2" s="1"/>
  <c r="J537" i="2" a="1"/>
  <c r="J537" i="2" s="1"/>
  <c r="J538" i="2" a="1"/>
  <c r="J538" i="2" s="1"/>
  <c r="J539" i="2" a="1"/>
  <c r="J539" i="2" s="1"/>
  <c r="J143" i="2" a="1"/>
  <c r="J143" i="2" s="1"/>
  <c r="J540" i="2" a="1"/>
  <c r="J540" i="2" s="1"/>
  <c r="J144" i="2" a="1"/>
  <c r="J144" i="2" s="1"/>
  <c r="J145" i="2" a="1"/>
  <c r="J145" i="2" s="1"/>
  <c r="J541" i="2" a="1"/>
  <c r="J541" i="2" s="1"/>
  <c r="J146" i="2" a="1"/>
  <c r="J146" i="2" s="1"/>
  <c r="J808" i="2" a="1"/>
  <c r="J808" i="2" s="1"/>
  <c r="J542" i="2" a="1"/>
  <c r="J542" i="2" s="1"/>
  <c r="J809" i="2" a="1"/>
  <c r="J809" i="2" s="1"/>
  <c r="J147" i="2" a="1"/>
  <c r="J147" i="2" s="1"/>
  <c r="J543" i="2" a="1"/>
  <c r="J543" i="2" s="1"/>
  <c r="J148" i="2" a="1"/>
  <c r="J148" i="2" s="1"/>
  <c r="J544" i="2" a="1"/>
  <c r="J544" i="2" s="1"/>
  <c r="J545" i="2" a="1"/>
  <c r="J545" i="2" s="1"/>
  <c r="J743" i="2" a="1"/>
  <c r="J743" i="2" s="1"/>
  <c r="J149" i="2" a="1"/>
  <c r="J149" i="2" s="1"/>
  <c r="J150" i="2" a="1"/>
  <c r="J150" i="2" s="1"/>
  <c r="J151" i="2" a="1"/>
  <c r="J151" i="2" s="1"/>
  <c r="J546" i="2" a="1"/>
  <c r="J546" i="2" s="1"/>
  <c r="J152" i="2" a="1"/>
  <c r="J152" i="2" s="1"/>
  <c r="J547" i="2" a="1"/>
  <c r="J547" i="2" s="1"/>
  <c r="J744" i="2" a="1"/>
  <c r="J744" i="2" s="1"/>
  <c r="J548" i="2" a="1"/>
  <c r="J548" i="2" s="1"/>
  <c r="J549" i="2" a="1"/>
  <c r="J549" i="2" s="1"/>
  <c r="J153" i="2" a="1"/>
  <c r="J153" i="2" s="1"/>
  <c r="J154" i="2" a="1"/>
  <c r="J154" i="2" s="1"/>
  <c r="J550" i="2" a="1"/>
  <c r="J550" i="2" s="1"/>
  <c r="J155" i="2" a="1"/>
  <c r="J155" i="2" s="1"/>
  <c r="J551" i="2" a="1"/>
  <c r="J551" i="2" s="1"/>
  <c r="J552" i="2" a="1"/>
  <c r="J552" i="2" s="1"/>
  <c r="J553" i="2" a="1"/>
  <c r="J553" i="2" s="1"/>
  <c r="J156" i="2" a="1"/>
  <c r="J156" i="2" s="1"/>
  <c r="J810" i="2" a="1"/>
  <c r="J810" i="2" s="1"/>
  <c r="J554" i="2" a="1"/>
  <c r="J554" i="2" s="1"/>
  <c r="J555" i="2" a="1"/>
  <c r="J555" i="2" s="1"/>
  <c r="J556" i="2" a="1"/>
  <c r="J556" i="2" s="1"/>
  <c r="J557" i="2" a="1"/>
  <c r="J557" i="2" s="1"/>
  <c r="J157" i="2" a="1"/>
  <c r="J157" i="2" s="1"/>
  <c r="J558" i="2" a="1"/>
  <c r="J558" i="2" s="1"/>
  <c r="J745" i="2" a="1"/>
  <c r="J745" i="2" s="1"/>
  <c r="J559" i="2" a="1"/>
  <c r="J559" i="2" s="1"/>
  <c r="J560" i="2" a="1"/>
  <c r="J560" i="2" s="1"/>
  <c r="J561" i="2" a="1"/>
  <c r="J561" i="2" s="1"/>
  <c r="J158" i="2" a="1"/>
  <c r="J158" i="2" s="1"/>
  <c r="J562" i="2" a="1"/>
  <c r="J562" i="2" s="1"/>
  <c r="J563" i="2" a="1"/>
  <c r="J563" i="2" s="1"/>
  <c r="J159" i="2" a="1"/>
  <c r="J159" i="2" s="1"/>
  <c r="J160" i="2" a="1"/>
  <c r="J160" i="2" s="1"/>
  <c r="J564" i="2" a="1"/>
  <c r="J564" i="2" s="1"/>
  <c r="J161" i="2" a="1"/>
  <c r="J161" i="2" s="1"/>
  <c r="J565" i="2" a="1"/>
  <c r="J565" i="2" s="1"/>
  <c r="J566" i="2" a="1"/>
  <c r="J566" i="2" s="1"/>
  <c r="J567" i="2" a="1"/>
  <c r="J567" i="2" s="1"/>
  <c r="J162" i="2" a="1"/>
  <c r="J162" i="2" s="1"/>
  <c r="J811" i="2" a="1"/>
  <c r="J811" i="2" s="1"/>
  <c r="J568" i="2" a="1"/>
  <c r="J568" i="2" s="1"/>
  <c r="J163" i="2" a="1"/>
  <c r="J163" i="2" s="1"/>
  <c r="J164" i="2" a="1"/>
  <c r="J164" i="2" s="1"/>
  <c r="J165" i="2" a="1"/>
  <c r="J165" i="2" s="1"/>
  <c r="J166" i="2" a="1"/>
  <c r="J166" i="2" s="1"/>
  <c r="J569" i="2" a="1"/>
  <c r="J569" i="2" s="1"/>
  <c r="J167" i="2" a="1"/>
  <c r="J167" i="2" s="1"/>
  <c r="J168" i="2" a="1"/>
  <c r="J168" i="2" s="1"/>
  <c r="J570" i="2" a="1"/>
  <c r="J570" i="2" s="1"/>
  <c r="J169" i="2" a="1"/>
  <c r="J169" i="2" s="1"/>
  <c r="J170" i="2" a="1"/>
  <c r="J170" i="2" s="1"/>
  <c r="J571" i="2" a="1"/>
  <c r="J571" i="2" s="1"/>
  <c r="J572" i="2" a="1"/>
  <c r="J572" i="2" s="1"/>
  <c r="J171" i="2" a="1"/>
  <c r="J171" i="2" s="1"/>
  <c r="J172" i="2" a="1"/>
  <c r="J172" i="2" s="1"/>
  <c r="J573" i="2" a="1"/>
  <c r="J573" i="2" s="1"/>
  <c r="J574" i="2" a="1"/>
  <c r="J574" i="2" s="1"/>
  <c r="J173" i="2" a="1"/>
  <c r="J173" i="2" s="1"/>
  <c r="J575" i="2" a="1"/>
  <c r="J575" i="2" s="1"/>
  <c r="J174" i="2" a="1"/>
  <c r="J174" i="2" s="1"/>
  <c r="J175" i="2" a="1"/>
  <c r="J175" i="2" s="1"/>
  <c r="J576" i="2" a="1"/>
  <c r="J576" i="2" s="1"/>
  <c r="J176" i="2" a="1"/>
  <c r="J176" i="2" s="1"/>
  <c r="J812" i="2" a="1"/>
  <c r="J812" i="2" s="1"/>
  <c r="J577" i="2" a="1"/>
  <c r="J577" i="2" s="1"/>
  <c r="J177" i="2" a="1"/>
  <c r="J177" i="2" s="1"/>
  <c r="J178" i="2" a="1"/>
  <c r="J178" i="2" s="1"/>
  <c r="J578" i="2" a="1"/>
  <c r="J578" i="2" s="1"/>
  <c r="J579" i="2" a="1"/>
  <c r="J579" i="2" s="1"/>
  <c r="J179" i="2" a="1"/>
  <c r="J179" i="2" s="1"/>
  <c r="J180" i="2" a="1"/>
  <c r="J180" i="2" s="1"/>
  <c r="J580" i="2" a="1"/>
  <c r="J580" i="2" s="1"/>
  <c r="J581" i="2" a="1"/>
  <c r="J581" i="2" s="1"/>
  <c r="J181" i="2" a="1"/>
  <c r="J181" i="2" s="1"/>
  <c r="J582" i="2" a="1"/>
  <c r="J582" i="2" s="1"/>
  <c r="J583" i="2" a="1"/>
  <c r="J583" i="2" s="1"/>
  <c r="J584" i="2" a="1"/>
  <c r="J584" i="2" s="1"/>
  <c r="J585" i="2" a="1"/>
  <c r="J585" i="2" s="1"/>
  <c r="J586" i="2" a="1"/>
  <c r="J586" i="2" s="1"/>
  <c r="J182" i="2" a="1"/>
  <c r="J182" i="2" s="1"/>
  <c r="J587" i="2" a="1"/>
  <c r="J587" i="2" s="1"/>
  <c r="J588" i="2" a="1"/>
  <c r="J588" i="2" s="1"/>
  <c r="J589" i="2" a="1"/>
  <c r="J589" i="2" s="1"/>
  <c r="J590" i="2" a="1"/>
  <c r="J590" i="2" s="1"/>
  <c r="J591" i="2" a="1"/>
  <c r="J591" i="2" s="1"/>
  <c r="J592" i="2" a="1"/>
  <c r="J592" i="2" s="1"/>
  <c r="J593" i="2" a="1"/>
  <c r="J593" i="2" s="1"/>
  <c r="J594" i="2" a="1"/>
  <c r="J594" i="2" s="1"/>
  <c r="J595" i="2" a="1"/>
  <c r="J595" i="2" s="1"/>
  <c r="J596" i="2" a="1"/>
  <c r="J596" i="2" s="1"/>
  <c r="J597" i="2" a="1"/>
  <c r="J597" i="2" s="1"/>
  <c r="J598" i="2" a="1"/>
  <c r="J598" i="2" s="1"/>
  <c r="J599" i="2" a="1"/>
  <c r="J599" i="2" s="1"/>
  <c r="J183" i="2" a="1"/>
  <c r="J183" i="2" s="1"/>
  <c r="J184" i="2" a="1"/>
  <c r="J184" i="2" s="1"/>
  <c r="J185" i="2" a="1"/>
  <c r="J185" i="2" s="1"/>
  <c r="J600" i="2" a="1"/>
  <c r="J600" i="2" s="1"/>
  <c r="J601" i="2" a="1"/>
  <c r="J601" i="2" s="1"/>
  <c r="J602" i="2" a="1"/>
  <c r="J602" i="2" s="1"/>
  <c r="J603" i="2" a="1"/>
  <c r="J603" i="2" s="1"/>
  <c r="J746" i="2" a="1"/>
  <c r="J746" i="2" s="1"/>
  <c r="J604" i="2" a="1"/>
  <c r="J604" i="2" s="1"/>
  <c r="J186" i="2" a="1"/>
  <c r="J186" i="2" s="1"/>
  <c r="J187" i="2" a="1"/>
  <c r="J187" i="2" s="1"/>
  <c r="J188" i="2" a="1"/>
  <c r="J188" i="2" s="1"/>
  <c r="J605" i="2" a="1"/>
  <c r="J605" i="2" s="1"/>
  <c r="J813" i="2" a="1"/>
  <c r="J813" i="2" s="1"/>
  <c r="J189" i="2" a="1"/>
  <c r="J189" i="2" s="1"/>
  <c r="J606" i="2" a="1"/>
  <c r="J606" i="2" s="1"/>
  <c r="J190" i="2" a="1"/>
  <c r="J190" i="2" s="1"/>
  <c r="J191" i="2" a="1"/>
  <c r="J191" i="2" s="1"/>
  <c r="J607" i="2" a="1"/>
  <c r="J607" i="2" s="1"/>
  <c r="J608" i="2" a="1"/>
  <c r="J608" i="2" s="1"/>
  <c r="J192" i="2" a="1"/>
  <c r="J192" i="2" s="1"/>
  <c r="J609" i="2" a="1"/>
  <c r="J609" i="2" s="1"/>
  <c r="J610" i="2" a="1"/>
  <c r="J610" i="2" s="1"/>
  <c r="J611" i="2" a="1"/>
  <c r="J611" i="2" s="1"/>
  <c r="J193" i="2" a="1"/>
  <c r="J193" i="2" s="1"/>
  <c r="J216" i="2" a="1"/>
  <c r="J216" i="2" s="1"/>
  <c r="J217" i="2" a="1"/>
  <c r="J217" i="2" s="1"/>
  <c r="J817" i="2" a="1"/>
  <c r="J817" i="2" s="1"/>
  <c r="J818" i="2" a="1"/>
  <c r="J818" i="2" s="1"/>
  <c r="J619" i="2" a="1"/>
  <c r="J619" i="2" s="1"/>
  <c r="J620" i="2" a="1"/>
  <c r="J620" i="2" s="1"/>
  <c r="J218" i="2" a="1"/>
  <c r="J218" i="2" s="1"/>
  <c r="J621" i="2" a="1"/>
  <c r="J621" i="2" s="1"/>
  <c r="J622" i="2" a="1"/>
  <c r="J622" i="2" s="1"/>
  <c r="J219" i="2" a="1"/>
  <c r="J219" i="2" s="1"/>
  <c r="J819" i="2" a="1"/>
  <c r="J819" i="2" s="1"/>
  <c r="J220" i="2" a="1"/>
  <c r="J220" i="2" s="1"/>
  <c r="J221" i="2" a="1"/>
  <c r="J221" i="2" s="1"/>
  <c r="J820" i="2" a="1"/>
  <c r="J820" i="2" s="1"/>
  <c r="J222" i="2" a="1"/>
  <c r="J222" i="2" s="1"/>
  <c r="J223" i="2" a="1"/>
  <c r="J223" i="2" s="1"/>
  <c r="J224" i="2" a="1"/>
  <c r="J224" i="2" s="1"/>
  <c r="J623" i="2" a="1"/>
  <c r="J623" i="2" s="1"/>
  <c r="J225" i="2" a="1"/>
  <c r="J225" i="2" s="1"/>
  <c r="J821" i="2" a="1"/>
  <c r="J821" i="2" s="1"/>
  <c r="J624" i="2" a="1"/>
  <c r="J624" i="2" s="1"/>
  <c r="J226" i="2" a="1"/>
  <c r="J226" i="2" s="1"/>
  <c r="J822" i="2" a="1"/>
  <c r="J822" i="2" s="1"/>
  <c r="J227" i="2" a="1"/>
  <c r="J227" i="2" s="1"/>
  <c r="J228" i="2" a="1"/>
  <c r="J228" i="2" s="1"/>
  <c r="J823" i="2" a="1"/>
  <c r="J823" i="2" s="1"/>
  <c r="J229" i="2" a="1"/>
  <c r="J229" i="2" s="1"/>
  <c r="J824" i="2" a="1"/>
  <c r="J824" i="2" s="1"/>
  <c r="J230" i="2" a="1"/>
  <c r="J230" i="2" s="1"/>
  <c r="J625" i="2" a="1"/>
  <c r="J625" i="2" s="1"/>
  <c r="J231" i="2" a="1"/>
  <c r="J231" i="2" s="1"/>
  <c r="J232" i="2" a="1"/>
  <c r="J232" i="2" s="1"/>
  <c r="J626" i="2" a="1"/>
  <c r="J626" i="2" s="1"/>
  <c r="J233" i="2" a="1"/>
  <c r="J233" i="2" s="1"/>
  <c r="J627" i="2" a="1"/>
  <c r="J627" i="2" s="1"/>
  <c r="J234" i="2" a="1"/>
  <c r="J234" i="2" s="1"/>
  <c r="J235" i="2" a="1"/>
  <c r="J235" i="2" s="1"/>
  <c r="J628" i="2" a="1"/>
  <c r="J628" i="2" s="1"/>
  <c r="J825" i="2" a="1"/>
  <c r="J825" i="2" s="1"/>
  <c r="J236" i="2" a="1"/>
  <c r="J236" i="2" s="1"/>
  <c r="J237" i="2" a="1"/>
  <c r="J237" i="2" s="1"/>
  <c r="J629" i="2" a="1"/>
  <c r="J629" i="2" s="1"/>
  <c r="J238" i="2" a="1"/>
  <c r="J238" i="2" s="1"/>
  <c r="J239" i="2" a="1"/>
  <c r="J239" i="2" s="1"/>
  <c r="J240" i="2" a="1"/>
  <c r="J240" i="2" s="1"/>
  <c r="J826" i="2" a="1"/>
  <c r="J826" i="2" s="1"/>
  <c r="J630" i="2" a="1"/>
  <c r="J630" i="2" s="1"/>
  <c r="J827" i="2" a="1"/>
  <c r="J827" i="2" s="1"/>
  <c r="J241" i="2" a="1"/>
  <c r="J241" i="2" s="1"/>
  <c r="J242" i="2" a="1"/>
  <c r="J242" i="2" s="1"/>
  <c r="J243" i="2" a="1"/>
  <c r="J243" i="2" s="1"/>
  <c r="J631" i="2" a="1"/>
  <c r="J631" i="2" s="1"/>
  <c r="J828" i="2" a="1"/>
  <c r="J828" i="2" s="1"/>
  <c r="J244" i="2" a="1"/>
  <c r="J244" i="2" s="1"/>
  <c r="J829" i="2" a="1"/>
  <c r="J829" i="2" s="1"/>
  <c r="J632" i="2" a="1"/>
  <c r="J632" i="2" s="1"/>
  <c r="J633" i="2" a="1"/>
  <c r="J633" i="2" s="1"/>
  <c r="J830" i="2" a="1"/>
  <c r="J830" i="2" s="1"/>
  <c r="J634" i="2" a="1"/>
  <c r="J634" i="2" s="1"/>
  <c r="J831" i="2" a="1"/>
  <c r="J831" i="2" s="1"/>
  <c r="J635" i="2" a="1"/>
  <c r="J635" i="2" s="1"/>
  <c r="J245" i="2" a="1"/>
  <c r="J245" i="2" s="1"/>
  <c r="J246" i="2" a="1"/>
  <c r="J246" i="2" s="1"/>
  <c r="J247" i="2" a="1"/>
  <c r="J247" i="2" s="1"/>
  <c r="J636" i="2" a="1"/>
  <c r="J636" i="2" s="1"/>
  <c r="J637" i="2" a="1"/>
  <c r="J637" i="2" s="1"/>
  <c r="J638" i="2" a="1"/>
  <c r="J638" i="2" s="1"/>
  <c r="J248" i="2" a="1"/>
  <c r="J248" i="2" s="1"/>
  <c r="J832" i="2" a="1"/>
  <c r="J832" i="2" s="1"/>
  <c r="J249" i="2" a="1"/>
  <c r="J249" i="2" s="1"/>
  <c r="J639" i="2" a="1"/>
  <c r="J639" i="2" s="1"/>
  <c r="J250" i="2" a="1"/>
  <c r="J250" i="2" s="1"/>
  <c r="J251" i="2" a="1"/>
  <c r="J251" i="2" s="1"/>
  <c r="J252" i="2" a="1"/>
  <c r="J252" i="2" s="1"/>
  <c r="J640" i="2" a="1"/>
  <c r="J640" i="2" s="1"/>
  <c r="J833" i="2" a="1"/>
  <c r="J833" i="2" s="1"/>
  <c r="J253" i="2" a="1"/>
  <c r="J253" i="2" s="1"/>
  <c r="J254" i="2" a="1"/>
  <c r="J254" i="2" s="1"/>
  <c r="J834" i="2" a="1"/>
  <c r="J834" i="2" s="1"/>
  <c r="J255" i="2" a="1"/>
  <c r="J255" i="2" s="1"/>
  <c r="J641" i="2" a="1"/>
  <c r="J641" i="2" s="1"/>
  <c r="J835" i="2" a="1"/>
  <c r="J835" i="2" s="1"/>
  <c r="J642" i="2" a="1"/>
  <c r="J642" i="2" s="1"/>
  <c r="J836" i="2" a="1"/>
  <c r="J836" i="2" s="1"/>
  <c r="J256" i="2" a="1"/>
  <c r="J256" i="2" s="1"/>
  <c r="J837" i="2" a="1"/>
  <c r="J837" i="2" s="1"/>
  <c r="J838" i="2" a="1"/>
  <c r="J838" i="2" s="1"/>
  <c r="J839" i="2" a="1"/>
  <c r="J839" i="2" s="1"/>
  <c r="J643" i="2" a="1"/>
  <c r="J643" i="2" s="1"/>
  <c r="J644" i="2" a="1"/>
  <c r="J644" i="2" s="1"/>
  <c r="J257" i="2" a="1"/>
  <c r="J257" i="2" s="1"/>
  <c r="J645" i="2" a="1"/>
  <c r="J645" i="2" s="1"/>
  <c r="J258" i="2" a="1"/>
  <c r="J258" i="2" s="1"/>
  <c r="J259" i="2" a="1"/>
  <c r="J259" i="2" s="1"/>
  <c r="J840" i="2" a="1"/>
  <c r="J840" i="2" s="1"/>
  <c r="J646" i="2" a="1"/>
  <c r="J646" i="2" s="1"/>
  <c r="J647" i="2" a="1"/>
  <c r="J647" i="2" s="1"/>
  <c r="J648" i="2" a="1"/>
  <c r="J648" i="2" s="1"/>
  <c r="J260" i="2" a="1"/>
  <c r="J260" i="2" s="1"/>
  <c r="J841" i="2" a="1"/>
  <c r="J841" i="2" s="1"/>
  <c r="J649" i="2" a="1"/>
  <c r="J649" i="2" s="1"/>
  <c r="J842" i="2" a="1"/>
  <c r="J842" i="2" s="1"/>
  <c r="J650" i="2" a="1"/>
  <c r="J650" i="2" s="1"/>
  <c r="J843" i="2" a="1"/>
  <c r="J843" i="2" s="1"/>
  <c r="J261" i="2" a="1"/>
  <c r="J261" i="2" s="1"/>
  <c r="J262" i="2" a="1"/>
  <c r="J262" i="2" s="1"/>
  <c r="J844" i="2" a="1"/>
  <c r="J844" i="2" s="1"/>
  <c r="J651" i="2" a="1"/>
  <c r="J651" i="2" s="1"/>
  <c r="J263" i="2" a="1"/>
  <c r="J263" i="2" s="1"/>
  <c r="J264" i="2" a="1"/>
  <c r="J264" i="2" s="1"/>
  <c r="J265" i="2" a="1"/>
  <c r="J265" i="2" s="1"/>
  <c r="J845" i="2" a="1"/>
  <c r="J845" i="2" s="1"/>
  <c r="J652" i="2" a="1"/>
  <c r="J652" i="2" s="1"/>
  <c r="J266" i="2" a="1"/>
  <c r="J266" i="2" s="1"/>
  <c r="J267" i="2" a="1"/>
  <c r="J267" i="2" s="1"/>
  <c r="J653" i="2" a="1"/>
  <c r="J653" i="2" s="1"/>
  <c r="J654" i="2" a="1"/>
  <c r="J654" i="2" s="1"/>
  <c r="J268" i="2" a="1"/>
  <c r="J268" i="2" s="1"/>
  <c r="J269" i="2" a="1"/>
  <c r="J269" i="2" s="1"/>
  <c r="J270" i="2" a="1"/>
  <c r="J270" i="2" s="1"/>
  <c r="J846" i="2" a="1"/>
  <c r="J846" i="2" s="1"/>
  <c r="J655" i="2" a="1"/>
  <c r="J655" i="2" s="1"/>
  <c r="J847" i="2" a="1"/>
  <c r="J847" i="2" s="1"/>
  <c r="J271" i="2" a="1"/>
  <c r="J271" i="2" s="1"/>
  <c r="J656" i="2" a="1"/>
  <c r="J656" i="2" s="1"/>
  <c r="J848" i="2" a="1"/>
  <c r="J848" i="2" s="1"/>
  <c r="J849" i="2" a="1"/>
  <c r="J849" i="2" s="1"/>
  <c r="J657" i="2" a="1"/>
  <c r="J657" i="2" s="1"/>
  <c r="J272" i="2" a="1"/>
  <c r="J272" i="2" s="1"/>
  <c r="J850" i="2" a="1"/>
  <c r="J850" i="2" s="1"/>
  <c r="J658" i="2" a="1"/>
  <c r="J658" i="2" s="1"/>
  <c r="J659" i="2" a="1"/>
  <c r="J659" i="2" s="1"/>
  <c r="J273" i="2" a="1"/>
  <c r="J273" i="2" s="1"/>
  <c r="J274" i="2" a="1"/>
  <c r="J274" i="2" s="1"/>
  <c r="J275" i="2" a="1"/>
  <c r="J275" i="2" s="1"/>
  <c r="J660" i="2" a="1"/>
  <c r="J660" i="2" s="1"/>
  <c r="J276" i="2" a="1"/>
  <c r="J276" i="2" s="1"/>
  <c r="J277" i="2" a="1"/>
  <c r="J277" i="2" s="1"/>
  <c r="J851" i="2" a="1"/>
  <c r="J851" i="2" s="1"/>
  <c r="J852" i="2" a="1"/>
  <c r="J852" i="2" s="1"/>
  <c r="J853" i="2" a="1"/>
  <c r="J853" i="2" s="1"/>
  <c r="J278" i="2" a="1"/>
  <c r="J278" i="2" s="1"/>
  <c r="J661" i="2" a="1"/>
  <c r="J661" i="2" s="1"/>
  <c r="J279" i="2" a="1"/>
  <c r="J279" i="2" s="1"/>
  <c r="J662" i="2" a="1"/>
  <c r="J662" i="2" s="1"/>
  <c r="J663" i="2" a="1"/>
  <c r="J663" i="2" s="1"/>
  <c r="J854" i="2" a="1"/>
  <c r="J854" i="2" s="1"/>
  <c r="J664" i="2" a="1"/>
  <c r="J664" i="2" s="1"/>
  <c r="J855" i="2" a="1"/>
  <c r="J855" i="2" s="1"/>
  <c r="J856" i="2" a="1"/>
  <c r="J856" i="2" s="1"/>
  <c r="J280" i="2" a="1"/>
  <c r="J280" i="2" s="1"/>
  <c r="J857" i="2" a="1"/>
  <c r="J857" i="2" s="1"/>
  <c r="J858" i="2" a="1"/>
  <c r="J858" i="2" s="1"/>
  <c r="J859" i="2" a="1"/>
  <c r="J859" i="2" s="1"/>
  <c r="J281" i="2" a="1"/>
  <c r="J281" i="2" s="1"/>
  <c r="J282" i="2" a="1"/>
  <c r="J282" i="2" s="1"/>
  <c r="J665" i="2" a="1"/>
  <c r="J665" i="2" s="1"/>
  <c r="J860" i="2" a="1"/>
  <c r="J860" i="2" s="1"/>
  <c r="J283" i="2" a="1"/>
  <c r="J283" i="2" s="1"/>
  <c r="J284" i="2" a="1"/>
  <c r="J284" i="2" s="1"/>
  <c r="J285" i="2" a="1"/>
  <c r="J285" i="2" s="1"/>
  <c r="J666" i="2" a="1"/>
  <c r="J666" i="2" s="1"/>
  <c r="J667" i="2" a="1"/>
  <c r="J667" i="2" s="1"/>
  <c r="J286" i="2" a="1"/>
  <c r="J286" i="2" s="1"/>
  <c r="J861" i="2" a="1"/>
  <c r="J861" i="2" s="1"/>
  <c r="J668" i="2" a="1"/>
  <c r="J668" i="2" s="1"/>
  <c r="J669" i="2" a="1"/>
  <c r="J669" i="2" s="1"/>
  <c r="J670" i="2" a="1"/>
  <c r="J670" i="2" s="1"/>
  <c r="J671" i="2" a="1"/>
  <c r="J671" i="2" s="1"/>
  <c r="J862" i="2" a="1"/>
  <c r="J862" i="2" s="1"/>
  <c r="J672" i="2" a="1"/>
  <c r="J672" i="2" s="1"/>
  <c r="J287" i="2" a="1"/>
  <c r="J287" i="2" s="1"/>
  <c r="J673" i="2" a="1"/>
  <c r="J673" i="2" s="1"/>
  <c r="J863" i="2" a="1"/>
  <c r="J863" i="2" s="1"/>
  <c r="J674" i="2" a="1"/>
  <c r="J674" i="2" s="1"/>
  <c r="J288" i="2" a="1"/>
  <c r="J288" i="2" s="1"/>
  <c r="J675" i="2" a="1"/>
  <c r="J675" i="2" s="1"/>
  <c r="J864" i="2" a="1"/>
  <c r="J864" i="2" s="1"/>
  <c r="J289" i="2" a="1"/>
  <c r="J289" i="2" s="1"/>
  <c r="J676" i="2" a="1"/>
  <c r="J676" i="2" s="1"/>
  <c r="J290" i="2" a="1"/>
  <c r="J290" i="2" s="1"/>
  <c r="J677" i="2" a="1"/>
  <c r="J677" i="2" s="1"/>
  <c r="J678" i="2" a="1"/>
  <c r="J678" i="2" s="1"/>
  <c r="J291" i="2" a="1"/>
  <c r="J291" i="2" s="1"/>
  <c r="J679" i="2" a="1"/>
  <c r="J679" i="2" s="1"/>
  <c r="J292" i="2" a="1"/>
  <c r="J292" i="2" s="1"/>
  <c r="J293" i="2" a="1"/>
  <c r="J293" i="2" s="1"/>
  <c r="J294" i="2" a="1"/>
  <c r="J294" i="2" s="1"/>
  <c r="J295" i="2" a="1"/>
  <c r="J295" i="2" s="1"/>
  <c r="J680" i="2" a="1"/>
  <c r="J680" i="2" s="1"/>
  <c r="J865" i="2" a="1"/>
  <c r="J865" i="2" s="1"/>
  <c r="J296" i="2" a="1"/>
  <c r="J296" i="2" s="1"/>
  <c r="J681" i="2" a="1"/>
  <c r="J681" i="2" s="1"/>
  <c r="J682" i="2" a="1"/>
  <c r="J682" i="2" s="1"/>
  <c r="J297" i="2" a="1"/>
  <c r="J297" i="2" s="1"/>
  <c r="J298" i="2" a="1"/>
  <c r="J298" i="2" s="1"/>
  <c r="J866" i="2" a="1"/>
  <c r="J866" i="2" s="1"/>
  <c r="J683" i="2" a="1"/>
  <c r="J683" i="2" s="1"/>
  <c r="J684" i="2" a="1"/>
  <c r="J684" i="2" s="1"/>
  <c r="J867" i="2" a="1"/>
  <c r="J867" i="2" s="1"/>
  <c r="J868" i="2" a="1"/>
  <c r="J868" i="2" s="1"/>
  <c r="J869" i="2" a="1"/>
  <c r="J869" i="2" s="1"/>
  <c r="J685" i="2" a="1"/>
  <c r="J685" i="2" s="1"/>
  <c r="J299" i="2" a="1"/>
  <c r="J299" i="2" s="1"/>
  <c r="J300" i="2" a="1"/>
  <c r="J300" i="2" s="1"/>
  <c r="J686" i="2" a="1"/>
  <c r="J686" i="2" s="1"/>
  <c r="J687" i="2" a="1"/>
  <c r="J687" i="2" s="1"/>
  <c r="J870" i="2" a="1"/>
  <c r="J870" i="2" s="1"/>
  <c r="J301" i="2" a="1"/>
  <c r="J301" i="2" s="1"/>
  <c r="J688" i="2" a="1"/>
  <c r="J688" i="2" s="1"/>
  <c r="J302" i="2" a="1"/>
  <c r="J302" i="2" s="1"/>
  <c r="J303" i="2" a="1"/>
  <c r="J303" i="2" s="1"/>
  <c r="J689" i="2" a="1"/>
  <c r="J689" i="2" s="1"/>
  <c r="J871" i="2" a="1"/>
  <c r="J871" i="2" s="1"/>
  <c r="J690" i="2" a="1"/>
  <c r="J690" i="2" s="1"/>
  <c r="J691" i="2" a="1"/>
  <c r="J691" i="2" s="1"/>
  <c r="J872" i="2" a="1"/>
  <c r="J872" i="2" s="1"/>
  <c r="J873" i="2" a="1"/>
  <c r="J873" i="2" s="1"/>
  <c r="J304" i="2" a="1"/>
  <c r="J304" i="2" s="1"/>
  <c r="J874" i="2" a="1"/>
  <c r="J874" i="2" s="1"/>
  <c r="J692" i="2" a="1"/>
  <c r="J692" i="2" s="1"/>
  <c r="J305" i="2" a="1"/>
  <c r="J305" i="2" s="1"/>
  <c r="J306" i="2" a="1"/>
  <c r="J306" i="2" s="1"/>
  <c r="J307" i="2" a="1"/>
  <c r="J307" i="2" s="1"/>
  <c r="J875" i="2" a="1"/>
  <c r="J875" i="2" s="1"/>
  <c r="J308" i="2" a="1"/>
  <c r="J308" i="2" s="1"/>
  <c r="J309" i="2" a="1"/>
  <c r="J309" i="2" s="1"/>
  <c r="J876" i="2" a="1"/>
  <c r="J876" i="2" s="1"/>
  <c r="J310" i="2" a="1"/>
  <c r="J310" i="2" s="1"/>
  <c r="J693" i="2" a="1"/>
  <c r="J693" i="2" s="1"/>
  <c r="J877" i="2" a="1"/>
  <c r="J877" i="2" s="1"/>
  <c r="J311" i="2" a="1"/>
  <c r="J311" i="2" s="1"/>
  <c r="J878" i="2" a="1"/>
  <c r="J878" i="2" s="1"/>
  <c r="J312" i="2" a="1"/>
  <c r="J312" i="2" s="1"/>
  <c r="J313" i="2" a="1"/>
  <c r="J313" i="2" s="1"/>
  <c r="J879" i="2" a="1"/>
  <c r="J879" i="2" s="1"/>
  <c r="J314" i="2" a="1"/>
  <c r="J314" i="2" s="1"/>
  <c r="J880" i="2" a="1"/>
  <c r="J880" i="2" s="1"/>
  <c r="J881" i="2" a="1"/>
  <c r="J881" i="2" s="1"/>
  <c r="J882" i="2" a="1"/>
  <c r="J882" i="2" s="1"/>
  <c r="J315" i="2" a="1"/>
  <c r="J315" i="2" s="1"/>
  <c r="J694" i="2" a="1"/>
  <c r="J694" i="2" s="1"/>
  <c r="J883" i="2" a="1"/>
  <c r="J883" i="2" s="1"/>
  <c r="J695" i="2" a="1"/>
  <c r="J695" i="2" s="1"/>
  <c r="J696" i="2" a="1"/>
  <c r="J696" i="2" s="1"/>
  <c r="J884" i="2" a="1"/>
  <c r="J884" i="2" s="1"/>
  <c r="J885" i="2" a="1"/>
  <c r="J885" i="2" s="1"/>
  <c r="J886" i="2" a="1"/>
  <c r="J886" i="2" s="1"/>
  <c r="J316" i="2" a="1"/>
  <c r="J316" i="2" s="1"/>
  <c r="J887" i="2" a="1"/>
  <c r="J887" i="2" s="1"/>
  <c r="J888" i="2" a="1"/>
  <c r="J888" i="2" s="1"/>
  <c r="J317" i="2" a="1"/>
  <c r="J317" i="2" s="1"/>
  <c r="J697" i="2" a="1"/>
  <c r="J697" i="2" s="1"/>
  <c r="J698" i="2" a="1"/>
  <c r="J698" i="2" s="1"/>
  <c r="J318" i="2" a="1"/>
  <c r="J318" i="2" s="1"/>
  <c r="J319" i="2" a="1"/>
  <c r="J319" i="2" s="1"/>
  <c r="J889" i="2" a="1"/>
  <c r="J889" i="2" s="1"/>
  <c r="J699" i="2" a="1"/>
  <c r="J699" i="2" s="1"/>
  <c r="J700" i="2" a="1"/>
  <c r="J700" i="2" s="1"/>
  <c r="J320" i="2" a="1"/>
  <c r="J320" i="2" s="1"/>
  <c r="J890" i="2" a="1"/>
  <c r="J890" i="2" s="1"/>
  <c r="J321" i="2" a="1"/>
  <c r="J321" i="2" s="1"/>
  <c r="J322" i="2" a="1"/>
  <c r="J322" i="2" s="1"/>
  <c r="J323" i="2" a="1"/>
  <c r="J323" i="2" s="1"/>
  <c r="J701" i="2" a="1"/>
  <c r="J701" i="2" s="1"/>
  <c r="J324" i="2" a="1"/>
  <c r="J324" i="2" s="1"/>
  <c r="J325" i="2" a="1"/>
  <c r="J325" i="2" s="1"/>
  <c r="J891" i="2" a="1"/>
  <c r="J891" i="2" s="1"/>
  <c r="J326" i="2" a="1"/>
  <c r="J326" i="2" s="1"/>
  <c r="J327" i="2" a="1"/>
  <c r="J327" i="2" s="1"/>
  <c r="J702" i="2" a="1"/>
  <c r="J702" i="2" s="1"/>
  <c r="J703" i="2" a="1"/>
  <c r="J703" i="2" s="1"/>
  <c r="J892" i="2" a="1"/>
  <c r="J892" i="2" s="1"/>
  <c r="J893" i="2" a="1"/>
  <c r="J893" i="2" s="1"/>
  <c r="J328" i="2" a="1"/>
  <c r="J328" i="2" s="1"/>
  <c r="J894" i="2" a="1"/>
  <c r="J894" i="2" s="1"/>
  <c r="J704" i="2" a="1"/>
  <c r="J704" i="2" s="1"/>
  <c r="J329" i="2" a="1"/>
  <c r="J329" i="2" s="1"/>
  <c r="J895" i="2" a="1"/>
  <c r="J895" i="2" s="1"/>
  <c r="J330" i="2" a="1"/>
  <c r="J330" i="2" s="1"/>
  <c r="J896" i="2" a="1"/>
  <c r="J896" i="2" s="1"/>
  <c r="J705" i="2" a="1"/>
  <c r="J705" i="2" s="1"/>
  <c r="J331" i="2" a="1"/>
  <c r="J331" i="2" s="1"/>
  <c r="J332" i="2" a="1"/>
  <c r="J332" i="2" s="1"/>
  <c r="J706" i="2" a="1"/>
  <c r="J706" i="2" s="1"/>
  <c r="J897" i="2" a="1"/>
  <c r="J897" i="2" s="1"/>
  <c r="J898" i="2" a="1"/>
  <c r="J898" i="2" s="1"/>
  <c r="J899" i="2" a="1"/>
  <c r="J899" i="2" s="1"/>
  <c r="J900" i="2" a="1"/>
  <c r="J900" i="2" s="1"/>
  <c r="J333" i="2" a="1"/>
  <c r="J333" i="2" s="1"/>
  <c r="J901" i="2" a="1"/>
  <c r="J901" i="2" s="1"/>
  <c r="J902" i="2" a="1"/>
  <c r="J902" i="2" s="1"/>
  <c r="J334" i="2" a="1"/>
  <c r="J334" i="2" s="1"/>
  <c r="J707" i="2" a="1"/>
  <c r="J707" i="2" s="1"/>
  <c r="J335" i="2" a="1"/>
  <c r="J335" i="2" s="1"/>
  <c r="J708" i="2" a="1"/>
  <c r="J708" i="2" s="1"/>
  <c r="J709" i="2" a="1"/>
  <c r="J709" i="2" s="1"/>
  <c r="J903" i="2" a="1"/>
  <c r="J903" i="2" s="1"/>
  <c r="J904" i="2" a="1"/>
  <c r="J904" i="2" s="1"/>
  <c r="J710" i="2" a="1"/>
  <c r="J710" i="2" s="1"/>
  <c r="J711" i="2" a="1"/>
  <c r="J711" i="2" s="1"/>
  <c r="J905" i="2" a="1"/>
  <c r="J905" i="2" s="1"/>
  <c r="J336" i="2" a="1"/>
  <c r="J336" i="2" s="1"/>
  <c r="J712" i="2" a="1"/>
  <c r="J712" i="2" s="1"/>
  <c r="J906" i="2" a="1"/>
  <c r="J906" i="2" s="1"/>
  <c r="J713" i="2" a="1"/>
  <c r="J713" i="2" s="1"/>
  <c r="J337" i="2" a="1"/>
  <c r="J337" i="2" s="1"/>
  <c r="J338" i="2" a="1"/>
  <c r="J338" i="2" s="1"/>
  <c r="J907" i="2" a="1"/>
  <c r="J907" i="2" s="1"/>
  <c r="J714" i="2" a="1"/>
  <c r="J714" i="2" s="1"/>
  <c r="J339" i="2" a="1"/>
  <c r="J339" i="2" s="1"/>
  <c r="J340" i="2" a="1"/>
  <c r="J340" i="2" s="1"/>
  <c r="J715" i="2" a="1"/>
  <c r="J715" i="2" s="1"/>
  <c r="J908" i="2" a="1"/>
  <c r="J908" i="2" s="1"/>
  <c r="J716" i="2" a="1"/>
  <c r="J716" i="2" s="1"/>
  <c r="J717" i="2" a="1"/>
  <c r="J717" i="2" s="1"/>
  <c r="J718" i="2" a="1"/>
  <c r="J718" i="2" s="1"/>
  <c r="J719" i="2" a="1"/>
  <c r="J719" i="2" s="1"/>
  <c r="J909" i="2" a="1"/>
  <c r="J909" i="2" s="1"/>
  <c r="J720" i="2" a="1"/>
  <c r="J720" i="2" s="1"/>
  <c r="J341" i="2" a="1"/>
  <c r="J341" i="2" s="1"/>
  <c r="J721" i="2" a="1"/>
  <c r="J721" i="2" s="1"/>
  <c r="J722" i="2" a="1"/>
  <c r="J722" i="2" s="1"/>
  <c r="J910" i="2" a="1"/>
  <c r="J910" i="2" s="1"/>
  <c r="J342" i="2" a="1"/>
  <c r="J342" i="2" s="1"/>
  <c r="J911" i="2" a="1"/>
  <c r="J911" i="2" s="1"/>
  <c r="J912" i="2" a="1"/>
  <c r="J912" i="2" s="1"/>
  <c r="J723" i="2" a="1"/>
  <c r="J723" i="2" s="1"/>
  <c r="J343" i="2" a="1"/>
  <c r="J343" i="2" s="1"/>
  <c r="J344" i="2" a="1"/>
  <c r="J344" i="2" s="1"/>
  <c r="J345" i="2" a="1"/>
  <c r="J345" i="2" s="1"/>
  <c r="J724" i="2" a="1"/>
  <c r="J724" i="2" s="1"/>
  <c r="J725" i="2" a="1"/>
  <c r="J725" i="2" s="1"/>
  <c r="J346" i="2" a="1"/>
  <c r="J346" i="2" s="1"/>
  <c r="J347" i="2" a="1"/>
  <c r="J347" i="2" s="1"/>
  <c r="J348" i="2" a="1"/>
  <c r="J348" i="2" s="1"/>
  <c r="J349" i="2" a="1"/>
  <c r="J349" i="2" s="1"/>
  <c r="J350" i="2" a="1"/>
  <c r="J350" i="2" s="1"/>
  <c r="J351" i="2" a="1"/>
  <c r="J351" i="2" s="1"/>
  <c r="J726" i="2" a="1"/>
  <c r="J726" i="2" s="1"/>
  <c r="J727" i="2" a="1"/>
  <c r="J727" i="2" s="1"/>
  <c r="J728" i="2" a="1"/>
  <c r="J728" i="2" s="1"/>
  <c r="J352" i="2" a="1"/>
  <c r="J352" i="2" s="1"/>
  <c r="J353" i="2" a="1"/>
  <c r="J353" i="2" s="1"/>
  <c r="J354" i="2" a="1"/>
  <c r="J354" i="2" s="1"/>
  <c r="J913" i="2" a="1"/>
  <c r="J913" i="2" s="1"/>
  <c r="J729" i="2" a="1"/>
  <c r="J729" i="2" s="1"/>
  <c r="J914" i="2" a="1"/>
  <c r="J914" i="2" s="1"/>
  <c r="J915" i="2" a="1"/>
  <c r="J915" i="2" s="1"/>
  <c r="J355" i="2" a="1"/>
  <c r="J355" i="2" s="1"/>
  <c r="J356" i="2" a="1"/>
  <c r="J356" i="2" s="1"/>
  <c r="J916" i="2" a="1"/>
  <c r="J916" i="2" s="1"/>
  <c r="J730" i="2" a="1"/>
  <c r="J730" i="2" s="1"/>
  <c r="J917" i="2" a="1"/>
  <c r="J917" i="2" s="1"/>
  <c r="J918" i="2" a="1"/>
  <c r="J918" i="2" s="1"/>
  <c r="J919" i="2" a="1"/>
  <c r="J919" i="2" s="1"/>
  <c r="J920" i="2" a="1"/>
  <c r="J920" i="2" s="1"/>
  <c r="J731" i="2" a="1"/>
  <c r="J731" i="2" s="1"/>
  <c r="J732" i="2" a="1"/>
  <c r="J732" i="2" s="1"/>
  <c r="J357" i="2" a="1"/>
  <c r="J357" i="2" s="1"/>
  <c r="J921" i="2" a="1"/>
  <c r="J921" i="2" s="1"/>
  <c r="J358" i="2" a="1"/>
  <c r="J358" i="2" s="1"/>
  <c r="J733" i="2" a="1"/>
  <c r="J733" i="2" s="1"/>
  <c r="J734" i="2" a="1"/>
  <c r="J734" i="2" s="1"/>
  <c r="J922" i="2" a="1"/>
  <c r="J922" i="2" s="1"/>
  <c r="J359" i="2" a="1"/>
  <c r="J359" i="2" s="1"/>
  <c r="J923" i="2" a="1"/>
  <c r="J923" i="2" s="1"/>
  <c r="J924" i="2" a="1"/>
  <c r="J924" i="2" s="1"/>
  <c r="J735" i="2" a="1"/>
  <c r="J735" i="2" s="1"/>
  <c r="J360" i="2" a="1"/>
  <c r="J360" i="2" s="1"/>
  <c r="J736" i="2" a="1"/>
  <c r="J736" i="2" s="1"/>
  <c r="J361" i="2" a="1"/>
  <c r="J361" i="2" s="1"/>
  <c r="J737" i="2" a="1"/>
  <c r="J737" i="2" s="1"/>
  <c r="J738" i="2" a="1"/>
  <c r="J738" i="2" s="1"/>
  <c r="J925" i="2" a="1"/>
  <c r="J925" i="2" s="1"/>
  <c r="J362" i="2" a="1"/>
  <c r="J362" i="2" s="1"/>
  <c r="J363" i="2" a="1"/>
  <c r="J363" i="2" s="1"/>
  <c r="J739" i="2" a="1"/>
  <c r="J739" i="2" s="1"/>
  <c r="J740" i="2" a="1"/>
  <c r="J740" i="2" s="1"/>
  <c r="J364" i="2" a="1"/>
  <c r="J364" i="2" s="1"/>
  <c r="J365" i="2" a="1"/>
  <c r="J365" i="2" s="1"/>
  <c r="J926" i="2" a="1"/>
  <c r="J926" i="2" s="1"/>
  <c r="J366" i="2" a="1"/>
  <c r="J366" i="2" s="1"/>
  <c r="J367" i="2" a="1"/>
  <c r="J367" i="2" s="1"/>
  <c r="K368" i="2"/>
  <c r="G1" i="2"/>
  <c r="J368" i="2" a="1"/>
  <c r="J368" i="2" s="1"/>
  <c r="F1" i="2"/>
  <c r="H368" i="2"/>
  <c r="M368" i="2" s="1"/>
  <c r="E1" i="2"/>
  <c r="I730" i="2" l="1"/>
  <c r="L730" i="2" s="1"/>
  <c r="I726" i="2"/>
  <c r="L726" i="2" s="1"/>
  <c r="I912" i="2"/>
  <c r="L912" i="2" s="1"/>
  <c r="I740" i="2"/>
  <c r="L740" i="2" s="1"/>
  <c r="I359" i="2"/>
  <c r="L359" i="2" s="1"/>
  <c r="I737" i="2"/>
  <c r="L737" i="2" s="1"/>
  <c r="I921" i="2"/>
  <c r="L921" i="2" s="1"/>
  <c r="I915" i="2"/>
  <c r="L915" i="2" s="1"/>
  <c r="I349" i="2"/>
  <c r="L349" i="2" s="1"/>
  <c r="I342" i="2"/>
  <c r="L342" i="2" s="1"/>
  <c r="I715" i="2"/>
  <c r="L715" i="2" s="1"/>
  <c r="I711" i="2"/>
  <c r="L711" i="2" s="1"/>
  <c r="I900" i="2"/>
  <c r="L900" i="2" s="1"/>
  <c r="I704" i="2"/>
  <c r="L704" i="2" s="1"/>
  <c r="I701" i="2"/>
  <c r="L701" i="2" s="1"/>
  <c r="I697" i="2"/>
  <c r="L697" i="2" s="1"/>
  <c r="I315" i="2"/>
  <c r="L315" i="2" s="1"/>
  <c r="I310" i="2"/>
  <c r="L310" i="2" s="1"/>
  <c r="I872" i="2"/>
  <c r="L872" i="2" s="1"/>
  <c r="I300" i="2"/>
  <c r="L300" i="2" s="1"/>
  <c r="I681" i="2"/>
  <c r="L681" i="2" s="1"/>
  <c r="I290" i="2"/>
  <c r="L290" i="2" s="1"/>
  <c r="I671" i="2"/>
  <c r="L671" i="2" s="1"/>
  <c r="I665" i="2"/>
  <c r="L665" i="2" s="1"/>
  <c r="I662" i="2"/>
  <c r="L662" i="2" s="1"/>
  <c r="I273" i="2"/>
  <c r="L273" i="2" s="1"/>
  <c r="I846" i="2"/>
  <c r="L846" i="2" s="1"/>
  <c r="I263" i="2"/>
  <c r="L263" i="2" s="1"/>
  <c r="I647" i="2"/>
  <c r="L647" i="2" s="1"/>
  <c r="I256" i="2"/>
  <c r="L256" i="2" s="1"/>
  <c r="I251" i="2"/>
  <c r="L251" i="2" s="1"/>
  <c r="I635" i="2"/>
  <c r="L635" i="2" s="1"/>
  <c r="I241" i="2"/>
  <c r="L241" i="2" s="1"/>
  <c r="I235" i="2"/>
  <c r="L235" i="2" s="1"/>
  <c r="I228" i="2"/>
  <c r="L228" i="2" s="1"/>
  <c r="I221" i="2"/>
  <c r="L221" i="2" s="1"/>
  <c r="I216" i="2"/>
  <c r="L216" i="2" s="1"/>
  <c r="I813" i="2"/>
  <c r="L813" i="2" s="1"/>
  <c r="I184" i="2"/>
  <c r="L184" i="2" s="1"/>
  <c r="I589" i="2"/>
  <c r="L589" i="2" s="1"/>
  <c r="I180" i="2"/>
  <c r="L180" i="2" s="1"/>
  <c r="I575" i="2"/>
  <c r="L575" i="2" s="1"/>
  <c r="I167" i="2"/>
  <c r="L167" i="2" s="1"/>
  <c r="I161" i="2"/>
  <c r="L161" i="2" s="1"/>
  <c r="I157" i="2"/>
  <c r="L157" i="2" s="1"/>
  <c r="I154" i="2"/>
  <c r="L154" i="2" s="1"/>
  <c r="I545" i="2"/>
  <c r="L545" i="2" s="1"/>
  <c r="I540" i="2"/>
  <c r="L540" i="2" s="1"/>
  <c r="I996" i="2"/>
  <c r="L996" i="2" s="1"/>
  <c r="I805" i="2"/>
  <c r="L805" i="2" s="1"/>
  <c r="I983" i="2"/>
  <c r="L983" i="2" s="1"/>
  <c r="I799" i="2"/>
  <c r="L799" i="2" s="1"/>
  <c r="I972" i="2"/>
  <c r="L972" i="2" s="1"/>
  <c r="I964" i="2"/>
  <c r="L964" i="2" s="1"/>
  <c r="I956" i="2"/>
  <c r="L956" i="2" s="1"/>
  <c r="I948" i="2"/>
  <c r="L948" i="2" s="1"/>
  <c r="I943" i="2"/>
  <c r="L943" i="2" s="1"/>
  <c r="I936" i="2"/>
  <c r="L936" i="2" s="1"/>
  <c r="I930" i="2"/>
  <c r="L930" i="2" s="1"/>
  <c r="I524" i="2"/>
  <c r="L524" i="2" s="1"/>
  <c r="I519" i="2"/>
  <c r="L519" i="2" s="1"/>
  <c r="I512" i="2"/>
  <c r="L512" i="2" s="1"/>
  <c r="I505" i="2"/>
  <c r="L505" i="2" s="1"/>
  <c r="I211" i="2"/>
  <c r="L211" i="2" s="1"/>
  <c r="I494" i="2"/>
  <c r="L494" i="2" s="1"/>
  <c r="I105" i="2"/>
  <c r="L105" i="2" s="1"/>
  <c r="I767" i="2"/>
  <c r="L767" i="2" s="1"/>
  <c r="I100" i="2"/>
  <c r="L100" i="2" s="1"/>
  <c r="I469" i="2"/>
  <c r="L469" i="2" s="1"/>
  <c r="I463" i="2"/>
  <c r="L463" i="2" s="1"/>
  <c r="I86" i="2"/>
  <c r="L86" i="2" s="1"/>
  <c r="I614" i="2"/>
  <c r="L614" i="2" s="1"/>
  <c r="I445" i="2"/>
  <c r="L445" i="2" s="1"/>
  <c r="I79" i="2"/>
  <c r="L79" i="2" s="1"/>
  <c r="I73" i="2"/>
  <c r="L73" i="2" s="1"/>
  <c r="I68" i="2"/>
  <c r="L68" i="2" s="1"/>
  <c r="I61" i="2"/>
  <c r="L61" i="2" s="1"/>
  <c r="I425" i="2"/>
  <c r="L425" i="2" s="1"/>
  <c r="I48" i="2"/>
  <c r="L48" i="2" s="1"/>
  <c r="I415" i="2"/>
  <c r="L415" i="2" s="1"/>
  <c r="I408" i="2"/>
  <c r="L408" i="2" s="1"/>
  <c r="I32" i="2"/>
  <c r="L32" i="2" s="1"/>
  <c r="I399" i="2"/>
  <c r="L399" i="2" s="1"/>
  <c r="I394" i="2"/>
  <c r="L394" i="2" s="1"/>
  <c r="I751" i="2"/>
  <c r="L751" i="2" s="1"/>
  <c r="I748" i="2"/>
  <c r="L748" i="2" s="1"/>
  <c r="I381" i="2"/>
  <c r="L381" i="2" s="1"/>
  <c r="I370" i="2"/>
  <c r="L370" i="2" s="1"/>
  <c r="I367" i="2"/>
  <c r="L367" i="2" s="1"/>
  <c r="I361" i="2"/>
  <c r="L361" i="2" s="1"/>
  <c r="I357" i="2"/>
  <c r="L357" i="2" s="1"/>
  <c r="I914" i="2"/>
  <c r="L914" i="2" s="1"/>
  <c r="I348" i="2"/>
  <c r="L348" i="2" s="1"/>
  <c r="I910" i="2"/>
  <c r="L910" i="2" s="1"/>
  <c r="I340" i="2"/>
  <c r="L340" i="2" s="1"/>
  <c r="I710" i="2"/>
  <c r="L710" i="2" s="1"/>
  <c r="I899" i="2"/>
  <c r="L899" i="2" s="1"/>
  <c r="I894" i="2"/>
  <c r="L894" i="2" s="1"/>
  <c r="I323" i="2"/>
  <c r="L323" i="2" s="1"/>
  <c r="I317" i="2"/>
  <c r="L317" i="2" s="1"/>
  <c r="I882" i="2"/>
  <c r="L882" i="2" s="1"/>
  <c r="I876" i="2"/>
  <c r="L876" i="2" s="1"/>
  <c r="I691" i="2"/>
  <c r="L691" i="2" s="1"/>
  <c r="I299" i="2"/>
  <c r="L299" i="2" s="1"/>
  <c r="I296" i="2"/>
  <c r="L296" i="2" s="1"/>
  <c r="I676" i="2"/>
  <c r="L676" i="2" s="1"/>
  <c r="I670" i="2"/>
  <c r="L670" i="2" s="1"/>
  <c r="I282" i="2"/>
  <c r="L282" i="2" s="1"/>
  <c r="I279" i="2"/>
  <c r="L279" i="2" s="1"/>
  <c r="I659" i="2"/>
  <c r="L659" i="2" s="1"/>
  <c r="I270" i="2"/>
  <c r="L270" i="2" s="1"/>
  <c r="I651" i="2"/>
  <c r="L651" i="2" s="1"/>
  <c r="I646" i="2"/>
  <c r="L646" i="2" s="1"/>
  <c r="I836" i="2"/>
  <c r="L836" i="2" s="1"/>
  <c r="I250" i="2"/>
  <c r="L250" i="2" s="1"/>
  <c r="I831" i="2"/>
  <c r="L831" i="2" s="1"/>
  <c r="I827" i="2"/>
  <c r="L827" i="2" s="1"/>
  <c r="I234" i="2"/>
  <c r="L234" i="2" s="1"/>
  <c r="I227" i="2"/>
  <c r="L227" i="2" s="1"/>
  <c r="I220" i="2"/>
  <c r="L220" i="2" s="1"/>
  <c r="I193" i="2"/>
  <c r="L193" i="2" s="1"/>
  <c r="I605" i="2"/>
  <c r="L605" i="2" s="1"/>
  <c r="I183" i="2"/>
  <c r="L183" i="2" s="1"/>
  <c r="I588" i="2"/>
  <c r="L588" i="2" s="1"/>
  <c r="I179" i="2"/>
  <c r="L179" i="2" s="1"/>
  <c r="I173" i="2"/>
  <c r="L173" i="2" s="1"/>
  <c r="I569" i="2"/>
  <c r="L569" i="2" s="1"/>
  <c r="I564" i="2"/>
  <c r="L564" i="2" s="1"/>
  <c r="I557" i="2"/>
  <c r="L557" i="2" s="1"/>
  <c r="I153" i="2"/>
  <c r="L153" i="2" s="1"/>
  <c r="I544" i="2"/>
  <c r="L544" i="2" s="1"/>
  <c r="I143" i="2"/>
  <c r="L143" i="2" s="1"/>
  <c r="I995" i="2"/>
  <c r="L995" i="2" s="1"/>
  <c r="I804" i="2"/>
  <c r="L804" i="2" s="1"/>
  <c r="I982" i="2"/>
  <c r="L982" i="2" s="1"/>
  <c r="I976" i="2"/>
  <c r="L976" i="2" s="1"/>
  <c r="I532" i="2"/>
  <c r="L532" i="2" s="1"/>
  <c r="I791" i="2"/>
  <c r="L791" i="2" s="1"/>
  <c r="I788" i="2"/>
  <c r="L788" i="2" s="1"/>
  <c r="I947" i="2"/>
  <c r="L947" i="2" s="1"/>
  <c r="I783" i="2"/>
  <c r="L783" i="2" s="1"/>
  <c r="I935" i="2"/>
  <c r="L935" i="2" s="1"/>
  <c r="I929" i="2"/>
  <c r="L929" i="2" s="1"/>
  <c r="I125" i="2"/>
  <c r="L125" i="2" s="1"/>
  <c r="I518" i="2"/>
  <c r="L518" i="2" s="1"/>
  <c r="I772" i="2"/>
  <c r="L772" i="2" s="1"/>
  <c r="I504" i="2"/>
  <c r="L504" i="2" s="1"/>
  <c r="I498" i="2"/>
  <c r="L498" i="2" s="1"/>
  <c r="I493" i="2"/>
  <c r="L493" i="2" s="1"/>
  <c r="I488" i="2"/>
  <c r="L488" i="2" s="1"/>
  <c r="I478" i="2"/>
  <c r="L478" i="2" s="1"/>
  <c r="I473" i="2"/>
  <c r="L473" i="2" s="1"/>
  <c r="I468" i="2"/>
  <c r="L468" i="2" s="1"/>
  <c r="I765" i="2"/>
  <c r="L765" i="2" s="1"/>
  <c r="I458" i="2"/>
  <c r="L458" i="2" s="1"/>
  <c r="I203" i="2"/>
  <c r="L203" i="2" s="1"/>
  <c r="I82" i="2"/>
  <c r="L82" i="2" s="1"/>
  <c r="I199" i="2"/>
  <c r="L199" i="2" s="1"/>
  <c r="I435" i="2"/>
  <c r="L435" i="2" s="1"/>
  <c r="I432" i="2"/>
  <c r="L432" i="2" s="1"/>
  <c r="I60" i="2"/>
  <c r="L60" i="2" s="1"/>
  <c r="I758" i="2"/>
  <c r="L758" i="2" s="1"/>
  <c r="I47" i="2"/>
  <c r="L47" i="2" s="1"/>
  <c r="I40" i="2"/>
  <c r="L40" i="2" s="1"/>
  <c r="I407" i="2"/>
  <c r="L407" i="2" s="1"/>
  <c r="I755" i="2"/>
  <c r="L755" i="2" s="1"/>
  <c r="I25" i="2"/>
  <c r="L25" i="2" s="1"/>
  <c r="I393" i="2"/>
  <c r="L393" i="2" s="1"/>
  <c r="I11" i="2"/>
  <c r="L11" i="2" s="1"/>
  <c r="I387" i="2"/>
  <c r="L387" i="2" s="1"/>
  <c r="I380" i="2"/>
  <c r="L380" i="2" s="1"/>
  <c r="I2" i="2"/>
  <c r="L2" i="2" s="1"/>
  <c r="I365" i="2"/>
  <c r="L365" i="2" s="1"/>
  <c r="I735" i="2"/>
  <c r="L735" i="2" s="1"/>
  <c r="I920" i="2"/>
  <c r="L920" i="2" s="1"/>
  <c r="I354" i="2"/>
  <c r="L354" i="2" s="1"/>
  <c r="I725" i="2"/>
  <c r="L725" i="2" s="1"/>
  <c r="I341" i="2"/>
  <c r="L341" i="2" s="1"/>
  <c r="I907" i="2"/>
  <c r="L907" i="2" s="1"/>
  <c r="I709" i="2"/>
  <c r="L709" i="2" s="1"/>
  <c r="I706" i="2"/>
  <c r="L706" i="2" s="1"/>
  <c r="I892" i="2"/>
  <c r="L892" i="2" s="1"/>
  <c r="I890" i="2"/>
  <c r="L890" i="2" s="1"/>
  <c r="I316" i="2"/>
  <c r="L316" i="2" s="1"/>
  <c r="I314" i="2"/>
  <c r="L314" i="2" s="1"/>
  <c r="I875" i="2"/>
  <c r="L875" i="2" s="1"/>
  <c r="I689" i="2"/>
  <c r="L689" i="2" s="1"/>
  <c r="I868" i="2"/>
  <c r="L868" i="2" s="1"/>
  <c r="I295" i="2"/>
  <c r="L295" i="2" s="1"/>
  <c r="I675" i="2"/>
  <c r="L675" i="2" s="1"/>
  <c r="I861" i="2"/>
  <c r="L861" i="2" s="1"/>
  <c r="I858" i="2"/>
  <c r="L858" i="2" s="1"/>
  <c r="I853" i="2"/>
  <c r="L853" i="2" s="1"/>
  <c r="I272" i="2"/>
  <c r="L272" i="2" s="1"/>
  <c r="I654" i="2"/>
  <c r="L654" i="2" s="1"/>
  <c r="I261" i="2"/>
  <c r="L261" i="2" s="1"/>
  <c r="I258" i="2"/>
  <c r="L258" i="2" s="1"/>
  <c r="I641" i="2"/>
  <c r="L641" i="2" s="1"/>
  <c r="I832" i="2"/>
  <c r="L832" i="2" s="1"/>
  <c r="I633" i="2"/>
  <c r="L633" i="2" s="1"/>
  <c r="I240" i="2"/>
  <c r="L240" i="2" s="1"/>
  <c r="I626" i="2"/>
  <c r="L626" i="2" s="1"/>
  <c r="I624" i="2"/>
  <c r="L624" i="2" s="1"/>
  <c r="I622" i="2"/>
  <c r="L622" i="2" s="1"/>
  <c r="I609" i="2"/>
  <c r="L609" i="2" s="1"/>
  <c r="I186" i="2"/>
  <c r="L186" i="2" s="1"/>
  <c r="I597" i="2"/>
  <c r="L597" i="2" s="1"/>
  <c r="I586" i="2"/>
  <c r="L586" i="2" s="1"/>
  <c r="I178" i="2"/>
  <c r="L178" i="2" s="1"/>
  <c r="I172" i="2"/>
  <c r="L172" i="2" s="1"/>
  <c r="I164" i="2"/>
  <c r="L164" i="2" s="1"/>
  <c r="I563" i="2"/>
  <c r="L563" i="2" s="1"/>
  <c r="I554" i="2"/>
  <c r="L554" i="2" s="1"/>
  <c r="I744" i="2"/>
  <c r="L744" i="2" s="1"/>
  <c r="I147" i="2"/>
  <c r="L147" i="2" s="1"/>
  <c r="I537" i="2"/>
  <c r="L537" i="2" s="1"/>
  <c r="I994" i="2"/>
  <c r="L994" i="2" s="1"/>
  <c r="I989" i="2"/>
  <c r="L989" i="2" s="1"/>
  <c r="I800" i="2"/>
  <c r="L800" i="2" s="1"/>
  <c r="I798" i="2"/>
  <c r="L798" i="2" s="1"/>
  <c r="I793" i="2"/>
  <c r="L793" i="2" s="1"/>
  <c r="I961" i="2"/>
  <c r="L961" i="2" s="1"/>
  <c r="I954" i="2"/>
  <c r="L954" i="2" s="1"/>
  <c r="I133" i="2"/>
  <c r="L133" i="2" s="1"/>
  <c r="I941" i="2"/>
  <c r="L941" i="2" s="1"/>
  <c r="I130" i="2"/>
  <c r="L130" i="2" s="1"/>
  <c r="I927" i="2"/>
  <c r="L927" i="2" s="1"/>
  <c r="I123" i="2"/>
  <c r="L123" i="2" s="1"/>
  <c r="I121" i="2"/>
  <c r="L121" i="2" s="1"/>
  <c r="I117" i="2"/>
  <c r="L117" i="2" s="1"/>
  <c r="I502" i="2"/>
  <c r="L502" i="2" s="1"/>
  <c r="I496" i="2"/>
  <c r="L496" i="2" s="1"/>
  <c r="I768" i="2"/>
  <c r="L768" i="2" s="1"/>
  <c r="I485" i="2"/>
  <c r="L485" i="2" s="1"/>
  <c r="I477" i="2"/>
  <c r="L477" i="2" s="1"/>
  <c r="I472" i="2"/>
  <c r="L472" i="2" s="1"/>
  <c r="I465" i="2"/>
  <c r="L465" i="2" s="1"/>
  <c r="I88" i="2"/>
  <c r="L88" i="2" s="1"/>
  <c r="I455" i="2"/>
  <c r="L455" i="2" s="1"/>
  <c r="I762" i="2"/>
  <c r="L762" i="2" s="1"/>
  <c r="I80" i="2"/>
  <c r="L80" i="2" s="1"/>
  <c r="I613" i="2"/>
  <c r="L613" i="2" s="1"/>
  <c r="I71" i="2"/>
  <c r="L71" i="2" s="1"/>
  <c r="I66" i="2"/>
  <c r="L66" i="2" s="1"/>
  <c r="I427" i="2"/>
  <c r="L427" i="2" s="1"/>
  <c r="I423" i="2"/>
  <c r="L423" i="2" s="1"/>
  <c r="I45" i="2"/>
  <c r="L45" i="2" s="1"/>
  <c r="I414" i="2"/>
  <c r="L414" i="2" s="1"/>
  <c r="I405" i="2"/>
  <c r="L405" i="2" s="1"/>
  <c r="I30" i="2"/>
  <c r="L30" i="2" s="1"/>
  <c r="I397" i="2"/>
  <c r="L397" i="2" s="1"/>
  <c r="I17" i="2"/>
  <c r="L17" i="2" s="1"/>
  <c r="I750" i="2"/>
  <c r="L750" i="2" s="1"/>
  <c r="I6" i="2"/>
  <c r="L6" i="2" s="1"/>
  <c r="I377" i="2"/>
  <c r="L377" i="2" s="1"/>
  <c r="I366" i="2"/>
  <c r="L366" i="2" s="1"/>
  <c r="I736" i="2"/>
  <c r="L736" i="2" s="1"/>
  <c r="I732" i="2"/>
  <c r="L732" i="2" s="1"/>
  <c r="I729" i="2"/>
  <c r="L729" i="2" s="1"/>
  <c r="I347" i="2"/>
  <c r="L347" i="2" s="1"/>
  <c r="I722" i="2"/>
  <c r="L722" i="2" s="1"/>
  <c r="I339" i="2"/>
  <c r="L339" i="2" s="1"/>
  <c r="I904" i="2"/>
  <c r="L904" i="2" s="1"/>
  <c r="I898" i="2"/>
  <c r="L898" i="2" s="1"/>
  <c r="I328" i="2"/>
  <c r="L328" i="2" s="1"/>
  <c r="I322" i="2"/>
  <c r="L322" i="2" s="1"/>
  <c r="I888" i="2"/>
  <c r="L888" i="2" s="1"/>
  <c r="I881" i="2"/>
  <c r="L881" i="2" s="1"/>
  <c r="I309" i="2"/>
  <c r="L309" i="2" s="1"/>
  <c r="I690" i="2"/>
  <c r="L690" i="2" s="1"/>
  <c r="I685" i="2"/>
  <c r="L685" i="2" s="1"/>
  <c r="I865" i="2"/>
  <c r="L865" i="2" s="1"/>
  <c r="I289" i="2"/>
  <c r="L289" i="2" s="1"/>
  <c r="I669" i="2"/>
  <c r="L669" i="2" s="1"/>
  <c r="I281" i="2"/>
  <c r="L281" i="2" s="1"/>
  <c r="I661" i="2"/>
  <c r="L661" i="2" s="1"/>
  <c r="I658" i="2"/>
  <c r="L658" i="2" s="1"/>
  <c r="I269" i="2"/>
  <c r="L269" i="2" s="1"/>
  <c r="I844" i="2"/>
  <c r="L844" i="2" s="1"/>
  <c r="I840" i="2"/>
  <c r="L840" i="2" s="1"/>
  <c r="I642" i="2"/>
  <c r="L642" i="2" s="1"/>
  <c r="I639" i="2"/>
  <c r="L639" i="2" s="1"/>
  <c r="I634" i="2"/>
  <c r="L634" i="2" s="1"/>
  <c r="I630" i="2"/>
  <c r="L630" i="2" s="1"/>
  <c r="I627" i="2"/>
  <c r="L627" i="2" s="1"/>
  <c r="I822" i="2"/>
  <c r="L822" i="2" s="1"/>
  <c r="I819" i="2"/>
  <c r="L819" i="2" s="1"/>
  <c r="I611" i="2"/>
  <c r="L611" i="2" s="1"/>
  <c r="I188" i="2"/>
  <c r="L188" i="2" s="1"/>
  <c r="I599" i="2"/>
  <c r="L599" i="2" s="1"/>
  <c r="I587" i="2"/>
  <c r="L587" i="2" s="1"/>
  <c r="I579" i="2"/>
  <c r="L579" i="2" s="1"/>
  <c r="I574" i="2"/>
  <c r="L574" i="2" s="1"/>
  <c r="I166" i="2"/>
  <c r="L166" i="2" s="1"/>
  <c r="I160" i="2"/>
  <c r="L160" i="2" s="1"/>
  <c r="I556" i="2"/>
  <c r="L556" i="2" s="1"/>
  <c r="I549" i="2"/>
  <c r="L549" i="2" s="1"/>
  <c r="I148" i="2"/>
  <c r="L148" i="2" s="1"/>
  <c r="I539" i="2"/>
  <c r="L539" i="2" s="1"/>
  <c r="I141" i="2"/>
  <c r="L141" i="2" s="1"/>
  <c r="I139" i="2"/>
  <c r="L139" i="2" s="1"/>
  <c r="I802" i="2"/>
  <c r="L802" i="2" s="1"/>
  <c r="I136" i="2"/>
  <c r="L136" i="2" s="1"/>
  <c r="I971" i="2"/>
  <c r="L971" i="2" s="1"/>
  <c r="I963" i="2"/>
  <c r="L963" i="2" s="1"/>
  <c r="I135" i="2"/>
  <c r="L135" i="2" s="1"/>
  <c r="I946" i="2"/>
  <c r="L946" i="2" s="1"/>
  <c r="I942" i="2"/>
  <c r="L942" i="2" s="1"/>
  <c r="I779" i="2"/>
  <c r="L779" i="2" s="1"/>
  <c r="I928" i="2"/>
  <c r="L928" i="2" s="1"/>
  <c r="I124" i="2"/>
  <c r="L124" i="2" s="1"/>
  <c r="I213" i="2"/>
  <c r="L213" i="2" s="1"/>
  <c r="I119" i="2"/>
  <c r="L119" i="2" s="1"/>
  <c r="I115" i="2"/>
  <c r="L115" i="2" s="1"/>
  <c r="I497" i="2"/>
  <c r="L497" i="2" s="1"/>
  <c r="I210" i="2"/>
  <c r="L210" i="2" s="1"/>
  <c r="I487" i="2"/>
  <c r="L487" i="2" s="1"/>
  <c r="I209" i="2"/>
  <c r="L209" i="2" s="1"/>
  <c r="I99" i="2"/>
  <c r="L99" i="2" s="1"/>
  <c r="I467" i="2"/>
  <c r="L467" i="2" s="1"/>
  <c r="I89" i="2"/>
  <c r="L89" i="2" s="1"/>
  <c r="I457" i="2"/>
  <c r="L457" i="2" s="1"/>
  <c r="I450" i="2"/>
  <c r="L450" i="2" s="1"/>
  <c r="I81" i="2"/>
  <c r="L81" i="2" s="1"/>
  <c r="I78" i="2"/>
  <c r="L78" i="2" s="1"/>
  <c r="I72" i="2"/>
  <c r="L72" i="2" s="1"/>
  <c r="I431" i="2"/>
  <c r="L431" i="2" s="1"/>
  <c r="I59" i="2"/>
  <c r="L59" i="2" s="1"/>
  <c r="I757" i="2"/>
  <c r="L757" i="2" s="1"/>
  <c r="I419" i="2"/>
  <c r="L419" i="2" s="1"/>
  <c r="I39" i="2"/>
  <c r="L39" i="2" s="1"/>
  <c r="I406" i="2"/>
  <c r="L406" i="2" s="1"/>
  <c r="I402" i="2"/>
  <c r="L402" i="2" s="1"/>
  <c r="I24" i="2"/>
  <c r="L24" i="2" s="1"/>
  <c r="I19" i="2"/>
  <c r="L19" i="2" s="1"/>
  <c r="I10" i="2"/>
  <c r="L10" i="2" s="1"/>
  <c r="I747" i="2"/>
  <c r="L747" i="2" s="1"/>
  <c r="I379" i="2"/>
  <c r="L379" i="2" s="1"/>
  <c r="I369" i="2"/>
  <c r="L369" i="2" s="1"/>
  <c r="I364" i="2"/>
  <c r="L364" i="2" s="1"/>
  <c r="I924" i="2"/>
  <c r="L924" i="2" s="1"/>
  <c r="I919" i="2"/>
  <c r="L919" i="2" s="1"/>
  <c r="I353" i="2"/>
  <c r="L353" i="2" s="1"/>
  <c r="I724" i="2"/>
  <c r="L724" i="2" s="1"/>
  <c r="I720" i="2"/>
  <c r="L720" i="2" s="1"/>
  <c r="I338" i="2"/>
  <c r="L338" i="2" s="1"/>
  <c r="I708" i="2"/>
  <c r="L708" i="2" s="1"/>
  <c r="I332" i="2"/>
  <c r="L332" i="2" s="1"/>
  <c r="I703" i="2"/>
  <c r="L703" i="2" s="1"/>
  <c r="I320" i="2"/>
  <c r="L320" i="2" s="1"/>
  <c r="I886" i="2"/>
  <c r="L886" i="2" s="1"/>
  <c r="I879" i="2"/>
  <c r="L879" i="2" s="1"/>
  <c r="I307" i="2"/>
  <c r="L307" i="2" s="1"/>
  <c r="I303" i="2"/>
  <c r="L303" i="2" s="1"/>
  <c r="I867" i="2"/>
  <c r="L867" i="2" s="1"/>
  <c r="I294" i="2"/>
  <c r="L294" i="2" s="1"/>
  <c r="I288" i="2"/>
  <c r="L288" i="2" s="1"/>
  <c r="I286" i="2"/>
  <c r="L286" i="2" s="1"/>
  <c r="I857" i="2"/>
  <c r="L857" i="2" s="1"/>
  <c r="I852" i="2"/>
  <c r="L852" i="2" s="1"/>
  <c r="I657" i="2"/>
  <c r="L657" i="2" s="1"/>
  <c r="I653" i="2"/>
  <c r="L653" i="2" s="1"/>
  <c r="I843" i="2"/>
  <c r="L843" i="2" s="1"/>
  <c r="I645" i="2"/>
  <c r="L645" i="2" s="1"/>
  <c r="I255" i="2"/>
  <c r="L255" i="2" s="1"/>
  <c r="I248" i="2"/>
  <c r="L248" i="2" s="1"/>
  <c r="I632" i="2"/>
  <c r="L632" i="2" s="1"/>
  <c r="I239" i="2"/>
  <c r="L239" i="2" s="1"/>
  <c r="I232" i="2"/>
  <c r="L232" i="2" s="1"/>
  <c r="I821" i="2"/>
  <c r="L821" i="2" s="1"/>
  <c r="I621" i="2"/>
  <c r="L621" i="2" s="1"/>
  <c r="I192" i="2"/>
  <c r="L192" i="2" s="1"/>
  <c r="I604" i="2"/>
  <c r="L604" i="2" s="1"/>
  <c r="I596" i="2"/>
  <c r="L596" i="2" s="1"/>
  <c r="I585" i="2"/>
  <c r="L585" i="2" s="1"/>
  <c r="I177" i="2"/>
  <c r="L177" i="2" s="1"/>
  <c r="I171" i="2"/>
  <c r="L171" i="2" s="1"/>
  <c r="I163" i="2"/>
  <c r="L163" i="2" s="1"/>
  <c r="I562" i="2"/>
  <c r="L562" i="2" s="1"/>
  <c r="I810" i="2"/>
  <c r="L810" i="2" s="1"/>
  <c r="I547" i="2"/>
  <c r="L547" i="2" s="1"/>
  <c r="I809" i="2"/>
  <c r="L809" i="2" s="1"/>
  <c r="I142" i="2"/>
  <c r="L142" i="2" s="1"/>
  <c r="I140" i="2"/>
  <c r="L140" i="2" s="1"/>
  <c r="I534" i="2"/>
  <c r="L534" i="2" s="1"/>
  <c r="I981" i="2"/>
  <c r="L981" i="2" s="1"/>
  <c r="I797" i="2"/>
  <c r="L797" i="2" s="1"/>
  <c r="I969" i="2"/>
  <c r="L969" i="2" s="1"/>
  <c r="I530" i="2"/>
  <c r="L530" i="2" s="1"/>
  <c r="I953" i="2"/>
  <c r="L953" i="2" s="1"/>
  <c r="I528" i="2"/>
  <c r="L528" i="2" s="1"/>
  <c r="I940" i="2"/>
  <c r="L940" i="2" s="1"/>
  <c r="I933" i="2"/>
  <c r="L933" i="2" s="1"/>
  <c r="I128" i="2"/>
  <c r="L128" i="2" s="1"/>
  <c r="I214" i="2"/>
  <c r="L214" i="2" s="1"/>
  <c r="I212" i="2"/>
  <c r="L212" i="2" s="1"/>
  <c r="I511" i="2"/>
  <c r="L511" i="2" s="1"/>
  <c r="I501" i="2"/>
  <c r="L501" i="2" s="1"/>
  <c r="I112" i="2"/>
  <c r="L112" i="2" s="1"/>
  <c r="I109" i="2"/>
  <c r="L109" i="2" s="1"/>
  <c r="I484" i="2"/>
  <c r="L484" i="2" s="1"/>
  <c r="I103" i="2"/>
  <c r="L103" i="2" s="1"/>
  <c r="I471" i="2"/>
  <c r="L471" i="2" s="1"/>
  <c r="I95" i="2"/>
  <c r="L95" i="2" s="1"/>
  <c r="I461" i="2"/>
  <c r="L461" i="2" s="1"/>
  <c r="I454" i="2"/>
  <c r="L454" i="2" s="1"/>
  <c r="I448" i="2"/>
  <c r="L448" i="2" s="1"/>
  <c r="I201" i="2"/>
  <c r="L201" i="2" s="1"/>
  <c r="I76" i="2"/>
  <c r="L76" i="2" s="1"/>
  <c r="I198" i="2"/>
  <c r="L198" i="2" s="1"/>
  <c r="I430" i="2"/>
  <c r="L430" i="2" s="1"/>
  <c r="I57" i="2"/>
  <c r="L57" i="2" s="1"/>
  <c r="I52" i="2"/>
  <c r="L52" i="2" s="1"/>
  <c r="I418" i="2"/>
  <c r="L418" i="2" s="1"/>
  <c r="I413" i="2"/>
  <c r="L413" i="2" s="1"/>
  <c r="I36" i="2"/>
  <c r="L36" i="2" s="1"/>
  <c r="I29" i="2"/>
  <c r="L29" i="2" s="1"/>
  <c r="I753" i="2"/>
  <c r="L753" i="2" s="1"/>
  <c r="I16" i="2"/>
  <c r="L16" i="2" s="1"/>
  <c r="I390" i="2"/>
  <c r="L390" i="2" s="1"/>
  <c r="I5" i="2"/>
  <c r="L5" i="2" s="1"/>
  <c r="I376" i="2"/>
  <c r="L376" i="2" s="1"/>
  <c r="I923" i="2"/>
  <c r="L923" i="2" s="1"/>
  <c r="I352" i="2"/>
  <c r="L352" i="2" s="1"/>
  <c r="I345" i="2"/>
  <c r="L345" i="2" s="1"/>
  <c r="I909" i="2"/>
  <c r="L909" i="2" s="1"/>
  <c r="I337" i="2"/>
  <c r="L337" i="2" s="1"/>
  <c r="I335" i="2"/>
  <c r="L335" i="2" s="1"/>
  <c r="I331" i="2"/>
  <c r="L331" i="2" s="1"/>
  <c r="I700" i="2"/>
  <c r="L700" i="2" s="1"/>
  <c r="I885" i="2"/>
  <c r="L885" i="2" s="1"/>
  <c r="I313" i="2"/>
  <c r="L313" i="2" s="1"/>
  <c r="I306" i="2"/>
  <c r="L306" i="2" s="1"/>
  <c r="I302" i="2"/>
  <c r="L302" i="2" s="1"/>
  <c r="I684" i="2"/>
  <c r="L684" i="2" s="1"/>
  <c r="I293" i="2"/>
  <c r="L293" i="2" s="1"/>
  <c r="I674" i="2"/>
  <c r="L674" i="2" s="1"/>
  <c r="I667" i="2"/>
  <c r="L667" i="2" s="1"/>
  <c r="I280" i="2"/>
  <c r="L280" i="2" s="1"/>
  <c r="I851" i="2"/>
  <c r="L851" i="2" s="1"/>
  <c r="I849" i="2"/>
  <c r="L849" i="2" s="1"/>
  <c r="I267" i="2"/>
  <c r="L267" i="2" s="1"/>
  <c r="I650" i="2"/>
  <c r="L650" i="2" s="1"/>
  <c r="I257" i="2"/>
  <c r="L257" i="2" s="1"/>
  <c r="I834" i="2"/>
  <c r="L834" i="2" s="1"/>
  <c r="I638" i="2"/>
  <c r="L638" i="2" s="1"/>
  <c r="I829" i="2"/>
  <c r="L829" i="2" s="1"/>
  <c r="I238" i="2"/>
  <c r="L238" i="2" s="1"/>
  <c r="I231" i="2"/>
  <c r="L231" i="2" s="1"/>
  <c r="I225" i="2"/>
  <c r="L225" i="2" s="1"/>
  <c r="I218" i="2"/>
  <c r="L218" i="2" s="1"/>
  <c r="I608" i="2"/>
  <c r="L608" i="2" s="1"/>
  <c r="I746" i="2"/>
  <c r="L746" i="2" s="1"/>
  <c r="I595" i="2"/>
  <c r="L595" i="2" s="1"/>
  <c r="I584" i="2"/>
  <c r="L584" i="2" s="1"/>
  <c r="I577" i="2"/>
  <c r="L577" i="2" s="1"/>
  <c r="I572" i="2"/>
  <c r="L572" i="2" s="1"/>
  <c r="I568" i="2"/>
  <c r="L568" i="2" s="1"/>
  <c r="I158" i="2"/>
  <c r="L158" i="2" s="1"/>
  <c r="I156" i="2"/>
  <c r="L156" i="2" s="1"/>
  <c r="I152" i="2"/>
  <c r="L152" i="2" s="1"/>
  <c r="I542" i="2"/>
  <c r="L542" i="2" s="1"/>
  <c r="I1001" i="2"/>
  <c r="L1001" i="2" s="1"/>
  <c r="I536" i="2"/>
  <c r="L536" i="2" s="1"/>
  <c r="I988" i="2"/>
  <c r="L988" i="2" s="1"/>
  <c r="I980" i="2"/>
  <c r="L980" i="2" s="1"/>
  <c r="I796" i="2"/>
  <c r="L796" i="2" s="1"/>
  <c r="I968" i="2"/>
  <c r="L968" i="2" s="1"/>
  <c r="I960" i="2"/>
  <c r="L960" i="2" s="1"/>
  <c r="I952" i="2"/>
  <c r="L952" i="2" s="1"/>
  <c r="I787" i="2"/>
  <c r="L787" i="2" s="1"/>
  <c r="I131" i="2"/>
  <c r="L131" i="2" s="1"/>
  <c r="I129" i="2"/>
  <c r="L129" i="2" s="1"/>
  <c r="I215" i="2"/>
  <c r="L215" i="2" s="1"/>
  <c r="I522" i="2"/>
  <c r="L522" i="2" s="1"/>
  <c r="I517" i="2"/>
  <c r="L517" i="2" s="1"/>
  <c r="I510" i="2"/>
  <c r="L510" i="2" s="1"/>
  <c r="I618" i="2"/>
  <c r="L618" i="2" s="1"/>
  <c r="I617" i="2"/>
  <c r="L617" i="2" s="1"/>
  <c r="I108" i="2"/>
  <c r="L108" i="2" s="1"/>
  <c r="I483" i="2"/>
  <c r="L483" i="2" s="1"/>
  <c r="I102" i="2"/>
  <c r="L102" i="2" s="1"/>
  <c r="I98" i="2"/>
  <c r="L98" i="2" s="1"/>
  <c r="I464" i="2"/>
  <c r="L464" i="2" s="1"/>
  <c r="I460" i="2"/>
  <c r="L460" i="2" s="1"/>
  <c r="I453" i="2"/>
  <c r="L453" i="2" s="1"/>
  <c r="I84" i="2"/>
  <c r="L84" i="2" s="1"/>
  <c r="I200" i="2"/>
  <c r="L200" i="2" s="1"/>
  <c r="I75" i="2"/>
  <c r="L75" i="2" s="1"/>
  <c r="I760" i="2"/>
  <c r="L760" i="2" s="1"/>
  <c r="I65" i="2"/>
  <c r="L65" i="2" s="1"/>
  <c r="I56" i="2"/>
  <c r="L56" i="2" s="1"/>
  <c r="I51" i="2"/>
  <c r="L51" i="2" s="1"/>
  <c r="I417" i="2"/>
  <c r="L417" i="2" s="1"/>
  <c r="I756" i="2"/>
  <c r="L756" i="2" s="1"/>
  <c r="I35" i="2"/>
  <c r="L35" i="2" s="1"/>
  <c r="I754" i="2"/>
  <c r="L754" i="2" s="1"/>
  <c r="I23" i="2"/>
  <c r="L23" i="2" s="1"/>
  <c r="I392" i="2"/>
  <c r="L392" i="2" s="1"/>
  <c r="I9" i="2"/>
  <c r="L9" i="2" s="1"/>
  <c r="I4" i="2"/>
  <c r="L4" i="2" s="1"/>
  <c r="I3" i="2"/>
  <c r="L3" i="2" s="1"/>
  <c r="I918" i="2"/>
  <c r="L918" i="2" s="1"/>
  <c r="I702" i="2"/>
  <c r="L702" i="2" s="1"/>
  <c r="I739" i="2"/>
  <c r="L739" i="2" s="1"/>
  <c r="I917" i="2"/>
  <c r="L917" i="2" s="1"/>
  <c r="I728" i="2"/>
  <c r="L728" i="2" s="1"/>
  <c r="I344" i="2"/>
  <c r="L344" i="2" s="1"/>
  <c r="I719" i="2"/>
  <c r="L719" i="2" s="1"/>
  <c r="I713" i="2"/>
  <c r="L713" i="2" s="1"/>
  <c r="I707" i="2"/>
  <c r="L707" i="2" s="1"/>
  <c r="I705" i="2"/>
  <c r="L705" i="2" s="1"/>
  <c r="I327" i="2"/>
  <c r="L327" i="2" s="1"/>
  <c r="I699" i="2"/>
  <c r="L699" i="2" s="1"/>
  <c r="I884" i="2"/>
  <c r="L884" i="2" s="1"/>
  <c r="I312" i="2"/>
  <c r="L312" i="2" s="1"/>
  <c r="I305" i="2"/>
  <c r="L305" i="2" s="1"/>
  <c r="I688" i="2"/>
  <c r="L688" i="2" s="1"/>
  <c r="I683" i="2"/>
  <c r="L683" i="2" s="1"/>
  <c r="I292" i="2"/>
  <c r="L292" i="2" s="1"/>
  <c r="I863" i="2"/>
  <c r="L863" i="2" s="1"/>
  <c r="I666" i="2"/>
  <c r="L666" i="2" s="1"/>
  <c r="I856" i="2"/>
  <c r="L856" i="2" s="1"/>
  <c r="I277" i="2"/>
  <c r="L277" i="2" s="1"/>
  <c r="I848" i="2"/>
  <c r="L848" i="2" s="1"/>
  <c r="I266" i="2"/>
  <c r="L266" i="2" s="1"/>
  <c r="I842" i="2"/>
  <c r="L842" i="2" s="1"/>
  <c r="I644" i="2"/>
  <c r="L644" i="2" s="1"/>
  <c r="I254" i="2"/>
  <c r="L254" i="2" s="1"/>
  <c r="I637" i="2"/>
  <c r="L637" i="2" s="1"/>
  <c r="I244" i="2"/>
  <c r="L244" i="2" s="1"/>
  <c r="I629" i="2"/>
  <c r="L629" i="2" s="1"/>
  <c r="I625" i="2"/>
  <c r="L625" i="2" s="1"/>
  <c r="I623" i="2"/>
  <c r="L623" i="2" s="1"/>
  <c r="I620" i="2"/>
  <c r="L620" i="2" s="1"/>
  <c r="I607" i="2"/>
  <c r="L607" i="2" s="1"/>
  <c r="I603" i="2"/>
  <c r="L603" i="2" s="1"/>
  <c r="I594" i="2"/>
  <c r="L594" i="2" s="1"/>
  <c r="I583" i="2"/>
  <c r="L583" i="2" s="1"/>
  <c r="I812" i="2"/>
  <c r="L812" i="2" s="1"/>
  <c r="I571" i="2"/>
  <c r="L571" i="2" s="1"/>
  <c r="I811" i="2"/>
  <c r="L811" i="2" s="1"/>
  <c r="I561" i="2"/>
  <c r="L561" i="2" s="1"/>
  <c r="I553" i="2"/>
  <c r="L553" i="2" s="1"/>
  <c r="I546" i="2"/>
  <c r="L546" i="2" s="1"/>
  <c r="I808" i="2"/>
  <c r="L808" i="2" s="1"/>
  <c r="I1000" i="2"/>
  <c r="L1000" i="2" s="1"/>
  <c r="I993" i="2"/>
  <c r="L993" i="2" s="1"/>
  <c r="I987" i="2"/>
  <c r="L987" i="2" s="1"/>
  <c r="I979" i="2"/>
  <c r="L979" i="2" s="1"/>
  <c r="I974" i="2"/>
  <c r="L974" i="2" s="1"/>
  <c r="I792" i="2"/>
  <c r="L792" i="2" s="1"/>
  <c r="I959" i="2"/>
  <c r="L959" i="2" s="1"/>
  <c r="I951" i="2"/>
  <c r="L951" i="2" s="1"/>
  <c r="I786" i="2"/>
  <c r="L786" i="2" s="1"/>
  <c r="I939" i="2"/>
  <c r="L939" i="2" s="1"/>
  <c r="I932" i="2"/>
  <c r="L932" i="2" s="1"/>
  <c r="I127" i="2"/>
  <c r="L127" i="2" s="1"/>
  <c r="I521" i="2"/>
  <c r="L521" i="2" s="1"/>
  <c r="I120" i="2"/>
  <c r="L120" i="2" s="1"/>
  <c r="I509" i="2"/>
  <c r="L509" i="2" s="1"/>
  <c r="I771" i="2"/>
  <c r="L771" i="2" s="1"/>
  <c r="I769" i="2"/>
  <c r="L769" i="2" s="1"/>
  <c r="I491" i="2"/>
  <c r="L491" i="2" s="1"/>
  <c r="I482" i="2"/>
  <c r="L482" i="2" s="1"/>
  <c r="I476" i="2"/>
  <c r="L476" i="2" s="1"/>
  <c r="I470" i="2"/>
  <c r="L470" i="2" s="1"/>
  <c r="I94" i="2"/>
  <c r="L94" i="2" s="1"/>
  <c r="I87" i="2"/>
  <c r="L87" i="2" s="1"/>
  <c r="I85" i="2"/>
  <c r="L85" i="2" s="1"/>
  <c r="I202" i="2"/>
  <c r="L202" i="2" s="1"/>
  <c r="I444" i="2"/>
  <c r="L444" i="2" s="1"/>
  <c r="I439" i="2"/>
  <c r="L439" i="2" s="1"/>
  <c r="I70" i="2"/>
  <c r="L70" i="2" s="1"/>
  <c r="I64" i="2"/>
  <c r="L64" i="2" s="1"/>
  <c r="I55" i="2"/>
  <c r="L55" i="2" s="1"/>
  <c r="I422" i="2"/>
  <c r="L422" i="2" s="1"/>
  <c r="I44" i="2"/>
  <c r="L44" i="2" s="1"/>
  <c r="I412" i="2"/>
  <c r="L412" i="2" s="1"/>
  <c r="I404" i="2"/>
  <c r="L404" i="2" s="1"/>
  <c r="I28" i="2"/>
  <c r="L28" i="2" s="1"/>
  <c r="I396" i="2"/>
  <c r="L396" i="2" s="1"/>
  <c r="I15" i="2"/>
  <c r="L15" i="2" s="1"/>
  <c r="I749" i="2"/>
  <c r="L749" i="2" s="1"/>
  <c r="I386" i="2"/>
  <c r="L386" i="2" s="1"/>
  <c r="I375" i="2"/>
  <c r="L375" i="2" s="1"/>
  <c r="I926" i="2"/>
  <c r="L926" i="2" s="1"/>
  <c r="I360" i="2"/>
  <c r="L360" i="2" s="1"/>
  <c r="I731" i="2"/>
  <c r="L731" i="2" s="1"/>
  <c r="I913" i="2"/>
  <c r="L913" i="2" s="1"/>
  <c r="I346" i="2"/>
  <c r="L346" i="2" s="1"/>
  <c r="I721" i="2"/>
  <c r="L721" i="2" s="1"/>
  <c r="I714" i="2"/>
  <c r="L714" i="2" s="1"/>
  <c r="I903" i="2"/>
  <c r="L903" i="2" s="1"/>
  <c r="I897" i="2"/>
  <c r="L897" i="2" s="1"/>
  <c r="I893" i="2"/>
  <c r="L893" i="2" s="1"/>
  <c r="I321" i="2"/>
  <c r="L321" i="2" s="1"/>
  <c r="I887" i="2"/>
  <c r="L887" i="2" s="1"/>
  <c r="I880" i="2"/>
  <c r="L880" i="2" s="1"/>
  <c r="I308" i="2"/>
  <c r="L308" i="2" s="1"/>
  <c r="I871" i="2"/>
  <c r="L871" i="2" s="1"/>
  <c r="I869" i="2"/>
  <c r="L869" i="2" s="1"/>
  <c r="I680" i="2"/>
  <c r="L680" i="2" s="1"/>
  <c r="I864" i="2"/>
  <c r="L864" i="2" s="1"/>
  <c r="I668" i="2"/>
  <c r="L668" i="2" s="1"/>
  <c r="I859" i="2"/>
  <c r="L859" i="2" s="1"/>
  <c r="I278" i="2"/>
  <c r="L278" i="2" s="1"/>
  <c r="I850" i="2"/>
  <c r="L850" i="2" s="1"/>
  <c r="I268" i="2"/>
  <c r="L268" i="2" s="1"/>
  <c r="I262" i="2"/>
  <c r="L262" i="2" s="1"/>
  <c r="I259" i="2"/>
  <c r="L259" i="2" s="1"/>
  <c r="I835" i="2"/>
  <c r="L835" i="2" s="1"/>
  <c r="I249" i="2"/>
  <c r="L249" i="2" s="1"/>
  <c r="I830" i="2"/>
  <c r="L830" i="2" s="1"/>
  <c r="I826" i="2"/>
  <c r="L826" i="2" s="1"/>
  <c r="I233" i="2"/>
  <c r="L233" i="2" s="1"/>
  <c r="I226" i="2"/>
  <c r="L226" i="2" s="1"/>
  <c r="I219" i="2"/>
  <c r="L219" i="2" s="1"/>
  <c r="I610" i="2"/>
  <c r="L610" i="2" s="1"/>
  <c r="I187" i="2"/>
  <c r="L187" i="2" s="1"/>
  <c r="I598" i="2"/>
  <c r="L598" i="2" s="1"/>
  <c r="I182" i="2"/>
  <c r="L182" i="2" s="1"/>
  <c r="I578" i="2"/>
  <c r="L578" i="2" s="1"/>
  <c r="I573" i="2"/>
  <c r="L573" i="2" s="1"/>
  <c r="I165" i="2"/>
  <c r="L165" i="2" s="1"/>
  <c r="I159" i="2"/>
  <c r="L159" i="2" s="1"/>
  <c r="I555" i="2"/>
  <c r="L555" i="2" s="1"/>
  <c r="I548" i="2"/>
  <c r="L548" i="2" s="1"/>
  <c r="I543" i="2"/>
  <c r="L543" i="2" s="1"/>
  <c r="I538" i="2"/>
  <c r="L538" i="2" s="1"/>
  <c r="I806" i="2"/>
  <c r="L806" i="2" s="1"/>
  <c r="I803" i="2"/>
  <c r="L803" i="2" s="1"/>
  <c r="I801" i="2"/>
  <c r="L801" i="2" s="1"/>
  <c r="I975" i="2"/>
  <c r="L975" i="2" s="1"/>
  <c r="I970" i="2"/>
  <c r="L970" i="2" s="1"/>
  <c r="I962" i="2"/>
  <c r="L962" i="2" s="1"/>
  <c r="I955" i="2"/>
  <c r="L955" i="2" s="1"/>
  <c r="I945" i="2"/>
  <c r="L945" i="2" s="1"/>
  <c r="I782" i="2"/>
  <c r="L782" i="2" s="1"/>
  <c r="I934" i="2"/>
  <c r="L934" i="2" s="1"/>
  <c r="I775" i="2"/>
  <c r="L775" i="2" s="1"/>
  <c r="I523" i="2"/>
  <c r="L523" i="2" s="1"/>
  <c r="I122" i="2"/>
  <c r="L122" i="2" s="1"/>
  <c r="I118" i="2"/>
  <c r="L118" i="2" s="1"/>
  <c r="I503" i="2"/>
  <c r="L503" i="2" s="1"/>
  <c r="I770" i="2"/>
  <c r="L770" i="2" s="1"/>
  <c r="I492" i="2"/>
  <c r="L492" i="2" s="1"/>
  <c r="I486" i="2"/>
  <c r="L486" i="2" s="1"/>
  <c r="I615" i="2"/>
  <c r="L615" i="2" s="1"/>
  <c r="I207" i="2"/>
  <c r="L207" i="2" s="1"/>
  <c r="I466" i="2"/>
  <c r="L466" i="2" s="1"/>
  <c r="I462" i="2"/>
  <c r="L462" i="2" s="1"/>
  <c r="I456" i="2"/>
  <c r="L456" i="2" s="1"/>
  <c r="I449" i="2"/>
  <c r="L449" i="2" s="1"/>
  <c r="I761" i="2"/>
  <c r="L761" i="2" s="1"/>
  <c r="I77" i="2"/>
  <c r="L77" i="2" s="1"/>
  <c r="I741" i="2"/>
  <c r="L741" i="2" s="1"/>
  <c r="I67" i="2"/>
  <c r="L67" i="2" s="1"/>
  <c r="I58" i="2"/>
  <c r="L58" i="2" s="1"/>
  <c r="I424" i="2"/>
  <c r="L424" i="2" s="1"/>
  <c r="I46" i="2"/>
  <c r="L46" i="2" s="1"/>
  <c r="I196" i="2"/>
  <c r="L196" i="2" s="1"/>
  <c r="I37" i="2"/>
  <c r="L37" i="2" s="1"/>
  <c r="I31" i="2"/>
  <c r="L31" i="2" s="1"/>
  <c r="I398" i="2"/>
  <c r="L398" i="2" s="1"/>
  <c r="I18" i="2"/>
  <c r="L18" i="2" s="1"/>
  <c r="I391" i="2"/>
  <c r="L391" i="2" s="1"/>
  <c r="I194" i="2"/>
  <c r="L194" i="2" s="1"/>
  <c r="I378" i="2"/>
  <c r="L378" i="2" s="1"/>
  <c r="I612" i="2"/>
  <c r="L612" i="2" s="1"/>
  <c r="I363" i="2"/>
  <c r="L363" i="2" s="1"/>
  <c r="I922" i="2"/>
  <c r="L922" i="2" s="1"/>
  <c r="I727" i="2"/>
  <c r="L727" i="2" s="1"/>
  <c r="I343" i="2"/>
  <c r="L343" i="2" s="1"/>
  <c r="I718" i="2"/>
  <c r="L718" i="2" s="1"/>
  <c r="I906" i="2"/>
  <c r="L906" i="2" s="1"/>
  <c r="I334" i="2"/>
  <c r="L334" i="2" s="1"/>
  <c r="I896" i="2"/>
  <c r="L896" i="2" s="1"/>
  <c r="I326" i="2"/>
  <c r="L326" i="2" s="1"/>
  <c r="I889" i="2"/>
  <c r="L889" i="2" s="1"/>
  <c r="I696" i="2"/>
  <c r="L696" i="2" s="1"/>
  <c r="I878" i="2"/>
  <c r="L878" i="2" s="1"/>
  <c r="I692" i="2"/>
  <c r="L692" i="2" s="1"/>
  <c r="I301" i="2"/>
  <c r="L301" i="2" s="1"/>
  <c r="I866" i="2"/>
  <c r="L866" i="2" s="1"/>
  <c r="I679" i="2"/>
  <c r="L679" i="2" s="1"/>
  <c r="I673" i="2"/>
  <c r="L673" i="2" s="1"/>
  <c r="I285" i="2"/>
  <c r="L285" i="2" s="1"/>
  <c r="I855" i="2"/>
  <c r="L855" i="2" s="1"/>
  <c r="I276" i="2"/>
  <c r="L276" i="2" s="1"/>
  <c r="I656" i="2"/>
  <c r="L656" i="2" s="1"/>
  <c r="I652" i="2"/>
  <c r="L652" i="2" s="1"/>
  <c r="I649" i="2"/>
  <c r="L649" i="2" s="1"/>
  <c r="I643" i="2"/>
  <c r="L643" i="2" s="1"/>
  <c r="I253" i="2"/>
  <c r="L253" i="2" s="1"/>
  <c r="I636" i="2"/>
  <c r="L636" i="2" s="1"/>
  <c r="I828" i="2"/>
  <c r="L828" i="2" s="1"/>
  <c r="I237" i="2"/>
  <c r="L237" i="2" s="1"/>
  <c r="I230" i="2"/>
  <c r="L230" i="2" s="1"/>
  <c r="I224" i="2"/>
  <c r="L224" i="2" s="1"/>
  <c r="I619" i="2"/>
  <c r="L619" i="2" s="1"/>
  <c r="I191" i="2"/>
  <c r="L191" i="2" s="1"/>
  <c r="I602" i="2"/>
  <c r="L602" i="2" s="1"/>
  <c r="I593" i="2"/>
  <c r="L593" i="2" s="1"/>
  <c r="I582" i="2"/>
  <c r="L582" i="2" s="1"/>
  <c r="I176" i="2"/>
  <c r="L176" i="2" s="1"/>
  <c r="I170" i="2"/>
  <c r="L170" i="2" s="1"/>
  <c r="I162" i="2"/>
  <c r="L162" i="2" s="1"/>
  <c r="I560" i="2"/>
  <c r="L560" i="2" s="1"/>
  <c r="I552" i="2"/>
  <c r="L552" i="2" s="1"/>
  <c r="I151" i="2"/>
  <c r="L151" i="2" s="1"/>
  <c r="I146" i="2"/>
  <c r="L146" i="2" s="1"/>
  <c r="I807" i="2"/>
  <c r="L807" i="2" s="1"/>
  <c r="I992" i="2"/>
  <c r="L992" i="2" s="1"/>
  <c r="I986" i="2"/>
  <c r="L986" i="2" s="1"/>
  <c r="I137" i="2"/>
  <c r="L137" i="2" s="1"/>
  <c r="I795" i="2"/>
  <c r="L795" i="2" s="1"/>
  <c r="I967" i="2"/>
  <c r="L967" i="2" s="1"/>
  <c r="I958" i="2"/>
  <c r="L958" i="2" s="1"/>
  <c r="I950" i="2"/>
  <c r="L950" i="2" s="1"/>
  <c r="I944" i="2"/>
  <c r="L944" i="2" s="1"/>
  <c r="I938" i="2"/>
  <c r="L938" i="2" s="1"/>
  <c r="I931" i="2"/>
  <c r="L931" i="2" s="1"/>
  <c r="I527" i="2"/>
  <c r="L527" i="2" s="1"/>
  <c r="I774" i="2"/>
  <c r="L774" i="2" s="1"/>
  <c r="I516" i="2"/>
  <c r="L516" i="2" s="1"/>
  <c r="I508" i="2"/>
  <c r="L508" i="2" s="1"/>
  <c r="I500" i="2"/>
  <c r="L500" i="2" s="1"/>
  <c r="I111" i="2"/>
  <c r="L111" i="2" s="1"/>
  <c r="I490" i="2"/>
  <c r="L490" i="2" s="1"/>
  <c r="I481" i="2"/>
  <c r="L481" i="2" s="1"/>
  <c r="I208" i="2"/>
  <c r="L208" i="2" s="1"/>
  <c r="I97" i="2"/>
  <c r="L97" i="2" s="1"/>
  <c r="I93" i="2"/>
  <c r="L93" i="2" s="1"/>
  <c r="I459" i="2"/>
  <c r="L459" i="2" s="1"/>
  <c r="I452" i="2"/>
  <c r="L452" i="2" s="1"/>
  <c r="I814" i="2"/>
  <c r="L814" i="2" s="1"/>
  <c r="I443" i="2"/>
  <c r="L443" i="2" s="1"/>
  <c r="I438" i="2"/>
  <c r="L438" i="2" s="1"/>
  <c r="I69" i="2"/>
  <c r="L69" i="2" s="1"/>
  <c r="I63" i="2"/>
  <c r="L63" i="2" s="1"/>
  <c r="I759" i="2"/>
  <c r="L759" i="2" s="1"/>
  <c r="I50" i="2"/>
  <c r="L50" i="2" s="1"/>
  <c r="I43" i="2"/>
  <c r="L43" i="2" s="1"/>
  <c r="I411" i="2"/>
  <c r="L411" i="2" s="1"/>
  <c r="I34" i="2"/>
  <c r="L34" i="2" s="1"/>
  <c r="I401" i="2"/>
  <c r="L401" i="2" s="1"/>
  <c r="I395" i="2"/>
  <c r="L395" i="2" s="1"/>
  <c r="I14" i="2"/>
  <c r="L14" i="2" s="1"/>
  <c r="I8" i="2"/>
  <c r="L8" i="2" s="1"/>
  <c r="I385" i="2"/>
  <c r="L385" i="2" s="1"/>
  <c r="I374" i="2"/>
  <c r="L374" i="2" s="1"/>
  <c r="I362" i="2"/>
  <c r="L362" i="2" s="1"/>
  <c r="I734" i="2"/>
  <c r="L734" i="2" s="1"/>
  <c r="I916" i="2"/>
  <c r="L916" i="2" s="1"/>
  <c r="I723" i="2"/>
  <c r="L723" i="2" s="1"/>
  <c r="I717" i="2"/>
  <c r="L717" i="2" s="1"/>
  <c r="I712" i="2"/>
  <c r="L712" i="2" s="1"/>
  <c r="I902" i="2"/>
  <c r="L902" i="2" s="1"/>
  <c r="I330" i="2"/>
  <c r="L330" i="2" s="1"/>
  <c r="I891" i="2"/>
  <c r="L891" i="2" s="1"/>
  <c r="I319" i="2"/>
  <c r="L319" i="2" s="1"/>
  <c r="I695" i="2"/>
  <c r="L695" i="2" s="1"/>
  <c r="I311" i="2"/>
  <c r="L311" i="2" s="1"/>
  <c r="I874" i="2"/>
  <c r="L874" i="2" s="1"/>
  <c r="I870" i="2"/>
  <c r="L870" i="2" s="1"/>
  <c r="I298" i="2"/>
  <c r="L298" i="2" s="1"/>
  <c r="I291" i="2"/>
  <c r="L291" i="2" s="1"/>
  <c r="I287" i="2"/>
  <c r="L287" i="2" s="1"/>
  <c r="I284" i="2"/>
  <c r="L284" i="2" s="1"/>
  <c r="I664" i="2"/>
  <c r="L664" i="2" s="1"/>
  <c r="I660" i="2"/>
  <c r="L660" i="2" s="1"/>
  <c r="I271" i="2"/>
  <c r="L271" i="2" s="1"/>
  <c r="I845" i="2"/>
  <c r="L845" i="2" s="1"/>
  <c r="I841" i="2"/>
  <c r="L841" i="2" s="1"/>
  <c r="I839" i="2"/>
  <c r="L839" i="2" s="1"/>
  <c r="I833" i="2"/>
  <c r="L833" i="2" s="1"/>
  <c r="I247" i="2"/>
  <c r="L247" i="2" s="1"/>
  <c r="I631" i="2"/>
  <c r="L631" i="2" s="1"/>
  <c r="I236" i="2"/>
  <c r="L236" i="2" s="1"/>
  <c r="I824" i="2"/>
  <c r="L824" i="2" s="1"/>
  <c r="I223" i="2"/>
  <c r="L223" i="2" s="1"/>
  <c r="I818" i="2"/>
  <c r="L818" i="2" s="1"/>
  <c r="I190" i="2"/>
  <c r="L190" i="2" s="1"/>
  <c r="I601" i="2"/>
  <c r="L601" i="2" s="1"/>
  <c r="I592" i="2"/>
  <c r="L592" i="2" s="1"/>
  <c r="I181" i="2"/>
  <c r="L181" i="2" s="1"/>
  <c r="I576" i="2"/>
  <c r="L576" i="2" s="1"/>
  <c r="I169" i="2"/>
  <c r="L169" i="2" s="1"/>
  <c r="I567" i="2"/>
  <c r="L567" i="2" s="1"/>
  <c r="I559" i="2"/>
  <c r="L559" i="2" s="1"/>
  <c r="I551" i="2"/>
  <c r="L551" i="2" s="1"/>
  <c r="I150" i="2"/>
  <c r="L150" i="2" s="1"/>
  <c r="I541" i="2"/>
  <c r="L541" i="2" s="1"/>
  <c r="I999" i="2"/>
  <c r="L999" i="2" s="1"/>
  <c r="I991" i="2"/>
  <c r="L991" i="2" s="1"/>
  <c r="I985" i="2"/>
  <c r="L985" i="2" s="1"/>
  <c r="I978" i="2"/>
  <c r="L978" i="2" s="1"/>
  <c r="I973" i="2"/>
  <c r="L973" i="2" s="1"/>
  <c r="I966" i="2"/>
  <c r="L966" i="2" s="1"/>
  <c r="I790" i="2"/>
  <c r="L790" i="2" s="1"/>
  <c r="I949" i="2"/>
  <c r="L949" i="2" s="1"/>
  <c r="I785" i="2"/>
  <c r="L785" i="2" s="1"/>
  <c r="I937" i="2"/>
  <c r="L937" i="2" s="1"/>
  <c r="I778" i="2"/>
  <c r="L778" i="2" s="1"/>
  <c r="I526" i="2"/>
  <c r="L526" i="2" s="1"/>
  <c r="I815" i="2"/>
  <c r="L815" i="2" s="1"/>
  <c r="I515" i="2"/>
  <c r="L515" i="2" s="1"/>
  <c r="I507" i="2"/>
  <c r="L507" i="2" s="1"/>
  <c r="I114" i="2"/>
  <c r="L114" i="2" s="1"/>
  <c r="I110" i="2"/>
  <c r="L110" i="2" s="1"/>
  <c r="I107" i="2"/>
  <c r="L107" i="2" s="1"/>
  <c r="I480" i="2"/>
  <c r="L480" i="2" s="1"/>
  <c r="I475" i="2"/>
  <c r="L475" i="2" s="1"/>
  <c r="I766" i="2"/>
  <c r="L766" i="2" s="1"/>
  <c r="I92" i="2"/>
  <c r="L92" i="2" s="1"/>
  <c r="I764" i="2"/>
  <c r="L764" i="2" s="1"/>
  <c r="I451" i="2"/>
  <c r="L451" i="2" s="1"/>
  <c r="I83" i="2"/>
  <c r="L83" i="2" s="1"/>
  <c r="I442" i="2"/>
  <c r="L442" i="2" s="1"/>
  <c r="I74" i="2"/>
  <c r="L74" i="2" s="1"/>
  <c r="I434" i="2"/>
  <c r="L434" i="2" s="1"/>
  <c r="I62" i="2"/>
  <c r="L62" i="2" s="1"/>
  <c r="I54" i="2"/>
  <c r="L54" i="2" s="1"/>
  <c r="I49" i="2"/>
  <c r="L49" i="2" s="1"/>
  <c r="I42" i="2"/>
  <c r="L42" i="2" s="1"/>
  <c r="I410" i="2"/>
  <c r="L410" i="2" s="1"/>
  <c r="I403" i="2"/>
  <c r="L403" i="2" s="1"/>
  <c r="I27" i="2"/>
  <c r="L27" i="2" s="1"/>
  <c r="I22" i="2"/>
  <c r="L22" i="2" s="1"/>
  <c r="I752" i="2"/>
  <c r="L752" i="2" s="1"/>
  <c r="I389" i="2"/>
  <c r="L389" i="2" s="1"/>
  <c r="I384" i="2"/>
  <c r="L384" i="2" s="1"/>
  <c r="I373" i="2"/>
  <c r="L373" i="2" s="1"/>
  <c r="I925" i="2"/>
  <c r="L925" i="2" s="1"/>
  <c r="I733" i="2"/>
  <c r="L733" i="2" s="1"/>
  <c r="I356" i="2"/>
  <c r="L356" i="2" s="1"/>
  <c r="I351" i="2"/>
  <c r="L351" i="2" s="1"/>
  <c r="I716" i="2"/>
  <c r="L716" i="2" s="1"/>
  <c r="I336" i="2"/>
  <c r="L336" i="2" s="1"/>
  <c r="I901" i="2"/>
  <c r="L901" i="2" s="1"/>
  <c r="I895" i="2"/>
  <c r="L895" i="2" s="1"/>
  <c r="I325" i="2"/>
  <c r="L325" i="2" s="1"/>
  <c r="I318" i="2"/>
  <c r="L318" i="2" s="1"/>
  <c r="I883" i="2"/>
  <c r="L883" i="2" s="1"/>
  <c r="I877" i="2"/>
  <c r="L877" i="2" s="1"/>
  <c r="I304" i="2"/>
  <c r="L304" i="2" s="1"/>
  <c r="I687" i="2"/>
  <c r="L687" i="2" s="1"/>
  <c r="I297" i="2"/>
  <c r="L297" i="2" s="1"/>
  <c r="I678" i="2"/>
  <c r="L678" i="2" s="1"/>
  <c r="I672" i="2"/>
  <c r="L672" i="2" s="1"/>
  <c r="I283" i="2"/>
  <c r="L283" i="2" s="1"/>
  <c r="I854" i="2"/>
  <c r="L854" i="2" s="1"/>
  <c r="I275" i="2"/>
  <c r="L275" i="2" s="1"/>
  <c r="I847" i="2"/>
  <c r="L847" i="2" s="1"/>
  <c r="I265" i="2"/>
  <c r="L265" i="2" s="1"/>
  <c r="I260" i="2"/>
  <c r="L260" i="2" s="1"/>
  <c r="I838" i="2"/>
  <c r="L838" i="2" s="1"/>
  <c r="I640" i="2"/>
  <c r="L640" i="2" s="1"/>
  <c r="I246" i="2"/>
  <c r="L246" i="2" s="1"/>
  <c r="I243" i="2"/>
  <c r="L243" i="2" s="1"/>
  <c r="I825" i="2"/>
  <c r="L825" i="2" s="1"/>
  <c r="I229" i="2"/>
  <c r="L229" i="2" s="1"/>
  <c r="I222" i="2"/>
  <c r="L222" i="2" s="1"/>
  <c r="I817" i="2"/>
  <c r="L817" i="2" s="1"/>
  <c r="I606" i="2"/>
  <c r="L606" i="2" s="1"/>
  <c r="I600" i="2"/>
  <c r="L600" i="2" s="1"/>
  <c r="I591" i="2"/>
  <c r="L591" i="2" s="1"/>
  <c r="I581" i="2"/>
  <c r="L581" i="2" s="1"/>
  <c r="I175" i="2"/>
  <c r="L175" i="2" s="1"/>
  <c r="I570" i="2"/>
  <c r="L570" i="2" s="1"/>
  <c r="I566" i="2"/>
  <c r="L566" i="2" s="1"/>
  <c r="I745" i="2"/>
  <c r="L745" i="2" s="1"/>
  <c r="I155" i="2"/>
  <c r="L155" i="2" s="1"/>
  <c r="I149" i="2"/>
  <c r="L149" i="2" s="1"/>
  <c r="I145" i="2"/>
  <c r="L145" i="2" s="1"/>
  <c r="I998" i="2"/>
  <c r="L998" i="2" s="1"/>
  <c r="I990" i="2"/>
  <c r="L990" i="2" s="1"/>
  <c r="I138" i="2"/>
  <c r="L138" i="2" s="1"/>
  <c r="I977" i="2"/>
  <c r="L977" i="2" s="1"/>
  <c r="I533" i="2"/>
  <c r="L533" i="2" s="1"/>
  <c r="I531" i="2"/>
  <c r="L531" i="2" s="1"/>
  <c r="I789" i="2"/>
  <c r="L789" i="2" s="1"/>
  <c r="I134" i="2"/>
  <c r="L134" i="2" s="1"/>
  <c r="I132" i="2"/>
  <c r="L132" i="2" s="1"/>
  <c r="I781" i="2"/>
  <c r="L781" i="2" s="1"/>
  <c r="I777" i="2"/>
  <c r="L777" i="2" s="1"/>
  <c r="I126" i="2"/>
  <c r="L126" i="2" s="1"/>
  <c r="I773" i="2"/>
  <c r="L773" i="2" s="1"/>
  <c r="I514" i="2"/>
  <c r="L514" i="2" s="1"/>
  <c r="I116" i="2"/>
  <c r="L116" i="2" s="1"/>
  <c r="I113" i="2"/>
  <c r="L113" i="2" s="1"/>
  <c r="I495" i="2"/>
  <c r="L495" i="2" s="1"/>
  <c r="I106" i="2"/>
  <c r="L106" i="2" s="1"/>
  <c r="I104" i="2"/>
  <c r="L104" i="2" s="1"/>
  <c r="I101" i="2"/>
  <c r="L101" i="2" s="1"/>
  <c r="I742" i="2"/>
  <c r="L742" i="2" s="1"/>
  <c r="I91" i="2"/>
  <c r="L91" i="2" s="1"/>
  <c r="I206" i="2"/>
  <c r="L206" i="2" s="1"/>
  <c r="I204" i="2"/>
  <c r="L204" i="2" s="1"/>
  <c r="I447" i="2"/>
  <c r="L447" i="2" s="1"/>
  <c r="I441" i="2"/>
  <c r="L441" i="2" s="1"/>
  <c r="I437" i="2"/>
  <c r="L437" i="2" s="1"/>
  <c r="I197" i="2"/>
  <c r="L197" i="2" s="1"/>
  <c r="I429" i="2"/>
  <c r="L429" i="2" s="1"/>
  <c r="I53" i="2"/>
  <c r="L53" i="2" s="1"/>
  <c r="I421" i="2"/>
  <c r="L421" i="2" s="1"/>
  <c r="I416" i="2"/>
  <c r="L416" i="2" s="1"/>
  <c r="I38" i="2"/>
  <c r="L38" i="2" s="1"/>
  <c r="I33" i="2"/>
  <c r="L33" i="2" s="1"/>
  <c r="I400" i="2"/>
  <c r="L400" i="2" s="1"/>
  <c r="I21" i="2"/>
  <c r="L21" i="2" s="1"/>
  <c r="I13" i="2"/>
  <c r="L13" i="2" s="1"/>
  <c r="I7" i="2"/>
  <c r="L7" i="2" s="1"/>
  <c r="I383" i="2"/>
  <c r="L383" i="2" s="1"/>
  <c r="I372" i="2"/>
  <c r="L372" i="2" s="1"/>
  <c r="I738" i="2"/>
  <c r="L738" i="2" s="1"/>
  <c r="I358" i="2"/>
  <c r="L358" i="2" s="1"/>
  <c r="I355" i="2"/>
  <c r="L355" i="2" s="1"/>
  <c r="I350" i="2"/>
  <c r="L350" i="2" s="1"/>
  <c r="I911" i="2"/>
  <c r="L911" i="2" s="1"/>
  <c r="I908" i="2"/>
  <c r="L908" i="2" s="1"/>
  <c r="I905" i="2"/>
  <c r="L905" i="2" s="1"/>
  <c r="I333" i="2"/>
  <c r="L333" i="2" s="1"/>
  <c r="I329" i="2"/>
  <c r="L329" i="2" s="1"/>
  <c r="I324" i="2"/>
  <c r="L324" i="2" s="1"/>
  <c r="I698" i="2"/>
  <c r="L698" i="2" s="1"/>
  <c r="I694" i="2"/>
  <c r="L694" i="2" s="1"/>
  <c r="I693" i="2"/>
  <c r="L693" i="2" s="1"/>
  <c r="I873" i="2"/>
  <c r="L873" i="2" s="1"/>
  <c r="I686" i="2"/>
  <c r="L686" i="2" s="1"/>
  <c r="I682" i="2"/>
  <c r="L682" i="2" s="1"/>
  <c r="I677" i="2"/>
  <c r="L677" i="2" s="1"/>
  <c r="I862" i="2"/>
  <c r="L862" i="2" s="1"/>
  <c r="I860" i="2"/>
  <c r="L860" i="2" s="1"/>
  <c r="I663" i="2"/>
  <c r="L663" i="2" s="1"/>
  <c r="I274" i="2"/>
  <c r="L274" i="2" s="1"/>
  <c r="I655" i="2"/>
  <c r="L655" i="2" s="1"/>
  <c r="I264" i="2"/>
  <c r="L264" i="2" s="1"/>
  <c r="I648" i="2"/>
  <c r="L648" i="2" s="1"/>
  <c r="I837" i="2"/>
  <c r="L837" i="2" s="1"/>
  <c r="I252" i="2"/>
  <c r="L252" i="2" s="1"/>
  <c r="I245" i="2"/>
  <c r="L245" i="2" s="1"/>
  <c r="I242" i="2"/>
  <c r="L242" i="2" s="1"/>
  <c r="I628" i="2"/>
  <c r="L628" i="2" s="1"/>
  <c r="I823" i="2"/>
  <c r="L823" i="2" s="1"/>
  <c r="I820" i="2"/>
  <c r="L820" i="2" s="1"/>
  <c r="I217" i="2"/>
  <c r="L217" i="2" s="1"/>
  <c r="I189" i="2"/>
  <c r="L189" i="2" s="1"/>
  <c r="I185" i="2"/>
  <c r="L185" i="2" s="1"/>
  <c r="I590" i="2"/>
  <c r="L590" i="2" s="1"/>
  <c r="I580" i="2"/>
  <c r="L580" i="2" s="1"/>
  <c r="I174" i="2"/>
  <c r="L174" i="2" s="1"/>
  <c r="I168" i="2"/>
  <c r="L168" i="2" s="1"/>
  <c r="I565" i="2"/>
  <c r="L565" i="2" s="1"/>
  <c r="I558" i="2"/>
  <c r="L558" i="2" s="1"/>
  <c r="I550" i="2"/>
  <c r="L550" i="2" s="1"/>
  <c r="I743" i="2"/>
  <c r="L743" i="2" s="1"/>
  <c r="I144" i="2"/>
  <c r="L144" i="2" s="1"/>
  <c r="I997" i="2"/>
  <c r="L997" i="2" s="1"/>
  <c r="I535" i="2"/>
  <c r="L535" i="2" s="1"/>
  <c r="I984" i="2"/>
  <c r="L984" i="2" s="1"/>
  <c r="I816" i="2"/>
  <c r="L816" i="2" s="1"/>
  <c r="I794" i="2"/>
  <c r="L794" i="2" s="1"/>
  <c r="I965" i="2"/>
  <c r="L965" i="2" s="1"/>
  <c r="I957" i="2"/>
  <c r="L957" i="2" s="1"/>
  <c r="I529" i="2"/>
  <c r="L529" i="2" s="1"/>
  <c r="I784" i="2"/>
  <c r="L784" i="2" s="1"/>
  <c r="I780" i="2"/>
  <c r="L780" i="2" s="1"/>
  <c r="I776" i="2"/>
  <c r="L776" i="2" s="1"/>
  <c r="I525" i="2"/>
  <c r="L525" i="2" s="1"/>
  <c r="I520" i="2"/>
  <c r="L520" i="2" s="1"/>
  <c r="I513" i="2"/>
  <c r="L513" i="2" s="1"/>
  <c r="I506" i="2"/>
  <c r="L506" i="2" s="1"/>
  <c r="I499" i="2"/>
  <c r="L499" i="2" s="1"/>
  <c r="I616" i="2"/>
  <c r="L616" i="2" s="1"/>
  <c r="I489" i="2"/>
  <c r="L489" i="2" s="1"/>
  <c r="I479" i="2"/>
  <c r="L479" i="2" s="1"/>
  <c r="I474" i="2"/>
  <c r="L474" i="2" s="1"/>
  <c r="I96" i="2"/>
  <c r="L96" i="2" s="1"/>
  <c r="I90" i="2"/>
  <c r="L90" i="2" s="1"/>
  <c r="I205" i="2"/>
  <c r="L205" i="2" s="1"/>
  <c r="I763" i="2"/>
  <c r="L763" i="2" s="1"/>
  <c r="I446" i="2"/>
  <c r="L446" i="2" s="1"/>
  <c r="I440" i="2"/>
  <c r="L440" i="2" s="1"/>
  <c r="I436" i="2"/>
  <c r="L436" i="2" s="1"/>
  <c r="I433" i="2"/>
  <c r="L433" i="2" s="1"/>
  <c r="I428" i="2"/>
  <c r="L428" i="2" s="1"/>
  <c r="I426" i="2"/>
  <c r="L426" i="2" s="1"/>
  <c r="I420" i="2"/>
  <c r="L420" i="2" s="1"/>
  <c r="I41" i="2"/>
  <c r="L41" i="2" s="1"/>
  <c r="I409" i="2"/>
  <c r="L409" i="2" s="1"/>
  <c r="I195" i="2"/>
  <c r="L195" i="2" s="1"/>
  <c r="I26" i="2"/>
  <c r="L26" i="2" s="1"/>
  <c r="I20" i="2"/>
  <c r="L20" i="2" s="1"/>
  <c r="I12" i="2"/>
  <c r="L12" i="2" s="1"/>
  <c r="I388" i="2"/>
  <c r="L388" i="2" s="1"/>
  <c r="I382" i="2"/>
  <c r="L382" i="2" s="1"/>
  <c r="I371" i="2"/>
  <c r="L371" i="2" s="1"/>
  <c r="I368" i="2"/>
  <c r="L36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<sst xmlns="http://schemas.openxmlformats.org/spreadsheetml/2006/main" count="13416" uniqueCount="8746">
  <si>
    <t>ОГРН</t>
  </si>
  <si>
    <t>ИНН</t>
  </si>
  <si>
    <t>Краткое наименование</t>
  </si>
  <si>
    <t>Полное наименование</t>
  </si>
  <si>
    <t>ОКПО</t>
  </si>
  <si>
    <t>ОКАТО</t>
  </si>
  <si>
    <t>ОКФС</t>
  </si>
  <si>
    <t>ОКОПФ</t>
  </si>
  <si>
    <t>КПП</t>
  </si>
  <si>
    <t>Регистрация</t>
  </si>
  <si>
    <t>Ликвидация</t>
  </si>
  <si>
    <t>ОКВЭД</t>
  </si>
  <si>
    <t>ОКВЭД наименование</t>
  </si>
  <si>
    <t>Доп. ОКВЭД</t>
  </si>
  <si>
    <t>Руководитель</t>
  </si>
  <si>
    <t>ИНН руководителя</t>
  </si>
  <si>
    <t>Должность</t>
  </si>
  <si>
    <t>Адрес</t>
  </si>
  <si>
    <t>Телефоны</t>
  </si>
  <si>
    <t>Web-сайты</t>
  </si>
  <si>
    <t>Email</t>
  </si>
  <si>
    <t>Уст. капитал</t>
  </si>
  <si>
    <t>Выручка (2025)</t>
  </si>
  <si>
    <t>Осн. средства (2025)</t>
  </si>
  <si>
    <t>Запасы (2025)</t>
  </si>
  <si>
    <t>Деб. задолженность (2025)</t>
  </si>
  <si>
    <t>Кред. задолженность (2025)</t>
  </si>
  <si>
    <t>Чистая прибыль (2025)</t>
  </si>
  <si>
    <t>Прибыль от продаж (2025)</t>
  </si>
  <si>
    <t>прибыль до налогообложения (2025)</t>
  </si>
  <si>
    <t>РМСП</t>
  </si>
  <si>
    <t>кол-во сотрудников</t>
  </si>
  <si>
    <t>Налоговый режим</t>
  </si>
  <si>
    <t>ПАО "АЭРОФЛОТ"</t>
  </si>
  <si>
    <t>ПУБЛИЧНОЕ АКЦИОНЕРНОЕ ОБЩЕСТВО "АЭРОФЛОТ-РОССИЙСКИЕ АВИАЛИНИИ"</t>
  </si>
  <si>
    <t>41</t>
  </si>
  <si>
    <t>1994-06-21</t>
  </si>
  <si>
    <t>51.10.1</t>
  </si>
  <si>
    <t>Перевозка воздушным пассажирским транспортом, подчиняющимся расписанию</t>
  </si>
  <si>
    <t>49.39.39,51.21.1,52.23.19,52.29,61.90.9,68.20.29,85.42.9,86.21,18.12,33.16,41.20,46.14,51.10.1,51.21.3,52.29,55.10,56.10.1,58.19,62.01,62.02,62.09,64.99,68.32.2,70.22,73.20,79.11,85.22,85.42.9,86.21</t>
  </si>
  <si>
    <t>АЛЕКСАНДРОВСКИЙ СЕРГЕЙ ВЛАДИМИРОВИЧ</t>
  </si>
  <si>
    <t>ГЕНЕРАЛЬНЫЙ ДИРЕКТОР</t>
  </si>
  <si>
    <t>119019,  Г.МОСКВА, УЛ. АРБАТ, Д. 1</t>
  </si>
  <si>
    <t>+74956641319,+74955781384,+74995006762,+74995007624,+74995007258,+79091647126,+74957538163,+74995006765,+74957551500,+78432009585,+74212783456,+74952584082,+74957529016,+74242788555,+74152300722,+79091994636,+74955443312,+74995006868,+74952235555,+79039310032,+74956640001,+74957538188,+71278345684,+72300722842,+72901684995,+70068688415,+78288432009,+75858903931,+78584952584,+70032849575,+70828903931,+73849525840,+73884320095,+72427885558,+78495753816,+74957538004,+74957538063,+74952580684,+74995006867,+74955443329,+74992463049,+74995006700,+74991556648,+74995006800,+74957529031,+74992235555,+74956641201,+74995006481,+73833196860,+74995507624</t>
  </si>
  <si>
    <t>emitent@aeroflot.ru,,www.aeroflot.ru</t>
  </si>
  <si>
    <t>info@aeroflot.ru,ostepanov@aeroflot.ru,trade@aeroflot.ru,obodrova@aeroflot.ru,vgnikolaev@aeroflot.ru,saveliev@aeroflot.ru,info-afl@aeroflot.ru,imoskovaya@aeroflot.ru,yusannikov@aeroflot.ru,vminaev@aeroflot.ru,aableeva@aeroflot.ru,dbalakina@aeroflot.ru,ookorolev@aeroflot.ru,grkkp@aeroflot.ru,vakuzmin@aeroflot.ru,ankuznetsov3@aeroflot.ru,uussales@aeroflot.ru,arbat1@aeroflot.ru,inikolaenko@aeroflot.ru,rtwapsu@aeroflot.ru,krrapsu@aeroflot.ru,oshulga@aeroflot.ru,rtwapsuч@aeroflot.ru,ledtosu@aeroflot.ru,skorolev@aeroflot.ru,obadrova@aeroflot.ru,dsotnichenko@aeroflot.ru,yumelnik@aeroflot.ru,akhaliulin@aeroflot.ru,eakurochkin@aeroflot.ru,vvankevich@aeroflot.ru,asftosu@aeroflot.ru,vogtosu@aeroflot.ru,atarakanova@aeroflot.ru,yakhalaev@aeroflot.ru,kuftosu@aeroflot.net,khvsu@aeroflot.ru,rkashaev@aeroflot.ru,uusapsu@aeroflot.ru,aeroflot@atnet.ru,nsmolyannikova@aeroflot.ru,omssales@aeroflot.ru,peetosu@aeroflot.ru,dmalinov@aeroflot.ru,ovbtosu@aeroflot.ru,ikamaletdinov@aeroflot.ru,sspakhova@aeroflot.ru,omsapsu@aeroflot.ru,nplyasunova@aeroflot.ru,tjmtosu@aeroflot.ru</t>
  </si>
  <si>
    <t>ОСН</t>
  </si>
  <si>
    <t>ПАО "ТРАНСКОНТЕЙНЕР"</t>
  </si>
  <si>
    <t>ПУБЛИЧНОЕ АКЦИОНЕРНОЕ ОБЩЕСТВО "ТРАНСКОНТЕЙНЕР"</t>
  </si>
  <si>
    <t>2006-03-04</t>
  </si>
  <si>
    <t>52.29</t>
  </si>
  <si>
    <t>Деятельность вспомогательная прочая, связанная с перевозками</t>
  </si>
  <si>
    <t>35.30.14,46.90,49.41.1,52.24.2,68.20.29,16.23,29.20,30.2,33.11,33.12,33.17,35.30,41.2,43.11,43.12,45.11,45.19,45.20,46.69,46.77,46.90,47.99,49.20,49.41,52.10,52.2,52.21,52.24,52.29,68.1,68.2,69.20,69.20.2,70.22,73.20.1,77.12,77.3,77.39,82.20</t>
  </si>
  <si>
    <t>МАРКОВ ВИКТОР НИКОЛАЕВИЧ
КОНЦЕРЕВ МИХАИЛ РУДОЛЬФОВИЧ</t>
  </si>
  <si>
    <t>772900803304
781400896256</t>
  </si>
  <si>
    <t>ДИРЕКТОР
ПРЕЗИДЕНТ</t>
  </si>
  <si>
    <t>141402, МОСКОВСКАЯ ОБЛАСТЬ, Г.О. ХИМКИ, Г ХИМКИ, УЛ ЛЕНИНГРАДСКАЯ, ВЛД. 39, СТР. 6, ОФИС 3 (ЭТАЖ 6)</t>
  </si>
  <si>
    <t>+74922486079,+79035505976,+74957881717,+74952627578,+74992626135,+74956379178,+74952661186,+74956096168,+74992625171,+74992628506,+74952628506,+74992627578,+74992627425,+79144837765,+73466467506,+79102522856,+73022220029,+73912480036,+74992627700,+73912480031,+73022225925,+78124589115,+74852230257,+74852205072,+73912480045,+78312484253,+73022225469,+78632594676,+73832222100,+74991548202,+74212385472,+74852230120,+78124589118,+78124586800,+74732653508,+73433801245,+74212384752,+78452390054,+78452390048,+73952645948,+78632590898,+78632699228,+78463032468,+73952645950,+73832294757,+74732558323,+73022325211,+78124586804,+74732652874,+78124586815</t>
  </si>
  <si>
    <t>www.e-disclosure.ru/portal/company.aspx?id=11194,,www.trcont.ru</t>
  </si>
  <si>
    <t>trcont@trcont.ru,zykinaes@trcont.ru,davidovatn@trcont.ru,zszd@trcont.ru,popyvanovaag@trcont.ru,secretar_dvgd@trcont.ru,ikonnikovaev@trcont.ru,medvedevamp@trcont.ru,kotygavg@trcont.ru,beliakovail@trcont.ru,burkutovaks@trcont.ru,mishinayu@trcont.ru,belyakovail@trcont.ru,obukhovichtv@trcont.ru,shorenkovaa@trcont.ru,demidovaon@trcont.ru,volozhaninmiu@trcont.ru,uskovanm@trcont.ru,konoplevdv@trcont.ru,smirnovagaa@trcont.ru,natalyp@pvrr.ru,svzd@trcont.ru,dvzd@tcont.ru,gzd@trcont.ru,uvzd@trkont.ru,vszd@trcont.ru,kiselevanv@trcont.ru,tripeletcmv@trcont.ru,kruglovaa@trcont.ru,bochkarevpi@trcont.ru,izvekovaen@trcont.ru,kozlovmib@trcont.ru,elenskiyam@trcont.ru,stankevskiysa@trcont.ru,didykmp@trcont.ru,liapinskoviv@trcont.ru,zlydnevani@trcont.ru,tokarevvn@trcont.ru,iasinskiyss@trcont.ru,omelchenkoan@trcont.ru,andreevio@trcont.ru,vasinav@trcont.ru,kuleshovea@trcont.ru,boldorzhievaviu@trcont.ru,golenevai@trcont.ru,erbiaginamv@trcont.ru,kulkovrs@trcont.ru,belosheykinaov@trcont.ru,korneeviuv@trcont.ru,titkovsn@trcont.ru</t>
  </si>
  <si>
    <t>АО "ФПК"</t>
  </si>
  <si>
    <t>АКЦИОНЕРНОЕ ОБЩЕСТВО "ФЕДЕРАЛЬНАЯ ПАССАЖИРСКАЯ КОМПАНИЯ"</t>
  </si>
  <si>
    <t>2009-12-03</t>
  </si>
  <si>
    <t>49.10.1</t>
  </si>
  <si>
    <t>Перевозка пассажиров железнодорожным транспортом в междугородном сообщении</t>
  </si>
  <si>
    <t>26.5,35.30.14,36.00,45.20,47.11,47.19,47.73,47.74,47.75,47.9,49.10,49.20,49.20,49.3,49.4,52.10,52.21,52.24,52.29,55.90,56.10,56.10.1,56.10.3,56.29,58,59.1,63.11.1,68.20,73.11,74.90.31,77.2,77.3,77.39,79.11,85.30,85.42,85.42.9,90.04,91.01,91.02,91.03,93.11,93.19,96.04</t>
  </si>
  <si>
    <t>ПЯСТОЛОВ ВЛАДИМИР ГЕННАДЬЕВИЧ</t>
  </si>
  <si>
    <t>107078,  Г.МОСКВА, УЛ МАШИ ПОРЫВАЕВОЙ, Д. 34</t>
  </si>
  <si>
    <t>+78512323240,+78512324212,+74992608474,+74992623349,+78312482346,+73952450950,+78463391044,+78124574173,+73472291767,+74992662278,+74212310765,+74992661276,+74992604398,+78312488352,+73433582758,+74992601356,+78452521214,+78463390441,+78463038654,+73433582463,+74992625192,+78463034679,+74992606634,+78312486414,+78632382844,+78124367178,+73832293306,+78312488911,+74955393886,+78124045084,+74992608602,+78632590648,+73433583957,+78463038468,+74959881000,+73832294124,+73952637405,+73952643266,+78463034244,+78463037390,+71242310765,+78312486737,+78452983061,+78632596918,+78312486491,+78312486242,+78312486069,+74212384692,+78452983065,+73472291004</t>
  </si>
  <si>
    <t>disclosure.skrin.ru/disclosure/7708709686,,fpc.rzd.ru/static/public/ru?structure_id=14,fpc54.ru</t>
  </si>
  <si>
    <t>delo@fpc.ru,vasilkovsv@fpc.ru,kravchukyv-kuyb@fpc.ru,chernyavinadu-priv@fpc.ru,lapshinaey-gork@fpc.ru,debunovav@fpc.ru,kaplinamv@fpc.ru,popovaoa-szap@fpc.ru,korolevasn-szap@fpc.ru,klimovaia-vsib@fpc.ru,korotkovang-msk@fpc.ru,rcoz_ovchinnikovve@grw.ru,artemevaya-ural@fpc.ru,sadykovnn@center.rzd.ru,miniakhmetovdh-kuyb@fpc.ru,shprungve@center.rzd.ru,rkz_vlasovvo@msk.rzd.ru,khalatovasa-daln@fpc.ru,chernovvv-ural@fpc.ru,kochevav@fpc.ru,behuv-skav@fpc.ru,voevodinayo-kuyb@fpc.ru,yatcichenkoia-kuyb@fpc.ru,pashkovau@fpc.ru,lynovadv@fpc.ru,ckz_mashinskaya@orw.ru,bochkarevaav-gork@fpc.ru,Аlekseevatv-zsib@fpc.ru,rcoz_skopinamv@grw.ru,koreginaas-szap@fpc.ru,chernoskutovann@fpc.ru,rcoz_artemovka@grw.ru,bariomi@center.rzd.ru,alekseevatv-zsib@fpc.ru,barskayaeg-daln@fpc.ru,sgpetrova@svrw.ru,skzd-iruban@skzd.rzd.ru,trubilinalv-vsib@fpc.ru,korolevaav-kuyb@fpc.ru,ryabykhai-kuyb@fpc.ru,tagilcevaeb@wsr.ru,ivanovanv-priv@fpc.org.rzd,yashinala@fpc.ru,zuevanv-priv@fpc.ru,rсоz_makarovpv@esrr.ru,kuznecovsa-kuyb@fpc.ru,rcoz_makarovpv@esrr.ru,slynkoas-kuyb@fpc.ru,rkz-terentevan@kbsh.rzd.ru,rckz_medvedevav@dvgd.ru</t>
  </si>
  <si>
    <t>АО "РЖДСТРОЙ"</t>
  </si>
  <si>
    <t>АКЦИОНЕРНОЕ ОБЩЕСТВО "РЖДСТРОЙ"</t>
  </si>
  <si>
    <t>2006-01-19</t>
  </si>
  <si>
    <t>43.12</t>
  </si>
  <si>
    <t>Подготовка строительной площадки</t>
  </si>
  <si>
    <t>23.32,23.51,23.61,25.11,37.00,41.10,41.2,41.20,42.11,42.12,42.13,42.91,42.99,43.11,43.12.3,43.2,43.21,43.22,43.29,43.3,43.39,43.91,43.99,43.99.1,46.73,47.52.7,49.20,68.20,71.12.1,71.12.2,71.12.45,77.32</t>
  </si>
  <si>
    <t>МАЛЬЦЕВ ЮРИЙ СЕРГЕЕВИЧ</t>
  </si>
  <si>
    <t>105005,  Г.МОСКВА, ПЕР. ЕЛИЗАВЕТИНСКИЙ, Д. 12, СТР. 1</t>
  </si>
  <si>
    <t>+78512322996,+78512323866,+74992668800,+74992613337,+74997530634,+74952680051,+79035380745,+74012601160,+79108813414,+73952644331,+74992603432,+79281279352,+74991873614,+78452412083,+79241007607,+78452744077,+79093913913,+74212911361,+79106662575,+73912482439,+78124364734,+73022225771,+78632590467,+74992662869,+78632594104,+78632638256,+79807400829,+74212911374,+73952643377,+79243099638,+74991873616,+74212911365,+74212382712,+74992604398,+78312483552,+74955005018,+74992662726,+74732655443,+74992662681,+74952668800,+74955434000,+78632035784,+74212911366,+78421911366,+74232249417,+74630349808,+79171092027,+74012587230,+74955005019,+78632638254</t>
  </si>
  <si>
    <t>www.rzdstroy.ru,,www.rzdstroy.ru</t>
  </si>
  <si>
    <t>info@rzdstroy.ru,boroninav@rzdstroy.ru,chuvankinab@rzdstroy.ru,sevostyanovrs@rzdstroy.ru,tokarevaaa@rzdstroy.ru,avetisyanis@rzdstroy.ru,parfulindg@rzdstroy.ru,zheleznovaei@rzdstroy.ru,myagkovaev@rzdstroy.ru,nikolaevds@rzdstroy.ru,shepchugovaap@rzdstroy.ru,moskovkinaes@rzdstroy.ru,lugovskayatv@rzdstroy.ru,pomeshikovals@rzdstroy.ru,shirokovav@rzdstroy.ru,pilipenkoem@rzdstroy.ru,ilinata@rzdstroy.ru,bizyaevaov@rzdstroy.ru,ratkinamn@rzdstroy.ru,kopylovaim@rzdstroy.ru,goncharovaoi@rzdstroy.ru,leonovaev@rzdstroy.ru,milovds@rzdstroy.ru,kosheevaka@rzdstroy.ru,uspenskayant@rzdstroy.ru,filkinaeo@rzdstroy.ru,korolevaey@rzdstroy.ru,odintsovas@rzdstroy.ru,ocheredkooe@rzdstroy.ru,stadnichenkoei@rzdstroy.ru,dyakonovaas@rzdstroy.ru,lesnovng@rzdstroy.ru,vasukovsn@rzdstroy.ru,hizhnyakovayv@rzdstroy.ru,kravetson@rzdstroy.ru,andreikouv@rzdstroy.ru,bogdanovana@rzdstroy.ru,somikey@rzdstroy.ru,shlemchenkoep@rzdstroy.ru,maximovda@rzdstroy.ru,solovevatv@rzdstroy.ru,sadykovnn@center.rzd.ru,garikhinoe@rzdstroy.ru,karelinsv@rzdstroy.ru,kozlovev@rzdstroy.ru,elfimovaev@rzdstroy.ru,andreykouv@rzdstroy.ru,bobylevaap@rzdstroy.ru,udalcovama@rzdstroy.ru,slonkinsg@rzdstroy.ru</t>
  </si>
  <si>
    <t>АО "ИНТЕР РАО-ЭЛЕКТРОГЕНЕРАЦИЯ"</t>
  </si>
  <si>
    <t>АКЦИОНЕРНОЕ ОБЩЕСТВО "ИНТЕР РАО-ЭЛЕКТРОГЕНЕРАЦИЯ"</t>
  </si>
  <si>
    <t>16</t>
  </si>
  <si>
    <t>2011-06-15</t>
  </si>
  <si>
    <t>35.11.1</t>
  </si>
  <si>
    <t>Производство электроэнергии тепловыми электростанциями, в том числе деятельность по обеспечению работоспособности электростанций</t>
  </si>
  <si>
    <t>25.62,33.12,33.14,35.11.2,35.14,35.23,35.30.11,35.30.14,35.30.4,36.00.1,36.00.2,37.00,46.90,49.42,49.50.21,52.10.21,52.10.9,52.21.11,61.10.1,68.20.1,68.20.29,69.20.2,71.20.4,77.39.11,77.39.23,77.39.29,82.99,93.11,96.09.9,03.21.4,03.22.5,20.11,23.61,33.13,33.14,33.14,33.20,35.11,35.11.1,35.11.1,35.11.2,35.11.2,35.12,35.12,35.13,35.14,35.14,35.22,35.30.1,35.30.11,35.30.14,35.30.2,35.30.3,35.30.4,35.30.5,36.00.1,36.00.2,37.00,37.00,41.2,41.20,42.21,42.22.1,42.22.3,43.21,46.71,46.90,49.20,49.3,49.4,49.41.1,49.41.2,49.50.21,49.50.22,52.10,52.10.21,52.10.23,52.21.1,52.21.2,52.24,56.29,61.10.1,68.10,68.20,68.20.1,68.20.2,68.32,70.10.1,70.10.2,70.22,71.12.1,71.12.6,71.12.62,71.20.1,72.19,73.20,77.39,85.23,85.42,86.21,86.23,86.90.4,91.01,93.11,96.09</t>
  </si>
  <si>
    <t>ОБЩЕСТВО С ОГРАНИЧЕННОЙ ОТВЕТСТВЕННОСТЬЮ "ИНТЕР РАО - УПРАВЛЕНИЕ ЭЛЕКТРОГЕНЕРАЦИЕЙ"</t>
  </si>
  <si>
    <t>—</t>
  </si>
  <si>
    <t>119435,  Г.МОСКВА, УЛ. БОЛЬШАЯ ПИРОГОВСКАЯ, Д.27, СТР.1</t>
  </si>
  <si>
    <t>+73014595437,+74945372855,+74945372863,+74956647680,+73426593950,+74945372062,+73426593234,+73426595002,+74945372246,+73014595367,+73426593000,+73014595327,+73014595572,+74945372860,+74012690449,+74012690448,+74945372708,+74945372648,+74945372834,+73426593306,+79632929980,+74012690453,+73014595326,+79632973711,+74016140610,+73014595651,+74945372818,+74945372822,+74945372253,+73014595344,+74012690263,+73014595491,+79044975203,+74014336160,+73536351207,+73513492396,+74012690423,+73516672531,+73536351247,+73426593260,+73435722308,+73014595349,+73494246713,+79243936695,+73494246723,+73494246671,+79245501153,+79245501152,+74012690367,+79245501154</t>
  </si>
  <si>
    <t>www.e-disclosure.ru/portal/company.aspx?id=29767,,www.interrao.ru/activity/generation/disclosure,pechgres.ru</t>
  </si>
  <si>
    <t>titova_eo@interrao.ru,surzhikova_ys@interrao.ru,alekseeva_aa@interrao.ru,tyurnikova_mb@interrao.ru,nazarova_va@interrao.ru,merkusheva_ta@interrao.ru,dmitrieva_ap@interrao.ru,golubeva_ly@interrao.ru,loskutnikov_am@interrao.ru,lebusova_on@interrao.ru,baldina_en@interrao.ru,prikhodko_ey@interrao.ru,nechaeva_tv@interrao.ru,likhacheva_ev@interrao.ru,suranov_av@interrao.ru,bulatova_avl@interrao.ru,moroz_tr@interrao.ru,ivanova_iv@interrao.ru,gavrilyuk_db@interrao.ru,shubin_rv@interrao.ru,brusnikina_in@interrao.ru,smotrichenko_ee@interrao.ru,shushpanova_ne@interrao.ru,svarin_es@interrao.ru,kabakova_iv@interrao.ru,gorokhova_aa@interrao.ru,kanashina_iv@interrao.ru,korenkova_ts@interrao.ru,frolov_svl@interrao.ru,efimova_tp@interrao.ru,dubova_ma@interrao.ru,kravchenko_ko@interrao.ru,pakush_av@interrao.ru,mokhova_nn@interrao.ru,karyakina_ym@interrao.ru,gosuslugi_eg@interrao.ru,nikiforova_yv@interrao.ru,naumkina_ms@interrao.ru,kutlaeva_er@interrao.ru,frolova_ty@interrao.ru,abramova_nan@interrao.ru,nosova_ns@interrao.ru,balbatunova_ey@interrao.ru,sd@vtgres.ogk1.ru,batalova_ea@interrao.ru,wwwinter-rao@mail.ru,lytkina_ya@interrao.ru,kazunina_dv@interrao.ru,chistyakova_ov@interrao.ru,shishkova_iv@interrao.ru</t>
  </si>
  <si>
    <t>АО "КОНЦЕРН РОСЭНЕРГОАТОМ"</t>
  </si>
  <si>
    <t>АКЦИОНЕРНОЕ ОБЩЕСТВО "РОССИЙСКИЙ КОНЦЕРН ПО ПРОИЗВОДСТВУ ЭЛЕКТРИЧЕСКОЙ И ТЕПЛОВОЙ ЭНЕРГИИ НА АТОМНЫХ СТАНЦИЯХ"</t>
  </si>
  <si>
    <t>61</t>
  </si>
  <si>
    <t>2008-09-17</t>
  </si>
  <si>
    <t>35.11.3</t>
  </si>
  <si>
    <t>Производство электроэнергии атомными электростанциями, в том числе деятельность по обеспечению работоспособности электростанций</t>
  </si>
  <si>
    <t>35.11.3,35.12,35.12,35.13,35.30.12,35.30.2,35.30.3,35.30.5,36.00.1,37.00,38.1,38.2,42.22.3,42.99,43.21,51.10,55.10,55.90,61.10,63.11,70.22,71.11.1,71.12,71.12.1,71.12.45,71.20,72.19,84.24,85.30,85.42,86.90.4</t>
  </si>
  <si>
    <t>ШУТИКОВ АЛЕКСАНДР ВИКТОРОВИЧ</t>
  </si>
  <si>
    <t>109507,  Г.МОСКВА, УЛ. ФЕРГАНСКАЯ, Д.25</t>
  </si>
  <si>
    <t>+74953770213,+78136922518,+74956474354,+74956605001,+74956609070,+74956434754,+74957106363,+74999494740,+74957830143,+73437736940,+79859703601,+74956474370,+74957106546,+74815370611,+78639219872,+78153243798,+78153244787,+78153243627,+78136954317,+78136954328,+78136954329,+78453497141,+74815330440,+78136954315,+74825569048,+74273825759,+74736473472,+78453497294,+78453497180,+74713156371,+78136954316,+78136954313,+78153243957,+78136954311,+74736473671,+78639297022,+78453497823,+74713157277,+78639297757,+78453497810,+74713153783,+78153242140,+74736473302,+73437738105,+74825569159,+78453499818,+78639298724,+74815330441,+74825569251,+78639223739</t>
  </si>
  <si>
    <t>sanatorij-balaes.ru,www.rosenergoatom.ru/stations_projects/sayt-novovoronezhskoy-aes/,www.salma-ski.ru,www.e-disclosure.ru/portal/company.aspx?id=18936,,www.rosenergoatom.ru</t>
  </si>
  <si>
    <t>kev@belnpp-auto.ru,post@belnpp.ru,sokolov@balaes.ru,profk@kolatom.murmansk.ru,panitskiyae@kolnpp.rosenergoatom.ru,salma-ski@yandex.ru,surkova@balaes.ru,beketova-sa@vdnpp.rosenergoatom.ru,kolanpp@kolatom.murmansk.ru,spf@belnpp.ru,reception@knpp.local,nvnpp1@nvnpp1.rosenergoatom.ru,kopan.laes@yandex.ru,voropaevaap@saes.ru,nechatvys@yandex.ru,info@rosenergoatom.ru,info@atomkomplekt.org,abramova-eka@rosenergoatom.ru,rakov-vv@rosenergoatom.ru,cz19@belnpp.ru,anvlprikhodko@rosatom.ru,gajdukova-ii@btaes.ru,savina-ys@rosenergoatom.ru,baibenkova-mn@rosenergoatom.ru,medvedeva22@rosenergoatom.ru,cz3@belnpp.ru,tabunshchikyv@odic.rosenergoatom.ru,cz-sov@ln.rosenergoatom.ru,turutina@balaes.ru,bekmambetov@saes.ru,lapkin_ou@kunpp.ru,anisimovav@kolnpp.rosenergoatom.ru,melnikova_ti@kunpp.ru,turganova@balaes.ru,rybakova-iv@bilnpp.ru,cz9@belnpp.ru,npp@balaes.ru,matveev_en@kunpp.ru,cz-reu@ln.rosenergoatom.ru,safronovav@nvnpp1.rosenergoatom.ru,frkp_zakupki@rosenergoatom.ru,borodina@kunpp.ru,evgrafova_as@knpp.ru,soboleva_tn@kunpp.ru,od-cpv@ln.rosenergoatom.ru,avdeeva@knpp.ru,bogdanov-ia@bilnpp.ru,shakurova-og@knpp.ru,cz-lav@ln.rosenergoatom.ru,sambulovrv@odic.rosenergoatom.ru</t>
  </si>
  <si>
    <t>АО "ЖЕЛДОРРЕММАШ"</t>
  </si>
  <si>
    <t>АКЦИОНЕРНОЕ ОБЩЕСТВО "ЖЕЛДОРРЕММАШ"</t>
  </si>
  <si>
    <t>2008-12-09</t>
  </si>
  <si>
    <t>30.20.9</t>
  </si>
  <si>
    <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t>
  </si>
  <si>
    <t>16.24,16.29.11,18.12,22.19.7,23.61,25.50.1,25.61,25.62,25.73,28.15.2,30.20.1,30.20.4,33.12,33.14,33.17,33.20,35.12,35.13,35.22,35.30.14,35.30.2,35.30.3,35.30.4,36.00.2,38.32.5,41.20,43.11,43.12.1,43.12.3,43.29,46.69.1,46.69.2,46.77,46.90,47.9,49.10,49.20,49.3,49.31,49.4,49.41.2,52.21.1,55.10,55.90,56.10,56.10.1,56.10.3,56.29,61.10.1,62.01,62.02,62.09,63.11.1,68.20.1,68.20.2,68.32.1,71.1,71.11,71.11.1,71.12.12,71.12.45,71.12.5,71.12.6,71.20,72.1,72.19,73.20.1,74.20,74.30,82.92,82.99,85.42,85.42.9,86.21,91.01</t>
  </si>
  <si>
    <t>МАВРИН АЛЕКСАНДР НИКОЛАЕВИЧ</t>
  </si>
  <si>
    <t>127018,  Г.МОСКВА, УЛ. ОКТЯБРЬСКАЯ, Д.5, СТР.8</t>
  </si>
  <si>
    <t>+79092859495,+74992621737,+74992620106,+74234263081,+74996382298,+78006000669,+74234232385,+74234232331,+78512210112,+73012444340,+73517914731,+70006698851,+78184992620,+71068499262,+72210112830,+71737849963,+78229888006,+72342323318,+71842342630,+71244434084,+78351791473,+74992627117,+74732008213,+78632409130,+74234260070,+74852406749,+74234232435,+74234252525,+73012446626,+73012371756,+74234360594,+78632406134,+73517914333,+78512210152,+73517914165,+74732653831,+74732531560,+78622528320,+73433312627,+78632402044,+78512301812,+74852773000,+73833376448,+73833377142,+78512301465,+74852406761,+73532566183,+73433119702,+73833375486,+74234367507</t>
  </si>
  <si>
    <t>e-disclosure.azipi.ru/organization/800330/,,www.olrz.ru,www.ao-zdrm.ru</t>
  </si>
  <si>
    <t>urlz@mail.ussuriisk.ru,matveevala@locotech.ru,lapinaea@ulrz.ru,energi-rerz@ao-zdrm.ru,omto@r56.fssprus.ru,ulrz@ml.ussuriisk.ru,lapinaea@locotech.ru,ulrz@uirz.ru,уссуржелдоррем@mail.ru,ulrz@ulrz.ru,urlz@ml.ussuriisk.ru,u.kalmikova@cherz.ru,info@yarz.ru,olgakalashnikova0371@gmail.com,energi-rerz@ао-zdm.ru,atrz@locotech.ru,mail@ing.center.ru,erz@erz.ru,atrz@astranet.ru,olrz@olrz.ru,nerz@nerz.ru,rerz@lokotech.ru,vrntrz@ttk-uv.ru,oge-ulrz@yandex.ru,vtrz@locotech.ru,uss_ds101@mail.ru,savvateevaov-oge@uirz.ru,pavel@lvrz.ru,00000@mail.ru,bely@loco.ru,detsadik106@mail.ru,ulrz@ao-zdrm.ru,savvateevaov-oge@ulrz.ru,ooo_teplo@mail.ru,0@mail.ru,omto@r56.fsshrus.ru,geidorrem@mail.ru,lvrz@lvrz.ru,dboroda73@mail.ru,kirichenkovo-ogmeh@ulrz.ru,birukovael-oopz@ulrz.ru,auction@locotech.ru,1@mail.ru,energy-rerz@ao-zdrm.ru,oozp-ulrz@ao-zdrm.ru,kuzyakinva@locotech.ru,geldorrem@mail.ru,cherz-odc@mail.ru,otv-zdrm@css-rzd.ru,rem@mail.ru</t>
  </si>
  <si>
    <t>ООО "СПОРТМАСТЕР"</t>
  </si>
  <si>
    <t>ОБЩЕСТВО С ОГРАНИЧЕННОЙ ОТВЕТСТВЕННОСТЬЮ "СПОРТМАСТЕР"</t>
  </si>
  <si>
    <t>23</t>
  </si>
  <si>
    <t>2005-06-27</t>
  </si>
  <si>
    <t>47.71</t>
  </si>
  <si>
    <t>Торговля розничная одеждой в специализированных магазинах</t>
  </si>
  <si>
    <t>46.49,47.91,53.20.39,95.29,37.00,46.42.11,46.42.12,46.42.13,46.42.14,46.42.2,47.25,47.64,47.71.1,47.71.2,47.71.3,47.71.4,47.71.5,47.71.6,47.71.7,47.71.8,47.72.1,47.72.2,47.74,47.78,47.91.2,52.10,53.20.3,62.01,62.02,68.31.12,73.11,85.42,85.42.9,95.11,95.29</t>
  </si>
  <si>
    <t>СТРАХОВ ЛЕОНИД БОРИСОВИЧ</t>
  </si>
  <si>
    <t>117437,  Г.МОСКВА, УЛ. МИКЛУХО-МАКЛАЯ, Д.18, К.2, КОМН. 102</t>
  </si>
  <si>
    <t>+74922323940,+73512634142,+74957558143,+74957558194,+74957777771,+73522600625,+74957558190,+74957558184,+74957558197,+74959747522,+74959747890,+74959747934,+74957558179,+73472912151,+73472922151,+73432165154,+73432165151,+73473290843,+78123200002,+78452201864,+73022282244,+73812325174,+73722533106,+78612775522,+79282611111,+73832300844,+78632559555,+79138005302,+73822900715,+79039170663,+79517237800,+74954116923,+74954116922,+73843910644,+73012297691,+74967545747,+78463722532,+79034000675,+74993502071,+78632559454,+73812321574,+78452207720,+78632870140,+78792252680,+74242708620,+73953560003,+73822283367,+73412916916,+73412903838,+73843390358</t>
  </si>
  <si>
    <t>www.sportmaster.ru</t>
  </si>
  <si>
    <t>legal@sportmaster.ru,asergienko@sportmaster.ru,okorotaeva@sportmaster.ru,sportmaster@mail.ru,ovlaskina@sportmaster.ru,nfilippova@sportmaster.ru,tmazurova@sportmaster.ru,skonovalova@sportmaster.ru,director5886@sportmaster.ru,info@grrus.ru,okarelina@sportmaster.ru,rostov@czn-rostov.ru,vaeremeeva@sportmaster.ru,emakanova@sportmaster.ru,megadirector763@sportmaster.ru,adminshop5198@sportmaster.ru,direktor5581@sportmaster.ru,null@null.ru,account852@sportmaster.ru</t>
  </si>
  <si>
    <t>ПАО НК "РУССНЕФТЬ"</t>
  </si>
  <si>
    <t>ПУБЛИЧНОЕ АКЦИОНЕРНОЕ ОБЩЕСТВО НЕФТЕГАЗОВАЯ КОМПАНИЯ "РУССНЕФТЬ"</t>
  </si>
  <si>
    <t>34</t>
  </si>
  <si>
    <t>2002-09-17</t>
  </si>
  <si>
    <t>06.10.1</t>
  </si>
  <si>
    <t>Добыча нефти</t>
  </si>
  <si>
    <t>06.10,08.12.1,09.10.1,09.10.9,23.51,28.13,33.20,35.11,35.12,35.13,35.22,35.30.14,46.71,46.71.2,46.71.3,49.41,49.41.1,49.50.11,49.50.21,52.10,52.10.22,52.21.2,52.29,64.20,64.99,69.10,69.20,70.10,70.10.1,70.10.2,71.12,71.12.1,71.20,82.11,84.13</t>
  </si>
  <si>
    <t>ТОЛОЧЕК ЕВГЕНИЙ ВИКТОРОВИЧ</t>
  </si>
  <si>
    <t>ПРЕЗИДЕНТ</t>
  </si>
  <si>
    <t>115054,  Г.МОСКВА, УЛ. ПЯТНИЦКАЯ, Д.69</t>
  </si>
  <si>
    <t>+79195300000,+74954116309,+74954116325,+74957805891,+78452393555,+78452393427,+74954116312</t>
  </si>
  <si>
    <t>russneft.ru</t>
  </si>
  <si>
    <t>russneft@russneft.ru,srf@russneft.ru,russneft@mail.ru,vasilevaei@russneft.ru</t>
  </si>
  <si>
    <t>ООО "ТАТНЕФТЬ-АЗС-ЗАПАД"</t>
  </si>
  <si>
    <t>ОБЩЕСТВО С ОГРАНИЧЕННОЙ ОТВЕТСТВЕННОСТЬЮ "ТАТНЕФТЬ-АЗС-ЗАПАД"</t>
  </si>
  <si>
    <t>2006-07-17</t>
  </si>
  <si>
    <t>47.30</t>
  </si>
  <si>
    <t>Торговля розничная моторным топливом в специализированных магазинах</t>
  </si>
  <si>
    <t>10.71.1,10.85,68.20.21,10.13.4,10.32,10.71,10.72,10.72.4,10.82,10.82.2,10.85,10.89,11.07.2,19.20,42.21,45.2,45.20.5,46.12.1,46.71,46.71.1,46.71.2,46.90,47.11,47.2,47.24,47.25,47.26,47.30,47.30.2,47.73,47.74,47.75,47.78.9,47.91,47.91.1,47.91.2,47.91.29,49.31,49.50.1,52.10.21,52.29,56.10,56.10.21,56.10.22,56.10.24,56.29,56.30,66.19,73.11,74.20,74.30,77.40,82.92,85.30,85.42.9</t>
  </si>
  <si>
    <t>НИЖАМЕТДИНОВ ШАМИЛЬ РАШИДОВИЧ</t>
  </si>
  <si>
    <t>ДИРЕКТОР</t>
  </si>
  <si>
    <t>121205, Г.МОСКВА, ВН.ТЕР.Г. МУНИЦИПАЛЬНЫЙ ОКРУГ МОЖАЙСКИЙ, ТЕР ИННОВАЦИОННОГО ЦЕНТРА СКОЛКОВО, Б-Р БОЛЬШОЙ, Д. 62</t>
  </si>
  <si>
    <t>+79857731191,+74952801347,+74852726044,+79150274207,+74922421317,+78125503510,+74952801124,+78182462914,+74922420546,+78125500180,+74922421096,+74952211603,+74952211639,+74956441611,+74952211726,+78495280137,+78442984256,+74952211640,+74952211611,+74953339560,+78442984253,+78443589884,+78443586884,+74952271725,+78182622220,+78182622020,+74952211725,+74952801348,+78443580091,+74852726014,+78125503666,+78125500170,+78182652109,+74957899049,+74452211603,+74952211775,+78957661850,+74957775707,+74952211620,+74956455306,+74965553698,+74942211725,+78182602020,+74956441610,+79106625601,+78182621777,+78282622020,+74922726044,+78818622020,+78182621277</t>
  </si>
  <si>
    <t>www.azs-tatneft.ru,,www.tatneft.ru</t>
  </si>
  <si>
    <t>tender@msk.tatneft.ru,tatneft@msk.tatneft.ru,5009053687_772901001@eo.tensor.ru,tatneft34@msk.tatneft.ru,bogomolova@tnvl.ru,bakhtin@azszapad.ru,vyalkin_au@msk.tatneft.ru,artem@azszapad.ru,npvega@mail.ru,нет@mail.ru,tender@msk.tatneft.tu,sekr@tnvl.ru,kubkina_os@msk.tatneft.ru,tat@mail.ru,goricheva@tnvl.ru,mail@azszapad.ru,shikunova_ad@msk.tatneft.ru,tender@vsk.tatneft.ru,1@mail.ru,net@mail.ru,bogomolov_as@msk.tatneft.ru,bahtin@azszapad.ru,tender@msk.tatntft.ru,tnw@yandex.ru,bogomolova@tnvl.ru;,tender@msk.tatneft.ru;,bogomolova@ntvl.ru,tn@mail.ru,ivanova.n@spb.tatneft.ru,info@zenit.ru,fokin_da@msk.tatneft.ru,tatneft@mail.ru,samigullin_kv@msk.tatneft.ru,vrublevskaya_oi@msk.tatneft.ru,famullina_er@msk.tatneft.ru,tender_bi@tatneft.ru,granovskiy_bi@msk.tatneft.ru,polushkina@spb.tatneft.ru,delo@spb.tatneft.ru,info@msk.tataneft.ru,phykj@mail.ru,sekr@tnvt.ru,tender_bi@msk.tatneft.ru,deli@msk.tatneft.ru,pleshkan@tatneft.ru,delo@msk.tatneft.ru,,info@tatneftm.ru,tihonova@spb.tatneft.ru,boqomolova@tnvl.ru,bogomolova@tnv.ru</t>
  </si>
  <si>
    <t>АО "ИКАО"</t>
  </si>
  <si>
    <t>АКЦИОНЕРНОЕ ОБЩЕСТВО "ИПОТЕЧНАЯ КОМПАНИЯ АТОМНОЙ ОТРАСЛИ"</t>
  </si>
  <si>
    <t>2007-12-10</t>
  </si>
  <si>
    <t>71.12.2</t>
  </si>
  <si>
    <t>Деятельность заказчика-застройщика, генерального подрядчика</t>
  </si>
  <si>
    <t>41.2,55.90,64.92.3,68.1,68.2,68.3,70.22,71.11.1</t>
  </si>
  <si>
    <t>КИСЕЛЕВ ЮРИЙ МИХАЙЛОВИЧ</t>
  </si>
  <si>
    <t>ВРЕМЕННЫЙ ЕДИНОЛИЧНЫЙ ИСПОЛНИТЕЛЬНЫЙ ОРГАН</t>
  </si>
  <si>
    <t>115432, Г.МОСКВА, ВН.ТЕР.Г. МУНИЦИПАЛЬНЫЙ ОКРУГ ДАНИЛОВСКИЙ, ПРОЕЗД ПРОЕКТИРУЕМЫЙ 4062-Й, Д. 6, СТР. 25, ПОМЕЩ. 11</t>
  </si>
  <si>
    <t>+74957953799,+74957953967,+79156301777,+79166478963,+74959602086,+74713153488,+74815332977,+78153272184,+74957953767,+74959602085,+74736428506,+78136949393,+74825558022,+78453396140,+79202200600,+78639244771</t>
  </si>
  <si>
    <t>ao-ikao@yandex.ru,vyukuzmichev@rosatom.ru,eysavina@rosatom.ru,ao-ikao@rosatom.ru,zaoikao@gmail.com,dmekrylov@rosatom.ru,zaoika@gmail.com,zao.ikao@gmail.com,dedova.2013@list.ru79606939798,krylov.ikao@gmail.com,krylov.ikao@gmai.com</t>
  </si>
  <si>
    <t>ООО "КАРИ"</t>
  </si>
  <si>
    <t>ОБЩЕСТВО С ОГРАНИЧЕННОЙ ОТВЕТСТВЕННОСТЬЮ "КАРИ"</t>
  </si>
  <si>
    <t>2011-06-22</t>
  </si>
  <si>
    <t>47.72</t>
  </si>
  <si>
    <t>Торговля розничная обувью и изделиями из кожи в специализированных магазинах</t>
  </si>
  <si>
    <t>46.42,16.29.13,23.19.9,24.10.2,32.12.1,32.12.2,32.12.3,32.12.4,32.12.5,32.13,38.32.2,38.32.59,46.12.22,46.18.2,46.18.2,46.41,46.41.2,46.42,46.43,46.44,46.45,46.46,46.48.2,46.49,46.72.23,46.76.4,47.19,47.43,47.51,47.54,47.7,47.71,47.72,47.75,47.77.2,47.91,47.91.1,47.91.2,47.91.4,63.99.1,66.19.5,69.10,69.20,70.22,78.10,95.25</t>
  </si>
  <si>
    <t>ОБЩЕСТВО С ОГРАНИЧЕННОЙ ОТВЕТСТВЕННОСТЬЮ УПРАВЛЯЮЩАЯ КОМПАНИЯ "КАРИ"</t>
  </si>
  <si>
    <t>107140,  Г.МОСКВА, УЛ. РУСАКОВСКАЯ, Д.13</t>
  </si>
  <si>
    <t>+79140708917,+74956697002,+79607612362,+74956677002,+74959874807,+74959874806,+79659191692</t>
  </si>
  <si>
    <t>www.kari.ru</t>
  </si>
  <si>
    <t>10575@kari.com,karu@mail.ru,10387@kari.com</t>
  </si>
  <si>
    <t>ООО "ЛАР"</t>
  </si>
  <si>
    <t>ОБЩЕСТВО С ОГРАНИЧЕННОЙ ОТВЕТСТВЕННОСТЬЮ "ЛУКОЙЛ-АЭРО"</t>
  </si>
  <si>
    <t>2003-06-10</t>
  </si>
  <si>
    <t>46.71.2</t>
  </si>
  <si>
    <t>Торговля оптовая моторным топливом, включая авиационный бензин</t>
  </si>
  <si>
    <t>46.18,70.10,77.39.11,46.71,46.75.2,49.41.1,52.10.21,52.23.1,52.23.12,52.23.19,68.20.2,77.39</t>
  </si>
  <si>
    <t>БРАУН ВЛАДИМИР АЛЕКСАНДРОВИЧ</t>
  </si>
  <si>
    <t>109028,  Г.МОСКВА, Б-Р ПОКРОВСКИЙ, Д. 3, СТР. 1</t>
  </si>
  <si>
    <t>+79688022610,+74959803113,+74959817087,+74959803114,+78442317101,+78312565226,+78312759650,+74959803938,+70959803113,+73422947711,+70959803114,+73517783274,+74959803100</t>
  </si>
  <si>
    <t>aero@lukoil.com,aero@lukoil.ru</t>
  </si>
  <si>
    <t>АО "РОСАТОМ ЭНЕРГОСБЫТ"</t>
  </si>
  <si>
    <t>АКЦИОНЕРНОЕ ОБЩЕСТВО "РОСАТОМ ЭНЕРГОСБЫТ"</t>
  </si>
  <si>
    <t>2001-07-13</t>
  </si>
  <si>
    <t>35.14</t>
  </si>
  <si>
    <t>Торговля электроэнергией</t>
  </si>
  <si>
    <t>47.19,82.99,33.12,35.11,35.13,35.14,45.20.1,47.19,47.91.2,47.91.3,47.91.4,49.39,62.01,62.02,62.02.1,62.02.4,62.03.13,62.09,63.11,63.11.1,66.2,66.22,73.11,74.90.31,77.29,80.10,80.20,80.30,82.99,84.21</t>
  </si>
  <si>
    <t>ГОРЧАКОВ АЛЕКСЕЙ НИКОЛАЕВИЧ</t>
  </si>
  <si>
    <t>115432,  Г.МОСКВА, ПР-Д ПРОЕКТИРУЕМЫЙ 4062-Й, Д. 6, СТР. 25</t>
  </si>
  <si>
    <t>+74957847701,+78152692359,+78152692421,+74812687500,+74957899921,+74823358716,+74812687555,+74812687533,+78152692323,+78152692633,+78152692318,+74712324072,+74822483019,+74712390301,+74822483015,+74712390303,+74712390312,+74812687586,+74712323995,+74712506196,+74712324502,+74712390321,+78152692627,+74823622897,+74812687575,+74712390310,+74812687550,+74712324102,+74712320312,+74812687571,+74712320301,+74812687526,+74712227018,+74826922135,+74712390315,+74712324302,+74712324010,+74712390317,+74712390324,+74824224301,+74713421466,+74712227021,+74825555498,+74823352873,+74822379367,+74712227014,+74813247160,+74823622144,+74824224300,+74822483016</t>
  </si>
  <si>
    <t>atomsbt.ru,www.atomsbt.ru</t>
  </si>
  <si>
    <t>info@atomsbt.ru,info@murmansk.atomsbt.ru,secretare@tver.atomsbt.ru,secretar@smolensk.atomsbt.ru,atomsbt@mail.ru,pershinans@tver.atomsbt.ru,shleitanovani@tver.atomsbt.ru,korotkikhyg@smolensk.atomsbt.ru,antonyukaa@murmansk.atomsbt.ru,kuzmenkonv@murmansk.atomsbt.ru,arkhipovna@atomsbt.ru,maslennikovaaa@murmansk.atomsbt.ru,usachyovag@smolensk.atomsbt.ru,strelkovaen@kursk.atomsbt.ru,mitchenkosv@tver.atomsbt.ru,halinda@kursk.atomsbt.ru,hintbatg@atomsbt.ru,petrovain@kursk.atomsbt.ru,loktionovaos@kursk.atomsbt.ru,malykhinaaa@kursk.atomsbt.ru,rebaneaa@tver.atomsbt.ru,medvedevale@smolensk.atomsbt.ru,alekseevain@smolensk.atomsbt.ru,baryshnikovaiv@tver.atomsbt.ru,penkovamv@tver.atomsbt.ru,teleginmy@kursk.atomsbt.ru,parhomenkmv@smolensk.atomsbt.ru,molchanovms@kursk.atomsbt.ru,kamenevdg@kursk.atomsbt.ru,kondratevaav@murmansk.atomsbt.ru,alexeevain@smolensk.atomsbt.ru,4ekmareva77@mail.ru,korobeynikovaoa@tver.atomsbt.ru,voroninev@kursk.atomsbt.ru,arcybashevaa@kursk.atomsbt.ru,shubinami@tver.atomsbt.ru,dementevanv@kursk.atomsbt.ru,stepanovaim@smolensk.atomsbt.ru,davydenkovaes@smolensk.atomsbt.ru,volobuevdn@kursk.atomsbt.ru,matrosovda@tver.atomsbt.ru,suharevna@tver.atomsbt.ru,chuvashovdv@tver.atomsbt.ru,remezkp@smolensk.atomsbt.ru,kukovenkovalm@smolensk.atomsbt.ru,timashukse@atomsbt.ru,ovchinnikovang@kursk.atomsbt.ru,uzhekinmv@smolensk.atomsbt.ru,smerdinaka@tver.atomsbt.ru,zhukovro@tver.atomsbt.ru</t>
  </si>
  <si>
    <t>АО "МОСЭНЕРГОСБЫТ"</t>
  </si>
  <si>
    <t>АКЦИОНЕРНОЕ ОБЩЕСТВО "МОСЭНЕРГОСБЫТ"</t>
  </si>
  <si>
    <t>2005-04-01</t>
  </si>
  <si>
    <t>26.51,33.13,35.13,35.30.3,36.00.2,37.00,46.18.2,47.11,52.10.21,56.29,64.19,66.22,70.22,73.20.1,81.21,81.22,81.29,81.29.1,82.99,84.24,85.23,86.21,95.11,95.12,95.22</t>
  </si>
  <si>
    <t>КОВАЛЕВ АНДРЕЙ ВИКТОРОВИЧ</t>
  </si>
  <si>
    <t>117312,  Г.МОСКВА, УЛ. ВАВИЛОВА, Д.9</t>
  </si>
  <si>
    <t>+74962241666,+74959819819,+74991329933,+74957106022,+74986959533,+74964523852,+74955125694,+74995500333,+74967556287,+74999819819,+74995509716,+74995500318,+74995500319,+74991328401,+74965193854,+74995509721,+74964618942,+74967699922,+74965513211,+74957185822,+74965192800,+74991328544,+74995504110,+74952211867,+74995500494,+74965393200,+74995509819,+74995509550,+74995500303,+74995504135,+74955500333,+74955508929,+74959571359,+74955508324,+74955615429,+74955815429,+74953271396,+74951328640,+74952874491,+74953060707,+74953270035,+74956618403,+74951328440,+74952874490,+74951327956,+74953271904,+74952591779,+74959573814,+74952598160,+74951328400</t>
  </si>
  <si>
    <t>nimanovbi@mosenergosbyt.ru,,www.e-disclosure.ru/portal/company.aspx?id=6980,,www.mosenergosbyt.ru</t>
  </si>
  <si>
    <t>dmitrovto@yandex.ru,parshinz_vv@mosenergosbyt.ru,info@mosenergosbyt.ru,lopatina_mg@interrao.ru,svo@mosenergosbyt.ru,kuzmicheva_es@mosenergosbyt.ru,nimanovbi@mosenergosbyt.ru,belova_ek@interrao.ru,cto@mosenergosbyt.ru,zhigovskaya_eg@mosenergosbyt.ru,viklenko@mosenergosbyt.ru,forosna@mosenergosbyt.ru,kuzmicheva@mosenergosbyt.ru,forostyan_na@mosenergosbyt.ru,00@jj.ru,okr-ogrdolg@mosenergosbyt.ru,info@mocenergosbyt.ru,chaykina_ev@mosenergosbyt.ru,sukhova_ose@mosenergosbyt.ru,null@null.ru,,sedova_sv@mosenergosbyt.ru,litvinova_aaa@mosenergosbyt.ru,g.lekovada@mosenergosbyt.ru,alekseeva_my@mosenergosbyt.ru,szo@mosenergosbyt.ru,chizhikovaeyu@mosenergosbyt.ru,kurmaevadf@mosenergosbyt.ru,mosenergo@mail.ru,titovaela@mosenergosbyt.ru,polyanskaya_en@mosenergosbyt.ru,skitaevatv@mosenergosbyt.ru,uspenskayaov@mosenergosbyt.ru,mejinen@mosenergosbyt.ru,fsvch6898@mail.ru,moesk@msk.ru,churushkin_av@mosenergosbyt.ru,chernyavskaya_ee@mosenergosbyt.ru,info@mosenergo.ru,andr.a.gorbunov@mail.ru,info@dantamedic.ru,pushkino@mosenеrgosbyt.ru,buh_uii@mail.ru,tender@puppet.ru,mosenergosbyt@mail.ru,zubkova_mv@mosenergosbyt.ru,emelyanova_nv@mosenergosbyt.ru,ingo@mosenergosbyt.ru,foreostyan_na@mosenergosbyt.ru,2061331@mail.ru,dfghsdrf@mail.ru</t>
  </si>
  <si>
    <t>ООО "ЛИКАРД"</t>
  </si>
  <si>
    <t>ОБЩЕСТВО С ОГРАНИЧЕННОЙ ОТВЕТСТВЕННОСТЬЮ "ЛУКОЙЛ-ИНТЕР-КАРД"</t>
  </si>
  <si>
    <t>2012-10-01</t>
  </si>
  <si>
    <t>46.71</t>
  </si>
  <si>
    <t>Торговля оптовая твердым, жидким и газообразным топливом и подобными продуктами</t>
  </si>
  <si>
    <t>22.29.2,33.12,46.12.1,46.90,47.19,47.21,47.22,47.23,47.24,47.25,47.26,47.29,47.30,47.78,47.99.2,56.10,62.09,63.11,63.11.1,66.11.2,66.19,66.19.6,68.10.22,70.22,73.11,73.20.1</t>
  </si>
  <si>
    <t>ФИЛИППОВ АЛЕКСЕЙ ВИКТОРОВИЧ</t>
  </si>
  <si>
    <t>115035, Г.МОСКВА, ВН.ТЕР.Г. МУНИЦИПАЛЬНЫЙ ОКРУГ ЗАМОСКВОРЕЧЬЕ, УЛ БОЛЬШАЯ ОРДЫНКА, Д. 3</t>
  </si>
  <si>
    <t>+78442235767,+73422336156,+78442785261,+78212302614,+78442963373,+73422336147,+78312789821,+78442558003,+78172726010,+78844255800,+78001000911,+78442558005,+78842558003,+78612388932,+74966731232,+78312789877,+79226061077,+78124591989,+78315021746,+78221000911,+78124951987,+78124591897,+78124591987,+73422336145,+78612388938,+78312789801,+74955870770,+78172734180,+78312789803,+78132789821,+74959817033,+74957775977,+78182302619,+78442550803,+78172720610,+78312789819,+74955870711,+78314265245,+74959271677,+78312782512,+78612350515,+78212232526,+78800100091,+78442963376,+78314350101,+79994554550,+78612533418,+73422236145,+78612388936,+78172786010</t>
  </si>
  <si>
    <t>www.licard.ru</t>
  </si>
  <si>
    <t>kmaksimova@licard.com,likard@mail.r,eis@licard.com,lk@mail.ru,ssychev@likard.com,contract@licard.com,ivasenina@licard.com,ekashintseva@licard.com,info@licard.ru,ytn@rambler.ru,erusova@likard.com,abochkareva@licard.com,rfotina@licard.com,iplakunova@licard.com,mborisova@licard.com,erusova@licard.ru,likar@yandex.ru,mtimoshinina@licard.com,mbeshanova@licard.com,erusova@licard.com,ssychev@licard.com,ndudko@licard.com,equest@licard.com,arezvanova@licard.com,robot@licard.ru,afomin@licard.com,info@licord.ru,ltimofeeva@licard.com,ecashintseva@likard.ru,spbsales@licard.com,ndevaeva@licard.com,pbsales@licard.com,contrakt@licard.com,myasyuk@licard.com,kanclend@mail.ru,ltimofeeva@likard.com,request@licard.com,0@0.ru,lantonova@licard.com,abochkateva@licard.com,areznikov@licard.com,info@likard.com,eefremova@licard.ru,no@mail.ru,timofeeva@likard.ru,svsmirnova@licard.com,ikard@mail.ru,licard@licard.com,abochkareva@likard.ru,ashevchenko@licard.com</t>
  </si>
  <si>
    <t>ООО "ЛУКОЙЛ-ЦЕНТРНЕФТЕПРОДУКТ"</t>
  </si>
  <si>
    <t>ОБЩЕСТВО С ОГРАНИЧЕННОЙ ОТВЕТСТВЕННОСТЬЮ "ЛУКОЙЛ-ЦЕНТРНЕФТЕПРОДУКТ"</t>
  </si>
  <si>
    <t>2002-01-28</t>
  </si>
  <si>
    <t>56.10.1,41.20,45.1,45.20,46.12,46.71,46.90,47.11,47.25,47.30,47.73,47.74,47.75,47.8,52.10.21,66.19,68.20.21,68.20.29,70.22,71.11,71.12.2,71.20,85.30</t>
  </si>
  <si>
    <t>НЕСТЕРЕНКО АЛЕКСАНДР НИКОЛАЕВИЧ</t>
  </si>
  <si>
    <t>129110, Г.МОСКВА, ВН.ТЕР.Г. МУНИЦИПАЛЬНЫЙ ОКРУГ МЕЩАНСКИЙ, ПР-КТ ОЛИМПИЙСКИЙ, Д. 5, СТР. 1</t>
  </si>
  <si>
    <t>+79191478316,+74959817450,+74957717232,+74956278888,+74959817472,+74956232902,+79163287387,+74956278229,+74959817679,+79168094424,+79067893050,+79266287671,+79261468949,+74832744840,+74862434551,+74832666360,+74742222524,+74956278018,+74956272823,+74959803131,+74956278223,+74956271278,+74959817481,+74959817672,+78002002425,+70959339450,+74812322567,+74812322368,+74872347078,+74872345593,+74742223803,+74742223804,+78314623074,+70959817672,+74957806022,+74959817596,+74955040529,+70009817596,+74959817594,+74956278277,+74959339450</t>
  </si>
  <si>
    <t>www.luknef.lukoil.ru</t>
  </si>
  <si>
    <t>luknef@lukoil.com,ekaterina.desyatkova@lukoil.com,alexander.chubenko@lukoil.com,luknef@luknef.ru,hotline@luknef.ru,,marina.ruchko@lukoil.com,kolosova@lukoil.com,nadejda.plyonkina@lukoil.com</t>
  </si>
  <si>
    <t>ООО "ТЕБОЙЛ РУС"</t>
  </si>
  <si>
    <t>ОБЩЕСТВО С ОГРАНИЧЕННОЙ ОТВЕТСТВЕННОСТЬЮ "ТЕБОЙЛ РУС"</t>
  </si>
  <si>
    <t>2010-09-13</t>
  </si>
  <si>
    <t>19.20,43.99,46.71,47.11,52.10.21,56.10.2,56.10.21,62.09,63.11,68.10,68.20,71.12,77.39</t>
  </si>
  <si>
    <t>МАСЛОВ ВИТАЛИЙ ГЕННАДИЕВИЧ</t>
  </si>
  <si>
    <t>125196,  Г.МОСКВА, УЛ. ЛЕСНАЯ, Д. 9, ЭТАЖ 3</t>
  </si>
  <si>
    <t>+74952585900,+74952586920,+74825193005,+74999232101,+74952586900,+74952586924,+78123801212,+74825193000,+78123801011,+78137825418,+78137825417</t>
  </si>
  <si>
    <t>www.shell.com.ru</t>
  </si>
  <si>
    <t>zakaz-b2c-ru@shell.com,maria.suslenkova@shell.com,techinfo@shell.com,s.botev@shell.com</t>
  </si>
  <si>
    <t>ООО "РН-ЭНЕРГО"</t>
  </si>
  <si>
    <t>ОБЩЕСТВО С ОГРАНИЧЕННОЙ ОТВЕТСТВЕННОСТЬЮ "РН-ЭНЕРГО"</t>
  </si>
  <si>
    <t>2004-02-26</t>
  </si>
  <si>
    <t>33.13,33.14,33.20,35.11,35.14,43.21,43.29,45.20.5</t>
  </si>
  <si>
    <t>КУЛЫГИН НИКОЛАЙ ВЛАДИМИРОВИЧ</t>
  </si>
  <si>
    <t>143440, МОСКОВСКАЯ ОБЛАСТЬ, Г.О. КРАСНОГОРСК, ПГТ. ПУТИЛКОВО, ТЕР. ГРИНВУД, СТР. 23, ЭТАЖ 2, ПОМЕЩ. 129</t>
  </si>
  <si>
    <t>+74952313182,+74957774724,+74954284096,+74995766596,+74957774477,+74992313182,+74957774742,+78126111905,+79181200809,+73463332217,+79657546297,+74955766596,+73493654743,+73463313445,+73493653214,+79277362627,+73955403752,+78655822169,+73955572940,+73412606865,+73463253548,+74957777742,+74953214568,+78861464426,+73825966034,+78412550820,+73463253549,+73463253508,+78466120447,+74995766595,+78466141209,+73825963395,+74956648840</t>
  </si>
  <si>
    <t>www.rosneft.ru/about</t>
  </si>
  <si>
    <t>e_mochalova@rosneft.ru,rn-energo.ru@rn-energo.ru,kann@pesc.ru,v_sokirka@mail.ru,rn-energo@rn-enerao.ru,m-energo@m-energo.ru,zsg@pesc.ru,energ@mail.ru,rn-energo@energo.ru,rn-energo@rn_energo.ru,rn-energo@rn-energo.eu,rn-energo@rn-energo.ru,kochneva@belkam.com,fff@ffff.ff,gatinim@yungjsc.com,s_chistyakova@rn-energo.ru,chistyakova_no-reply@rn-energo.ru,rn@rn.ru,e_mochalova@rosneft.ru,,info@rnenergo.ru,d_savchuk86@mail.ru,d.rumyantseva@in-tex.ru,pr@rosneft.ru,alyautdinova@mroads.ru,gatinim@energy.yugjsc.com,-@mail.ru,antoshukli@energoneft-t.ru,rn-energo@rn-energo.com,1@1.ru,svfdogovor@bk.ru,raysihea@energy.yungjsc.com,tek@energosales.ru,n_kannabikh@rn-energo.ru,zatulivetrov_mv@interrao.ru,o_titaeva@rn-enegro.ru,o_titaeva@rn-energo.ru,o_titaeva@rn-enrgo.ru</t>
  </si>
  <si>
    <t>АО "ФОРТЕИНВЕСТ"</t>
  </si>
  <si>
    <t>АКЦИОНЕРНОЕ ОБЩЕСТВО "ФОРТЕИНВЕСТ"</t>
  </si>
  <si>
    <t>2011-02-16</t>
  </si>
  <si>
    <t>06.10,06.10.1,06.20,19.20,46.12.1,52.29,64.99,66.19.4,70.22,84.11.4</t>
  </si>
  <si>
    <t>КОЗЛОВ ВИТАЛИЙ ВЛАДИМИРОВИЧ</t>
  </si>
  <si>
    <t>127055,  Г.МОСКВА, УЛ. НОВОСЛОБОДСКАЯ, Д. 41, ЭТАЖ 6 ПОМЕЩЕНИЕ I</t>
  </si>
  <si>
    <t>+74956415900,+79857667887,+71417487170,+71417487171,+74956415908,+74956415909</t>
  </si>
  <si>
    <t>forteinvest.ru</t>
  </si>
  <si>
    <t>info@forteinvest.ru,info@forteinvest.ru,,sokolovasa@forteinvest.ru,,kuleshovsi@forteinvest.ru</t>
  </si>
  <si>
    <t>АО "НК "НЕФТИСА"</t>
  </si>
  <si>
    <t>АКЦИОНЕРНОЕ ОБЩЕСТВО "НЕФТЯНАЯ КОМПАНИЯ "НЕФТИСА"</t>
  </si>
  <si>
    <t>2008-04-07</t>
  </si>
  <si>
    <t>46.71.3</t>
  </si>
  <si>
    <t>Торговля оптовая нефтью</t>
  </si>
  <si>
    <t>06.10.1,06.10.3,08.12.1,09.1,09.10.9,19.20,46.12.1,46.71.2,47.30,52.10.21,52.10.22,52.29,62.02,62.02.1,62.02.2,62.02.3,62.02.4,62.02.9,62.03,62.03.1,62.03.11,62.03.12,62.03.13,62.03.19,62.09,63.11,63.11.1,63.11.9,63.12,66.12.2,69.20.2,70.22,71.12.3,72.19,73.11,73.20.1,74.90.3,74.90.9,74.90.92,74.90.93,74.90.94,74.90.99,82.99</t>
  </si>
  <si>
    <t>Зарубин Андрей Леонидович</t>
  </si>
  <si>
    <t>125375, Г.МОСКВА, ВН.ТЕР.Г. МУНИЦИПАЛЬНЫЙ ОКРУГ ТВЕРСКОЙ, УЛ ТВЕРСКАЯ, Д. 22/2, К. 1, ЭТАЖ 5, КОМ. 5-34</t>
  </si>
  <si>
    <t>+74956275585</t>
  </si>
  <si>
    <t>www.e-disclosure.ru/portal/company.aspx?id=14687,neftisa.ru</t>
  </si>
  <si>
    <t>ООО "НОВЫЙ АЙ ТИ ПРОЕКТ"</t>
  </si>
  <si>
    <t>ОБЩЕСТВО С ОГРАНИЧЕННОЙ ОТВЕТСТВЕННОСТЬЮ "НОВЫЙ АЙ ТИ ПРОЕКТ"</t>
  </si>
  <si>
    <t>2015-10-20</t>
  </si>
  <si>
    <t>46.51</t>
  </si>
  <si>
    <t>Торговля оптовая компьютерами, периферийными устройствами к компьютерам и программным обеспечением</t>
  </si>
  <si>
    <t>26.20.1,26.20.2,26.20.3,26.20.4,26.20.9,43.21,43.22,43.29,46.15.3,46.15.4,46.19,46.43.1,46.43.2,46.43.3,46.49.42,46.66,46.69.7,46.90,47.91.1,47.91.2,52.10,52.10.9,52.21.2,52.24,52.24.1,52.24.2,52.29,61.10,61.10.1,61.10.4,61.10.9,61.20,61.30,61.90,62.01,62.02,62.03,62.09,63.11,63.11.1,63.12,63.91,63.99,63.99.1,73.11,73.12,73.20,73.20.1,79.90,95.11,95.12,95.21</t>
  </si>
  <si>
    <t>ТКАЧЕВ СТАНИСЛАВ ИГОРЕВИЧ</t>
  </si>
  <si>
    <t>115487,  Г.МОСКВА, УЛ. НАГАТИНСКАЯ, Д. 16, СТР. 9, ПОМЕЩ. VII КОМ.15 ОФ.5</t>
  </si>
  <si>
    <t>+74952077586,+74952077557,+74959266632,+74959269136,+79031090589,+79252412639,+79197276307,+74742220555</t>
  </si>
  <si>
    <t>tender@3l.ru,e.karabanova28@gmail.com,info@3l.ru,e.karabanova28@gmai.ru,kazartsev@3l.ru,tender@regard.lipetsk.ru,info@3l.mail.ru,e.karabanova28@gmail.ru,vsevolod@3l.ru,hgjfnnnhh@mail.ru,mshapovalov@31.ru</t>
  </si>
  <si>
    <t>ООО "МЕДСКАН"</t>
  </si>
  <si>
    <t>ОБЩЕСТВО С ОГРАНИЧЕННОЙ ОТВЕТСТВЕННОСТЬЮ "МЕДСКАН"</t>
  </si>
  <si>
    <t>2014-02-14</t>
  </si>
  <si>
    <t>86.10</t>
  </si>
  <si>
    <t>Деятельность больничных организаций</t>
  </si>
  <si>
    <t>33.13,46.18.1,46.46,47.73,47.74,47.75,73.11,77.39.26</t>
  </si>
  <si>
    <t>ПОДТЕТЕНЕВ ДМИТРИЙ СЕРГЕЕВИЧ</t>
  </si>
  <si>
    <t>119421,  Г.МОСКВА, УЛ. ОБРУЧЕВА, Д. 21А</t>
  </si>
  <si>
    <t>+74951220303,+74951261620,+74956688181,+79031060530,+79161409478</t>
  </si>
  <si>
    <t>98</t>
  </si>
  <si>
    <t>АО "ВО "ТЯЖПРОМЭКСПОРТ"</t>
  </si>
  <si>
    <t>АКЦИОНЕРНОЕ ОБЩЕСТВО "ВНЕШНЕЭКОНОМИЧЕСКОЕ ОБЪЕДИНЕНИЕ "ТЯЖПРОМЭКСПОРТ"</t>
  </si>
  <si>
    <t>12</t>
  </si>
  <si>
    <t>2011-09-08</t>
  </si>
  <si>
    <t>41.20</t>
  </si>
  <si>
    <t>Строительство жилых и нежилых зданий</t>
  </si>
  <si>
    <t>41.2,46.14,46.90,68.2,71.1,71.12.5,71.12.6,73.11,73.20.1,78.1,82.99</t>
  </si>
  <si>
    <t>ЕГОРОВ СЕРГЕЙ АНАТОЛЬЕВИЧ</t>
  </si>
  <si>
    <t>125284,  Г.МОСКВА, ПР-Д 1-Й ХОРОШЁВСКИЙ, Д. 3А, СТР. 2</t>
  </si>
  <si>
    <t>+74996480000,+74959415100,+74959412552,+74959412060,+74959412694,+74959412072,+74959416020,+74959410433,+74959415101,+74959413617,+74959413716,+79104635472,+74959412090,+74959412555,+74959413955,+74959501610,+79035097146,+74959415022,+79459412072,+79039412694</t>
  </si>
  <si>
    <t>tyazh.ru</t>
  </si>
  <si>
    <t>i.kostina@tyazh.ru,e.duyunova@tyazh.ru,info@tyazh.ru,eduynova@tyazh.ru,e.duynova@mail.ru,e.dyunova@tyazh.ru,v.melnikova@tyazh.ru,a.mikhailov@tyazh.ru,,tyazh@dol.ru,,g.volkenshtein@tyazh.ru,,e.duynova@tyazh.ru,i.stenichkov.@tyazh.ru,i.stenichkov@tyazh.ru,g.volkenshtein@tyazh.ru,a.mikhailov@tyazh.ru,d.dzhambulat@tyazh.ru,a/mikhailov@tyazh.ru</t>
  </si>
  <si>
    <t>62</t>
  </si>
  <si>
    <t>АО "СОГАЗ ТАУЭР"</t>
  </si>
  <si>
    <t>АКЦИОНЕРНОЕ ОБЩЕСТВО "СОГАЗ ТАУЭР"</t>
  </si>
  <si>
    <t>2003-11-03</t>
  </si>
  <si>
    <t>68.20.29</t>
  </si>
  <si>
    <t>Аренда и управление собственным или арендованным прочим нежилым недвижимым имуществом</t>
  </si>
  <si>
    <t>41.20,64.99.3,68.10,68.20,68.31,68.32,68.32.2,70.22,71.11,73.11,73.20.1</t>
  </si>
  <si>
    <t>НЕЧАЕВ ГЕОРГИЙ ВИКТОРОВИЧ</t>
  </si>
  <si>
    <t>107078,  Г.МОСКВА, ПР-КТ АКАДЕМИКА САХАРОВА, Д. 10</t>
  </si>
  <si>
    <t>+74956606015,+74956431315,+74956431316</t>
  </si>
  <si>
    <t>wave@wavetower.ru</t>
  </si>
  <si>
    <t>0</t>
  </si>
  <si>
    <t>АО "АГРОФИРМА "ОРУДЬЕВСКОЕ"</t>
  </si>
  <si>
    <t>АКЦИОНЕРНОЕ ОБЩЕСТВО "АГРОФИРМА "ОРУДЬЕВСКОЕ"</t>
  </si>
  <si>
    <t>2002-06-21</t>
  </si>
  <si>
    <t>68.1</t>
  </si>
  <si>
    <t>Покупка и продажа собственного недвижимого имущества</t>
  </si>
  <si>
    <t>01.42,52.24.2,52.29,64.92,68.2</t>
  </si>
  <si>
    <t>КОМАРОВ ОЛЕГ ВАЛЕНТИНОВИЧ</t>
  </si>
  <si>
    <t>141825, МОСКОВСКАЯ ОБЛАСТЬ, М.О. ДМИТРОВСКИЙ, С ОРУДЬЕВО, УЛ ЦЕНТРАЛЬНАЯ, Д. 87А, ПОМЕЩ. 28</t>
  </si>
  <si>
    <t>+74959939868,+74969939868</t>
  </si>
  <si>
    <t>Микропредприятие</t>
  </si>
  <si>
    <t>3</t>
  </si>
  <si>
    <t>УСН</t>
  </si>
  <si>
    <t>ООО "МДК"</t>
  </si>
  <si>
    <t>ОБЩЕСТВО С ОГРАНИЧЕННОЙ ОТВЕТСТВЕННОСТЬЮ "МДК"</t>
  </si>
  <si>
    <t>2003-04-02</t>
  </si>
  <si>
    <t>55.10</t>
  </si>
  <si>
    <t>Деятельность гостиниц и прочих мест для временного проживания</t>
  </si>
  <si>
    <t>41.2,43.12,43.12.3,43.2,43.3,43.33,43.99.1,43.99.4,43.99.6,43.99.7,45.20.1,45.20.2,47.11.2,47.30,52.29,55.30,55.90,56.10,56.10.1,56.10.3,56.30,68.2,77.21,79.11,86.90.4,88.10,93.11,93.19,96.02,96.04</t>
  </si>
  <si>
    <t>ЮДЕНКОВ НИКОЛАЙ ЕВГЕНЬЕВИЧ</t>
  </si>
  <si>
    <t>141840, МОСКОВСКАЯ ОБЛАСТЬ, М.О. ДМИТРОВСКИЙ, Д КУРОВО, Д. 69</t>
  </si>
  <si>
    <t>+74957967504,+74957888512,+74952680243</t>
  </si>
  <si>
    <t>www.dmitrov.golf,sorochany-mdk.ru</t>
  </si>
  <si>
    <t>info@dmitrov.golf,corp@dmitrov.golf,secretaru@sorochany-mdk.ru,secretary@sorochany-mdk.ru</t>
  </si>
  <si>
    <t>Малое предприятие</t>
  </si>
  <si>
    <t>51</t>
  </si>
  <si>
    <t>АО "ЭКСР"</t>
  </si>
  <si>
    <t>АКЦИОНЕРНОЕ ОБЩЕСТВО "ЭБЕРСПЕХЕР КЛИМАТИЧЕСКИЕ СИСТЕМЫ РУС"</t>
  </si>
  <si>
    <t>2003-12-17</t>
  </si>
  <si>
    <t>45.31.1</t>
  </si>
  <si>
    <t>Торговля оптовая автомобильными деталями, узлами и принадлежностями, кроме деятельности агентов</t>
  </si>
  <si>
    <t>28.25.1,28.25.12,28.25.13,28.25.2,29.31,29.32,29.32.3,45.20,45.31.1,45.31.2,45.32,52.10,52.24,52.29,74.20,74.30,82.19,82.92,82.99</t>
  </si>
  <si>
    <t>ВОСТРОПЯТОВА МАРИНА ВЛАДИМИРОВНА</t>
  </si>
  <si>
    <t>Генеральный директор</t>
  </si>
  <si>
    <t>123104, Г.МОСКВА, ВН.ТЕР.Г. МУНИЦИПАЛЬНЫЙ ОКРУГ ПРЕСНЕНСКИЙ, Б-Р ТВЕРСКОЙ, Д. 13, СТР. 1</t>
  </si>
  <si>
    <t>+74956471324,+78002003237,+74956455979,+74952120590,+70957558127,+70959248551,+74957558127</t>
  </si>
  <si>
    <t>www.otem.ru</t>
  </si>
  <si>
    <t>info-ru@eberspacher.com,info-ru@eberspaecher.com</t>
  </si>
  <si>
    <t>27</t>
  </si>
  <si>
    <t>ООО "СЕВЕРНЫЙ АВТОВОКЗАЛ"</t>
  </si>
  <si>
    <t>ОБЩЕСТВО С ОГРАНИЧЕННОЙ ОТВЕТСТВЕННОСТЬЮ "СЕВЕРНЫЙ АВТОВОКЗАЛ"</t>
  </si>
  <si>
    <t>41.20,43.11,43.12.3,43.91,43.99,43.99,55.10,56.10.1,68.10,68.10.1,68.20,68.32,70.22,71.1,71.11,71.12.5,71.12.6</t>
  </si>
  <si>
    <t>БАЛТАОГЛУ ДЖЮНЕЙТ</t>
  </si>
  <si>
    <t>125167,  Г.МОСКВА, ПР-КТ ЛЕНИНГРАДСКИЙ, Д.37, К.8</t>
  </si>
  <si>
    <t>+74996540320,+70954824592,+74954824592</t>
  </si>
  <si>
    <t>4</t>
  </si>
  <si>
    <t>ООО "ЛИДЕР"</t>
  </si>
  <si>
    <t>ОБЩЕСТВО С ОГРАНИЧЕННОЙ ОТВЕТСТВЕННОСТЬЮ "ЛИДЕР"</t>
  </si>
  <si>
    <t>1992-09-22</t>
  </si>
  <si>
    <t>49.4</t>
  </si>
  <si>
    <t>Деятельность автомобильного грузового транспорта и услуги по перевозкам</t>
  </si>
  <si>
    <t>10.32,11.07,11.07.2,29.20,29.20.5,45.20,45.20.1,46.16.2,46.17.1,52.10,68.20,68.20.1,70.10.2,77.11,77.12</t>
  </si>
  <si>
    <t>МИРОШКИН АЛЕКСАНДР АЛЕКСЕЕВИЧ</t>
  </si>
  <si>
    <t>140032,  МОСКОВСКАЯ ОБЛАСТЬ, Г ЛЮБЕРЦЫ, ПГТ. МАЛАХОВКА, УЛ ГАРАЖНАЯ, Д. 3</t>
  </si>
  <si>
    <t>+74955012311,+74955013572,+74955019754,+74985013572,+74985012311,+79035964869,+74955011218</t>
  </si>
  <si>
    <t>kazakova@liderco.ru</t>
  </si>
  <si>
    <t>73</t>
  </si>
  <si>
    <t>ООО ДСЭ " ОСЕНЬ "</t>
  </si>
  <si>
    <t>ОБЩЕСТВО С ОГРАНИЧЕННОЙ ОТВЕТСТВЕННОСТЬЮ ДИРЕКЦИЯ ПО СТРОИТЕЛЬСТВУ И ЭКСПЛУАТАЦИИ " ОСЕНЬ "</t>
  </si>
  <si>
    <t>1991-09-20</t>
  </si>
  <si>
    <t>68.32.1</t>
  </si>
  <si>
    <t>Управление эксплуатацией жилого фонда за вознаграждение или на договорной основе</t>
  </si>
  <si>
    <t>01.61,43.99,66.12,68.2,68.32.1,73.20.1,93.19</t>
  </si>
  <si>
    <t>ЧЕПРАСОВА ЕЛЕНА ВИКТОРОВНА</t>
  </si>
  <si>
    <t>143026,  МОСКОВСКАЯ ОБЛАСТЬ, Г ОДИНЦОВО, УЛ ОСЕННЯЯ (НЕМЧИНОВО ТЕР.), Д. 1</t>
  </si>
  <si>
    <t>+74952335476,+74954149675,+74957481006,+74957480088,+79166216584</t>
  </si>
  <si>
    <t>38</t>
  </si>
  <si>
    <t>ООО "НИЦЭВТ-ЭНЕРГО"</t>
  </si>
  <si>
    <t>ОБЩЕСТВО С ОГРАНИЧЕННОЙ ОТВЕТСТВЕННОСТЬЮ "НИЦЭВТ-ЭНЕРГО"</t>
  </si>
  <si>
    <t>2012-05-24</t>
  </si>
  <si>
    <t>33.12,33.12,33.12,33.12,33.12,33.12,33.14,33.14,33.14,33.20,35.11,35.11.4,35.30,35.30.1,35.30.11,35.30.13,35.30.14,35.30.15,35.30.2,35.30.3,35.30.4,35.30.5,36.00,36.00.1,36.00.2,41.20,41.20,42.21,42.21,42.22.2,42.22.3,42.99,43.11,43.11,43.12.1,43.12.3,43.21,43.22,43.29,43.31,43.32,43.33,43.34,43.34.1,43.34.2,43.39,43.91,43.99,43.99,43.99.1,43.99.2,43.99.3,43.99.4,43.99.5,43.99.6,43.99.7,43.99.9,46.12.1,46.71.2,47.52.73,47.78.6,49.50,49.50.2,49.50.21,52.10,52.10.2,52.10.22,52.10.23,52.21,52.21.2,68.10,68.10.1,68.10.12,68.20,68.20.2,68.31.1,68.31.12,68.31.2,68.31.22,68.31.3,68.31.32,68.31.4,68.31.42,68.31.5,68.32,68.32,68.32.2,70.22,71.11.1,71.12,71.12.1,71.12.12,71.12.13,71.12.45,71.20.6,71.20.9,73.20,73.20.1,73.20.2,77.39.23,81.22,81.29.9</t>
  </si>
  <si>
    <t>СУКОВАТИКОВ РОМАН ПАВЛОВИЧ</t>
  </si>
  <si>
    <t>117587, Г.МОСКВА, ВН.ТЕР.Г. МУНИЦИПАЛЬНЫЙ ОКРУГ ЧЕРТАНОВО СЕВЕРНОЕ, Ш ВАРШАВСКОЕ, Д. 125, СТР. 1, СЕКЦИЯ/ЭТАЖ/ПОМЕЩ. 3/5/IX, КОМ. 2</t>
  </si>
  <si>
    <t>+79032582997,+79255068451,+74953196067</t>
  </si>
  <si>
    <t>nicevt-energo.ru</t>
  </si>
  <si>
    <t>ООО "МПС СОФТ"</t>
  </si>
  <si>
    <t>ОБЩЕСТВО С ОГРАНИЧЕННОЙ ОТВЕТСТВЕННОСТЬЮ "МАСТЕР ПРОДАКШН СОФТ ЭНД СИСТЕМЗ"</t>
  </si>
  <si>
    <t>2012-06-13</t>
  </si>
  <si>
    <t>62.0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</si>
  <si>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</si>
  <si>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18.2,18.20,26.51,26.51.7,33.20,43.2,43.21,46.43.3,46.51,46.69.5,62.02,62.09,63.11.1,71.1,71.12.5,71.12.6,95.1</t>
  </si>
  <si>
    <t>ОЛЬХОВ ВЛАДИМИР ПЕТРОВИЧ</t>
  </si>
  <si>
    <t>105066, Г.МОСКВА, ВН.ТЕР.Г. МУНИЦИПАЛЬНЫЙ ОКРУГ БАСМАННЫЙ, УЛ НИЖНЯЯ КРАСНОСЕЛЬСКАЯ, Д. 40/12, К. 2, ПОМЕЩ. 1Н/3</t>
  </si>
  <si>
    <t>+79266295688</t>
  </si>
  <si>
    <t>rs485.ru</t>
  </si>
  <si>
    <t>129</t>
  </si>
  <si>
    <t>ООО "ТАРУСОВО-ДЕВЕЛОПМЕНТ"</t>
  </si>
  <si>
    <t>ОБЩЕСТВО С ОГРАНИЧЕННОЙ ОТВЕТСТВЕННОСТЬЮ "ТАРУСОВО-ДЕВЕЛОПМЕНТ"</t>
  </si>
  <si>
    <t>2012-12-13</t>
  </si>
  <si>
    <t>56.10.1,64.99.11,64.99.3,68.1,68.2,68.3,68.31.1,68.31.2,68.31.3,68.31.4,77.32</t>
  </si>
  <si>
    <t>ПОНОМАРЕНКО ЮЛИЯ АНАТОЛЬЕВНА</t>
  </si>
  <si>
    <t>141932, МОСКОВСКАЯ ОБЛАСТЬ, Г.О. ТАЛДОМСКИЙ, Д ТАРУСОВО, ТЕР. ЛЕПОТА, Д. 1, ЭТАЖ 1, ПОМЕЩ. 15</t>
  </si>
  <si>
    <t>+79057133446,+74952044091,+79858128507,+79653050174,+74956600644</t>
  </si>
  <si>
    <t>notary@notarys.ru</t>
  </si>
  <si>
    <t>ООО "МЕДИА ЭКСТЕНШНС"</t>
  </si>
  <si>
    <t>ОБЩЕСТВО С ОГРАНИЧЕННОЙ ОТВЕТСТВЕННОСТЬЮ "МЕДИА ЭКСТЕНШНС"</t>
  </si>
  <si>
    <t>2016-06-02</t>
  </si>
  <si>
    <t>68.20</t>
  </si>
  <si>
    <t>Аренда и управление собственным или арендованным недвижимым имуществом</t>
  </si>
  <si>
    <t>18.12,43.21,58.11,58.14,59.11,60.10,60.20,61.10,62.01,62.02,62.09,63.11.1,64.99,68.31.1,68.31.2,68.31.3,68.31.4,68.32,70.22,71.11.1,72.20,73.11,74.30,77.11,77.33,78.30,80.10,80.20,80.30,81.22,81.29.9,82.19,82.99,90.0,91.01,93.11,93.29,95.11</t>
  </si>
  <si>
    <t>ЛОБАШОВ ИЛЬЯ АНДРЕЕВИЧ</t>
  </si>
  <si>
    <t>125284,  Г.МОСКВА, Ш. ХОРОШЁВСКОЕ, Д. 32А, ПОМЕЩ. VII  КОМН  46</t>
  </si>
  <si>
    <t>+74959402025</t>
  </si>
  <si>
    <t>2</t>
  </si>
  <si>
    <t>ООО "ДЕЛЬТАХОЛДИНГ"</t>
  </si>
  <si>
    <t>ОБЩЕСТВО С ОГРАНИЧЕННОЙ ОТВЕТСТВЕННОСТЬЮ "ДЕЛЬТАХОЛДИНГ"</t>
  </si>
  <si>
    <t>2012-10-26</t>
  </si>
  <si>
    <t>77.39.12</t>
  </si>
  <si>
    <t>Аренда и лизинг железнодорожного транспорта и оборудования</t>
  </si>
  <si>
    <t>30.2,30.20.4,30.20.9,33.17,46.69.1,46.72,49.10,49.20,52.21.1,70.22</t>
  </si>
  <si>
    <t>СОЛОВЬЁВА ИРИНА АЛЕКСАНДРОВНА</t>
  </si>
  <si>
    <t>115114, Г.МОСКВА, ВН.ТЕР.Г. МУНИЦИПАЛЬНЫЙ ОКРУГ ДАНИЛОВСКИЙ, ПЕР 1-Й КОЖЕВНИЧЕСКИЙ, Д. 6, СТР. 1, ПОМЕЩ. 8/4</t>
  </si>
  <si>
    <t>+79852273175</t>
  </si>
  <si>
    <t>info@delta-holding.ru,aleksandrakareva@mail.ru</t>
  </si>
  <si>
    <t>1</t>
  </si>
  <si>
    <t>ООО "ПСБ БИЗНЕС"</t>
  </si>
  <si>
    <t>ОБЩЕСТВО С ОГРАНИЧЕННОЙ ОТВЕТСТВЕННОСТЬЮ "ПСБ БИЗНЕС"</t>
  </si>
  <si>
    <t>2013-09-23</t>
  </si>
  <si>
    <t>41.20,43.21,43.22,43.29,43.31,43.32,43.33,43.91,43.99,52.10,68.10,68.10.1,68.10.11,68.10.12,68.20,68.31,68.31.1,68.31.2,68.31.3,68.31.4,68.31.5,68.32,68.32.1,68.32.2,69.10,69.20,71.11,71.12,71.12.2,74.10,82.30,93.11,93.19</t>
  </si>
  <si>
    <t>Доступ к сведениям ограничен</t>
  </si>
  <si>
    <t>119021, Г.МОСКВА, ВН.ТЕР.Г. МУНИЦИПАЛЬНЫЙ ОКРУГ ХАМОВНИКИ, УЛ ЛЬВА ТОЛСТОГО, Д. 23, СТР. 3, ПОМЕЩ. II, КОМ. 1К, 1Л, 1М, 1Н, 1О, 1П</t>
  </si>
  <si>
    <t>+74957771020,+79032754278</t>
  </si>
  <si>
    <t>dzo.procurement@psbank.ru,korotkovatv@psbank.ru,piladzisoa@psbank.ru</t>
  </si>
  <si>
    <t>74</t>
  </si>
  <si>
    <t>ООО "ЭНЕРГОАТОМИНВЕСТ"</t>
  </si>
  <si>
    <t>ОБЩЕСТВО С ОГРАНИЧЕННОЙ ОТВЕТСТВЕННОСТЬЮ "ЭНЕРГОАТОМИНВЕСТ"</t>
  </si>
  <si>
    <t>2002-07-10</t>
  </si>
  <si>
    <t>64.99</t>
  </si>
  <si>
    <t>Предоставление прочих финансовых услуг, кроме услуг по страхованию и пенсионному обеспечению, не включенных в другие группировки</t>
  </si>
  <si>
    <t>33.20,35.11.3,41.20,42.11,42.21,42.22.2,43.11,43.12.1,43.12.3,43.21,43.22,43.29,43.31,43.32,43.33,43.34,43.91,43.99,43.99.1,43.99.5,45.1,45.11.1,45.11.2,45.11.3,45.11.4,45.19.1,45.19.2,45.19.3,45.19.4,45.20,45.3,49.39,49.4,55.10,55.90,56.10,56.10.1,56.10.3,56.29,63.99.1,64.91,66.22,68.20,68.20.2,70.22,71.12,71.12.1,71.12.12,77.39.1,79.11,79.12,79.90,85.41.9,86.90.4</t>
  </si>
  <si>
    <t>БУДЬКО ИГОРЬ ВИТАЛЬЕВИЧ</t>
  </si>
  <si>
    <t>115419, Г.МОСКВА, ВН.ТЕР.Г. МУНИЦИПАЛЬНЫЙ ОКРУГ ДОНСКОЙ, ПРОЕЗД 2-Й РОЩИНСКИЙ, Д. 8, СТР. 4, ЭТ./ПОМЕЩ. 5/I, КОМ. 1-35, 72-85</t>
  </si>
  <si>
    <t>+74951079514,+74951079515,+74956207032,+74956207037,+74956207033,+74957305394,+74956207036,+74946207032,+74956207035,+74956207034,+74959670131,+74953664495,+74992701726,+74956203270,+74957305395,+74957305393,+78495735394,+74957305396,+74959671272,+74959613456,+74959671271,+78453499314</t>
  </si>
  <si>
    <t>info@atominvest.com,senizhaleyko@rosatom.ru,kuznetsovatv@atominvest.com,nnivyalkina@rosatom.ru,koryagin@atominvest.com,arvkoryagin@rosatom.ru,vyalkina@atominvest.com,zhaleiko@atominvest.com,brodecki@atominvest.com,rusakov@atominvest.com,info@atominvest.ru,tulaev@atominvest.com,tulaev@atominest.com,info@atoninvest.com,muhanov@atominvest.com,brodecki@atominvestt.com,7622393@gmail.com,brodecki@atominvect.com,brodetcki@atominvest.com</t>
  </si>
  <si>
    <t>82</t>
  </si>
  <si>
    <t>ООО "ТВК "ТИШИНКА"</t>
  </si>
  <si>
    <t>ОБЩЕСТВО С ОГРАНИЧЕННОЙ ОТВЕТСТВЕННОСТЬЮ "ТОРГОВО-ВЫСТАВОЧНЫЙ КОМПЛЕКС "ТИШИНКА"</t>
  </si>
  <si>
    <t>2007-05-24</t>
  </si>
  <si>
    <t>68.20.2</t>
  </si>
  <si>
    <t>Аренда и управление собственным или арендованным нежилым недвижимым имуществом</t>
  </si>
  <si>
    <t>18.1,41.2,43.2,43.3,45.11.1,45.11.2,45.11.3,45.11.4,45.19.1,45.19.2,45.19.3,45.19.4,45.20.1,45.20.2,45.3,45.40,46.1,46.2,46.3,46.6,46.7,46.9,47.1,47.2,47.5,47.73,47.74,47.75,47.9,49.32,49.4,52.10,52.21.24,52.29,55.1,55.2,56.10,56.10.1,56.10.3,56.29,56.30,68.10.11,68.10.12,68.10.21,68.10.22,68.10.23,68.20.1,68.31.11,68.31.12,68.31.21,68.31.22,68.31.31,68.31.32,68.31.41,68.31.42,68.32.2,69.10,69.20,70.22,73.11,77.11,77.33,77.39,77.39.11,82.99,86,87,88,93.1,93.2,95.2</t>
  </si>
  <si>
    <t>ОБЩЕСТВО С ОГРАНИЧЕННОЙ ОТВЕТСТВЕННОСТЬЮ "КАПИТАЛ ГРУП РАЗВИТИЕ"</t>
  </si>
  <si>
    <t>123056,  Г.МОСКВА, ПЛ. ТИШИНСКАЯ, Д.1, СТР.1</t>
  </si>
  <si>
    <t>+74957390500,+74957390513,+74957390540</t>
  </si>
  <si>
    <t>www.tishinka.com</t>
  </si>
  <si>
    <t>v.mitin@tishinka.com,v.ilchenko@tishinka.com,szd@tishinka.com,info@tishinka.com</t>
  </si>
  <si>
    <t>24</t>
  </si>
  <si>
    <t>ОАО "ТВЕРСКАЯ, 16"</t>
  </si>
  <si>
    <t>ОТКРЫТОЕ АКЦИОНЕРНОЕ ОБЩЕСТВО "ТВЕРСКАЯ, 16"</t>
  </si>
  <si>
    <t>1993-06-29</t>
  </si>
  <si>
    <t>41.20,43.2,43.3,46.90,68.20.2,71.11.1</t>
  </si>
  <si>
    <t>ЛЕНЬШИНА МАРИНА ВЯЧЕСЛАВОВНА</t>
  </si>
  <si>
    <t>125375, Г.МОСКВА, ВН.ТЕР.Г. МУНИЦИПАЛЬНЫЙ ОКРУГ ТВЕРСКОЙ, УЛ ТВЕРСКАЯ, Д. 16, СТР. 1, ОФИС Б802</t>
  </si>
  <si>
    <t>+74959358299,+74959358370,+74959357055,+74959358374,+74959358376,+74959358367,+74959358372</t>
  </si>
  <si>
    <t>7</t>
  </si>
  <si>
    <t>АО "ГАЗЕТА МЕТРО"</t>
  </si>
  <si>
    <t>АКЦИОНЕРНОЕ ОБЩЕСТВО "ГАЗЕТА МЕТРО"</t>
  </si>
  <si>
    <t>42</t>
  </si>
  <si>
    <t>1997-08-26</t>
  </si>
  <si>
    <t>58.13.1</t>
  </si>
  <si>
    <t>Издание газет в печатном виде</t>
  </si>
  <si>
    <t>18.11,18.12,58.13,58.14,58.19,58.29,59.11,59.12,62.01,62.09,63.11,63.12,63.91,73.11,73.12,73.20,74.10,74.20,82.30,90.01,93.19,93.29</t>
  </si>
  <si>
    <t>КЛИМЕНЧЕВА НАТАЛЬЯ АЛЕКСАНДРОВНА</t>
  </si>
  <si>
    <t>125124, Г.МОСКВА, ВН.ТЕР.Г. МУНИЦИПАЛЬНЫЙ ОКРУГ БЕГОВОЙ, УЛ ПРАВДЫ, Д. 24, СТР. 4, ПОМЕЩ. 1Н</t>
  </si>
  <si>
    <t>+74957871211,+79060819736</t>
  </si>
  <si>
    <t>www.gazetametro.ru</t>
  </si>
  <si>
    <t>natalia.zlobenko@gazetametro.ru,ekaterina.burtseva@gazetametro.ru,eka_burceva@mail.ru,dmitry.zarubin@gazetametro.ru,info@gazetametro.ru</t>
  </si>
  <si>
    <t>69</t>
  </si>
  <si>
    <t>ООО "ДАЕВ ПЛАЗА"</t>
  </si>
  <si>
    <t>ОБЩЕСТВО С ОГРАНИЧЕННОЙ ОТВЕТСТВЕННОСТЬЮ "ДАЕВ ПЛАЗА"</t>
  </si>
  <si>
    <t>2002-02-05</t>
  </si>
  <si>
    <t>68.20.1</t>
  </si>
  <si>
    <t>Аренда и управление собственным или арендованным жилым недвижимым имуществом</t>
  </si>
  <si>
    <t>61.10.9,68.20.2</t>
  </si>
  <si>
    <t>АНУФРИЕВ ИВАН ЕВГЕНЬЕВИЧ</t>
  </si>
  <si>
    <t>107045,  Г.МОСКВА, ПЕР ДАЕВ, Д. 20</t>
  </si>
  <si>
    <t>+74956048116,+74956048248,+74956048328,+74956048471,+74956048484,+74959562955,+74956048020,+74952048020,+74956048444</t>
  </si>
  <si>
    <t>www.daev-plaza.ru</t>
  </si>
  <si>
    <t>info@deavnet.ru,info@daevnet.ru,-@-.-,daevplasa@mail.ru,daev@daev-plaza.ru</t>
  </si>
  <si>
    <t>ООО "ЭЛГАД ИНВЕСТ"</t>
  </si>
  <si>
    <t>ОБЩЕСТВО С ОГРАНИЧЕННОЙ ОТВЕТСТВЕННОСТЬЮ "ЭЛГАД ИНВЕСТ"</t>
  </si>
  <si>
    <t>2018-03-12</t>
  </si>
  <si>
    <t>64.92,64.99,68.10,68.10.22,68.20</t>
  </si>
  <si>
    <t>ГАДАЕВ ГАЙ НАТАНОВИЧ</t>
  </si>
  <si>
    <t>105005,  Г.МОСКВА, НАБ. АКАДЕМИКА ТУПОЛЕВА, Д. 15, ЭТ/ПОМ/КОМ 3/I/6</t>
  </si>
  <si>
    <t>+74956287650</t>
  </si>
  <si>
    <t>6</t>
  </si>
  <si>
    <t>ООО "ФОРМА"</t>
  </si>
  <si>
    <t>ОБЩЕСТВО С ОГРАНИЧЕННОЙ ОТВЕТСТВЕННОСТЬЮ "ФОРМА"</t>
  </si>
  <si>
    <t>2011-10-20</t>
  </si>
  <si>
    <t>81.10</t>
  </si>
  <si>
    <t>Деятельность по комплексному обслуживанию помещений</t>
  </si>
  <si>
    <t>41.2,43.12,43.2,43.3,43.99,64.19,64.99,66.1,68.1,68.2,68.3,71.1,71.12.5,71.12.6</t>
  </si>
  <si>
    <t>КОСЦОВ ЮРИЙ ВЛАДИМИРОВИЧ</t>
  </si>
  <si>
    <t>142100,  МОСКОВСКАЯ ОБЛАСТЬ, Г. ПОДОЛЬСК, УЛ. КОМСОМОЛЬСКАЯ, Д. 1, СТР. 51А, ПОМЕЩ. 73</t>
  </si>
  <si>
    <t>+74955803060</t>
  </si>
  <si>
    <t>n.minaev@danhson.com</t>
  </si>
  <si>
    <t>ООО "МАСТЕР ДИСТРИБЬЮТОР"</t>
  </si>
  <si>
    <t>ОБЩЕСТВО С ОГРАНИЧЕННОЙ ОТВЕТСТВЕННОСТЬЮ "МАСТЕР ДИСТРИБЬЮТОР"</t>
  </si>
  <si>
    <t>2017-06-14</t>
  </si>
  <si>
    <t>46.36,46.36.2,46.36.3,46.38.2,46.38.29,49.41,49.41.1,49.41.2,49.41.3,49.42,52.10,52.10.9,52.21.2,52.21.29,52.24,52.24.1,52.24.2,52.29,82.99</t>
  </si>
  <si>
    <t>УРБАН АЛЕКСАНДР ГЕННАДЬЕВИЧ</t>
  </si>
  <si>
    <t>115230, Г.МОСКВА, ВН.ТЕР.Г. МУНИЦИПАЛЬНЫЙ ОКРУГ НАГАТИНО-САДОВНИКИ, ПРОЕЗД ХЛЕБОЗАВОДСКИЙ, Д. 7, СТР. 9, КОМ. 23/Н</t>
  </si>
  <si>
    <t>+74995196451</t>
  </si>
  <si>
    <t>master-distributor@master-distributor.ru</t>
  </si>
  <si>
    <t>11</t>
  </si>
  <si>
    <t>ООО "ПЛТ БЕКАСОВО"</t>
  </si>
  <si>
    <t>ОБЩЕСТВО С ОГРАНИЧЕННОЙ ОТВЕТСТВЕННОСТЬЮ "ПЛТ БЕКАСОВО"</t>
  </si>
  <si>
    <t>2017-01-09</t>
  </si>
  <si>
    <t>41.20,43.99,52.10,52.21,52.29,64.99.11,64.99.3,68.10,68.10.23,68.20.2</t>
  </si>
  <si>
    <t>БЕСПАЛОВ ДМИТРИЙ РОБЕРТОВИЧ</t>
  </si>
  <si>
    <t>123112, Г.МОСКВА, ВН.ТЕР.Г. МУНИЦИПАЛЬНЫЙ ОКРУГ ПРЕСНЕНСКИЙ, НАБ ПРЕСНЕНСКАЯ, Д. 12, ЭТАЖ 30, КОМ. 21</t>
  </si>
  <si>
    <t>+74996438480</t>
  </si>
  <si>
    <t>ООО "СИГМА КОНСТРАКШЕН"</t>
  </si>
  <si>
    <t>ОБЩЕСТВО С ОГРАНИЧЕННОЙ ОТВЕТСТВЕННОСТЬЮ "СИГМА КОНСТРАКШЕН"</t>
  </si>
  <si>
    <t>2021-12-13</t>
  </si>
  <si>
    <t>46.73</t>
  </si>
  <si>
    <t>Торговля оптовая лесоматериалами, строительными материалами и санитарно-техническим оборудованием</t>
  </si>
  <si>
    <t>23.20,23.61,23.63,23.64,23.69,46.69,46.73.6,49.42,68.20,77.12</t>
  </si>
  <si>
    <t>ПОЛЕНОВ АЛЕКСАНДР ЮРЬЕВИЧ</t>
  </si>
  <si>
    <t>119019, Г.МОСКВА, ВН.ТЕР.Г. МУНИЦИПАЛЬНЫЙ ОКРУГ АРБАТ, УЛ АРБАТ, Д. 6/2, ПОМЕЩ. 1/1/4</t>
  </si>
  <si>
    <t>+79059747555</t>
  </si>
  <si>
    <t>sigma.tgy@gmail.com</t>
  </si>
  <si>
    <t>10</t>
  </si>
  <si>
    <t>АО "Л-КОНСАЛТ"</t>
  </si>
  <si>
    <t>АКЦИОНЕРНОЕ ОБЩЕСТВО "Л-КОНСАЛТ"</t>
  </si>
  <si>
    <t>2024-04-09</t>
  </si>
  <si>
    <t>41.20,42.11,42.91,42.99,43.21,43.22,43.29,43.91,43.99,43.99.1,62.02,62.09,63.11.1,64.99.1,70.22,71.12.1,72.19,82.99,85.42.9,95.11</t>
  </si>
  <si>
    <t>РОДИНА ЕКАТЕРИНА ВЯЧЕСЛАВОВНА</t>
  </si>
  <si>
    <t>105066, Г.МОСКВА, ВН.ТЕР.Г. МУНИЦИПАЛЬНЫЙ ОКРУГ БАСМАННЫЙ, УЛ ДОБРОСЛОБОДСКАЯ, Д. 5</t>
  </si>
  <si>
    <t>+74956356441,+79166944953</t>
  </si>
  <si>
    <t>ООО "ГАЛС-ПРОЕКТ"</t>
  </si>
  <si>
    <t>ОБЩЕСТВО С ОГРАНИЧЕННОЙ ОТВЕТСТВЕННОСТЬЮ "ГАЛС-ПРОЕКТ"</t>
  </si>
  <si>
    <t>2021-10-11</t>
  </si>
  <si>
    <t>41.20,43.11,43.12.1,43.21,43.29,43.39,43.99.7,46.49,46.90,63.11.1,64.99,68.10,68.20,68.31.3,68.31.32,68.31.4,68.31.42,68.32.2,69.10,69.20,70.22,71.12.1,71.12.2,71.12.5,71.12.6,72.19,73.20.1</t>
  </si>
  <si>
    <t>ЦЫГАНКОВ ДЕНИС АЛЕКСЕЕВИЧ</t>
  </si>
  <si>
    <t>125284, Г.МОСКВА, ВН.ТЕР.Г. МУНИЦИПАЛЬНЫЙ ОКРУГ БЕГОВОЙ, ПР-КТ ЛЕНИНГРАДСКИЙ, Д. 35, СТР. 1, ЭТАЖ/ПОМЕЩ./КОМ. 5/I/19</t>
  </si>
  <si>
    <t>+79263725626</t>
  </si>
  <si>
    <t>22</t>
  </si>
  <si>
    <t>ООО "СЗ "ГАЛС-СТАРОПЕТРОВСКИЙ"</t>
  </si>
  <si>
    <t>ОБЩЕСТВО С ОГРАНИЧЕННОЙ ОТВЕТСТВЕННОСТЬЮ "СПЕЦИАЛИЗИРОВАННЫЙ ЗАСТРОЙЩИК "ГАЛС-СТАРОПЕТРОВСКИЙ"</t>
  </si>
  <si>
    <t>2025-01-31</t>
  </si>
  <si>
    <t>46.19,46.90,52.10.9,68.10.21,68.10.22,68.20.2,69.20.1,70.22,73.20.1,82.99</t>
  </si>
  <si>
    <t>КИБИШЕВ МАКСИМ ВЯЧЕСЛАВОВИЧ</t>
  </si>
  <si>
    <t>125130, Г.МОСКВА, ВН.ТЕР.Г. МУНИЦИПАЛЬНЫЙ ОКРУГ ВОЙКОВСКИЙ, ПРОЕЗД СТАРОПЕТРОВСКИЙ, Д. 11, К. 1, ПОМЕЩ. 1</t>
  </si>
  <si>
    <t>+79852247504</t>
  </si>
  <si>
    <t>ООО "ЛЭНДМАРК ГРУП"</t>
  </si>
  <si>
    <t>ОБЩЕСТВО С ОГРАНИЧЕННОЙ ОТВЕТСТВЕННОСТЬЮ "ЛЭНДМАРК ГРУП"</t>
  </si>
  <si>
    <t>2016-10-07</t>
  </si>
  <si>
    <t>64.20,64.99.11,64.99.12,64.99.3,64.99.4,66.19,68.10,68.31,68.32,77.29,77.33,77.39</t>
  </si>
  <si>
    <t>МАРКОВ АРКАДИЙ ОЛЕГОВИЧ</t>
  </si>
  <si>
    <t>115419,  Г.МОСКВА, ПР-Д 5-Й ДОНСКОЙ, Д. 4, ПОМЕЩ. 1 КОМ. 4</t>
  </si>
  <si>
    <t>+79851132368</t>
  </si>
  <si>
    <t>ООО "МЕДСКАН ЛАБ"</t>
  </si>
  <si>
    <t>ОБЩЕСТВО С ОГРАНИЧЕННОЙ ОТВЕТСТВЕННОСТЬЮ "МЕДСКАН ЛАБ"</t>
  </si>
  <si>
    <t>2022-08-10</t>
  </si>
  <si>
    <t>64.20</t>
  </si>
  <si>
    <t>Деятельность холдинговых компаний</t>
  </si>
  <si>
    <t>70.22</t>
  </si>
  <si>
    <t>АКЦИОНЕРНОЕ ОБЩЕСТВО "МЕДСКАН"</t>
  </si>
  <si>
    <t>129626, Г.МОСКВА, ВН.ТЕР.Г. МУНИЦИПАЛЬНЫЙ ОКРУГ АЛЕКСЕЕВСКИЙ, ПР-КТ МИРА, Д. 102, К. 1, ПОМЕЩ. 3/7</t>
  </si>
  <si>
    <t>+79035492065</t>
  </si>
  <si>
    <t>ООО "РТС"</t>
  </si>
  <si>
    <t>ОБЩЕСТВО С ОГРАНИЧЕННОЙ ОТВЕТСТВЕННОСТЬЮ "РОСАТОМ ТЕХНОЛОГИИ СООРУЖЕНИЯ"</t>
  </si>
  <si>
    <t>2023-10-17</t>
  </si>
  <si>
    <t>70.10</t>
  </si>
  <si>
    <t>Деятельность головных офисов</t>
  </si>
  <si>
    <t>28.99,33.12,33.20,46.69,66.19.4,69.10,70.10,70.22,71.12,71.12.14,73.20.1,74.90.1,74.90.6</t>
  </si>
  <si>
    <t>ВЕРГИЗАЕВ ИЛЬЯ АЛЕКСАНДРОВИЧ</t>
  </si>
  <si>
    <t>115280, Г.МОСКВА, ВН.ТЕР.Г. МУНИЦИПАЛЬНЫЙ ОКРУГ ДАНИЛОВСКИЙ, УЛ ЛЕНИНСКАЯ СЛОБОДА, Д. 26, ПОМЕЩ. 4Н/1</t>
  </si>
  <si>
    <t>+74952800014,+79857276675</t>
  </si>
  <si>
    <t>dvabelova@roatom.ru,dvabelova@rosatom.ru,vskurakina@rosatom.ru,rkip@rosatom.ru,oamusaelyan@rosatom.ru,salberezhnoy@rosatom.ru</t>
  </si>
  <si>
    <t>113</t>
  </si>
  <si>
    <t>ООО "ПРОМСТРОЙ"</t>
  </si>
  <si>
    <t>ОБЩЕСТВО С ОГРАНИЧЕННОЙ ОТВЕТСТВЕННОСТЬЮ "ПРОМЫШЛЕННОЕ СТРОИТЕЛЬСТВО"</t>
  </si>
  <si>
    <t>2022-09-28</t>
  </si>
  <si>
    <t>41.10,41.20,42.22,42.99,43.11,43.12,43.21,43.22,43.29,43.31,43.32,43.33,43.34,43.39,62.02,63.11,64.99,66.19,68.10,68.20,69.10,70.22,71.12.1,71.12.2,82.99</t>
  </si>
  <si>
    <t>СУЛТАНОВ ВЛАДИСЛАВ НАЗИПОВИЧ</t>
  </si>
  <si>
    <t>109316, Г.МОСКВА, ВН.ТЕР.Г. МУНИЦИПАЛЬНЫЙ ОКРУГ ПЕЧАТНИКИ, ПР-КТ ВОЛГОГРАДСКИЙ, Д. 42, К. 5, КОМ. 9</t>
  </si>
  <si>
    <t>+74952801480,+79856464428</t>
  </si>
  <si>
    <t>info@mos-promstroy.ru,arutyunyanas@mos-promstroy.ru</t>
  </si>
  <si>
    <t>133</t>
  </si>
  <si>
    <t>АО "МПС-ГРАНД"</t>
  </si>
  <si>
    <t>АКЦИОНЕРНОЕ ОБЩЕСТВО "МПС-ГРАНД"</t>
  </si>
  <si>
    <t>2007-02-06</t>
  </si>
  <si>
    <t>46.39,55.10,56.10,56.21,56.30,68.10,68.20,68.31,68.32,70.22,79.11,79.12,79.90,82.30</t>
  </si>
  <si>
    <t>ОБЩЕСТВО С ОГРАНИЧЕННОЙ ОТВЕТСТВЕННОСТЬЮ "САФМАР ПЛАЗА"</t>
  </si>
  <si>
    <t>129272,  Г.МОСКВА, УЛ. СУЩЁВСКИЙ ВАЛ, Д. 74, ЭТ 21 ПОМ I КОМ 1</t>
  </si>
  <si>
    <t>+74956505145,+74956990379</t>
  </si>
  <si>
    <t>АО "МПС-ФОРЕСТ"</t>
  </si>
  <si>
    <t>АКЦИОНЕРНОЕ ОБЩЕСТВО "МПС-ФОРЕСТ"</t>
  </si>
  <si>
    <t>2007-02-22</t>
  </si>
  <si>
    <t>46.39,55.10,56.10,56.21,56.30,68.10,68.31,68.32,70.22,79.11,79.12,79.90,82.30</t>
  </si>
  <si>
    <t>+74956990379</t>
  </si>
  <si>
    <t>АО "ОСПОС"</t>
  </si>
  <si>
    <t>АКЦИОНЕРНОЕ ОБЩЕСТВО "ОПЕРАТОР СИСТЕМ ПЕНСИОННОГО ОБЕСПЕЧЕНИЯ И СТРАХОВАНИЯ"</t>
  </si>
  <si>
    <t>2007-09-03</t>
  </si>
  <si>
    <t>66.29.9</t>
  </si>
  <si>
    <t>Деятельность вспомогательная прочая в сфере страхования, кроме обязательного социального страхования</t>
  </si>
  <si>
    <t>62.01,62.02,62.09,63.11.1,63.99.1,66.2,70.22,73.20.1,82.99</t>
  </si>
  <si>
    <t>МОЧАЛОВ ЕВГЕНИЙ ВЛАДИМИРОВИЧ</t>
  </si>
  <si>
    <t>117556,  Г.МОСКВА, Ш. ВАРШАВСКОЕ, Д.95, К.1</t>
  </si>
  <si>
    <t>+74995800080,+74957820894</t>
  </si>
  <si>
    <t>ospos.ru,,ospos.ru</t>
  </si>
  <si>
    <t>107</t>
  </si>
  <si>
    <t>ООО "ИНВЕСТКОНСАЛТИНГ"</t>
  </si>
  <si>
    <t>ОБЩЕСТВО С ОГРАНИЧЕННОЙ ОТВЕТСТВЕННОСТЬЮ "ИНВЕСТКОНСАЛТИНГ"</t>
  </si>
  <si>
    <t>2007-09-18</t>
  </si>
  <si>
    <t>50.20.29</t>
  </si>
  <si>
    <t>Перевозка прочих грузов морскими судами каботажного плавания</t>
  </si>
  <si>
    <t>50.10,50.20,50.20.3,52.22.1</t>
  </si>
  <si>
    <t>ЧВЕРТКО НИКОЛАЙ НИКОЛАЕВИЧ</t>
  </si>
  <si>
    <t>115184, Г.МОСКВА, ВН.ТЕР.Г. МУНИЦИПАЛЬНЫЙ ОКРУГ ЗАМОСКВОРЕЧЬЕ, УЛ НОВОКУЗНЕЦКАЯ, Д. 7/11, СТР. 1, ЭТАЖ 3, КАБ. 317</t>
  </si>
  <si>
    <t>+74957391243,+74957391127</t>
  </si>
  <si>
    <t>АО "ТРАСТИНВЕСТНЕДВИЖИМОСТЬ"</t>
  </si>
  <si>
    <t>АКЦИОНЕРНОЕ ОБЩЕСТВО "ТРАСТИНВЕСТНЕДВИЖИМОСТЬ"</t>
  </si>
  <si>
    <t>2007-12-19</t>
  </si>
  <si>
    <t>68.10.22</t>
  </si>
  <si>
    <t>Покупка и продажа собственных нежилых зданий и помещений</t>
  </si>
  <si>
    <t>14.12,46.11.35,46.12.31,46.15,46.42.14,46.49,64.20,64.92.2,64.92.3,64.99.3,66.1,66.12.1,66.19,66.19.4,66.19.5,68.10.12,68.10.23,68.20.2,68.31.1,68.31.2,68.31.3,68.31.4,68.31.52,68.32,68.32.1,68.32.2,69.10,69.20,70.10.1,70.10.2,70.22,73.1,73.20</t>
  </si>
  <si>
    <t>КОЗЛОВ НИКОЛАЙ ГЕННАДЬЕВИЧ</t>
  </si>
  <si>
    <t>109518,  Г.МОСКВА, ПР-Д ГРАЙВОРОНОВСКИЙ 2-Й, Д.34А, СТР.1</t>
  </si>
  <si>
    <t>+74954247771</t>
  </si>
  <si>
    <t>ОАО "МОСКОВСКАЯ ГАЗЕТНАЯ ТИПОГРАФИЯ"</t>
  </si>
  <si>
    <t>ОТКРЫТОЕ АКЦИОНЕРНОЕ ОБЩЕСТВО "МОСКОВСКАЯ ГАЗЕТНАЯ ТИПОГРАФИЯ"</t>
  </si>
  <si>
    <t>2007-11-19</t>
  </si>
  <si>
    <t>18.12.9</t>
  </si>
  <si>
    <t>Прочие виды полиграфической деятельности, не включенные в другие группировки</t>
  </si>
  <si>
    <t>18.11,46.90,68.20.29,81.10,18.11,18.12,18.13,18.14,52.29,53.20.3,58.11.1,58.11.3,58.14,58.19,59.20,59.20.3,61.1,68.20.1</t>
  </si>
  <si>
    <t>ВЕРХНЯЦКАЯ ОЛЬГА АНАТОЛЬЕВНА</t>
  </si>
  <si>
    <t>123022,  Г.МОСКВА, УЛ. 1905 ГОДА, Д.7, СТР.1</t>
  </si>
  <si>
    <t>+74992598110,+74995581508,+74951358466,+74957814737,+74992560424,+74992561528,+74992598374,+79255060641,+79852227542,+74992589110,+74992561527,+74992598111,+74952598110,+74952594700,+74992595354,+74992594700,+74992596013</t>
  </si>
  <si>
    <t>www.disclosure.ru/issuer/7703649183/,,www.mosgt.ru</t>
  </si>
  <si>
    <t>info@mosgt.ru,verhn@mosgt.ru,info@mosgr.ru,vantsova.ev@mosgt.ru,boss@orion-pr.ru,pochta@poichta.ru,yakovlev@mosgt.ru,info@mosgt.ru.ru,maypasha@rambler.ru,lazareva@mosgt.ru,spantyukhova@mosgt.ru,info@mosgt.ru,,purchase@mosgt.ru,sender@mosgt.ru,null@null.ru</t>
  </si>
  <si>
    <t>222</t>
  </si>
  <si>
    <t>ООО "ББ МЕДИА"</t>
  </si>
  <si>
    <t>ОБЩЕСТВО С ОГРАНИЧЕННОЙ ОТВЕТСТВЕННОСТЬЮ "ББ МЕДИА"</t>
  </si>
  <si>
    <t>2006-06-23</t>
  </si>
  <si>
    <t>46.19</t>
  </si>
  <si>
    <t>Деятельность агентов по оптовой торговле универсальным ассортиментом товаров</t>
  </si>
  <si>
    <t>46.73.6,45.11,45.19,46.12,46.13,46.14,46.63,46.69,46.72,46.73,46.74,46.75,46.90,49.10,49.20,52.10,52.21,52.24,52.29,64.92,77.11,77.12,77.32</t>
  </si>
  <si>
    <t>ШИЯНОВ ЕВГЕНИЙ НИКОЛАЕВИЧ</t>
  </si>
  <si>
    <t>101000,  Г.МОСКВА, УЛ. МЯСНИЦКАЯ, Д. 46, СТР. 7, ПОМ/КОМН I/18</t>
  </si>
  <si>
    <t>+74957802080,+74952235631,+74957892542</t>
  </si>
  <si>
    <t>info@etk.com,s.levandovskii@kstg.ru,s.levandovskii@kstg.ru,,e.shiyanov@kstg.ru</t>
  </si>
  <si>
    <t>АО "ЭКОПЛАСТ"</t>
  </si>
  <si>
    <t>АКЦИОНЕРНОЕ ОБЩЕСТВО "ЭКОПЛАСТ"</t>
  </si>
  <si>
    <t>2011-05-03</t>
  </si>
  <si>
    <t>64.99.11</t>
  </si>
  <si>
    <t>Вложения в ценные бумаги</t>
  </si>
  <si>
    <t>64.20,64.92.2,64.99,64.99.3,66.19.4,70.10.1,70.10.2,70.22,73.20.1</t>
  </si>
  <si>
    <t>ГЛАДКОВ АНДРЕЙ ЮВИНАЛИЕВИЧ</t>
  </si>
  <si>
    <t>105005, Г.МОСКВА, ВН.ТЕР.Г. МУНИЦИПАЛЬНЫЙ ОКРУГ БАСМАННЫЙ, ПЕР АПТЕКАРСКИЙ, Д. 4, СТР. 2</t>
  </si>
  <si>
    <t>+74957753624</t>
  </si>
  <si>
    <t>ООО "ХАУСХОЛД ЛОДЖИК"</t>
  </si>
  <si>
    <t>ОБЩЕСТВО С ОГРАНИЧЕННОЙ ОТВЕТСТВЕННОСТЬЮ "ХАУСХОЛД ЛОДЖИК"</t>
  </si>
  <si>
    <t>2001-06-09</t>
  </si>
  <si>
    <t>41.20,52.10,52.10.9,52.24,52.29,68.10,70.22</t>
  </si>
  <si>
    <t>КУЛЬДЕНОВ ДЕНИС СЕРИКОВИЧ</t>
  </si>
  <si>
    <t>142108,  МОСКОВСКАЯ ОБЛАСТЬ, Г ПОДОЛЬСК, П ЖЕЛЕЗНОДОРОЖНЫЙ, УЛ БОЛЬШАЯ СЕРПУХОВСКАЯ, Д. 230, СТР. 1</t>
  </si>
  <si>
    <t>+79104261439,+79168000386,+79154795160,+74952257800,+79852155000,+74952211847</t>
  </si>
  <si>
    <t>hhlogic.ru</t>
  </si>
  <si>
    <t>14</t>
  </si>
  <si>
    <t>АО "ЦАБ"</t>
  </si>
  <si>
    <t>АКЦИОНЕРНОЕ ОБЩЕСТВО "ЦАБ"</t>
  </si>
  <si>
    <t>1999-03-10</t>
  </si>
  <si>
    <t>43.22,46.12.22,46.47.1,46.49.49,46.49.5,46.69.5,46.69.9,46.73,46.90,49.31,49.4,52.10.9,52.24,52.29,68.31.22,68.31.32,68.31.42,77.39.29</t>
  </si>
  <si>
    <t>КОЗЛОВ КОНСТАНТИН ПАВЛОВИЧ</t>
  </si>
  <si>
    <t>140090,  МОСКОВСКАЯ ОБЛАСТЬ, Г. ДЗЕРЖИНСКИЙ, Г ЛЮБЕРЦЫ, УЛ ЭНЕРГЕТИКОВ, Д. 1</t>
  </si>
  <si>
    <t>+74955512763,+74955512777,+74955512790,+74955513100,+74965512777,+74957413303,+74965512763,+70955512763</t>
  </si>
  <si>
    <t>ООО "ТРАНСПОРТНАЯ ГРУППА ФЕСКО"</t>
  </si>
  <si>
    <t>ОБЩЕСТВО С ОГРАНИЧЕННОЙ ОТВЕТСТВЕННОСТЬЮ "УПРАВЛЯЮЩАЯ КОМПАНИЯ "ТРАНСПОРТНАЯ ГРУППА ФЕСКО"</t>
  </si>
  <si>
    <t>2004-02-09</t>
  </si>
  <si>
    <t>Консультирование по вопросам коммерческой деятельности и управления</t>
  </si>
  <si>
    <t>50.20,50.40.2,53.20.3,68.1,69.10,69.20,70.10.1,70.10.2,70.22</t>
  </si>
  <si>
    <t>РАДЧЕНКО ИВАН АЛЕКСАНДРОВИЧ
ПАНЬКОВ ДМИТРИЙ АЛЕКСАНДРОВИЧ</t>
  </si>
  <si>
    <t>253714027106
667206013402</t>
  </si>
  <si>
    <t>УПРАВЛЯЮЩИЙ ДИРЕКТОР ВМТП
ГЕНЕРАЛЬНЫЙ ДИРЕКТОР</t>
  </si>
  <si>
    <t>115184, Г.МОСКВА, ВН.ТЕР.Г. МУНИЦИПАЛЬНЫЙ ОКРУГ ЗАМОСКВОРЕЧЬЕ, УЛ НОВОКУЗНЕЦКАЯ, Д. 7/11, СТР. 1, ЭТАЖ 3, КАБ. 334</t>
  </si>
  <si>
    <t>+74955408000,+74959268100</t>
  </si>
  <si>
    <t>АО "НИЦ АЭС"</t>
  </si>
  <si>
    <t>АКЦИОНЕРНОЕ ОБЩЕСТВО "НАУЧНО-ИСПЫТАТЕЛЬНЫЙ ЦЕНТР ОБОРУДОВАНИЯ АТОМНЫХ ЭЛЕКТРОСТАНЦИЙ"</t>
  </si>
  <si>
    <t>2009-11-26</t>
  </si>
  <si>
    <t>71.20.9</t>
  </si>
  <si>
    <t>Деятельность по техническому контролю, испытаниям и анализу прочая</t>
  </si>
  <si>
    <t>25.61,25.62,26.5,46.9,71.20,72.19</t>
  </si>
  <si>
    <t>ШОРСТОВ ДЕНИС АНАТОЛЬЕВИЧ</t>
  </si>
  <si>
    <t>142902,  МОСКОВСКАЯ ОБЛАСТЬ, Г КАШИРА, УЛ СОВЕТСКИЙ ПРОСПЕКТ, Д. 2А</t>
  </si>
  <si>
    <t>+74966963253,+74966963304,+74966964550,+74966963207,+79030113938,+74966921396,+74956921818,+74966922988,+79851328750,+74966921818,+74966964512,+74956964550</t>
  </si>
  <si>
    <t>niaes.ru</t>
  </si>
  <si>
    <t>omts@niaes.ru,info@niaes.ru,peo@niaes.ru,vera.vikulova@niaes.ru,rusinova_ea@niaes.ru,atom_kia@mail.ru,,atom_kia@mail.ru,aivanova_k@mail.ru</t>
  </si>
  <si>
    <t>58</t>
  </si>
  <si>
    <t>ООО "АРМЗ СЕРВИС"</t>
  </si>
  <si>
    <t>ОБЩЕСТВО С ОГРАНИЧЕННОЙ ОТВЕТСТВЕННОСТЬЮ "АРМЗ СЕРВИС"</t>
  </si>
  <si>
    <t>2008-05-13</t>
  </si>
  <si>
    <t>42.99,45.1,45.20,45.3,46.1,46.42,46.71,46.72,46.72.12,46.73.1,46.73.2,46.75,46.75.2,46.90,49.4,52.10,68.32,70.22,72.19,72.19.3,72.19.9,73.20</t>
  </si>
  <si>
    <t>САВЧЕНКО ЭДУАРД ИВАНОВИЧ</t>
  </si>
  <si>
    <t>109004,  Г.МОСКВА, ПЕР. БОЛЬШОЙ ДРОВЯНОЙ, Д. 12, СТР. 3</t>
  </si>
  <si>
    <t>+74995006026,+74995006027,+79057083219,+74999516058,+74999516057,+74999516078,+79516057223,+74955006026,+74996006026,+74959516057,+74952233078,+74952233076,+74959516058,+74999515057,+78499951657</t>
  </si>
  <si>
    <t>esk-armz.ru</t>
  </si>
  <si>
    <t>elnivasilyeva@armz-service.ru,uslugi@armz-service.ru,tvivityuk@armz-service.ru,tovar@armz-service.ru,galyashnov@armz-service.ru,sedpotemkin@armz-service.ru,info@armz-service.ru,lelevkov@armz-service.ru,sskharlamov@armz-service.ru,idmlis@armz-service.ru,evymedvedeva@armz-service.ru,yssiplova@armz-service.ru,esizikova@armz-service.ru,aakapustkin@armz-service.ru,alpazaytsev@armz-service.ru,siplova.y.s@armz-service.ru,anbpetrazhitskaya@armz-service.ru,tvisimakova@armz-service.ru,ivaaleksandrov@armz-service.ru,romanova.t.v@armz-service.ru,sizikova.e.n@armz-service.ru,potemkin.s.d@armz-service.ru,zaytsev.a.p@armz-service.ru,info@armz.ru,nesvetaeva.k.y@armz-service.ru,shkabrova.e.a@armz-service.ru,nosova.t.v@armz-service.ru,tovari@armz-service.ru,mail@mail.ru,var@armz-service.ru,bogdanova.u.o@armz-service.ru,zakupki@armz-service.ru</t>
  </si>
  <si>
    <t>111</t>
  </si>
  <si>
    <t>АО "МЗП"</t>
  </si>
  <si>
    <t>АКЦИОНЕРНОЕ ОБЩЕСТВО "МОСКОВСКИЙ ЗАВОД ПОЛИМЕТАЛЛОВ"</t>
  </si>
  <si>
    <t>2005-10-21</t>
  </si>
  <si>
    <t>68.20.21</t>
  </si>
  <si>
    <t>Аренда и управление собственным или арендованным торговым объектом недвижимого имущества</t>
  </si>
  <si>
    <t>25.30.2,25.40,25.61,25.62,25.99.29,26.30,26.51.7,28.29.12,35.11.3,35.30.2,35.30.3,35.30.4,68.20.2,68.32.2,72.19</t>
  </si>
  <si>
    <t>БИРЮКОВ ВИКТОР ВИКТОРОВИЧ</t>
  </si>
  <si>
    <t>115409,  Г.МОСКВА, Ш. КАШИРСКОЕ, Д.49</t>
  </si>
  <si>
    <t>+74993247234,+74957428298,+74959955515,+79259589602,+74959955513,+74953247234,+70953247234,+70957428298</t>
  </si>
  <si>
    <t>www.mzp.ru</t>
  </si>
  <si>
    <t>mzp@mzp.ru,morozova@mzp.ru</t>
  </si>
  <si>
    <t>АО "ДЭП №19"</t>
  </si>
  <si>
    <t>АКЦИОНЕРНОЕ ОБЩЕСТВО "ДОРОЖНОЕ ЭКСПЛУАТАЦИОННОЕ ПРЕДПРИЯТИЕ №19"</t>
  </si>
  <si>
    <t>2012-06-29</t>
  </si>
  <si>
    <t>52.21.22</t>
  </si>
  <si>
    <t>Деятельность по эксплуатации автомобильных дорог и автомагистралей</t>
  </si>
  <si>
    <t>ПОПОВ ОЛЕГ АЛЕКСАНДРОВИЧ</t>
  </si>
  <si>
    <t>142410,  МОСКОВСКАЯ ОБЛАСТЬ, Г. НОГИНСК, Ш. ЭЛЕКТРОСТАЛЬСКОЕ, Д.14</t>
  </si>
  <si>
    <t>+74965145287,+74952545287,+74955114388,+74965195353,+74965195154,+74965142821,+74965114388,+74965195153,+74952512732</t>
  </si>
  <si>
    <t>disclosure.ru/issuer/5031101696/</t>
  </si>
  <si>
    <t>dep19n@,mail.ru,dep19n@mail.ru</t>
  </si>
  <si>
    <t>Среднее предприятие</t>
  </si>
  <si>
    <t>108</t>
  </si>
  <si>
    <t>АО "СПЕЦИАЛИЗИРОВАННЫЙ ЗАСТРОЙЩИК "ИЖОРСКАЯ"</t>
  </si>
  <si>
    <t>АКЦИОНЕРНОЕ ОБЩЕСТВО "СПЕЦИАЛИЗИРОВАННЫЙ ЗАСТРОЙЩИК "ИЖОРСКАЯ"</t>
  </si>
  <si>
    <t>68.10.21,41.20,49.4,52.10.9,52.29,68.10,68.20.2,71.12.2</t>
  </si>
  <si>
    <t>ШЕСТАКОВА ЕКАТЕРИНА АЛЕКСАНДРОВНА</t>
  </si>
  <si>
    <t>125599, Г.МОСКВА, ВН.ТЕР.Г. МУНИЦИПАЛЬНЫЙ ОКРУГ ЗАПАДНОЕ ДЕГУНИНО, УЛ ИЖОРСКАЯ, Д. 8, СТР. 2</t>
  </si>
  <si>
    <t>+70954860308,+74954860310,+74954861584,+74954861586,+74954861587,+74954860308,+74954860788,+74954867229,+79055474507,+74954861672</t>
  </si>
  <si>
    <t>www.mostzk.ru</t>
  </si>
  <si>
    <t>mtzk@mostzk.ru,mtzk@bl.ru,mtzk@bk.ru,,mtzk@bk.eu,mtzk@bk.ri,mtzk@bk.ru</t>
  </si>
  <si>
    <t>9</t>
  </si>
  <si>
    <t>ООО ПКО "ССК"</t>
  </si>
  <si>
    <t>ОБЩЕСТВО С ОГРАНИЧЕННОЙ ОТВЕТСТВЕННОСТЬЮ ПРОФЕССИОНАЛЬНАЯ КОЛЛЕКТОРСКАЯ ОРГАНИЗАЦИЯ "СТОЛИЧНАЯ СЕРВИСНАЯ КОМПАНИЯ"</t>
  </si>
  <si>
    <t>2005-08-15</t>
  </si>
  <si>
    <t>82.91</t>
  </si>
  <si>
    <t>Деятельность агентств по сбору платежей и бюро кредитной информации</t>
  </si>
  <si>
    <t>66.19,69.10,70.22</t>
  </si>
  <si>
    <t>МОХНАЧЕВ ДМИТРИЙ ВЯЧЕСЛАВОВИЧ</t>
  </si>
  <si>
    <t>121609, Г.МОСКВА, ВН.ТЕР.Г. МУНИЦИПАЛЬНЫЙ ОКРУГ КРЫЛАТСКОЕ, Б-Р ОСЕННИЙ, Д. 23</t>
  </si>
  <si>
    <t>+74957772516,+79261773957</t>
  </si>
  <si>
    <t>capitalca.ru,csc.msk.ru</t>
  </si>
  <si>
    <t>capitalca@svea-cca.ru</t>
  </si>
  <si>
    <t>ООО "ГПБ-ЭНЕРГОЭФФЕКТ"</t>
  </si>
  <si>
    <t>ОБЩЕСТВО С ОГРАНИЧЕННОЙ ОТВЕТСТВЕННОСТЬЮ "ГПБ-ЭНЕРГОЭФФЕКТ"</t>
  </si>
  <si>
    <t>2005-10-28</t>
  </si>
  <si>
    <t>71.12</t>
  </si>
  <si>
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</si>
  <si>
    <t>33.11,33.12,33.14,33.20,35.11,35.12,41.10,41.20,42.21,42.22,42.99,43.11,43.12,43.21,43.22,43.29,43.99,52.10,52.29,62.01,62.02,63.11.1,64.99,68.20,70.22,71.20,77.12,77.32,77.39,82.99</t>
  </si>
  <si>
    <t>119049,  Г.МОСКВА, УЛ. БОЛЬШАЯ ЯКИМАНКА, Д. 39, КОМ. 17</t>
  </si>
  <si>
    <t>+74956607141,+74956518989,+74957555951,+74952873771,+70959804115</t>
  </si>
  <si>
    <t>gpb@mail.ru,79442155@mail.ru,sergey.barsukov@gpb-ee.ru,null@null.ru,info@gpb-ee.ru</t>
  </si>
  <si>
    <t>ООО "ПРОФ ИНВЕСТ"</t>
  </si>
  <si>
    <t>ОБЩЕСТВО С ОГРАНИЧЕННОЙ ОТВЕТСТВЕННОСТЬЮ "ПРОФ ИНВЕСТ"</t>
  </si>
  <si>
    <t>2005-12-07</t>
  </si>
  <si>
    <t>64.91,64.92,64.99,68.10,68.31,73.11,73.20.1,82.99</t>
  </si>
  <si>
    <t>ШЕЛАБАЕВ ВЯЧЕСЛАВ АЛЕКСАНДРОВИЧ</t>
  </si>
  <si>
    <t>127422,  Г.МОСКВА, УЛ ТИМИРЯЗЕВСКАЯ, Д. 1</t>
  </si>
  <si>
    <t>+74957868760,+74957881716</t>
  </si>
  <si>
    <t>ООО "ЭТАЛОН-ИНВЕСТ"</t>
  </si>
  <si>
    <t>ОБЩЕСТВО С ОГРАНИЧЕННОЙ ОТВЕТСТВЕННОСТЬЮ "ЭТАЛОН-ИНВЕСТ"</t>
  </si>
  <si>
    <t>2011-06-23</t>
  </si>
  <si>
    <t>41.2</t>
  </si>
  <si>
    <t>43.12,43.2,43.3,43.99,64.9,66.1,68.1,68.2,68.3,69,71.1,71.12.5,71.12.6,73.1,74.20,74.30,82.92</t>
  </si>
  <si>
    <t>ОБЩЕСТВО С ОГРАНИЧЕННОЙ ОТВЕТСТВЕННОСТЬЮ "ГРУППА КОМПАНИЙ "ЭТАЛОН"</t>
  </si>
  <si>
    <t>143409,  МОСКОВСКАЯ ОБЛАСТЬ, Г. КРАСНОГОРСК, УЛ. СВЕТЛАЯ, Д. 3А, СТР. 2, ПОМЕЩ. 9</t>
  </si>
  <si>
    <t>+74952230453,+74956859352,+74952230445,+74952230450,+74953788888</t>
  </si>
  <si>
    <t>71</t>
  </si>
  <si>
    <t>ЗАО "ЛЕТНЫЕ ПРОВЕРКИ И СИСТЕМЫ"</t>
  </si>
  <si>
    <t>ЗАКРЫТОЕ АКЦИОНЕРНОЕ ОБЩЕСТВО "ЛЕТНЫЕ ПРОВЕРКИ И СИСТЕМЫ"</t>
  </si>
  <si>
    <t>2003-01-23</t>
  </si>
  <si>
    <t>52.23</t>
  </si>
  <si>
    <t>Деятельность вспомогательная, связанная с воздушным и космическим транспортом</t>
  </si>
  <si>
    <t>52.23.1,52.23.13,74.20</t>
  </si>
  <si>
    <t>ЛЫНКИНА НАТАЛЬЯ ВЛАДИМИРОВНА</t>
  </si>
  <si>
    <t>121069,  Г.МОСКВА, Б-Р НОВИНСКИЙ, Д. 18СТР1, ПОМЕЩ. VIII</t>
  </si>
  <si>
    <t>+74956124384,+79162106259,+74752566982,+79165013073,+74956624607,+70957862323,+74752567196,+74957862323</t>
  </si>
  <si>
    <t>nvl@lps-aero.com,info@lps-aero.com,info@lsp-aero.com,tslps@mail.ru,info@ps-aero.com,info@lhs-aero.com.</t>
  </si>
  <si>
    <t>114</t>
  </si>
  <si>
    <t>ООО "ДЕЛЬТА КОНСТРАКШН"</t>
  </si>
  <si>
    <t>ОБЩЕСТВО С ОГРАНИЧЕННОЙ ОТВЕТСТВЕННОСТЬЮ "ДЕЛЬТА КОНСТРАКШН"</t>
  </si>
  <si>
    <t>2003-02-14</t>
  </si>
  <si>
    <t>77.12,33.13,41.20,43.12.3,43.39,43.99.5,43.99.7,46.13,52.10.21,52.10.22,68.20,68.20.1,68.20.2,71.11,71.11.1,71.12,77.11,77.12,77.32,77.39,77.39.27,81.10,81.21,81.22,81.29,90.0,95.29</t>
  </si>
  <si>
    <t>ДЕМИРАЛП ДЖЕЙХУН</t>
  </si>
  <si>
    <t>109428,  Г.МОСКВА, ПР-КТ РЯЗАНСКИЙ, Д. 8А, СТР. 1, ПОМЕЩ. VII, К.47 (ВН500) Т/Э</t>
  </si>
  <si>
    <t>+74995009182,+74952320767,+79161055537,+74992320767,+74995009128,+70953616201</t>
  </si>
  <si>
    <t>www.deltaconstruction.ru</t>
  </si>
  <si>
    <t>info@deltaconstruction.ru</t>
  </si>
  <si>
    <t>89</t>
  </si>
  <si>
    <t>АО "ОБНОВЛЕНИЕ АРБАТА"</t>
  </si>
  <si>
    <t>АКЦИОНЕРНОЕ ОБЩЕСТВО "ОБНОВЛЕНИЕ АРБАТА"</t>
  </si>
  <si>
    <t>1998-01-30</t>
  </si>
  <si>
    <t>33.12,33.14,33.20,41.20,42.99,43.12,43.2,43.21,43.22,43.29,43.3,43.31,43.32,43.33,43.34,43.39,43.91,43.99,55.10,55.20,64.99,64.99.3,68.10,68.10.22,68.20.2,68.32.2,71.12</t>
  </si>
  <si>
    <t>МИКУШКО АЛЕКСЕЙ ЕВГЕНЬЕВИЧ</t>
  </si>
  <si>
    <t>119019,  Г.МОСКВА, УЛ. НОВЫЙ АРБАТ, Д.21</t>
  </si>
  <si>
    <t>+74953630979,+74953630990,+74956959425,+74956850562,+71482282247,+71482914260,+71489344000,+74953630956,+74953690979</t>
  </si>
  <si>
    <t>newarbat.ru,,www.e-disclosure.ru/portal/company.aspx?id=25407,newarbat.ru</t>
  </si>
  <si>
    <t>null@null.ru,,arenda@newarbat.ru,areda@newarbat.ru,secretary@newarbat.ru,olegvl1@mail.ru,olegvl1@mail.ru,,urist@newarbat.ru,tuzova@newarbat.ru,,secretary@newarbat.ru,,guseva@newarbat.ru,sinitsin@newarbat.ru,,pokudona@newarbat.ru,sharafullina@newarbat.ru,tuzova@newarbat.ru,secretary@newarbar.ru,lolapost@mail.ru,sinitsin@newarbat.ru,secretary@newarbat.ru.,null@null.ru,pokudina@newarbat.ru</t>
  </si>
  <si>
    <t>ООО "БАНСАНА"</t>
  </si>
  <si>
    <t>ОБЩЕСТВО С ОГРАНИЧЕННОЙ ОТВЕТСТВЕННОСТЬЮ "БАНСАНА"</t>
  </si>
  <si>
    <t>2003-02-12</t>
  </si>
  <si>
    <t>КОРОВИН СЕРГЕЙ НИКОЛАЕВИЧ</t>
  </si>
  <si>
    <t>111033,  Г.МОСКВА, УЛ. ЗОЛОТОРОЖСКИЙ ВАЛ, Д.11, СТР.26-27</t>
  </si>
  <si>
    <t>+74957839444,+74953629426</t>
  </si>
  <si>
    <t>АО "МШЗМ"</t>
  </si>
  <si>
    <t>АКЦИОНЕРНОЕ ОБЩЕСТВО "МОСКОВСКИЙ ШИННЫЙ ЗАВОД - М"</t>
  </si>
  <si>
    <t>2003-04-29</t>
  </si>
  <si>
    <t>АГАЕВ МАГОМЕД ИЛЬЯСОВИЧ</t>
  </si>
  <si>
    <t>115088,  Г.МОСКВА, УЛ 1-Я ДУБРОВСКАЯ, Д. 13А, СТР. 1</t>
  </si>
  <si>
    <t>+74959812418,+74959816002</t>
  </si>
  <si>
    <t>mshzm.ru</t>
  </si>
  <si>
    <t>ermakov@midland.com.ru</t>
  </si>
  <si>
    <t>18</t>
  </si>
  <si>
    <t>ООО ЛЗК "ЛУНВОЖ"</t>
  </si>
  <si>
    <t>ОБЩЕСТВО С ОГРАНИЧЕННОЙ ОТВЕТСТВЕННОСТЬЮ ЛЕСОЗАГОТОВИТЕЛЬНАЯ КОНТОРА "ЛУНВОЖ"</t>
  </si>
  <si>
    <t>1996-11-18</t>
  </si>
  <si>
    <t>16.10.1</t>
  </si>
  <si>
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</si>
  <si>
    <t>02.20,02.40.2,16.21.21,02.20,02.40.2,16.1,16.10.1,16.10.9,16.23.1,16.23.2,46.1,46.13,46.73.1,46.73.2,47.1,47.52.71,49.41.3,52.10,52.24,68.10.22,68.20,77.11,77.39.1,77.39.21,77.39.23</t>
  </si>
  <si>
    <t>ЧИРИЧ СЕРГЕЙ ИВАНОВИЧ</t>
  </si>
  <si>
    <t>121354,  Г.МОСКВА, УЛ. ДОРОГОБУЖСКАЯ, Д. 14, СТР. 16, ЭТАЖ 2 ПОМЕЩЕНИЕ 208</t>
  </si>
  <si>
    <t>+78213347233,+78213321658,+78334821289,+78334822289,+78334822499</t>
  </si>
  <si>
    <t>183</t>
  </si>
  <si>
    <t>ООО "ЗЕМЛЯНОЙ ВАЛ 36"</t>
  </si>
  <si>
    <t>ОБЩЕСТВО С ОГРАНИЧЕННОЙ ОТВЕТСТВЕННОСТЬЮ "ЗЕМЛЯНОЙ ВАЛ 36"</t>
  </si>
  <si>
    <t>2018-07-24</t>
  </si>
  <si>
    <t>46.90,64.99,68.31.5,69.10,69.20,70.22,73.20.1,94.11</t>
  </si>
  <si>
    <t>МОРОЗОВ АЛЕКСЕЙ ВЯЧЕСЛАВОВИЧ</t>
  </si>
  <si>
    <t>105064,  Г.МОСКВА, УЛ. ЗЕМЛЯНОЙ ВАЛ, Д. 36, ЭТ 2 КОМ 211</t>
  </si>
  <si>
    <t>+78495256225</t>
  </si>
  <si>
    <t>kjhgkjfkk@mail.ru</t>
  </si>
  <si>
    <t>ООО "БЭЛ ДЕВЕЛОПМЕНТ"</t>
  </si>
  <si>
    <t>ОБЩЕСТВО С ОГРАНИЧЕННОЙ ОТВЕТСТВЕННОСТЬЮ "БЭЛ ДЕВЕЛОПМЕНТ"</t>
  </si>
  <si>
    <t>2000-01-17</t>
  </si>
  <si>
    <t>41.2,43.12,43.2,43.3,43.99,64.9,68.2,68.3,69,73.20.1</t>
  </si>
  <si>
    <t>КОМИССАРОВА ЕЛЕНА ИВАНОВНА</t>
  </si>
  <si>
    <t>105064, Г.МОСКВА, ВН.ТЕР.Г. МУНИЦИПАЛЬНЫЙ ОКРУГ БАСМАННЫЙ, ПЕР ГОРОХОВСКИЙ, Д. 12, СТР. 5, ЭТАЖ/ПОМЕЩ. 1/I, КОМ. 22</t>
  </si>
  <si>
    <t>+74957295086,+74957295088,+74957298088,+74959706446,+79859706446</t>
  </si>
  <si>
    <t>beldevelopment.ru</t>
  </si>
  <si>
    <t>ООО "УСАДЬБА "ДАВЫДОВЫХ"</t>
  </si>
  <si>
    <t>ОБЩЕСТВО С ОГРАНИЧЕННОЙ ОТВЕТСТВЕННОСТЬЮ "УСАДЬБА "ДАВЫДОВЫХ"</t>
  </si>
  <si>
    <t>2002-01-04</t>
  </si>
  <si>
    <t>68.32.2</t>
  </si>
  <si>
    <t>Управление эксплуатацией нежилого фонда за вознаграждение или на договорной основе</t>
  </si>
  <si>
    <t>41.20,43.21,43.22,43.29,43.31,43.32,43.33,43.34,43.39,43.91,43.99,43.99.1,68.20.2,68.31.1,68.31.2,68.31.3,68.31.4,70.22,71.1,71.12.5,71.12.6,73.11,93.29.9</t>
  </si>
  <si>
    <t>ДАНИЛОВА МАРИНА НИКОЛАЕВНА</t>
  </si>
  <si>
    <t>119034,  Г.МОСКВА, УЛ ПРЕЧИСТЕНКА, Д. 17/9</t>
  </si>
  <si>
    <t>+74952281500</t>
  </si>
  <si>
    <t>6286178@mail.ru</t>
  </si>
  <si>
    <t>ООО "МЭП"</t>
  </si>
  <si>
    <t>ОБЩЕСТВО С ОГРАНИЧЕННОЙ ОТВЕТСТВЕННОСТЬЮ "МОСЭНЕРГОПРОЕКТ"</t>
  </si>
  <si>
    <t>2016-04-26</t>
  </si>
  <si>
    <t>71.11</t>
  </si>
  <si>
    <t>Деятельность в области архитектуры</t>
  </si>
  <si>
    <t>42.22.3,68.20,71.11.1,71.11.2,71.11.3,71.12,71.12.1,71.12.11,71.12.12,71.12.15,71.12.2,71.12.3,71.12.41,71.12.45,71.12.6,71.12.8</t>
  </si>
  <si>
    <t>ЛЕНЁВ СЕРГЕЙ НИКОЛАЕВИЧ</t>
  </si>
  <si>
    <t>105066,  Г.МОСКВА, УЛ. СПАРТАКОВСКАЯ, Д. 2А, СТР. 2</t>
  </si>
  <si>
    <t>+74956171565,+74956171567,+74996171565,+74956171564,+74956151565,+74957211654</t>
  </si>
  <si>
    <t>mail@mep.ru,panovskiyyn@mep.ru,tender@mep.ru,info@mep.ru,mep@mosenergoproject.ru,tender_mep@mosenergoproject.ru,mail@mosenergoproject.ru,karasevva@mosenergoproject.ru,ivanovas@mosenergoproject.ru,leonovav@mosenergoproject.ru,simonyanss@mosenergoproject.ru,mail@mosenergoprojecy.ru,batoffag@mosenergoproject.ru,mail@mosenergpproject.ru,reg.dei@yandex.ru</t>
  </si>
  <si>
    <t>278</t>
  </si>
  <si>
    <t>ООО "СБЕРБАНК ИНВЕСТИЦИИ"</t>
  </si>
  <si>
    <t>ОБЩЕСТВО С ОГРАНИЧЕННОЙ ОТВЕТСТВЕННОСТЬЮ "СБЕРБАНК ИНВЕСТИЦИИ"</t>
  </si>
  <si>
    <t>2010-10-11</t>
  </si>
  <si>
    <t>64.9</t>
  </si>
  <si>
    <t>Деятельность по предоставлению прочих финансовых услуг, кроме услуг по страхованию и пенсионному обеспечению</t>
  </si>
  <si>
    <t>41.2,45.1,46.1,46.6,46.9,47.9,68.1,72.1,72.2,73.1</t>
  </si>
  <si>
    <t>143007,  МОСКОВСКАЯ ОБЛАСТЬ, Г. ОДИНЦОВО, УЛ. МОЛОДЕЖНАЯ, Д. 46</t>
  </si>
  <si>
    <t>+74957872997,+79998805304,+74956690999,+74952878978,+74956950775,+74952580500,+79067890358,+74956170241,+74956878978,+74956878979,+74952878979</t>
  </si>
  <si>
    <t>amdatsenko@sberbank.ru,aiperevezentseva@sberbank.ru,ilvolokhovskiy@sberbank-ast.ru,olga_antonova@sberbank-cib.ru,christina_gokoeva@sberbank-cib.ru,christina_gokoeva@sberbank.ru,ivnemtsova@sbrf-invest.ru,dmitry_pirogov@sberbank-cib.ru,oivarshavskaya@sbf-invest.ru,oivarshavskaya@sbrf-invest.ru,kharitontsev@sbrf-invest.ru,evgeniy_malygin@sberbank-cib.ru,ttkhamraev@sbrf-invest.ru,oivarshavskaya@sbrf-inves.ru,yyvolkov@sbrf-invest.ru,tvzhukova@sbrf-invest.ru,pakhramtsova@sbrf-invest.ru,avkoptelov@sbrf-invest.ru,svkostin@sbrf-invest.ru,pkhramtsova@sbrf-invest.ru,rrbabayan@sbrf-invest.ru,oivarshavskay@sbrf-invest.ru,tatyana_goltseva@sberbank-cib.ru,oilevko@sbrf-invest.ru,rrbabyan@sbrf-invest.ru</t>
  </si>
  <si>
    <t>19</t>
  </si>
  <si>
    <t>ООО "АРВАЛУС"</t>
  </si>
  <si>
    <t>ОБЩЕСТВО С ОГРАНИЧЕННОЙ ОТВЕТСТВЕННОСТЬЮ "АРВАЛУС"</t>
  </si>
  <si>
    <t>2016-03-09</t>
  </si>
  <si>
    <t>10.61.4</t>
  </si>
  <si>
    <t>Производство мучных смесей и приготовление мучных смесей или теста для хлеба, тортов, бисквитов и блинов</t>
  </si>
  <si>
    <t>10.71.1,10.71.2,10.71.3,10.72.3,10.72.4,10.89,10.89.9,46.36.3,46.36.4,46.38.23,46.38.29</t>
  </si>
  <si>
    <t>КОЛЛЕР ЙОХЕН
ХАРАЛЬД ДЕЛЛЕР</t>
  </si>
  <si>
    <t>770972895283
504513497981</t>
  </si>
  <si>
    <t>ГЕНЕРАЛЬНЫЙ ДИРЕКТОР
ГЕНЕРАЛЬНЫЙ ДИРЕКТОР</t>
  </si>
  <si>
    <t>142821,  МОСКОВСКАЯ ОБЛАСТЬ, Г. СТУПИНО, Д. ШМАТОВО, УЛ. ИНДУСТРИАЛЬНАЯ, ВЛД. 23, СТР. 1</t>
  </si>
  <si>
    <t>+79264679106</t>
  </si>
  <si>
    <t>hillion@mail.ru</t>
  </si>
  <si>
    <t>43</t>
  </si>
  <si>
    <t>ООО "СПЕЦПРОМКОМПАНИЯ"</t>
  </si>
  <si>
    <t>ОБЩЕСТВО С ОГРАНИЧЕННОЙ ОТВЕТСТВЕННОСТЬЮ "СПЕЦПРОМКОМПАНИЯ"</t>
  </si>
  <si>
    <t>2016-09-21</t>
  </si>
  <si>
    <t>01.19.21</t>
  </si>
  <si>
    <t>Выращивание цветов в открытом и защищенном грунте</t>
  </si>
  <si>
    <t>01.13,01.19,01.19.1,01.19.2,01.25,01.30,01.50,01.61,41.20,46.22,46.90,52.24.2,64.20,64.99.11,64.99.3,68.10,68.10.23,68.20.2,68.32,70.10,70.10.2,70.22,73.11,73.20</t>
  </si>
  <si>
    <t>КОРСАКОВ РОМАН МИХАЙЛОВИЧ</t>
  </si>
  <si>
    <t>140152, МОСКОВСКАЯ ОБЛАСТЬ, М.О. РАМЕНСКИЙ, Г РАМЕНСКОЕ, ТЕР. АВТОДОРОГА ММК-РАМЕНСКОЕ, КМ 10-Й, СТР. 7, ПОМЕЩ. 6</t>
  </si>
  <si>
    <t>+74959876734,+74956621515,+74959876707</t>
  </si>
  <si>
    <t>lebed@vebcapital.ru,seryshev@vebcapital.ru</t>
  </si>
  <si>
    <t>ООО "СВЯЗЬ.ОН"</t>
  </si>
  <si>
    <t>ОБЩЕСТВО С ОГРАНИЧЕННОЙ ОТВЕТСТВЕННОСТЬЮ "СВЯЗЬ.ОН"</t>
  </si>
  <si>
    <t>2024-05-08</t>
  </si>
  <si>
    <t>47.42</t>
  </si>
  <si>
    <t>Торговля розничная телекоммуникационным оборудованием, включая розничную торговлю мобильными телефонами, в специализированных магазинах</t>
  </si>
  <si>
    <t>46.15.4,46.19,46.43,46.43.1,46.43.2,46.43.3,46.43.4,46.49,46.49.49,46.49.5,46.51,46.66,46.90,47.19.2,47.24.2,47.25.2,47.29.35,47.41,47.43,47.54,47.63.1,47.64,47.65,47.78,47.78.1,47.79,47.91,49.41.2,52.10,52.10.9,52.29,53.20.3,56.10.1,56.29,61.10.1,63.11,66.19.61,66.19.62,66.22,70.22,73.11,73.20.1,78.30,82.99,95.21</t>
  </si>
  <si>
    <t>119017, Г.МОСКВА, ВН.ТЕР.Г. МУНИЦИПАЛЬНЫЙ ОКРУГ ЯКИМАНКА, УЛ БОЛЬШАЯ ОРДЫНКА, Д. 44, СТР. 4</t>
  </si>
  <si>
    <t>+79036213089</t>
  </si>
  <si>
    <t>906</t>
  </si>
  <si>
    <t>ООО "ТМК НТЦ"</t>
  </si>
  <si>
    <t>ОБЩЕСТВО С ОГРАНИЧЕННОЙ ОТВЕТСТВЕННОСТЬЮ "НАУЧНО-ТЕХНИЧЕСКИЙ ЦЕНТР ТМК"</t>
  </si>
  <si>
    <t>2013-05-06</t>
  </si>
  <si>
    <t>72.19</t>
  </si>
  <si>
    <t>Научные исследования и разработки в области естественных и технических наук прочие</t>
  </si>
  <si>
    <t>24.20,24.33,25.50,25.61,25.62,25.99,28.14,28.41,71.12,71.20,73.20,74.90,74.90.6</t>
  </si>
  <si>
    <t>ПЫШМИНЦЕВ ИГОРЬ ЮРЬЕВИЧ</t>
  </si>
  <si>
    <t>121205, Г.МОСКВА, ВН.ТЕР.Г. МУНИЦИПАЛЬНЫЙ ОКРУГ МОЖАЙСКИЙ, ТЕР ИННОВАЦИОННОГО ЦЕНТРА СКОЛКОВО, Б-Р БОЛЬШОЙ, Д. 5</t>
  </si>
  <si>
    <t>+74957757600,+74957757601</t>
  </si>
  <si>
    <t>АО "МСП ЛИЗИНГ"</t>
  </si>
  <si>
    <t>АКЦИОНЕРНОЕ ОБЩЕСТВО "ЛИЗИНГОВАЯ КОМПАНИЯ ПО РАЗВИТИЮ МАЛОГО И СРЕДНЕГО ПРЕДПРИНИМАТЕЛЬСТВА"</t>
  </si>
  <si>
    <t>2022-09-30</t>
  </si>
  <si>
    <t>64.91.2</t>
  </si>
  <si>
    <t>Деятельность по финансовой аренде (лизингу/сублизингу) в прочих областях, кроме племенных животных</t>
  </si>
  <si>
    <t>64.91,64.99,77.12,77.31,77.32,77.33,77.39</t>
  </si>
  <si>
    <t>ДАДАЯН ИННА ВАЛЕРЬЕВНА</t>
  </si>
  <si>
    <t>115054, Г.МОСКВА, ВН.ТЕР.Г. МУНИЦИПАЛЬНЫЙ ОКРУГ ЗАМОСКВОРЕЧЬЕ, НАБ КОСМОДАМИАНСКАЯ, Д. 52, СТР. 1</t>
  </si>
  <si>
    <t>+78001001100,+79131130357,+79191443924</t>
  </si>
  <si>
    <t>zakupki@msp-leasing.ru,sgrishanov@msp-leasing.ru,tgoncharova@corpmsp.ru</t>
  </si>
  <si>
    <t>33</t>
  </si>
  <si>
    <t>ООО "КОНФИТЮР"</t>
  </si>
  <si>
    <t>ОБЩЕСТВО С ОГРАНИЧЕННОЙ ОТВЕТСТВЕННОСТЬЮ "КОНФИТЮР"</t>
  </si>
  <si>
    <t>2019-04-25</t>
  </si>
  <si>
    <t>68.10,68.10.1,68.31,68.32</t>
  </si>
  <si>
    <t>БОРОДЯНСКИЙ ВЛАДИМИР АБРАМОВИЧ</t>
  </si>
  <si>
    <t>143980,  МОСКОВСКАЯ ОБЛАСТЬ, Г. БАЛАШИХА, УЛ Рождественская (Железнодорожный мкр.), Д. 3, ЭТ/ПОМ/КОМ 3/I/24</t>
  </si>
  <si>
    <t>+74992130060</t>
  </si>
  <si>
    <t>ООО "ХЕВЕЛ ЭНЕРГОСЕРВИС"</t>
  </si>
  <si>
    <t>ОБЩЕСТВО С ОГРАНИЧЕННОЙ ОТВЕТСТВЕННОСТЬЮ "ХЕВЕЛ ЭНЕРГОСЕРВИС"</t>
  </si>
  <si>
    <t>2013-06-28</t>
  </si>
  <si>
    <t>35.11.4</t>
  </si>
  <si>
    <t>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</t>
  </si>
  <si>
    <t>46.69.2,28.1,28.2,33.14,33.14,33.20,35.11,35.11,35.11.1,35.11.4,35.12,35.12,35.13,35.14,41.2,43.11,43.12,43.12.3,43.2,43.3,43.99,46.1,46.4,46.6,46.7,47.5,62.02,62.09,64.9,66.1,68.1,68.2,68.20.29,68.3,69,71.20.9,74.20,74.30,77.39,82.92</t>
  </si>
  <si>
    <t>УСАЧЁВ АНТОН МИХАЙЛОВИЧ</t>
  </si>
  <si>
    <t>117342, Г.МОСКВА, ВН.ТЕР.Г. МУНИЦИПАЛЬНЫЙ ОКРУГ КОНЬКОВО, УЛ ПРОФСОЮЗНАЯ, Д. 65, К. 1, ЭТАЖ 12, ПОМЕЩ. XXXVIII, КОМНАТА №5.14</t>
  </si>
  <si>
    <t>+74993228255,+74959330603</t>
  </si>
  <si>
    <t>21</t>
  </si>
  <si>
    <t>МУП "КЛИНТЕПЛОСЕТЬ"</t>
  </si>
  <si>
    <t>МУНИЦИПАЛЬНОЕ УНИТАРНОЕ ПРЕДПРИЯТИЕ "КЛИНСКИЕ ТЕПЛОВЫЕ СЕТИ"</t>
  </si>
  <si>
    <t>2015-11-05</t>
  </si>
  <si>
    <t>35.30.11</t>
  </si>
  <si>
    <t>Производство пара и горячей воды (тепловой энергии) тепловыми электростанциями</t>
  </si>
  <si>
    <t>33.12,33.12,33.14,33.20,35.11.1,35.14,35.14,35.30,35.30.11,35.30.14,35.30.3,35.30.4,35.30.5,36.00.2,41.20,42.21,42.22.2,43.21,43.22,43.29,43.99.1,52.21.24,68.20.29,68.32.1,81.29.9</t>
  </si>
  <si>
    <t>ВЕДЯШКИН ИГОРЬ ВЛАДИМИРОВИЧ</t>
  </si>
  <si>
    <t>141603, МОСКОВСКАЯ ОБЛАСТЬ, Г.О. КЛИН, Г КЛИН, ТЕР. ЛЕНИНГРАДСКОЕ ШОССЕ, КМ 88-Й, СТР. 18Б</t>
  </si>
  <si>
    <t>+79035234997,+74962477950,+79057219818,+74962421248,+74962458881,+74962458809,+79060715545,+74962411248,+74962427287,+74962453658,+74962458561,+79256242164,+74962420072,+74962458559,+79057219863</t>
  </si>
  <si>
    <t>teploklin@mail.ru,klinteplo@list.ru,teploklin-abo@mail.ru,1@yandex.ru,tepliklin-abo@mail.ru,eploklin@mail.ru,teploklin-abo@maii.ru,eploklin-abo@mail.ru,info@klinteploset.ru,klin-jem@yandex.ru,mail@mail.ru,msk-grand@mail.ru,mgrt@list.ru,5624757@mail.ru,z_top@zhky.ru,klinmyp@mail.ru,111@qqq.com,ru@ru.ru,teplo@yandex.ru,klinsport@list.ru,klintepseti@mai.ru,klin-teplo@info.ru,klinseti@mail.ru,klinteploset@mail.ru,tepllo@yandex.ru,klinskayateploset@mail.ru,vim.zakupki@mail.ru,klin@rfg.ru,klinteplo@mail.ru</t>
  </si>
  <si>
    <t>АО "ГК "ИНФОРМТЕХНИКА"</t>
  </si>
  <si>
    <t>АКЦИОНЕРНОЕ ОБЩЕСТВО "ГРУППА КОМПАНИЙ "ИНФОРМТЕХНИКА"</t>
  </si>
  <si>
    <t>2006-12-08</t>
  </si>
  <si>
    <t>66.12.2</t>
  </si>
  <si>
    <t>Деятельность по управлению ценными бумагами</t>
  </si>
  <si>
    <t>41.20,42.21,42.22.2,62.02,64.99.11,64.99.12,66.19,68.10.12,68.10.23,68.20.2,70.22,73.11,77.33,77.33.1</t>
  </si>
  <si>
    <t>ГРЕЙСМАН КОНСТАНТИН АНАТОЛЬЕВИЧ</t>
  </si>
  <si>
    <t>107140,  Г.МОСКВА, УЛ. ВЕРХНЯЯ КРАСНОСЕЛЬСКАЯ, Д.2/1, СТР.1</t>
  </si>
  <si>
    <t>+74956466731,+74957716734</t>
  </si>
  <si>
    <t>www.minicom.ru</t>
  </si>
  <si>
    <t>sale@infotek.ru</t>
  </si>
  <si>
    <t>ГУП МО "БЕЛООЗЕРСКОЕ ЖКХ"</t>
  </si>
  <si>
    <t>ГОСУДАРСТВЕННОЕ УНИТАРНОЕ ПРЕДПРИЯТИЕ МОСКОВСКОЙ ОБЛАСТИ "БЕЛООЗЕРСКОЕ ЖИЛИЩНО-КОММУНАЛЬНОЕ ХОЗЯЙСТВО"</t>
  </si>
  <si>
    <t>2004-05-19</t>
  </si>
  <si>
    <t>36.00.1</t>
  </si>
  <si>
    <t>Забор и очистка воды для питьевых и промышленных нужд</t>
  </si>
  <si>
    <t>37.00,49.41.3,68.32.1,33.14,36.00,36.00.1,36.00.2,37.00,38.11,42.21,43.12.3,43.21,43.22,43.29,43.31,43.32,43.91,43.99,43.99.1,43.99.5,45.20,49.4,49.41,61.10,81.22</t>
  </si>
  <si>
    <t>ШЕВЦОВ КИРИЛЛ АЛЕКСАНДРОВИЧ</t>
  </si>
  <si>
    <t>140202, МОСКОВСКАЯ ОБЛАСТЬ, Г.О. ВОСКРЕСЕНСК, Г ВОСКРЕСЕНСК, УЛ НЕКРАСОВА, Д. 17</t>
  </si>
  <si>
    <t>+74964475236,+74964455282,+74964425282,+74954455282,+74964448732,+74964455258,+74951234567,+74991553040,+74964451244,+74964424570,+72444455282,+79265425241,+74961155282,+74964456365,+74964432654,+74964455828,+74964431762,+74964475070,+74964475050,+74964425700,+74966158336,+78496445236,+79104910761,+74962275236,+74964475326,+74964455252,+79162455434,+77964455282,+78244475236,+74964475430,+74964475282</t>
  </si>
  <si>
    <t>НЕТ,bgkh.ru</t>
  </si>
  <si>
    <t>bgkh@bgkh.ru,beloozgkh@mail.ru,gadi83@mail.ru,bgkh@wlc-net.ru,dzar@bk.ru,bghk@bghk.ru,mzkp@mail.ru,ptobgkh@mail.ru,mail@mail.ru,dshi3@mail.ru,bjkh@wls-net.ru,cibino37@mail.ru,cibibno37@mail.ru,infojkh@mail.ru,a.ivushkin@bgkh.ru,voskresensk@mail.ru,bqkh@wlc-net.ru,ovowoskresensk@mail.ru,gal.maltzeva@yandex.ru,bdkh@wlc-net.ru,mup@mail.ru,123@mail.ru,132w@mail.ru,bgkh@wlc-nrt.ru,gk-lp@mail.ru,jgk@mail.ru,bgkh@wlknet.ru,bgkx@wlc-net.ru,bgkh@wlcnet.ru,111@mail.ru,0000@mail.ru,spartabel@mail.ru,bgkh@wlс-net.ru,bgkx@wlc-mail.ru,ogkh@wlc-net.ru,bgkg@mail.ru,plobogrh@mail.ru,plobogkh@mail.ru,adm-beloozerskiy@mail.ru,bzkh@mail.ru,bgkh@wls-net.ru,000@000.ru,00000@00.ru,jkyg@mail.ru,mail@bgkx.ru,bgkh@wl-net.ru,dgkh@wic-net.ru,dgkh@wlc-net.ru,bghk@mail.ru,bgkh@mail.ru</t>
  </si>
  <si>
    <t>ООО "БАЗИС-МОСКВА"</t>
  </si>
  <si>
    <t>ОБЩЕСТВО С ОГРАНИЧЕННОЙ ОТВЕТСТВЕННОСТЬЮ "БАЗИС-МОСКВА"</t>
  </si>
  <si>
    <t>2015-10-12</t>
  </si>
  <si>
    <t>46.33</t>
  </si>
  <si>
    <t>Торговля оптовая молочными продуктами, яйцами и пищевыми маслами и жирами</t>
  </si>
  <si>
    <t>10.42,10.51,10.51.1,10.51.3,10.51.9,10.89,10.89.1,10.89.5,10.89.6,10.89.7,10.89.8,10.89.9,46.21,46.21.11,46.21.12,46.21.13,46.21.19,46.33.1,46.33.3,46.38,46.38.29,46.39,47.11,47.19,47.29,47.29.11,47.29.2,47.29.39,47.8,47.9,49.4,49.41.1,49.41.2,49.41.3,52.10,52.21,52.21.2,64.91,64.99,68.20,68.20.2,77.11,77.31,77.32,77.33,77.33.1,77.39.1,77.39.11,77.39.2,77.39.23,82.99</t>
  </si>
  <si>
    <t>ЗАЛЕССКИЙ ГЕННАДИЙ ПЕТРОВИЧ</t>
  </si>
  <si>
    <t>121069,  Г.МОСКВА, Б-Р НОВИНСКИЙ, Д. 20А, СТР 3-6, ПОМЕЩ. I КОМНАТА 115</t>
  </si>
  <si>
    <t>+79180297755</t>
  </si>
  <si>
    <t>МУП "ТВК Г. ПУЩИНО"</t>
  </si>
  <si>
    <t>МУНИЦИПАЛЬНОЕ УНИТАРНОЕ ПРЕДПРИЯТИЕ "ТЕПЛОВОДОКАНАЛ ГОРОДА ПУЩИНО" ГОРОДСКОГО ОКРУГА СЕРПУХОВ МОСКОВСКОЙ ОБЛАСТИ</t>
  </si>
  <si>
    <t>2004-10-29</t>
  </si>
  <si>
    <t>35.30.3</t>
  </si>
  <si>
    <t>Распределение пара и горячей воды (тепловой энергии)</t>
  </si>
  <si>
    <t>35.30.5,36.00.2,37.00,35.30.3,35.30.5,36.00.2,37.00</t>
  </si>
  <si>
    <t>ДЕМИН СТАНИСЛАВ АЛЕКСЕЕВИЧ</t>
  </si>
  <si>
    <t>142290, МОСКОВСКАЯ ОБЛАСТЬ, Г.О. СЕРПУХОВ, Г ПУЩИНО, УЛ СТРОИТЕЛЕЙ, Д. 4</t>
  </si>
  <si>
    <t>+74967732759,+79037091479,+74967732605,+74967731630,+74967733633,+74955422183,+79653670903,+74967732753,+74967732750,+74967732501,+74967351075,+79164779266,+74967732506,+71234567890,+79467732759,+74992507998,+74967732993,+74967731825,+74967731111,+74967733630,+74967735201,+74957274494,+74968732759,+74967733643,+74967123456,+70000732729,+70000732759</t>
  </si>
  <si>
    <t>pushchino-tvk.ru</t>
  </si>
  <si>
    <t>mup-tvk@yandex.ru,directortvk@yandex.ru,zakupki-muptvk@yandex.ru,pshn_muptvk@mosreg.ru,ku@pushchino-tvk.ru,mup@vodokanalpodolsk.ru,mup@mail.ru,mup-tvr@yandex.ru,gumchs-mo@mail.ru,mail@mail.ru,clyucherowa@yandex.ru,os@orionhim.ru,myp-tvk@yandex.ru,myp.tvk@yandex.ru,mup-tnk@yandex.ru,mup_tvk@yandex.ru,none@none.ru,mup-tvl@yandex.ru,serpuhovbuh@yandex.ru,up-tvk@yandex.ru,tvk@yandex.ru,info@info.ru,123@mail.ru,mup-tvk@mail.ru,muptvk@yandex.ru,okts@flexuser.ru,bs-nrf@mail.ru,mup-tvk@yndeks.ru,koshman.tvk@yandex.ru,,avmak@keldysh.ru,tvkpo@mail.ru,ghghg@mail.ru,jkjkjkj@mail.ru,lk@rambler.ru,mup@rambler.ru,teplo@mail.ru,otvisimanina@yandex.ru,nn@qip.ru,nn@mail.ru,teplovod@mail.ru,info@k-agent.ru,tvbuh@yandex.ru,veronfr@gmail.com,buchissppushino@rambler.ru,koshman.tvk@yandex.ru,koshman/tvk@yandex.ru</t>
  </si>
  <si>
    <t>ООО "ПРИНЦ"</t>
  </si>
  <si>
    <t>ОБЩЕСТВО С ОГРАНИЧЕННОЙ ОТВЕТСТВЕННОСТЬЮ "ПРИНЦ"</t>
  </si>
  <si>
    <t>2004-11-30</t>
  </si>
  <si>
    <t>ШАКЛОВА МАРИЯ ВЛАДИМИРОВНА</t>
  </si>
  <si>
    <t>141100,  МОСКОВСКАЯ ОБЛАСТЬ, Г. ЩЁЛКОВО, Ш. ФРЯНОВСКОЕ, Д. 1, ОФИС 182</t>
  </si>
  <si>
    <t>+74959955906,+74959955907</t>
  </si>
  <si>
    <t>ООО "МОСЭНКА"</t>
  </si>
  <si>
    <t>ОБЩЕСТВО С ОГРАНИЧЕННОЙ ОТВЕТСТВЕННОСТЬЮ "МОСЭНКА"</t>
  </si>
  <si>
    <t>2015-07-07</t>
  </si>
  <si>
    <t>41.20,43.11,43.12.3,43.21,43.22,43.31,43.32,43.33,43.34,68.10.22</t>
  </si>
  <si>
    <t>ДЖАН ДЖЕЛАЛ БУРАК</t>
  </si>
  <si>
    <t>127051,  Г.МОСКВА, Б-Р ЦВЕТНОЙ, Д. 25, СТР. 3</t>
  </si>
  <si>
    <t>+74957872288,+74957872292</t>
  </si>
  <si>
    <t>www.mosenka.ru</t>
  </si>
  <si>
    <t>marketing.department@mosenka.ru,aleksandra.lukinova@mosenka.ru,info@mosenka.ru</t>
  </si>
  <si>
    <t>28</t>
  </si>
  <si>
    <t>ООО "ЛАЙТ ЭСТЕЙТ"</t>
  </si>
  <si>
    <t>ОБЩЕСТВО С ОГРАНИЧЕННОЙ ОТВЕТСТВЕННОСТЬЮ "ЛАЙТ ЭСТЕЙТ"</t>
  </si>
  <si>
    <t>2015-07-17</t>
  </si>
  <si>
    <t>68.10,68.10.1,68.32,77.11,81.22,81.29.9,82.99</t>
  </si>
  <si>
    <t>ТАРАКАНОВ ДЕНИС ГЕННАДЬЕВИЧ</t>
  </si>
  <si>
    <t>111250,  Г.МОСКВА, УЛ. ГОСПИТАЛЬНАЯ, Д. 14</t>
  </si>
  <si>
    <t>+74952322802,+74957395555</t>
  </si>
  <si>
    <t>5</t>
  </si>
  <si>
    <t>ООО "ЗЗВО"</t>
  </si>
  <si>
    <t>ОБЩЕСТВО С ОГРАНИЧЕННОЙ ОТВЕТСТВЕННОСТЬЮ "ЗЕЛЕНОГРАДСКИЙ ЗАВОД ВЕНТИЛЯЦИОННОГО ОБОРУДОВАНИЯ"</t>
  </si>
  <si>
    <t>2004-01-27</t>
  </si>
  <si>
    <t>28.25.2</t>
  </si>
  <si>
    <t>Производство вентиляторов</t>
  </si>
  <si>
    <t>25.21.1,28.13,28.14,28.25.1,28.29,33.12,33.14,33.20,41.10,41.20,42.12,43.11,43.12,43.21,43.22,43.29,43.31,43.33,43.34,43.39,43.91,43.99,46.69.9,46.90,55.30,68.20.2,68.32,72.19.4,74.90.9,74.90.91,74.90.92,74.90.99</t>
  </si>
  <si>
    <t>КУПРИЯНОВ БОРИС ЕВГЕНЬЕВИЧ</t>
  </si>
  <si>
    <t>124365,  Г.МОСКВА, Г. ЗЕЛЕНОГРАД, УЛ. ЗАВОДСКАЯ, Д. 25, СТР. 1</t>
  </si>
  <si>
    <t>+74997333444,+74997333502,+79168517936,+74997733444,+79165709944,+79175034646,+79162469384,+74997299562,+70955333444</t>
  </si>
  <si>
    <t>www.zzvo.ru</t>
  </si>
  <si>
    <t>max.abl@mail.ru,zzvo@zzvo.ru,zzvo8917@yandex.ru,inna@zzvo.ru,zelzavvobo@yandex.ru,angelina_zzvo@bk.ru</t>
  </si>
  <si>
    <t>ООО "ЗЕНИТ ФИНАНС"</t>
  </si>
  <si>
    <t>ОБЩЕСТВО С ОГРАНИЧЕННОЙ ОТВЕТСТВЕННОСТЬЮ "ЗЕНИТ ФИНАНС"</t>
  </si>
  <si>
    <t>2004-09-07</t>
  </si>
  <si>
    <t>66.22,66.29,68.10,68.10.1,68.10.22,68.10.23,68.20,71.12.2</t>
  </si>
  <si>
    <t>РУСАКОВ ЮРИЙ ВЛАДИМИРОВИЧ</t>
  </si>
  <si>
    <t>117638, Г.МОСКВА, ВН.ТЕР.Г. МУНИЦИПАЛЬНЫЙ ОКРУГ ЗЮЗИНО, УЛ ОДЕССКАЯ, Д. 2, ЭТАЖ 18, КОМ. 1805.2</t>
  </si>
  <si>
    <t>+74959370739</t>
  </si>
  <si>
    <t>ООО "ДЕЛЬТА-ПАРТС"</t>
  </si>
  <si>
    <t>ОБЩЕСТВО С ОГРАНИЧЕННОЙ ОТВЕТСТВЕННОСТЬЮ "ДЕЛЬТА-ПАРТС"</t>
  </si>
  <si>
    <t>2020-02-21</t>
  </si>
  <si>
    <t>46.90</t>
  </si>
  <si>
    <t>Торговля оптовая неспециализированная</t>
  </si>
  <si>
    <t>18.12,18.20,28.12,33.12,45.11,45.19,45.20.2,45.31,45.32,46.35,46.39,46.61,46.63,46.69,52.29,73.20.1</t>
  </si>
  <si>
    <t>ПЕТРОВ ПАВЕЛ ИГОРЕВИЧ</t>
  </si>
  <si>
    <t>115583,  Г.МОСКВА, УЛ. ЕЛЕЦКАЯ, Д. 26, ПОМЕЩ. 23</t>
  </si>
  <si>
    <t>+74957270069,+79032618081</t>
  </si>
  <si>
    <t>848@7274069.ru</t>
  </si>
  <si>
    <t>ООО "МПК"</t>
  </si>
  <si>
    <t>ОБЩЕСТВО С ОГРАНИЧЕННОЙ ОТВЕТСТВЕННОСТЬЮ "МНОГОПРОФИЛЬНАЯ ПРОЦЕССИНГОВАЯ КОМПАНИЯ"</t>
  </si>
  <si>
    <t>2004-10-05</t>
  </si>
  <si>
    <t>63.11.1</t>
  </si>
  <si>
    <t>Деятельность по созданию и использованию баз данных и информационных ресурсов</t>
  </si>
  <si>
    <t>11.07.2,18.20,33.14,33.20,38.32.52,45.20,45.3,46.21.19,46.34,46.35,46.38.29,46.4,46.41,46.41.2,46.71,46.9,47.11,47.25,47.7,47.71,49.4,52.10,52.21,52.21.24,52.24,53.1,53.10,53.20,53.20.3,55.10,56.10.1,58.29,62.0,62.01,62.02,62.09,63.11,66.12.3,66.19,68.20,68.31,68.32.3,69.10,70.22,71.12.1,71.12.12,71.12.45,72.19,73.1,73.20.1,77.33,77.39.1,77.39.29,78.10,79.1,79.11,82.99,85.42,86.10,91.01,93.2,95.1</t>
  </si>
  <si>
    <t>105066,  Г.МОСКВА, УЛ. НОВОРЯЗАНСКАЯ, Д. 31/7, К. 12, 1 П 8 ЭТ 2 П 12-17</t>
  </si>
  <si>
    <t>+74957771020,+74957211678,+74954118845,+79250809079,+74955000042,+74952283014,+74942283014,+74952085262,+74952263014,+74952085265,+74952283024,+74952284014,+74992283014,+74957211679,+79032283014</t>
  </si>
  <si>
    <t>support@mpcompany.ru,dzo.procurement@psbank.ru,e.belova@mpcompany.ru,n.darata@mpcompany.ru,a.basov@mpcompany.ru,o.sorokin@mpcompany.ru&gt;,&lt;v.zaytsev@mpcompany.ru&gt;,v.zaytsev@mpcompany.ru,e.fedosov@mpcompany.ru,shustov@mpcompany.ru,e.feosov@mpcompany.ru,e.fedosov@mpcompanu.ru,e.fedsov@mpcompany.ru,e.fedosov@mpcompany.ri,eduardfedosov@yandex.ru,e.fedosov@mpcompsny.ru</t>
  </si>
  <si>
    <t>85</t>
  </si>
  <si>
    <t>ООО "НОВОЕ СТРОИТЕЛЬСТВО"</t>
  </si>
  <si>
    <t>ОБЩЕСТВО С ОГРАНИЧЕННОЙ ОТВЕТСТВЕННОСТЬЮ "НОВОЕ СТРОИТЕЛЬСТВО"</t>
  </si>
  <si>
    <t>2004-08-24</t>
  </si>
  <si>
    <t>41.20,43.2,43.39,68.10,68.10.23,68.2,68.32,68.32.1</t>
  </si>
  <si>
    <t>БУГАЙ ДМИТРИЙ АЛЕКСАНДРОВИЧ</t>
  </si>
  <si>
    <t>109147,  Г.МОСКВА, УЛ МАРКСИСТСКАЯ, Д. 34, К. 7</t>
  </si>
  <si>
    <t>+74955648665,+75014910292,+74956700080</t>
  </si>
  <si>
    <t>ООО "НЕТВИЖН"</t>
  </si>
  <si>
    <t>ОБЩЕСТВО С ОГРАНИЧЕННОЙ ОТВЕТСТВЕННОСТЬЮ "НЕТВИЖН"</t>
  </si>
  <si>
    <t>2020-12-15</t>
  </si>
  <si>
    <t>62.01</t>
  </si>
  <si>
    <t>Разработка компьютерного программного обеспечения</t>
  </si>
  <si>
    <t>26.20,26.20.9,26.51,26.51.8,33.12,33.14,33.20,43.21,46.14.1,46.51,46.66,46.90,47.41,47.41.4,61.10.9,62.01,62.02,62.09,95.11,95.12</t>
  </si>
  <si>
    <t>КАЗАЧЕНКО РОМАН ЮРЬЕВИЧ</t>
  </si>
  <si>
    <t>УПРАВЛЯЮЩИЙ</t>
  </si>
  <si>
    <t>123290, Г.МОСКВА, ВН.ТЕР.Г. МУНИЦИПАЛЬНЫЙ ОКРУГ ХОРОШЕВСКИЙ, ТУП 1-Й МАГИСТРАЛЬНЫЙ, Д. 5А, ПОМЕЩ. 4/5</t>
  </si>
  <si>
    <t>+79277158362</t>
  </si>
  <si>
    <t>ООО "ДОРКО РУС"</t>
  </si>
  <si>
    <t>ОБЩЕСТВО С ОГРАНИЧЕННОЙ ОТВЕТСТВЕННОСТЬЮ "ДОРКО РУС"</t>
  </si>
  <si>
    <t>2019-07-26</t>
  </si>
  <si>
    <t>46.19,46.90</t>
  </si>
  <si>
    <t>КО ЧАНКУК</t>
  </si>
  <si>
    <t>117246, Г.МОСКВА, ВН.ТЕР.Г. МУНИЦИПАЛЬНЫЙ ОКРУГ ЧЕРЕМУШКИ, ПРОЕЗД НАУЧНЫЙ, Д. 14А, СТР. 1, ЭТАЖ 1, ПОМЕЩ. II, КОМ. 56</t>
  </si>
  <si>
    <t>+79167071554</t>
  </si>
  <si>
    <t>ООО "ПР-ЛИЗИНГ.РУ"</t>
  </si>
  <si>
    <t>ОБЩЕСТВО С ОГРАНИЧЕННОЙ ОТВЕТСТВЕННОСТЬЮ "ПР-ЛИЗИНГ.РУ"</t>
  </si>
  <si>
    <t>2019-12-12</t>
  </si>
  <si>
    <t>64.91</t>
  </si>
  <si>
    <t>Деятельность по финансовой аренде (лизингу/сублизингу)</t>
  </si>
  <si>
    <t>41.20,45.11,45.19,64.99,66.19,66.19.4,68.20,69.20,70.22,77.11,77.12,77.31,77.32,77.33,77.34,77.35,77.39,77.39.11,82.99</t>
  </si>
  <si>
    <t>ФАТКУЛЛИН АЙРАТ МАРАТОВИЧ</t>
  </si>
  <si>
    <t>121099,  Г.МОСКВА, ПЕР. БОЛЬШОЙ ДЕВЯТИНСКИЙ, Д. 4, ОФИС 7</t>
  </si>
  <si>
    <t>+78002502531</t>
  </si>
  <si>
    <t>tender@pr-liz.ru,torgi@pr-liz.ru</t>
  </si>
  <si>
    <t>ООО "СПЕЦИАЛИЗИРОВАННЫЙ ЗАСТРОЙЩИК "ИНВЕСТ-СТРОЙ"</t>
  </si>
  <si>
    <t>ОБЩЕСТВО С ОГРАНИЧЕННОЙ ОТВЕТСТВЕННОСТЬЮ "СПЕЦИАЛИЗИРОВАННЫЙ ЗАСТРОЙЩИК "ИНВЕСТ-СТРОЙ"</t>
  </si>
  <si>
    <t>2013-01-14</t>
  </si>
  <si>
    <t>41.2,43.12,64.9,64.99.3,66.19,68.1,68.2,68.3</t>
  </si>
  <si>
    <t>ЧИБУХЧЯН АЛЬБЕРТ АЛЬБЕРТОВИЧ</t>
  </si>
  <si>
    <t>141006,  МОСКОВСКАЯ ОБЛАСТЬ, Г. МЫТИЩИ, Г.О. МЫТИЩИ, ПР-КТ ОЛИМПИЙСКИЙ, СТРОЕНИЕ 13А, ПОМЕЩЕНИЕ 15</t>
  </si>
  <si>
    <t>+74955434400,+74920152020,+74951828282,+79265213849,+79037551820</t>
  </si>
  <si>
    <t>invest@mail.ru</t>
  </si>
  <si>
    <t>30</t>
  </si>
  <si>
    <t>ООО "ИНФОРМАЦИОННЫЕ СЕТИ"</t>
  </si>
  <si>
    <t>ОБЩЕСТВО С ОГРАНИЧЕННОЙ ОТВЕТСТВЕННОСТЬЮ "ИНФОРМАЦИОННЫЕ СЕТИ"</t>
  </si>
  <si>
    <t>2013-11-29</t>
  </si>
  <si>
    <t>62.01,62.02,62.09,63.11,63.11.1,64.99,64.99.11,64.99.12,66.19,69.10,69.20,70.10.1,70.10.2,70.22,73.11,95.11</t>
  </si>
  <si>
    <t>КАШНИКОВ МИХАИЛ СЕРГЕЕВИЧ</t>
  </si>
  <si>
    <t>117418,  Г.МОСКВА, УЛ. НОВОЧЕРЁМУШКИНСКАЯ, Д. 63</t>
  </si>
  <si>
    <t>+79037985968,+79057461881</t>
  </si>
  <si>
    <t>info@informseti.ru,7985968@gmail.com</t>
  </si>
  <si>
    <t>ООО "ГЕК"</t>
  </si>
  <si>
    <t>ОБЩЕСТВО С ОГРАНИЧЕННОЙ ОТВЕТСТВЕННОСТЬЮ "ГЕК"</t>
  </si>
  <si>
    <t>2021-04-09</t>
  </si>
  <si>
    <t>20.41.3</t>
  </si>
  <si>
    <t>Производство мыла и моющих средств, чистящих и полирующих средств</t>
  </si>
  <si>
    <t>20.41.2,20.42,46.44.2,46.45.1,46.45.2,49.41.2,68.20.2,68.32.2,69.10,69.20.2,70.22,71.11.1,73.20.1,77.11,77.33.1,77.39.1,77.39.29,77.40,81.22,81.29.9</t>
  </si>
  <si>
    <t>ЕГОРОВ МИХАИЛ АЛЕКСАНДРОВИЧ</t>
  </si>
  <si>
    <t>141821, МОСКОВСКАЯ ОБЛАСТЬ, М.О. ДМИТРОВСКИЙ, П РЫБНОЕ, УЛ УНИКАЛЬНАЯ, Д. 1</t>
  </si>
  <si>
    <t>+79857618747</t>
  </si>
  <si>
    <t>ООО "ФАРЛАНОС ИНТЕРПРАЙЗИС ЛТД"</t>
  </si>
  <si>
    <t>ОБЩЕСТВО С ОГРАНИЧЕННОЙ ОТВЕТСТВЕННОСТЬЮ "ФАРЛАНОС ИНТЕРПРАЙЗИС ЛТД"</t>
  </si>
  <si>
    <t>2021-06-17</t>
  </si>
  <si>
    <t>41.10,41.20,68.10.22,68.20.1,68.31.22,96.09</t>
  </si>
  <si>
    <t>ЮМАШЕВА ЛЮДМИЛА НИКОЛАЕВНА</t>
  </si>
  <si>
    <t>123112, Г.МОСКВА, ВН.ТЕР.Г. МУНИЦИПАЛЬНЫЙ ОКРУГ ПРЕСНЕНСКИЙ, НАБ ПРЕСНЕНСКАЯ, Д. 6, СТР. 2, ЭТАЖ 20, ПОМЕЩ. I</t>
  </si>
  <si>
    <t>+79255894699</t>
  </si>
  <si>
    <t>gran@yandex.ru</t>
  </si>
  <si>
    <t>АО "НОВАЯ РЕДАКЦИЯ"</t>
  </si>
  <si>
    <t>АКЦИОНЕРНОЕ ОБЩЕСТВО "НОВАЯ РЕДАКЦИЯ"</t>
  </si>
  <si>
    <t>2006-08-16</t>
  </si>
  <si>
    <t>18.11,18.12,18.13,18.14,58.13,58.14,58.19,68.10.22,68.10.23,68.20.1,68.32.1,68.32.2,73.11</t>
  </si>
  <si>
    <t>АКЦИОНЕРНОЕ ОБЩЕСТВО "УПРАВЛЯЮЩАЯ КОМПАНИЯ СТД"</t>
  </si>
  <si>
    <t>115088,  Г.МОСКВА, УЛ ШАРИКОПОДШИПНИКОВСКАЯ, Д. 13, СТР. 2, ЭТ/КОМ 5/1</t>
  </si>
  <si>
    <t>+74957839038,+74957839037,+74954117851</t>
  </si>
  <si>
    <t>ООО  "ЕДИНАЯ ЕВРОПА"</t>
  </si>
  <si>
    <t>ОБЩЕСТВО С ОГРАНИЧЕННОЙ ОТВЕТСТВЕННОСТЬЮ "ЕДИНАЯ ЕВРОПА"</t>
  </si>
  <si>
    <t>2003-09-08</t>
  </si>
  <si>
    <t>64.20,64.99.11,64.99.3,68.31.12,68.31.32,68.32,69.10,69.20.2,69.20.3,70.10.2</t>
  </si>
  <si>
    <t>МОЖАЙСКИЙ ИГОРЬ ВИКТОРОВИЧ</t>
  </si>
  <si>
    <t>108811,  Г.МОСКВА, Р-Н ВНУКОВО, П УЛЬЯНОВСКОГО ЛЕСОПАРКА, Д. 1, СТР. 1, ПОМЕЩ. 351</t>
  </si>
  <si>
    <t>+74957716001,+74957716009</t>
  </si>
  <si>
    <t>54</t>
  </si>
  <si>
    <t>ООО ИК "АЛГОРИТМ"</t>
  </si>
  <si>
    <t>ОБЩЕСТВО С ОГРАНИЧЕННОЙ ОТВЕТСТВЕННОСТЬЮ ИНВЕСТИЦИОННАЯ КОМПАНИЯ "АЛГОРИТМ"</t>
  </si>
  <si>
    <t>2009-06-10</t>
  </si>
  <si>
    <t>46.11,46.12,46.17,46.31,46.71,47.11,47.24,47.25.2,47.29,47.99,52.10,68.10,68.20</t>
  </si>
  <si>
    <t>СЕРЕБРЯКОВ ПАВЕЛ МИХАЙЛОВИЧ</t>
  </si>
  <si>
    <t>123022, Г.МОСКВА, ВН.ТЕР.Г. МУНИЦИПАЛЬНЫЙ ОКРУГ ПРЕСНЕНСКИЙ, УЛ БОЛЬШАЯ ДЕКАБРЬСКАЯ, Д. 3, СТР. 1</t>
  </si>
  <si>
    <t>+74992565203</t>
  </si>
  <si>
    <t>rusmoloko@rusmoloko.ru</t>
  </si>
  <si>
    <t>ООО "МЕРИДИУМ"</t>
  </si>
  <si>
    <t>ОБЩЕСТВО С ОГРАНИЧЕННОЙ ОТВЕТСТВЕННОСТЬЮ "МЕРИДИУМ"</t>
  </si>
  <si>
    <t>2013-12-16</t>
  </si>
  <si>
    <t>64.99,66.12.2,68.10,68.32,70.22,73.20.1,82.99</t>
  </si>
  <si>
    <t>ДОРОНЬКИНА ВЕРОНИКА ВАЛЕНТИНОВНА</t>
  </si>
  <si>
    <t>109235,  Г.МОСКВА, НАБ. КУРЬЯНОВСКАЯ, Д. 9, КОМ. 23 ЭТАЖ 2</t>
  </si>
  <si>
    <t>+79272762511,+79163278509,+79169100017</t>
  </si>
  <si>
    <t>ООО "МК "СЕМЕЙНЫЙ ДОКТОР"</t>
  </si>
  <si>
    <t>ОБЩЕСТВО С ОГРАНИЧЕННОЙ ОТВЕТСТВЕННОСТЬЮ "МЕДИЦИНСКАЯ КЛИНИКА "СЕМЕЙНЫЙ ДОКТОР"</t>
  </si>
  <si>
    <t>2002-06-24</t>
  </si>
  <si>
    <t>86.21</t>
  </si>
  <si>
    <t>Общая врачебная практика</t>
  </si>
  <si>
    <t>КОЛОЯН НОРАЙР ГЕВОРКОВИЧ</t>
  </si>
  <si>
    <t>125047,  Г.МОСКВА, УЛ. 1-Я МИУССКАЯ, Д.2, СТР.3</t>
  </si>
  <si>
    <t>+78127757566,+74957757566,+74956092138,+74956092260</t>
  </si>
  <si>
    <t>www.familydoctor.ru</t>
  </si>
  <si>
    <t>buh@familydoctor.ru,shlychov@familydoctor.ru,korolyova@familydoctor.ru,company@familydoctor.ru</t>
  </si>
  <si>
    <t>160</t>
  </si>
  <si>
    <t>ООО "АЗОРЕС ИНВЕСТ"</t>
  </si>
  <si>
    <t>ОБЩЕСТВО С ОГРАНИЧЕННОЙ ОТВЕТСТВЕННОСТЬЮ "АЗОРЕС ИНВЕСТ"</t>
  </si>
  <si>
    <t>2007-12-25</t>
  </si>
  <si>
    <t>46.75</t>
  </si>
  <si>
    <t>Торговля оптовая химическими продуктами</t>
  </si>
  <si>
    <t>45.11,45.19,45.31,45.32,46.73,46.90,68.10,68.20,68.31,68.32,77.11,77.12</t>
  </si>
  <si>
    <t>МОРИЦ ИГОРЬ ДАВИДОВИЧ</t>
  </si>
  <si>
    <t>115088, Г.МОСКВА, ВН.ТЕР.Г. МУНИЦИПАЛЬНЫЙ ОКРУГ ПЕЧАТНИКИ, ПРОЕЗД 3-Й УГРЕШСКИЙ, Д. 8А, СТР. 11</t>
  </si>
  <si>
    <t>+74957693261</t>
  </si>
  <si>
    <t>ООО "НЬЮ ПОЙНТ"</t>
  </si>
  <si>
    <t>ОБЩЕСТВО С ОГРАНИЧЕННОЙ ОТВЕТСТВЕННОСТЬЮ "НЬЮ ПОЙНТ"</t>
  </si>
  <si>
    <t>2007-02-02</t>
  </si>
  <si>
    <t>68.10</t>
  </si>
  <si>
    <t>ЕЖКОВ АЛЕКСАНДР АЛЕКСАНДРОВИЧ</t>
  </si>
  <si>
    <t>141031,  МОСКОВСКАЯ ОБЛАСТЬ, Г. МЫТИЩИ, Д. ЧЕЛОБИТЬЕВО, УЛ. ЦЕНТРАЛЬНАЯ, Д.66А</t>
  </si>
  <si>
    <t>+74957392648</t>
  </si>
  <si>
    <t>ООО "ГЕРБАРИУМ ОФИС МЕНЕДЖМЕНТ"</t>
  </si>
  <si>
    <t>ОБЩЕСТВО С ОГРАНИЧЕННОЙ ОТВЕТСТВЕННОСТЬЮ "ГЕРБАРИУМ ОФИС МЕНЕДЖМЕНТ"</t>
  </si>
  <si>
    <t>2014-10-20</t>
  </si>
  <si>
    <t>64.99,64.99.11,64.99.3,68.10,68.10.1,68.20,68.31.2,68.32,82.30</t>
  </si>
  <si>
    <t>КРЮЧКОВ НИКОЛАЙ ВАЛЕНТИНОВИЧ</t>
  </si>
  <si>
    <t>121099,  Г.МОСКВА, УЛ. НОВЫЙ АРБАТ, Д.29, КАБИНЕТ 324</t>
  </si>
  <si>
    <t>+74959678182,+79160604477</t>
  </si>
  <si>
    <t>glavbuh@gom.efbank.ru,zakupki@evrofinance.ru</t>
  </si>
  <si>
    <t>ООО "БАКАЛЬДРИН РУС"</t>
  </si>
  <si>
    <t>ОБЩЕСТВО С ОГРАНИЧЕННОЙ ОТВЕТСТВЕННОСТЬЮ "БАКАЛЬДРИН РУС"</t>
  </si>
  <si>
    <t>2007-12-22</t>
  </si>
  <si>
    <t>46.38</t>
  </si>
  <si>
    <t>Торговля оптовая прочими пищевыми продуктами, включая рыбу, ракообразных и моллюсков</t>
  </si>
  <si>
    <t>10.71,10.72,10.89,28.93,33.12,46.36.2,46.36.3,46.36.4,46.38.29,46.69.4,46.69.9,46.90,68.20.2</t>
  </si>
  <si>
    <t>БОРИСОВ СЕРГЕЙ НИКОЛАЕВИЧ
ДЕЛЛЕР ХАРАЛЬД</t>
  </si>
  <si>
    <t>772814509309
504513497981</t>
  </si>
  <si>
    <t>108802,  Г.МОСКВА, Р-Н КОММУНАРКА, УЛ. АДМИРАЛА КОРНИЛОВА, Д. 19, СТР. 2</t>
  </si>
  <si>
    <t>+79852331026,+74955005599,+79250835556,+74955101088,+74955005595</t>
  </si>
  <si>
    <t>АО "СОВХОЗ ИМЕНИ КИРОВА"</t>
  </si>
  <si>
    <t>АКЦИОНЕРНОЕ ОБЩЕСТВО "СОВХОЗ ИМЕНИ КИРОВА"</t>
  </si>
  <si>
    <t>2007-01-23</t>
  </si>
  <si>
    <t>01.41.21</t>
  </si>
  <si>
    <t>Производство сырого коровьего молока</t>
  </si>
  <si>
    <t>01.11.1,10.51.3,10.51.9,47.11,68.20.29,01.1,01.2,01.4,01.41,01.49.1,10.1,10.5,10.9,16.10.2,41.2,43.2,46.2,46.3,46.4,47.1,47.25,47.29.1,47.29.11,47.29.2,47.29.3,47.65,47.75,47.8,49.4,56.10,56.10.1,56.10.3,68.1,68.2</t>
  </si>
  <si>
    <t>ТАБАЧУН АЛЕКСАНДР СЕРГЕЕВИЧ</t>
  </si>
  <si>
    <t>143800, МОСКОВСКАЯ ОБЛАСТЬ, М.О. ЛОТОШИНО, П КИРОВСКИЙ, СТР. 3</t>
  </si>
  <si>
    <t>+74962871482,+74962871486,+74962870352,+74962811482,+74962811486,+74957750890,+74962870138,+74962841486</t>
  </si>
  <si>
    <t>skirova.ru</t>
  </si>
  <si>
    <t>fhh@mail.ru,g1.kirova@mail.ru,1@mail.ru,s.kirova@mail.ru</t>
  </si>
  <si>
    <t>ООО "РЯБИНОВАЯ"</t>
  </si>
  <si>
    <t>ОБЩЕСТВО С ОГРАНИЧЕННОЙ ОТВЕТСТВЕННОСТЬЮ "РЯБИНОВАЯ"</t>
  </si>
  <si>
    <t>2015-11-06</t>
  </si>
  <si>
    <t>18.12</t>
  </si>
  <si>
    <t>Прочие виды полиграфической деятельности</t>
  </si>
  <si>
    <t>45.1,45.20,45.3,46.17,46.18,46.19,46.41,46.41.2,46.42,46.43,46.44,46.45,46.49,46.62,46.63,46.69,46.77,47.11,47.29,49.3,49.32,49.4,52.10,52.21,52.24,52.29,55.10,55.20,55.30,55.90,56.10.1,62.01,62.02,62.09,63.11,63.11.1,68.10.1,68.20,68.31,68.32,69.20,70.10.1,70.10.2,70.22,71.1,71.12.5,71.12.6,73.11,74.30,77.11,77.29,77.32,77.33,77.39.1,77.39.2,78.10,79.11,81.22,81.29.9,82.19,82.92,82.99,95.11</t>
  </si>
  <si>
    <t>ФОМИЧЕВ АЛЕКСАНДР ВИКТОРОВИЧ</t>
  </si>
  <si>
    <t>121471, Г.МОСКВА, ВН.ТЕР.Г. МУНИЦИПАЛЬНЫЙ ОКРУГ ОЧАКОВО-МАТВЕЕВСКОЕ, УЛ РЯБИНОВАЯ, Д. 46, СТР. 2</t>
  </si>
  <si>
    <t>+74952761606,+74956761606</t>
  </si>
  <si>
    <t>spark@interfax.ru</t>
  </si>
  <si>
    <t>31</t>
  </si>
  <si>
    <t>ООО "ЦЕНТР АКТИВОВ"</t>
  </si>
  <si>
    <t>ОБЩЕСТВО С ОГРАНИЧЕННОЙ ОТВЕТСТВЕННОСТЬЮ "ЦЕНТР АКТИВОВ"</t>
  </si>
  <si>
    <t>2016-10-11</t>
  </si>
  <si>
    <t>64.20,64.99.11,64.99.3,68.10,68.10.23,68.32,70.10,70.10.2,70.22,73.20,81.29</t>
  </si>
  <si>
    <t>КУЧУК ОЛЬГА ВИТАЛЬЕВНА</t>
  </si>
  <si>
    <t>123242, Г.МОСКВА, ВН.ТЕР.Г. МУНИЦИПАЛЬНЫЙ ОКРУГ ПРЕСНЕНСКИЙ, Б-Р НОВИНСКИЙ, Д. 31, ПОМЕЩ. 1/6</t>
  </si>
  <si>
    <t>+79261409928,+74956621515,+74956621506,+74959876708,+74956621507,+74956221515,+74956221506,+74992723990</t>
  </si>
  <si>
    <t>seryshev@vebcapital.ru,kuchuk@vebcapital.ru,poplavskaya@vebcapital.ru</t>
  </si>
  <si>
    <t>32</t>
  </si>
  <si>
    <t>ООО "АТБ ЛК"</t>
  </si>
  <si>
    <t>ОБЩЕСТВО С ОГРАНИЧЕННОЙ ОТВЕТСТВЕННОСТЬЮ "ЛИЗИНГОВАЯ КОМПАНИЯ АТБ"</t>
  </si>
  <si>
    <t>2002-12-11</t>
  </si>
  <si>
    <t>45.11.2,45.11.3,45.19.2,45.19.3,64.91,64.99.5,68.10.11,68.10.12,68.10.21,68.10.22,68.20.1,68.20.2</t>
  </si>
  <si>
    <t>ЛОГИНОВ ВИКТОР АЛЕКСАНДРОВИЧ</t>
  </si>
  <si>
    <t>109147, Г.МОСКВА, ВН.ТЕР.Г. МУНИЦИПАЛЬНЫЙ ОКРУГ ТАГАНСКИЙ, УЛ ТАГАНСКАЯ, Д. 17-23</t>
  </si>
  <si>
    <t>+74991107271,+74956609795,+74956469795,+74162514046,+74132514046,+74956609597,+74162224587</t>
  </si>
  <si>
    <t>info@expoleasing.ru,dubnitsky.r@expoleasing.ru,dubnitskyi.r@expoleasing.ru,bba@expoleasing.ru</t>
  </si>
  <si>
    <t>ООО "ГИДРОМАРИНН"</t>
  </si>
  <si>
    <t>ОБЩЕСТВО С ОГРАНИЧЕННОЙ ОТВЕТСТВЕННОСТЬЮ "ГИДРОМАРИНН"</t>
  </si>
  <si>
    <t>2017-10-03</t>
  </si>
  <si>
    <t>26.51.1,62.01,71.12,71.12.43</t>
  </si>
  <si>
    <t>МЕРКЛИН ЛЕВ РОМАНОВИЧ</t>
  </si>
  <si>
    <t>121205,  Г.МОСКВА, Б-Р БОЛЬШОЙ (ИННОВАЦИОННОГО ЦЕНТРА СКОЛКОВО ТЕР), Д. 42, СТР. 1, ПОМЕЩ. 335; 1 ЭТАЖ</t>
  </si>
  <si>
    <t>+79161043623</t>
  </si>
  <si>
    <t>ООО "МЧФ"</t>
  </si>
  <si>
    <t>ОБЩЕСТВО С ОГРАНИЧЕННОЙ ОТВЕТСТВЕННОСТЬЮ "МОСКОВСКАЯ ЧАЙНАЯ ФАБРИКА"</t>
  </si>
  <si>
    <t>1998-04-07</t>
  </si>
  <si>
    <t>10.83,47.29,10.83,18.12,41.20,45.20,46.19,46.37,46.39,46.90,47.19,47.29.35,47.7,52.29,56.10,56.10.1,56.10.3,62.01,62.02,64.91,64.99,68.1,68.2,68.3,69.10,73.11,73.20.1,96.09</t>
  </si>
  <si>
    <t>ОСТРЯГИН АНДРЕЙ АНАТОЛЬЕВИЧ</t>
  </si>
  <si>
    <t>111020,  Г.МОСКВА, УЛ. БОРОВАЯ, Д.3</t>
  </si>
  <si>
    <t>+74959182469,+79035917752,+74959182467,+74953600010,+74953606253,+79035937167</t>
  </si>
  <si>
    <t>www.moschay.com</t>
  </si>
  <si>
    <t>nikitin@nikitin.ru</t>
  </si>
  <si>
    <t>84</t>
  </si>
  <si>
    <t>АО "СИТРОНИКС КЛАУД"</t>
  </si>
  <si>
    <t>АКЦИОНЕРНОЕ ОБЩЕСТВО "СИТРОНИКС КЛАУД"</t>
  </si>
  <si>
    <t>1998-11-26</t>
  </si>
  <si>
    <t>68.20,68.20.2</t>
  </si>
  <si>
    <t>ГНАТЮК РОМАН ВИКТОРОВИЧ</t>
  </si>
  <si>
    <t>124460, Г.МОСКВА, ВН.ТЕР.Г. МУНИЦИПАЛЬНЫЙ ОКРУГ МАТУШКИНО, Г ЗЕЛЕНОГРАД, ПРОЕЗД 4801-Й, Д. 7, СТР. 1</t>
  </si>
  <si>
    <t>+74952297474,+74957810227,+74997359720,+74950038410,+74992297474,+79153208835,+74956297474,+74997352218</t>
  </si>
  <si>
    <t>70</t>
  </si>
  <si>
    <t>АО "ПК "ПУШКИНСКАЯ ПЛОЩАДЬ"</t>
  </si>
  <si>
    <t>АКЦИОНЕРНОЕ ОБЩЕСТВО "ПОЛИГРАФИЧЕСКИЙ КОМПЛЕКС "ПУШКИНСКАЯ ПЛОЩАДЬ"</t>
  </si>
  <si>
    <t>2001-11-22</t>
  </si>
  <si>
    <t>125284, Г.МОСКВА, ВН.ТЕР.Г. МУНИЦИПАЛЬНЫЙ ОКРУГ БЕГОВОЙ, ПР-КТ ЛЕНИНГРАДСКИЙ, Д. 35, СТР. 1, ПОМЕЩ. 151/5</t>
  </si>
  <si>
    <t>+74957811010,+74957811012,+74952761606,+74956761606,+70957811010,+70957811012</t>
  </si>
  <si>
    <t>www.pkpp.ru</t>
  </si>
  <si>
    <t>semenenko@pkpp.ru,recept@pkpp.ru,info@pkpp.ru,,kompani@pkpp.ru</t>
  </si>
  <si>
    <t>ООО "ЗЕМЕЛЬНАЯ КОМПАНИЯ ЧЕРКИЗОВО"</t>
  </si>
  <si>
    <t>ОБЩЕСТВО С ОГРАНИЧЕННОЙ ОТВЕТСТВЕННОСТЬЮ "ЗЕМЕЛЬНАЯ КОМПАНИЯ ЧЕРКИЗОВО"</t>
  </si>
  <si>
    <t>2014-03-17</t>
  </si>
  <si>
    <t>68.10.23,01.11.1,01.11.2,01.11.3,01.19.1,01.61,01.61,46.21,68.10.12,68.10.23,68.20.2,68.32</t>
  </si>
  <si>
    <t>ГАПОНЕНКО МАКСИМ НИКОЛАЕВИЧ</t>
  </si>
  <si>
    <t>107143,  Г.МОСКВА, УЛ. ПЕРМСКАЯ, Д. 5, СТР. 1, АДМ. КОРПУС, КАБИНЕТ 212</t>
  </si>
  <si>
    <t>+74957883232</t>
  </si>
  <si>
    <t>ООО "СЗ "ГАЛС-НОВОПЕТРОВСКИЙ"</t>
  </si>
  <si>
    <t>ОБЩЕСТВО С ОГРАНИЧЕННОЙ ОТВЕТСТВЕННОСТЬЮ "СПЕЦИАЛИЗИРОВАННЫЙ ЗАСТРОЙЩИК "ГАЛС-НОВОПЕТРОВСКИЙ"</t>
  </si>
  <si>
    <t>2021-08-24</t>
  </si>
  <si>
    <t>68.32</t>
  </si>
  <si>
    <t>Управление недвижимым имуществом за вознаграждение или на договорной основе</t>
  </si>
  <si>
    <t>41.20,43.21,43.29,43.31,43.32,43.33,43.34,43.39,64.92.3,64.99.11,68.31</t>
  </si>
  <si>
    <t>125130, Г.МОСКВА, ВН.ТЕР.Г. МУНИЦИПАЛЬНЫЙ ОКРУГ ВОЙКОВСКИЙ, ПРОЕЗД СТАРОПЕТРОВСКИЙ, Д. 7А, СТР. 5, ПОДЪЕЗД 1, ЭТАЖ 4 ОФИС 1</t>
  </si>
  <si>
    <t>+79269931555</t>
  </si>
  <si>
    <t>6528336@mail.ru</t>
  </si>
  <si>
    <t>ООО "ПРЕЧИСТЕНСКАЯ РЕЗИДЕНЦИЯ"</t>
  </si>
  <si>
    <t>ОБЩЕСТВО С ОГРАНИЧЕННОЙ ОТВЕТСТВЕННОСТЬЮ "ПРЕЧИСТЕНСКАЯ РЕЗИДЕНЦИЯ"</t>
  </si>
  <si>
    <t>2016-07-19</t>
  </si>
  <si>
    <t>66.19,68.10,68.32,81.10,81.21,81.22</t>
  </si>
  <si>
    <t>КОСТИКОВ ВАЛЕРИЙ ЮРЬЕВИЧ</t>
  </si>
  <si>
    <t>119019,  Г.МОСКВА, НАБ. ПРЕЧИСТЕНСКАЯ, Д. 45/1, СТР. 1</t>
  </si>
  <si>
    <t>+74956440200</t>
  </si>
  <si>
    <t>АО "ПСР"</t>
  </si>
  <si>
    <t>АКЦИОНЕРНОЕ ОБЩЕСТВО "ПРОИЗВОДСТВЕННАЯ СИСТЕМА "ПСР"</t>
  </si>
  <si>
    <t>2010-07-29</t>
  </si>
  <si>
    <t>70.22,73.20.1</t>
  </si>
  <si>
    <t>ЛЕЩЕВ АЛЬБЕРТ АЛЕКСАНДРОВИЧ</t>
  </si>
  <si>
    <t>+74995500255,+74955500255,+74956407364,+74959673661,+74956609087,+79852501202,+79104057551</t>
  </si>
  <si>
    <t>aleschev@bk.ru,info@ps-rosatom.ru,avsolovyev@rosatom.ru,kondrashenkova-sv@rambler.ru,superieur@mail.ru</t>
  </si>
  <si>
    <t>100</t>
  </si>
  <si>
    <t>АО "ЭНЕРГОЦЕНТР"</t>
  </si>
  <si>
    <t>АКЦИОНЕРНОЕ ОБЩЕСТВО "ЭНЕРГОЦЕНТР"</t>
  </si>
  <si>
    <t>2006-05-02</t>
  </si>
  <si>
    <t>33.14,33.20,35.11,35.12,35.12.2,35.13,35.14,41.20,42.22,42.22.3,42.99,43.21,45.20.5,46.51,52.10,52.24,62.02,62.09,64.19,68.10,68.2,69.20,71.12.12,74.90.9,82.20</t>
  </si>
  <si>
    <t>ГУРКИНА АНАСТАСИЯ ВАЛЕРЬЕВНА</t>
  </si>
  <si>
    <t>ИСПОЛНЯЮЩИЙ ОБЯЗАННОСТИ ГЕНЕРАЛЬНОГО ДИРЕКТОРА</t>
  </si>
  <si>
    <t>142407,  МОСКОВСКАЯ ОБЛАСТЬ, Г НОГИНСК, УЛ РАДЧЕНКО, Д. 13, ПОМЕЩ. 50</t>
  </si>
  <si>
    <t>+74951980905,+74957109904,+74956637751,+74956637752,+74956797120,+79265690560,+74956797190,+74956797090,+79652049145,+74959801250,+74959818969</t>
  </si>
  <si>
    <t>oaoenergocentr@mail.ru,,www.e-disclosure.ru/portal/company.aspx?id=9828,,www.energo-centr.ru</t>
  </si>
  <si>
    <t>pradun@energo-centr.ru,it@energo-centr.ru,pishchalchenkoam@energo-centr.ru,kaminskayaae@energo-centr.ru,info@energo-centr.ru,chernyshevdv@energo-centr.ru,yakuninda@energo-centr.ru,shapkinyt@energo-centr.ru,oaoenergocentr@mail.ru,pradun@tut.by,shkutkoob@energo-centr.ru,pradun@energ0-centr.ru,agalarov@energo-centr.ru,urist@energo-centr.ru,selivanova@energo-centr.ru,oaoenergocentr@mail.ru,,zelykinsp@energo-centr.ru,melnikovoa@energo-centr.ru,teterich@energo-centr.ru,teterichei@mail.ru</t>
  </si>
  <si>
    <t>271</t>
  </si>
  <si>
    <t>АО "ЗАГОРСКАЯ ГАЭС-2"</t>
  </si>
  <si>
    <t>АКЦИОНЕРНОЕ ОБЩЕСТВО "ЗАГОРСКАЯ ГАЭС-2"</t>
  </si>
  <si>
    <t>2006-04-26</t>
  </si>
  <si>
    <t>35.11.2,35.11.2,35.11.4,35.12,41.2,41.20,42.22.3,42.22.3,42.91.2,42.99,71.12</t>
  </si>
  <si>
    <t>АКЦИОНЕРНОЕ ОБЩЕСТВО "УПРАВЛЯЮЩАЯ КОМПАНИЯ ГИДРООГК"</t>
  </si>
  <si>
    <t>141342,  МОСКОВСКАЯ ОБЛАСТЬ, Г СЕРГИЕВ ПОСАД, ПГТ. БОГОРОДСКОЕ, Д. 101</t>
  </si>
  <si>
    <t>+74965454500,+74965453206,+74965453549,+74955454500,+74955453206,+74965453203,+74965545320,+74965453506,+78003338000,+74965453505,+74955453205,+74965453205,+74965454506,+74964544500,+78496543206,+74695453206,+74955403012</t>
  </si>
  <si>
    <t>www.e-disclosure.ru/portal/company.aspx?id=22300</t>
  </si>
  <si>
    <t>krimovasv@rushydro.ru,krimovasv@zagaes2.rushydro.ru,sokolovaia@rushydro.ru,zagaes2@rushydro.ru,zagaes2@zagaes2.rushydro.ru,bakumenkopa@rushydro.ru,bogradaa@rushydro.ru,krimovasv@zagaes2.rushydro.ru,,magrukvi@zagaes.rushydro.ru,krimovasv@zagaes2.rushydro.ru.,rimovasv@zagaes2.rushydro.ru</t>
  </si>
  <si>
    <t>АО "ИНВЕСТ ПРОЕКТ"</t>
  </si>
  <si>
    <t>АКЦИОНЕРНОЕ ОБЩЕСТВО "ИНВЕСТ ПРОЕКТ"</t>
  </si>
  <si>
    <t>13</t>
  </si>
  <si>
    <t>2009-04-24</t>
  </si>
  <si>
    <t>68.10,68.20,68.31</t>
  </si>
  <si>
    <t>БИЛАШЕНКО НАДЕЖДА АЛЕКСЕЕВНА</t>
  </si>
  <si>
    <t>109052, Г.МОСКВА, ВН.ТЕР.Г. МУНИЦИПАЛЬНЫЙ ОКРУГ НИЖЕГОРОДСКИЙ, ПР-КТ РЯЗАНСКИЙ, Д. 2, СТР. 4</t>
  </si>
  <si>
    <t>+74993228255,+74996480000,+74959871513,+74956505365,+74992006690,+74992095365,+74992003095</t>
  </si>
  <si>
    <t>ipro-investproject@investpro.mos.ru,invest_project@kmzlift.ru,info@raktiv.ru,sg.tender@raktiv.ru,secretary@raktiv.ru,i.popova@raktiv.ru,a.kovashova@raktiv.ru,v.kasyanova@raktiv.ru,null@null.ru</t>
  </si>
  <si>
    <t>ООО "ЦЕНТРГЕОТРЕСТ"</t>
  </si>
  <si>
    <t>ОБЩЕСТВО С ОГРАНИЧЕННОЙ ОТВЕТСТВЕННОСТЬЮ "ЦЕНТРГЕОТРЕСТ"</t>
  </si>
  <si>
    <t>2022-12-09</t>
  </si>
  <si>
    <t>02.10,02.40,62.01,62.02,63.99.1,68.10,68.10.1,68.10.11,68.10.12,68.20,68.20.1,68.20.2,68.20.21,68.20.29,68.31,68.31.1,68.31.2,68.31.3,68.31.4,68.31.5,68.32,68.32.3,69.10,71.11,71.12.45,71.12.7,71.20,74.90</t>
  </si>
  <si>
    <t>МАТИСОН ТИМОФЕЙ ОЛЕГОВИЧ</t>
  </si>
  <si>
    <t>125375, Г.МОСКВА, ВН.ТЕР.Г. МУНИЦИПАЛЬНЫЙ ОКРУГ ТВЕРСКОЙ, ПЕР ГЛИНИЩЕВСКИЙ, Д. 3</t>
  </si>
  <si>
    <t>+74956652441,+79653297141</t>
  </si>
  <si>
    <t>info@centrgeotrest.ru</t>
  </si>
  <si>
    <t>ООО "ТЕРМАФЛЕКС ИЗОЛЯЦИЯ +"</t>
  </si>
  <si>
    <t>ОБЩЕСТВО С ОГРАНИЧЕННОЙ ОТВЕТСТВЕННОСТЬЮ "ТЕРМАФЛЕКС ИЗОЛЯЦИЯ +"</t>
  </si>
  <si>
    <t>2004-01-19</t>
  </si>
  <si>
    <t>20.60.1</t>
  </si>
  <si>
    <t>Производство синтетических волокон</t>
  </si>
  <si>
    <t>46.90,20.60,22.21,22.23,22.29,23.99,46.13,46.73,46.74,46.75,46.90,47.78.9</t>
  </si>
  <si>
    <t>ШЕКЕНЕВА ЮЛИЯ ВАЛЕНТИНОВНА</t>
  </si>
  <si>
    <t>141100, МОСКОВСКАЯ ОБЛАСТЬ, Г.О. ЩЁЛКОВО, Г ЩЁЛКОВО, Ш ФРЯНОВСКОЕ, Д. 78</t>
  </si>
  <si>
    <t>+74959811150,+78435541200,+79034545670,+79119261296,+79231900004,+79833101900,+74952326759,+74965671751,+70952326758,+70952326759,+74952326758,+79162014446</t>
  </si>
  <si>
    <t>thermaflex.ru</t>
  </si>
  <si>
    <t>info@termaflex.ru</t>
  </si>
  <si>
    <t>55</t>
  </si>
  <si>
    <t>АО "ИНВЕСТ-ХОЛДИНГ "ЭНЕРГОСОЮЗ"</t>
  </si>
  <si>
    <t>АКЦИОНЕРНОЕ ОБЩЕСТВО "ИНВЕСТИЦИОННЫЙ ХОЛДИНГ "ЭНЕРГЕТИЧЕСКИЙ СОЮЗ"</t>
  </si>
  <si>
    <t>2006-02-27</t>
  </si>
  <si>
    <t>64.91,66.1,66.11,66.12,66.19,68.1,68.2,68.3,69.10,69.20,70.10.1,70.10.2,70.22,73.20</t>
  </si>
  <si>
    <t>ЕВСТАФЬЕВ АРКАДИЙ ВЯЧЕСЛАВОВИЧ</t>
  </si>
  <si>
    <t>121500,  Г.МОСКВА, УЛ ВАСИЛИЯ БОТЫЛЁВА, Д. 12</t>
  </si>
  <si>
    <t>+74959846309</t>
  </si>
  <si>
    <t>lunev@e-union.ru</t>
  </si>
  <si>
    <t>АО "КЗТС"</t>
  </si>
  <si>
    <t>АКЦИОНЕРНОЕ ОБЩЕСТВО "КОЛОМЕНСКИЙ ЗАВОД ТЯЖЕЛЫХ СТАНКОВ"</t>
  </si>
  <si>
    <t>2001-12-25</t>
  </si>
  <si>
    <t>25.11,28.41.1,28.41.2,33.12,41.20,43.99.7,47.9,71.12.1,77.39.2</t>
  </si>
  <si>
    <t>ОБЩЕСТВО С ОГРАНИЧЕННОЙ ОТВЕТСТВЕННОСТЬЮ "СТАН"</t>
  </si>
  <si>
    <t>140402,  МОСКОВСКАЯ ОБЛАСТЬ, Г КОЛОМНА, ПР-КТ ОКСКИЙ, Д. 48</t>
  </si>
  <si>
    <t>+74966122472,+79168056409,+74966164429,+74966155763,+72610036101,+74966195684</t>
  </si>
  <si>
    <t>stanok@kolomna.ru</t>
  </si>
  <si>
    <t>ООО "СОПРОВОЖДЕНИЕ"</t>
  </si>
  <si>
    <t>ОБЩЕСТВО С ОГРАНИЧЕННОЙ ОТВЕТСТВЕННОСТЬЮ "СОПРОВОЖДЕНИЕ"</t>
  </si>
  <si>
    <t>1992-12-02</t>
  </si>
  <si>
    <t>41.10</t>
  </si>
  <si>
    <t>Разработка строительных проектов</t>
  </si>
  <si>
    <t>38.11,38.12,38.21,38.22,41.20,43.11,43.12,43.29,46.51,46.73,46.74,49.42,52.10,71.12,81.30</t>
  </si>
  <si>
    <t>ГУКЛОВ СЕРГЕЙ ВЛАДИМИРОВИЧ</t>
  </si>
  <si>
    <t>Директор</t>
  </si>
  <si>
    <t>141009, МОСКОВСКАЯ ОБЛАСТЬ, Г.О. МЫТИЩИ, Г МЫТИЩИ, УЛ КОЛОНЦОВА, Д. 15</t>
  </si>
  <si>
    <t>+74955869252,+79263255617,+79266188525,+79255858892,+74957265334,+79268738722,+79263837326,+70955869252</t>
  </si>
  <si>
    <t>mail@soprovo.ru,egizaryn@icloud.com</t>
  </si>
  <si>
    <t>ООО "СДС ПРОМ"</t>
  </si>
  <si>
    <t>ОБЩЕСТВО С ОГРАНИЧЕННОЙ ОТВЕТСТВЕННОСТЬЮ "СДС ПРОМ"</t>
  </si>
  <si>
    <t>2012-01-25</t>
  </si>
  <si>
    <t>52.10,52.24,68.20</t>
  </si>
  <si>
    <t>СОРОКИН АЛЕКСЕЙ АЛЕКСЕЕВИЧ</t>
  </si>
  <si>
    <t>МОСКОВСКАЯ ОБЛАСТЬ, Г.О. МЫТИЩИ, П ПТИЦЕФАБРИКИ, УЛ ФАБРИЧНАЯ, ВЛД. 6, СТР. 8, ОФИС 204-2</t>
  </si>
  <si>
    <t>+74992346991,+74959818931,+74952346991</t>
  </si>
  <si>
    <t>А2494645@yandex.ru</t>
  </si>
  <si>
    <t>ООО "ХУАМИН ИНТЕРНЭШНЛ"</t>
  </si>
  <si>
    <t>ОБЩЕСТВО С ОГРАНИЧЕННОЙ ОТВЕТСТВЕННОСТЬЮ "ХУАМИН ИНТЕРНЭШНЛ"</t>
  </si>
  <si>
    <t>2003-10-13</t>
  </si>
  <si>
    <t>43.99.9,45.11,45.19,45.20,45.31,45.32,46.12,46.21,46.31,46.32,46.33,46.34,46.36,46.38,46.71,46.72,46.73.2,46.74,46.77,52.10,56.10,56.10.1,56.10.3,64.92.2,64.99,68.10,68.10.1,68.20,68.31,69.10,70.22,73.11,78.10,78.20,79.11,81.22</t>
  </si>
  <si>
    <t>ЧЖАО ЦИНХУА</t>
  </si>
  <si>
    <t>129226, Г.МОСКВА, ВН.ТЕР.Г. МУНИЦИПАЛЬНЫЙ ОКРУГ ОСТАНКИНСКИЙ, УЛ ВИЛЬГЕЛЬМА ПИКА, Д. 16</t>
  </si>
  <si>
    <t>+74951070054,+74959670532,+70959670532</t>
  </si>
  <si>
    <t>ООО "ТОРГОВЫЙ ПРОМЫШЛЕННЫЙ ДОМ "СИСТЕМА""</t>
  </si>
  <si>
    <t>ОБЩЕСТВО С ОГРАНИЧЕННОЙ ОТВЕТСТВЕННОСТЬЮ "ТОРГОВЫЙ ПРОМЫШЛЕННЫЙ ДОМ "СИСТЕМА""</t>
  </si>
  <si>
    <t>2022-08-03</t>
  </si>
  <si>
    <t>45.31</t>
  </si>
  <si>
    <t>Торговля оптовая автомобильными деталями, узлами и принадлежностями</t>
  </si>
  <si>
    <t>19.20,19.20.1,19.20.9,20.59.4,45.32,46.11,46.13,46.71,47.30,47.30.2,47.91,47.91.2,47.99</t>
  </si>
  <si>
    <t>МАКЕРОВ ДМИТРИЙ ЭРНСТОВИЧ</t>
  </si>
  <si>
    <t>109341, Г.МОСКВА, ВН.ТЕР.Г. МУНИЦИПАЛЬНЫЙ ОКРУГ МАРЬИНО, УЛ ПЕРЕРВА, Д. 56/2, КВ. 71</t>
  </si>
  <si>
    <t>+79645925495</t>
  </si>
  <si>
    <t>ООО "БАШНЯ ХII"</t>
  </si>
  <si>
    <t>ОБЩЕСТВО С ОГРАНИЧЕННОЙ ОТВЕТСТВЕННОСТЬЮ "БАШНЯ ХII"</t>
  </si>
  <si>
    <t>2008-01-24</t>
  </si>
  <si>
    <t>46.66,46.9,68.10,68.10.1,68.20.2,68.32</t>
  </si>
  <si>
    <t>БЕЛИНА ЕЛИЗАВЕТА НИКОЛАЕВНА</t>
  </si>
  <si>
    <t>121151, Г.МОСКВА, ВН.ТЕР.Г. МУНИЦИПАЛЬНЫЙ ОКРУГ ДОРОГОМИЛОВО, НАБ ТАРАСА ШЕВЧЕНКО, Д. 23А, ПОМЕЩ. 1/1/18</t>
  </si>
  <si>
    <t>+74956457276</t>
  </si>
  <si>
    <t>ООО "МЕТРИКА"</t>
  </si>
  <si>
    <t>ОБЩЕСТВО С ОГРАНИЧЕННОЙ ОТВЕТСТВЕННОСТЬЮ "МЕТРИКА"</t>
  </si>
  <si>
    <t>2023-11-10</t>
  </si>
  <si>
    <t>БАБКОВ ПЕТР АЛЕКСАНДРОВИЧ</t>
  </si>
  <si>
    <t>142100, МОСКОВСКАЯ ОБЛАСТЬ, Г.О. ПОДОЛЬСК, Г ПОДОЛЬСК, УЛ КОМСОМОЛЬСКАЯ, Д. 1, СТР. 36Б, ПОМ / КОМНАТА 1 / 25</t>
  </si>
  <si>
    <t>+79639289999</t>
  </si>
  <si>
    <t>АО "ВО "МАШИНОИМПОРТ"</t>
  </si>
  <si>
    <t>АКЦИОНЕРНОЕ ОБЩЕСТВО "ВНЕШНЕЭКОНОМИЧЕСКОЕ ОБЪЕДИНЕНИЕ "МАШИНОИМПОРТ"</t>
  </si>
  <si>
    <t>2006-07-12</t>
  </si>
  <si>
    <t>68.20.1,41.20,43.12.3,43.13,43.99,45.11.1,45.11.4,45.19.1,45.19.4,45.31.1,46.61,46.63,46.69,46.71,46.71.1,46.71.2,46.71.3,46.71.4,46.71.5,46.71.51,46.71.52,46.71.9,46.72,46.73,46.74,46.75,46.90,49.50.1,49.50.11,49.50.12,49.50.2,49.50.21,49.50.22,49.50.3,52.10,52.24,52.24.1,52.24.2,52.29,68.32.2,71.1,71.12.5,71.12.6,73.11,73.20,82.99</t>
  </si>
  <si>
    <t>АТАЕВА ЭЛЬВИРА БАДРУТДИНОВНА</t>
  </si>
  <si>
    <t>109004,  Г.МОСКВА, УЛ. НИКОЛОЯМСКАЯ, Д. 48, СТР. 1</t>
  </si>
  <si>
    <t>+74952443309,+74952443807,+74992443309,+74992443807,+74999953309,+74959819971,+73532778971,+73532775790,+73532775755,+74959819960,+74959373073,+79032018280,+79857766009,+74952232616,+74993909583,+74959819970,+79060359440,+74959819936,+73432301320</t>
  </si>
  <si>
    <t>www.machim.ru</t>
  </si>
  <si>
    <t>info@machim.ru,nurtdinov@machim.ru,mashinoimport@yandex.ru,3198402@mail.ru,nfo@machim.ru,general@machim.ru</t>
  </si>
  <si>
    <t>ООО "ВСА РУС"</t>
  </si>
  <si>
    <t>ОБЩЕСТВО С ОГРАНИЧЕННОЙ ОТВЕТСТВЕННОСТЬЮ "ВСА РУС"</t>
  </si>
  <si>
    <t>2006-11-17</t>
  </si>
  <si>
    <t>33.13</t>
  </si>
  <si>
    <t>Ремонт электронного и оптического оборудования</t>
  </si>
  <si>
    <t>26.60.1,46.46,47.74,68.20.1,26.60.1,33.13,46.46.2,47.74,68.20.2,85.42.9</t>
  </si>
  <si>
    <t>МОРОЗОВ АНДРЕЙ АНДРЕЕВИЧ</t>
  </si>
  <si>
    <t>129075,  Г.МОСКВА, УЛ. АРГУНОВСКАЯ, Д. 3, К. 1, ЭТ/ПОМ/КОМ 4/I/2</t>
  </si>
  <si>
    <t>+74959566417</t>
  </si>
  <si>
    <t>ООО "ХОРОШЁВСКАЯ ШКОЛА"</t>
  </si>
  <si>
    <t>ОБЩЕСТВО С ОГРАНИЧЕННОЙ ОТВЕТСТВЕННОСТЬЮ "ХОРОШЁВСКАЯ ШКОЛА"</t>
  </si>
  <si>
    <t>2011-11-08</t>
  </si>
  <si>
    <t>14.12,14.13,14.14,14.19,33.12,33.14,33.20,35.30.4,35.30.5,41.20,46.42,47.19,47.41,47.71,47.91,47.99,62.02,62.03,62.09,63.11.1,64.99.11,64.99.3,66.19.4,68.1,68.2,68.3,68.31,68.32,69.10,70.22,73.1,77.11,81.10,81.22,81.29.2,82.11,88.10</t>
  </si>
  <si>
    <t>РЕПЕНКО ТАТЬЯНА ВЛАДИМИРОВНА</t>
  </si>
  <si>
    <t>123154,  Г.МОСКВА, УЛ. МАРШАЛА ТУХАЧЕВСКОГО, Д. 45, К. 2</t>
  </si>
  <si>
    <t>+74992418885</t>
  </si>
  <si>
    <t>ООО "ПЕЛКОМ ДУБНА МАШИНОСТРОИТЕЛЬНЫЙ ЗАВОД"</t>
  </si>
  <si>
    <t>ОБЩЕСТВО С ОГРАНИЧЕННОЙ ОТВЕТСТВЕННОСТЬЮ "ПЕЛКОМ ДУБНА МАШИНОСТРОИТЕЛЬНЫЙ ЗАВОД"</t>
  </si>
  <si>
    <t>2001-01-24</t>
  </si>
  <si>
    <t>28.49.11</t>
  </si>
  <si>
    <t>Производство станков для обработки камня, керамики, бетона или аналогичных минеральных материалов или для холодной обработки стекла</t>
  </si>
  <si>
    <t>33.12,46.62,52.29,28.24,28.49,28.49.4,33.12,41.10,41.20,43.11,43.12.3,43.99,46.62.3,46.69.2,46.73.6,46.90,49.41,49.42,62.01,62.02.3,62.03.12,62.09,63.99.1,71.11,71.11.1,71.12,71.12.45,71.12.6,71.12.61,71.20.9</t>
  </si>
  <si>
    <t>МАРКОВ АНДРЕЙ АЛЕКСАНДРОВИЧ</t>
  </si>
  <si>
    <t>ГЕНЕРАЛЬНЫЙ ДИРЕКТОР ПРЕДПРИЯТИЯ</t>
  </si>
  <si>
    <t>141980,  МОСКОВСКАЯ ОБЛАСТЬ, Г ДУБНА, УЛ ДРУЖБЫ, Д. 25</t>
  </si>
  <si>
    <t>+74962171177,+74993221069,+74957770741,+74967770742,+74962151428,+74957770742,+74962123553</t>
  </si>
  <si>
    <t>pelcom.ru</t>
  </si>
  <si>
    <t>ved@lisec.ru</t>
  </si>
  <si>
    <t>ООО "АВТОСТАР"</t>
  </si>
  <si>
    <t>ОБЩЕСТВО С ОГРАНИЧЕННОЙ ОТВЕТСТВЕННОСТЬЮ "АВТОСТАР"</t>
  </si>
  <si>
    <t>2000-04-10</t>
  </si>
  <si>
    <t>41.20,46.12.1,46.18.9,46.71,46.90,77.11,77.33</t>
  </si>
  <si>
    <t>СМИРНОВ ВАСИЛИЙ ИВАНОВИЧ</t>
  </si>
  <si>
    <t>119121,  Г.МОСКВА, УЛ. БУРДЕНКО, Д. 14, ЭТ 1 ПОМ IV КОМ 8Б</t>
  </si>
  <si>
    <t>+74953807181,+74953807178,+79857692120,+78124983678,+74951057823,+74992480782,+79857632574,+70951338070,+70951339230,+74951339230</t>
  </si>
  <si>
    <t>avtostar@avtostar.ru,notariys27@yandex.ru,pla24011954@mail.ru,x@x.ru</t>
  </si>
  <si>
    <t>15</t>
  </si>
  <si>
    <t>ООО "ЛИЗИНГ ПРОФИ"</t>
  </si>
  <si>
    <t>ОБЩЕСТВО С ОГРАНИЧЕННОЙ ОТВЕТСТВЕННОСТЬЮ "ЛИЗИНГ ПРОФИ"</t>
  </si>
  <si>
    <t>2005-01-25</t>
  </si>
  <si>
    <t>41.20,45.1,45.3,46.61,46.62,46.63,46.66,46.69,46.90,52.10,52.29,56.10,56.10.1,56.10.3,56.30,62.09,63.11.1,64.99.11,64.99.3,66.19,68.20,68.31.1,68.31.2,68.31.3,68.31.4,70.22,73.11,73.20.1,79.11</t>
  </si>
  <si>
    <t>АГИЕНКО ЭЛИНА ГЕОРГИЕВНА</t>
  </si>
  <si>
    <t>115093, Г.МОСКВА, ВН.ТЕР.Г. МУНИЦИПАЛЬНЫЙ ОКРУГ ДАНИЛОВСКИЙ, УЛ ДУБИНИНСКАЯ, Д. 90, ЭТАЖ 2, ОФИС 202</t>
  </si>
  <si>
    <t>+70959596010,+74959596010,+74959596014,+74952760022</t>
  </si>
  <si>
    <t>filatova_sv@list.ru</t>
  </si>
  <si>
    <t>АО "ССЭ"</t>
  </si>
  <si>
    <t>АКЦИОНЕРНОЕ ОБЩЕСТВО "СПЕЦСТРОЙЭКСПЛУАТАЦИЯ"</t>
  </si>
  <si>
    <t>2003-12-03</t>
  </si>
  <si>
    <t>41.10,42.11,42.12,42.13,42.21,42.22,42.22.1,42.22.2,42.91,42.99,43.11,43.12,43.12.3,43.21,43.22,43.29,43.31,43.91,43.99,43.99.1,43.99.2,43.99.4,43.99.5,43.99.7,43.99.9,66.12.2,71.11,71.12,71.20,81.30</t>
  </si>
  <si>
    <t>ТАТОЯН НАРЕК АШОТОВИЧ</t>
  </si>
  <si>
    <t>101000,  Г.МОСКВА, УЛ. МЯСНИЦКАЯ, Д. 41, СТР 5</t>
  </si>
  <si>
    <t>+74956281136,+79104350719,+78124496936,+74956214887,+78129932324</t>
  </si>
  <si>
    <t>e-disclosure.azipi.ru/organization/1847620/,sse97.ru</t>
  </si>
  <si>
    <t>sse@sse97.ru,sse@sse97.ru,,sserosim@gmail.ru,specstroiex@mail.ru</t>
  </si>
  <si>
    <t>ООО "ТЕХМОНТАЖСТРОЙ"</t>
  </si>
  <si>
    <t>ОБЩЕСТВО С ОГРАНИЧЕННОЙ ОТВЕТСТВЕННОСТЬЮ "ТЕХМОНТАЖСТРОЙ"</t>
  </si>
  <si>
    <t>2003-08-26</t>
  </si>
  <si>
    <t>41.20,45.20,45.20.2,45.40,47.22,47.24,47.25,47.26,47.29,52.21.24,52.29,56.10,56.10.1,56.10.3,68.31,68.31.2,68.31.3,68.31.4,71.20.5,73.11,73.20,82.99</t>
  </si>
  <si>
    <t>ПИСКУНОВ ВИТАЛИЙ АНАТОЛЬЕВИЧ</t>
  </si>
  <si>
    <t>129164,  Г.МОСКВА, УЛ. КОНСТАНТИНОВА, Д. 11А</t>
  </si>
  <si>
    <t>+79119420704,+74952176074,+74957683105</t>
  </si>
  <si>
    <t>tehmontazh2003@gmail.com</t>
  </si>
  <si>
    <t>ООО "СМБ"</t>
  </si>
  <si>
    <t>ОБЩЕСТВО С ОГРАНИЧЕННОЙ ОТВЕТСТВЕННОСТЬЮ "СИСТЕМЫ МОНИТОРИНГА "БЕРКУТ"</t>
  </si>
  <si>
    <t>2016-02-16</t>
  </si>
  <si>
    <t>80.20</t>
  </si>
  <si>
    <t>Деятельность систем обеспечения безопасности</t>
  </si>
  <si>
    <t>46.90,28.99,33.12,46.51.2,46.69.9,52.21.22,58.21,58.29,62.01,62.02,62.02.1,62.02.4,62.02.9,62.03,62.03.1,62.03.11,62.03.13,62.09,63.11,63.11.1,63.11.9,63.12,71.11,71.12,71.12.5,71.12.6,72.19,74.90,80.20,84.25.3</t>
  </si>
  <si>
    <t>МАХОРТОВ ЕВГЕНИЙ ГЛЕБОВИЧ</t>
  </si>
  <si>
    <t>119017,  Г.МОСКВА, УЛ. БОЛЬШАЯ ОРДЫНКА, Д. 24</t>
  </si>
  <si>
    <t>+79627470067,+74991120001,+79999999999,+79267694406,+79164093763,+79853501175,+74991121101,+79175937925,+74952316797,+79459957855,+74959957855</t>
  </si>
  <si>
    <t>sedovsi@atomsbt.ru,serigsedov@rosatom.ru,mskaimashnikova@smberkut.ru,seigsedov@rosatom.ru,tvkonnikova@rosatom.ru,tvkonnikova@smberkut.ru,info@smberkut.ru,egmakhortov@smberkut.ru,evgmakhortov@rosatom.ru,gakarimova@smberkut.ru,snbezborodov@smberkut.ru,agbanis@smberkut.ru,aedolgov@smberkut.ru,rvtorokhov@smberkut.ru,lansokolova@rosatom.ru,eapozdnyakova@smberkut.ru,laseboyarova@rosatom.ru,maskaymashnikova@rosatom.ru,aevdolgov@rosatom.ru,aazinchenko@smberkut.ru,rgushakov@smberkut.ru,kvzagorskiy@smberkut.ru,aggabarashvili@rosatom.ru,oeburynin@smberkut.ru,yarbolotaev@smberkut.ru,dlborsheva@rusatomch.ru,mskosolobov@uicorp.ru,maskosolobov@rosatom.ru,krasnov.info@gmail.com,aagabarashvili@rosatom.ru,amshivalov@rosatom.ru,lsboyarova@uicorp.ru</t>
  </si>
  <si>
    <t>ООО "ПРАВОЕ КРЫЛО"</t>
  </si>
  <si>
    <t>ОБЩЕСТВО С ОГРАНИЧЕННОЙ ОТВЕТСТВЕННОСТЬЮ "ПРАВОЕ КРЫЛО"</t>
  </si>
  <si>
    <t>2017-10-24</t>
  </si>
  <si>
    <t>68.10.2,68.10.22,68.10.23,68.20.1,68.20.2</t>
  </si>
  <si>
    <t>ЕМЕЛЬЯНОВА ЮЛИЯ ДМИТРИЕВНА</t>
  </si>
  <si>
    <t>143581, МОСКОВСКАЯ ОБЛАСТЬ, М.О. ИСТРА, Д БОРЗЫЕ, УЛ НЕВСКАЯ, СТР. 703, ПОМЕЩ. 17</t>
  </si>
  <si>
    <t>+74983197910</t>
  </si>
  <si>
    <t>ООО "КРАСНАЯ ГОРКА"</t>
  </si>
  <si>
    <t>ОБЩЕСТВО С ОГРАНИЧЕННОЙ ОТВЕТСТВЕННОСТЬЮ "КРАСНАЯ ГОРКА"</t>
  </si>
  <si>
    <t>47.78,10.81,46.34,46.36,46.38,47.1,47.11,47.19.1,47.2,47.25,47.25.1,47.25.11,47.25.12,47.25.2,47.5,47.78.9,47.8,47.9,47.99,52.10,52.10.9,52.2,52.21,52.24,56.10,68.20,68.20.2,82.92,82.99,85.41.1,93.12,93.13,93.29</t>
  </si>
  <si>
    <t>БУТОРОВ ВИКТОР ВАСИЛЬЕВИЧ</t>
  </si>
  <si>
    <t>МОСКОВСКАЯ ОБЛАСТЬ, Г.О. МЫТИЩИ, П ПТИЦЕФАБРИКИ, УЛ ФАБРИЧНАЯ, ВЛД. 6, СТР. 8, ОФИС 201</t>
  </si>
  <si>
    <t>+74959223207</t>
  </si>
  <si>
    <t>hodakovskaya08@rambler.ru</t>
  </si>
  <si>
    <t>ООО "СЕВЕРНЫЙ ЛЁН-СТАРИЦА"</t>
  </si>
  <si>
    <t>ОБЩЕСТВО С ОГРАНИЧЕННОЙ ОТВЕТСТВЕННОСТЬЮ "СЕВЕРНЫЙ ЛЁН-СТАРИЦА"</t>
  </si>
  <si>
    <t>2003-05-07</t>
  </si>
  <si>
    <t>01.11</t>
  </si>
  <si>
    <t>Выращивание зерновых (кроме риса), зернобобовых культур и семян масличных культур</t>
  </si>
  <si>
    <t>01.11.1,01.11.2,01.11.3,01.13.12,01.16,01.19,01.19.1,01.19.21,01.29,01.61,10.91,13.10.4,13.10.9,46.21,46.21.14,49.41.1,49.41.2,68.10.23,77.31,93.21</t>
  </si>
  <si>
    <t>ОСИПОВ КОНСТАНТИН ОЛЕГОВИЧ</t>
  </si>
  <si>
    <t>141986,  МОСКОВСКАЯ ОБЛАСТЬ, Г. ДУБНА, УЛ. АКАДЕМИКА Б.М.ПОНТЕКОРВО, Д. 2, КВ. 222</t>
  </si>
  <si>
    <t>+74826324155,+74826332146,+74826324154,+72415524154,+73214624155,+74826332115</t>
  </si>
  <si>
    <t>agromarket1@yandex.ru</t>
  </si>
  <si>
    <t>ЕСХН</t>
  </si>
  <si>
    <t>ООО "БАЗА ШАХОВСКАЯ"</t>
  </si>
  <si>
    <t>ОБЩЕСТВО С ОГРАНИЧЕННОЙ ОТВЕТСТВЕННОСТЬЮ "БАЗА ШАХОВСКАЯ"</t>
  </si>
  <si>
    <t>2015-05-06</t>
  </si>
  <si>
    <t>41.20,42.11,42.91,42.99,43.11,43.12.3,43.21,43.22,43.29,43.31,43.32,43.33,43.39,43.91,43.99,43.99.1</t>
  </si>
  <si>
    <t>ТИЩЕНКО МАКСИМ ЮРЬЕВИЧ</t>
  </si>
  <si>
    <t>143700,  МОСКОВСКАЯ ОБЛАСТЬ, РП. ШАХОВСКАЯ, Ш. ВОЛОЧАНОВСКОЕ, Д. 16, ЭТ/ПОМ/КОМ 3/86/1</t>
  </si>
  <si>
    <t>+79165574233,+79199628800</t>
  </si>
  <si>
    <t>evklochkova@mail.ru</t>
  </si>
  <si>
    <t>8</t>
  </si>
  <si>
    <t>ООО "ЧАЙКА"</t>
  </si>
  <si>
    <t>ОБЩЕСТВО С ОГРАНИЧЕННОЙ ОТВЕТСТВЕННОСТЬЮ "ЧАЙКА"</t>
  </si>
  <si>
    <t>2013-02-26</t>
  </si>
  <si>
    <t>50.30.2</t>
  </si>
  <si>
    <t>Аренда судов внутреннего водного транспорта для перевозки пассажиров с экипажем</t>
  </si>
  <si>
    <t>46.17,47.11,47.19,47.21,47.22,47.23,47.24,47.25,47.26,47.29,47.73,47.75,50.30,50.40,50.40.2,52.10,52.24,55.10,55.90,56.10,56.10.1,56.10.3,56.30,68.10,68.10.1,68.20,68.31,68.32,69.10,69.20,70.10.1,70.10.2,70.22,73.11,82.99</t>
  </si>
  <si>
    <t>МАШНИНА СВЕТЛАНА СЕРГЕЕВНА</t>
  </si>
  <si>
    <t>101000,  Г.МОСКВА, ПЕР. АРМЯНСКИЙ, Д. 9, СТР. 1, ЭТАЖ/ОФИС 2/223/53</t>
  </si>
  <si>
    <t>+74956399423</t>
  </si>
  <si>
    <t>ООО "РЕМЕЗ"</t>
  </si>
  <si>
    <t>ОБЩЕСТВО С ОГРАНИЧЕННОЙ ОТВЕТСТВЕННОСТЬЮ "РЕМЕЗ"</t>
  </si>
  <si>
    <t>2014-12-09</t>
  </si>
  <si>
    <t>123317,  Г.МОСКВА, ПЕР. СТРЕЛЬБИЩЕНСКИЙ, Д. 30, СТР. 1А, ЭТ 2 ПОМ 222 КАБ 5</t>
  </si>
  <si>
    <t>+74956440077</t>
  </si>
  <si>
    <t>ООО "ФЛИТ"</t>
  </si>
  <si>
    <t>ОБЩЕСТВО С ОГРАНИЧЕННОЙ ОТВЕТСТВЕННОСТЬЮ "ФЛИТ"</t>
  </si>
  <si>
    <t>2020-09-01</t>
  </si>
  <si>
    <t>64.91,64.99,64.99.2,64.99.3,66.22,69.10,69.20.2,69.20.3,70.22</t>
  </si>
  <si>
    <t>САВИНОВ СЕРГЕЙ АНАТОЛЬЕВИЧ</t>
  </si>
  <si>
    <t>115184, Г.МОСКВА, ВН.ТЕР.Г. МУНИЦИПАЛЬНЫЙ ОКРУГ ЗАМОСКВОРЕЧЬЕ, УЛ БОЛЬШАЯ ТАТАРСКАЯ, Д. 9, ПОМЕЩ. 1/1</t>
  </si>
  <si>
    <t>+79261019861</t>
  </si>
  <si>
    <t>domservicegroup@yandex.ru</t>
  </si>
  <si>
    <t>АО "КОРПОРАЦИЯ ТУРИЗМ.РФ"</t>
  </si>
  <si>
    <t>АКЦИОНЕРНОЕ ОБЩЕСТВО "КОРПОРАЦИЯ ТУРИЗМ.РФ"</t>
  </si>
  <si>
    <t>2020-12-18</t>
  </si>
  <si>
    <t>02.10,02.20,16.10,19.20,35.13,35.30,35.30.3,36.00,41.10,42.11,43.11,43.21,43.22,43.29,43.91,49.10,49.20,49.41,49.50,51.10,51.21,55.10,61.20,64.92,64.99.3,68.10,68.10.23,68.20,68.20.1,68.20.2,70.22,71.11,71.12,71.12.2,71.20,77.21,79.11,79.12,79.90.1,79.90.2,79.90.21,79.90.22,79.90.3,79.90.31,79.90.32,84.13,91.04.3</t>
  </si>
  <si>
    <t>КРАСНОПЕРОВ СЕРГЕЙ АНАТОЛЬЕВИЧ</t>
  </si>
  <si>
    <t>123376, Г.МОСКВА, ВН.ТЕР.Г. МУНИЦИПАЛЬНЫЙ ОКРУГ ПРЕСНЕНСКИЙ, УЛ КРАСНАЯ ПРЕСНЯ, Д. 22, ЭТАЖ 3, ПОМЕЩ. 24</t>
  </si>
  <si>
    <t>+74959667070,+79052746993,+74956997070,+79456997070,+74999667070,+74992524444,+79185000016,+79442524444,+79260360306</t>
  </si>
  <si>
    <t>info@tourrf.ru,k.shmeleva@tourrf.ru,r.medvedev@tourrf.ru,a.golyshkova@tourrf.ru,i.voytkevich@tourrf.ru,v.parshin@tourrf.ru,b.sarsimbekov@ncrc.ru</t>
  </si>
  <si>
    <t>242</t>
  </si>
  <si>
    <t>ООО "КОМПЛЕКС К"</t>
  </si>
  <si>
    <t>ОБЩЕСТВО С ОГРАНИЧЕННОЙ ОТВЕТСТВЕННОСТЬЮ "КОМПЛЕКС К"</t>
  </si>
  <si>
    <t>2016-10-25</t>
  </si>
  <si>
    <t>68.10.2,68.10.23,68.31,68.31.1,68.31.2,68.31.3,68.31.4,68.31.5</t>
  </si>
  <si>
    <t>БАСКАКОВ АЛЕКСАНДР АНАТОЛЬЕВИЧ</t>
  </si>
  <si>
    <t>121357,  Г.МОСКВА, УЛ. ВЕРЕЙСКАЯ, Д. 29А, СТР. 4</t>
  </si>
  <si>
    <t>+74956096116</t>
  </si>
  <si>
    <t>ООО "ГРУППА АСТОН"</t>
  </si>
  <si>
    <t>ОБЩЕСТВО С ОГРАНИЧЕННОЙ ОТВЕТСТВЕННОСТЬЮ "ГРУППА АСТОН"</t>
  </si>
  <si>
    <t>2017-04-26</t>
  </si>
  <si>
    <t>64.99.3</t>
  </si>
  <si>
    <t>Капиталовложения в уставные капиталы, венчурное инвестирование, в том числе посредством инвестиционных компаний</t>
  </si>
  <si>
    <t>63.11.9,64.92.2,68.10,68.20,70.22,82.11</t>
  </si>
  <si>
    <t>ПУХОВ ВЛАДИМИР ИГНАТЬЕВИЧ</t>
  </si>
  <si>
    <t>127030, Г.МОСКВА, ВН.ТЕР.Г. МУНИЦИПАЛЬНЫЙ ОКРУГ ТВЕРСКОЙ, УЛ СУЩЁВСКАЯ, Д. 20, ПОМЕЩ. 1/1</t>
  </si>
  <si>
    <t>+79655448888</t>
  </si>
  <si>
    <t>47</t>
  </si>
  <si>
    <t>ООО "ТЕРЕНСИС"</t>
  </si>
  <si>
    <t>ОБЩЕСТВО С ОГРАНИЧЕННОЙ ОТВЕТСТВЕННОСТЬЮ "ТЕРЕНСИС"</t>
  </si>
  <si>
    <t>2021-05-06</t>
  </si>
  <si>
    <t>64.20,68.20,70.10</t>
  </si>
  <si>
    <t>КОШКИН АЛЕКСАНДР АЛЕКСАНДРОВИЧ</t>
  </si>
  <si>
    <t>121151, Г.МОСКВА, ВН.ТЕР.Г. МУНИЦИПАЛЬНЫЙ ОКРУГ ДОРОГОМИЛОВО, НАБ ТАРАСА ШЕВЧЕНКО, Д. 23А, ЭТАЖ 19, ПОМ./КОМ. I/14</t>
  </si>
  <si>
    <t>+79037968034</t>
  </si>
  <si>
    <t>akoshkin@rusfund.ru</t>
  </si>
  <si>
    <t>ООО "СПЕЦИАЛИЗИРОВАННЫЙ ЗАСТРОЙЩИК НАГАТИНО-2"</t>
  </si>
  <si>
    <t>ОБЩЕСТВО С ОГРАНИЧЕННОЙ ОТВЕТСТВЕННОСТЬЮ "СПЕЦИАЛИЗИРОВАННЫЙ ЗАСТРОЙЩИК НАГАТИНО-2"</t>
  </si>
  <si>
    <t>2013-12-17</t>
  </si>
  <si>
    <t>43.11,43.12.3,43.29,43.99,61.10,68.10.1,68.20,68.31,68.32,70.22,82.99</t>
  </si>
  <si>
    <t>129626, Г.МОСКВА, ВН.ТЕР.Г. МУНИЦИПАЛЬНЫЙ ОКРУГ АЛЕКСЕЕВСКИЙ, УЛ НОВОАЛЕКСЕЕВСКАЯ, Д. 16, СТР. 5, ОФИС К-1</t>
  </si>
  <si>
    <t>+74996830303</t>
  </si>
  <si>
    <t>ООО "ТАГАНСКОЕ ПЛЮС"</t>
  </si>
  <si>
    <t>ОБЩЕСТВО С ОГРАНИЧЕННОЙ ОТВЕТСТВЕННОСТЬЮ "ТАГАНСКОЕ ПЛЮС"</t>
  </si>
  <si>
    <t>2017-11-13</t>
  </si>
  <si>
    <t>52.10,52.10.9,68.10,68.20,68.31,68.32,70.10,70.22</t>
  </si>
  <si>
    <t>КРАСЮКОВ СЕМЕН ВЛАДИМИРОВИЧ</t>
  </si>
  <si>
    <t>115054, Г.МОСКВА, ВН.ТЕР.Г. МУНИЦИПАЛЬНЫЙ ОКРУГ ЗАМОСКВОРЕЧЬЕ, ПЕР СТРЕМЯННЫЙ, Д. 38, ПОМЕЩ. 1/7</t>
  </si>
  <si>
    <t>+74959871513,+74956716027,+74956783295,+79032981501</t>
  </si>
  <si>
    <t>baza-taganskoe@bk.ru,tgp-info@taganskoe-plus.ru,sg.tender@raktiv.ru,sergeevna45@yandex.ru,baza-tagankoe@bk.ru</t>
  </si>
  <si>
    <t>ООО "ТКЕ ТРАНС"</t>
  </si>
  <si>
    <t>ОБЩЕСТВО С ОГРАНИЧЕННОЙ ОТВЕТСТВЕННОСТЬЮ "ТКЕ ТРАНС"</t>
  </si>
  <si>
    <t>2005-07-28</t>
  </si>
  <si>
    <t>77.39</t>
  </si>
  <si>
    <t>Аренда и лизинг прочих видов транспорта, оборудования и материальных средств, не включенных в другие группировки</t>
  </si>
  <si>
    <t>46.18.99,46.49.49,46.69.2,46.76,49.20,52.24,77.39.2</t>
  </si>
  <si>
    <t>ДОБЫЧИН КОНСТАНТИН АНАТОЛЬЕВИЧ</t>
  </si>
  <si>
    <t>141532, МОСКОВСКАЯ ОБЛАСТЬ, Г.О. СОЛНЕЧНОГОРСК, ПГТ. РАДУМЛЯ, МКР. МЕХАНИЧЕСКОГО ЗАВОДА №1, СТР. 20/1, ЭТАЖ/ПОМЕЩ. 3/40</t>
  </si>
  <si>
    <t>+74952536062</t>
  </si>
  <si>
    <t>shleinnik@yandex.ru</t>
  </si>
  <si>
    <t>АО "РТР-СИГНАЛ"</t>
  </si>
  <si>
    <t>АКЦИОНЕРНОЕ ОБЩЕСТВО "РТР-СИГНАЛ"</t>
  </si>
  <si>
    <t>1997-02-17</t>
  </si>
  <si>
    <t>46.19,46.49,46.69.9,46.90,47.9,58.13,58.14,58.19,59.11,59.13,59.20,60.10,60.20,61.10,62.01,62.02,63.11.1,63.91,68.20,71.1,71.12.12,71.12.5,71.12.6,77.39.24,77.39.29</t>
  </si>
  <si>
    <t>РЯБОВ ИЛЬЯ ГЕОРГИЕВИЧ</t>
  </si>
  <si>
    <t>115162, Г.МОСКВА, ВН.ТЕР.Г. МУНИЦИПАЛЬНЫЙ ОКРУГ ДОНСКОЙ, УЛ ШАБОЛОВКА, Д. 37, К. 6</t>
  </si>
  <si>
    <t>+74952800894,+74956145887,+74959844049,+74952348901,+74952145887,+74956048436,+74956461834,+74952348902</t>
  </si>
  <si>
    <t>www.e-disclosure.ru/portal/company.aspx?id=31062,rtr-signal.ru</t>
  </si>
  <si>
    <t>aantropov@vgtrk.ru,luckysector@mail.ru,ls-cccb@mail.ru,igryabov@vgtrk.com</t>
  </si>
  <si>
    <t>29</t>
  </si>
  <si>
    <t>ООО "УСТ - ОФИСНАЯ НЕДВИЖИМОСТЬ"</t>
  </si>
  <si>
    <t>ОБЩЕСТВО С ОГРАНИЧЕННОЙ ОТВЕТСТВЕННОСТЬЮ "УСТ - ОФИСНАЯ НЕДВИЖИМОСТЬ"</t>
  </si>
  <si>
    <t>2010-09-09</t>
  </si>
  <si>
    <t>77.39.11,41.20,42.21,42.22.2,43.11,43.12.1,43.12.3,43.21,43.22,43.31,43.32,43.33,43.91,43.99,43.99.1,43.99.2,43.99.5,43.99.6,68.10.21,68.10.22,68.20,68.31.3,68.31.4,70.22,71.11,74.90</t>
  </si>
  <si>
    <t>ЮСУПОВ РАМИС РАФИСОВИЧ</t>
  </si>
  <si>
    <t>117638, Г.МОСКВА, ВН.ТЕР.Г. МУНИЦИПАЛЬНЫЙ ОКРУГ ЗЮЗИНО, УЛ ОДЕССКАЯ, Д. 2, ПОМЕЩ. 6/14</t>
  </si>
  <si>
    <t>+79166975047,+74956019015</t>
  </si>
  <si>
    <t>ООО "МАКСИМА"</t>
  </si>
  <si>
    <t>ОБЩЕСТВО С ОГРАНИЧЕННОЙ ОТВЕТСТВЕННОСТЬЮ "МАКСИМА"</t>
  </si>
  <si>
    <t>2006-10-19</t>
  </si>
  <si>
    <t>31.0,32.9,41.2,43.12,43.2,43.3,43.99,46.1,46.2,46.3,46.4,46.6,46.7,46.9,47.1,47.2,47.5,47.73,47.74,47.75,52.10,52.2,52.24,68.2,68.3</t>
  </si>
  <si>
    <t>КИРЕЕВ АЛЕКСАНДР НИКОЛАЕВИЧ</t>
  </si>
  <si>
    <t>141006, МОСКОВСКАЯ ОБЛАСТЬ, Г.О. МЫТИЩИ, Г МЫТИЩИ, УЛ КОМАРОВА, СТР. 14</t>
  </si>
  <si>
    <t>+74957807048</t>
  </si>
  <si>
    <t>ООО "КЛИНИКА "ЛИНЛАЙН"</t>
  </si>
  <si>
    <t>ОБЩЕСТВО С ОГРАНИЧЕННОЙ ОТВЕТСТВЕННОСТЬЮ "КЛИНИКА "ЛИНЛАЙН"</t>
  </si>
  <si>
    <t>2009-12-30</t>
  </si>
  <si>
    <t>86</t>
  </si>
  <si>
    <t>Деятельность в области здравоохранения</t>
  </si>
  <si>
    <t>72.19,73.11,96.02</t>
  </si>
  <si>
    <t>ИГОШИНА АНАСТАСИЯ ВИКТОРОВНА</t>
  </si>
  <si>
    <t>119333,  Г.МОСКВА, ПР-КТ УНИВЕРСИТЕТСКИЙ, Д. 4, ПОМ V КОМ 6</t>
  </si>
  <si>
    <t>+74953630500,+73432530711,+73432285159</t>
  </si>
  <si>
    <t>ryzhkova@linline.ru</t>
  </si>
  <si>
    <t>ООО "ФИТ"</t>
  </si>
  <si>
    <t>ОБЩЕСТВО С ОГРАНИЧЕННОЙ ОТВЕТСТВЕННОСТЬЮ "ФЕСКО ИНТЕГРИРОВАННЫЙ ТРАНСПОРТ"</t>
  </si>
  <si>
    <t>1998-10-08</t>
  </si>
  <si>
    <t>33.20,45.20.2,49.41.2,49.41.3,50.20,50.40,52.10.9,52.21.1,52.21.2,52.24.1,52.24.2,52.29,77.39.1,77.39.12</t>
  </si>
  <si>
    <t>ПУБЛИЧНОЕ АКЦИОНЕРНОЕ ОБЩЕСТВО "ДАЛЬНЕВОСТОЧНОЕ МОРСКОЕ ПАРОХОДСТВО"</t>
  </si>
  <si>
    <t>115184, Г.МОСКВА, ВН.ТЕР.Г. МУНИЦИПАЛЬНЫЙ ОКРУГ ЗАМОСКВОРЕЧЬЕ, УЛ НОВОКУЗНЕЦКАЯ, Д. 7/11, СТР. 1, ЭТАЖ 3, КАБ. 338</t>
  </si>
  <si>
    <t>+74957300110,+74232521105,+74232521216,+74232521255,+74232497039,+74132690038,+74232521102,+74959268000,+74957414929,+74232521212,+74242773882,+74242773888,+74957414928,+79147052925,+74232521414,+79163320783,+79146214946,+73433443156,+73833280135,+74957300140,+78002344499,+74957886601,+74957806001,+74997414928,+74232497042,+74232791101,+74322497042</t>
  </si>
  <si>
    <t>www.fesco.ru</t>
  </si>
  <si>
    <t>fit-tender@fesco.com,aaegorov@fesco.com,salesvvo@fesco.com,msakharov@mail.ru,akazakova@fesco.com,nvatoulina@fesco.com,salesekb@fesco.com,lbelnikova@fesco.com,igorbatenko@fesco.com,jmironova@fesco.com,vvetolskiy@fesco.com,mshilo@fesco.com,mshilov@fesco.co,mshiilov@fesco.com,salesvvo@fesko.com,sozaryan@fesco.com,fesco@fesco.com.ru,&lt;mshilov@fesco.com&gt;,mshilov@fesco.com,secretar_mow@fesco.com,fesco@fesco.ru,iarkhangelskaya@fesco.com,salesmow@fesco.com,vvo@mail.ru,fesco@fesco.com,vvo@fesko.com,arudenko@mail.ru,arudenko@fesco.com,sales@fesco.com,vvo@fesco.com,dfo3@mil.ru,ddomrachev@fesco.com,wo@fesco.com,dkurdakov@fesco.com</t>
  </si>
  <si>
    <t>ООО "ПРОКТЕР ЭНД ГЭМБЛ ДИСТРИБЬЮТОРСКАЯ КОМПАНИЯ"</t>
  </si>
  <si>
    <t>ОБЩЕСТВО С ОГРАНИЧЕННОЙ ОТВЕТСТВЕННОСТЬЮ "ПРОКТЕР ЭНД ГЭМБЛ ДИСТРИБЬЮТОРСКАЯ КОМПАНИЯ"</t>
  </si>
  <si>
    <t>2006-01-27</t>
  </si>
  <si>
    <t>46.49</t>
  </si>
  <si>
    <t>Торговля оптовая прочими бытовыми товарами</t>
  </si>
  <si>
    <t>46.4,46.90</t>
  </si>
  <si>
    <t>БАШКИРОВ АНДРЕЙ НИКОЛАЕВИЧ</t>
  </si>
  <si>
    <t>125171,  Г.МОСКВА, Ш ЛЕНИНГРАДСКОЕ, Д. 16А, СТР. 2</t>
  </si>
  <si>
    <t>+78002002020,+74952585888,+74952585822,+74954751858,+78005552521,+74952585800</t>
  </si>
  <si>
    <t>braun.ru</t>
  </si>
  <si>
    <t>ООО "СВЕТЛАНА"-К</t>
  </si>
  <si>
    <t>ОБЩЕСТВО С ОГРАНИЧЕННОЙ ОТВЕТСТВЕННОСТЬЮ "СВЕТЛАНА"-К</t>
  </si>
  <si>
    <t>1999-03-02</t>
  </si>
  <si>
    <t>52.10.9</t>
  </si>
  <si>
    <t>Хранение и складирование прочих грузов</t>
  </si>
  <si>
    <t>49.41.1,52.29,68.20.29,82.92,45.1,45.11.1,45.11.4,45.19.1,45.19.4,46.43,46.45,46.49,46.71,46.73,46.76,49.41,52.10,52.10.9,52.24.2,52.29,53.20.3,68.20,78.1,82.92</t>
  </si>
  <si>
    <t>КАРТАШОВ ГЕННАДИЙ АНДРЕЕВИЧ</t>
  </si>
  <si>
    <t>141070, МОСКОВСКАЯ ОБЛАСТЬ, Г.О. КОРОЛЁВ, Г КОРОЛЁВ, УЛ КАЛИНИНА, Д. 6Б, ПОМЕЩ. IV</t>
  </si>
  <si>
    <t>+74957084848,+74952216473,+73462516270,+79197203152,+74956564848,+73472930135,+74951747445,+74967084848,+74957084648,+79197202996,+70951747145,+73432783761,+73832920059,+78123363372,+73912658252,+70951747250,+73632738912,+73632527954</t>
  </si>
  <si>
    <t>www.svetlana-k.ru/,www.svetlana-k.ru</t>
  </si>
  <si>
    <t>info@svetlana-k.ru,igor.meshkov@svetlana-k.ru,unknown@email.ru</t>
  </si>
  <si>
    <t>185</t>
  </si>
  <si>
    <t>ООО "ВАРИАНТ"</t>
  </si>
  <si>
    <t>ОБЩЕСТВО С ОГРАНИЧЕННОЙ ОТВЕТСТВЕННОСТЬЮ "ВАРИАНТ"</t>
  </si>
  <si>
    <t>2004-07-06</t>
  </si>
  <si>
    <t>47.19</t>
  </si>
  <si>
    <t>Торговля розничная прочая в неспециализированных магазинах</t>
  </si>
  <si>
    <t>41.20,43.29,43.99.7,46.19,46.90,47.11.1,47.11.2,56.10,56.10.1,56.10.3,62.01,62.02,69.10,70.22,73.11,73.20.1,79.11,79.90.1,79.90.2,79.90.3,82.99</t>
  </si>
  <si>
    <t>АМИРДЖАНЯН АРТУР ЖОРАЕВИЧ</t>
  </si>
  <si>
    <t>115054,  Г.МОСКВА, УЛ. ЩИПОК, Д.22, СТР.3</t>
  </si>
  <si>
    <t>+74959336165,+74951911054,+70952351629</t>
  </si>
  <si>
    <t>35</t>
  </si>
  <si>
    <t>ПАО "ВЫМПЕЛКОМ"</t>
  </si>
  <si>
    <t>ПУБЛИЧНОЕ АКЦИОНЕРНОЕ ОБЩЕСТВО "ВЫМПЕЛ-КОММУНИКАЦИИ"</t>
  </si>
  <si>
    <t>1993-07-28</t>
  </si>
  <si>
    <t>61.20.1</t>
  </si>
  <si>
    <t>Деятельность по предоставлению услуг подвижной связи для целей передачи голоса</t>
  </si>
  <si>
    <t>26.11,26.30.15,26.30.17,42.22.3,43.12.3,43.21,43.99,47.19.2,47.9,47.91.3,49.31,49.41,49.41.1,52.21.2,52.21.24,52.24,52.24.2,52.29,53.20.1,59.14,61.10,61.10.1,61.10.3,61.10.5,61.10.6,61.10.8,61.10.9,61.20.2,61.20.3,62.01,62.09,63.11,63.11.1,63.91,63.99.1,64.19,64.92,64.99,66.19.4,68.20,68.32,69.20,69.20.3,70.10.1,70.22,71.11,71.12,71.12.1,71.12.12,71.12.3,71.12.57,71.12.6,71.20.2,72.19,73.11,73.20.1,74.20,74.30,74.90.9,80.10,82.92,82.99,84.13,84.21,84.22,84.23,84.24,84.25,84.25.1,84.25.9,86.90.1,88.99,91.01,95.12</t>
  </si>
  <si>
    <t>АНОХИН СЕРГЕЙ НИКОЛАЕВИЧ
ПАНКОВ АЛЕКСАНДР АЛЕКСАНДРОВИЧ</t>
  </si>
  <si>
    <t>772879074208
771904353894</t>
  </si>
  <si>
    <t>ГЕНЕРАЛЬНЫЙ ДИРЕКТОР
ПРЕЗИДЕНТ</t>
  </si>
  <si>
    <t>127083,  Г.МОСКВА, УЛ. 8 МАРТА, Д. 10, СТР. 14</t>
  </si>
  <si>
    <t>+74842547729,+74922325214,+74162540202,+74842503020,+74162540209,+79055890652,+78007006119,+74957616783,+78007000628,+78007008061,+74957830700,+74952280046,+74954555252,+74953325182,+74952587828,+74959105857,+74952764272,+74959602760,+74955582715,+74953043636,+74952587800,+74955777373,+74952449464,+74956317896,+74956204831,+74952252577,+74952861576,+79025005400,+74957871000,+79098043545,+79625879594,+77495783070,+74212649414,+79236407800,+79231570727,+79616750020,+78442265345,+78352480002,+79033220071,+79605505550,+73912636399,+79091119160,+78469919877,+79658944400,+74742907710,+79033409951,+79629302392,+78652900255,+78442606000,+73912777772</t>
  </si>
  <si>
    <t>www.beeline.ru,,www.e-disclosure.ru/portal/company.aspx?id=4464,www.beeline.ru</t>
  </si>
  <si>
    <t>evgromova@kaluga.beeline.ru,ote@beeline.ru,vnkuzmina@smr.beeline.ru,net@net.ru,kevgenova@beeline.ru,mglukhota@khb.beeline.ru,okhavkhalyuk@khb.beeline.ru,laandreeva@spb.beeline.ru,binain@mail.ru,omakarova@cht.beelline.ru,invoice@beeline.ru,egbessonova@vdv.beeline.ru,ensharova@tver.beeline.ru,b2b@skh.beeline.ru,irina@rambler.ru,rparilov@beeline.ru,finsupportregion@b2b.beeline.ru,akamaeva@ekb.beeline.ru,services@beeline.ru,mglukhota@khb.beelin,onsizova@tum.beeline.ru,finexpert@beeline.ru,achumin@kng.beeline.ru,market@sc.ru,esadykov@ufa.beeline.ru,service@extel.ru,fkhaniev@kzn.beeline.ru,mvlatyshev@krd.beeline.ru,vfolk@krs.beeline.ru,dshaposhnikova@krd.beeline.ru,vibelozerov@kng.beeline.ru,vmp@mail.ru,kbaltyan@beeline.ru,achicheva@beeline.ru,azavgorodnyaya@nik.beeline.ru,alvomelchenko@nsk.beeline.ru,net@mail.ru,vibelozerov@kng.beeline.rг,88007008000@mail.ru,dogotd@beeline.ru,bilain@mail.ru,kshakhova@tms.beeline.ru,tkulikovskaya@kzn.beeline.ru,vpfanshtel@nsk.beeline.ru,iemets@izk.beeline.ru,mburnos@khb.beeline.ru,ssrogachev@beeline.ru,pbrench@vdv.beeline.ru,na@na.na,tvvalova@vlg.beeline.ru</t>
  </si>
  <si>
    <t>ООО "ДАНСТРОЙ"</t>
  </si>
  <si>
    <t>ОБЩЕСТВО С ОГРАНИЧЕННОЙ ОТВЕТСТВЕННОСТЬЮ "ДАНСТРОЙ"</t>
  </si>
  <si>
    <t>2003-10-20</t>
  </si>
  <si>
    <t>68.31.1,68.31.2,68.31.3,68.31.4,68.32.2</t>
  </si>
  <si>
    <t>ШАБАРОВА АННА ВЛАДИМИРОВНА</t>
  </si>
  <si>
    <t>109004,  Г.МОСКВА, ПЕР. БОЛЬШОЙ ДРОВЯНОЙ, Д.22</t>
  </si>
  <si>
    <t>+74959153404,+74959153111</t>
  </si>
  <si>
    <t>ООО "АРКТУР"</t>
  </si>
  <si>
    <t>ОБЩЕСТВО С ОГРАНИЧЕННОЙ ОТВЕТСТВЕННОСТЬЮ "АРКТУР"</t>
  </si>
  <si>
    <t>2010-12-07</t>
  </si>
  <si>
    <t>46.1,46.4,46.6,46.9,47.1,47.9,52.10,52.2,52.24,52.29,56.1,56.3,62.02,62.03,62.09,63.11,63.12,63.99,64.9,68.2,68.3,69,73.1,73.11,73.12,73.20,74.20,74.30,77.39,82.92,85.41.9,85.42,93.1,93.2</t>
  </si>
  <si>
    <t>ГУСЕВ ЮРИЙ ВИТАЛЬЕВИЧ</t>
  </si>
  <si>
    <t>141300,  МОСКОВСКАЯ ОБЛАСТЬ, Г. СЕРГИЕВ ПОСАД, ПР-КТ КРАСНОЙ АРМИИ, Д. 121, ЭТ./ПОМ. ЦОКОЛЬНЫЙ/2</t>
  </si>
  <si>
    <t>+79043923012</t>
  </si>
  <si>
    <t>ООО "ОПТТОРГ"</t>
  </si>
  <si>
    <t>ОБЩЕСТВО С ОГРАНИЧЕННОЙ ОТВЕТСТВЕННОСТЬЮ "ОПТТОРГ"</t>
  </si>
  <si>
    <t>2006-03-10</t>
  </si>
  <si>
    <t>10.13.4</t>
  </si>
  <si>
    <t>Производство мясных (мясосодержащих) полуфабрикатов</t>
  </si>
  <si>
    <t>01.41,01.46,01.62,10.11,10.12,10.13,10.13.1,10.13.2,10.13.3,10.13.5,10.13.6,10.13.7,10.13.9,10.20,10.86,10.89,46.11.1,46.23,46.24,46.32.1,46.32.2,46.32.3,46.34.1,46.38.1,46.41.2,46.44.2,46.62,46.64,46.66,46.69,46.75,46.76,47.11.1,47.11.2,47.22.1,47.22.2,47.25.12,47.26</t>
  </si>
  <si>
    <t>АКОПОВ ВАДИМ АРМАИСОВИЧ</t>
  </si>
  <si>
    <t>119633, Г.МОСКВА, ВН.ТЕР.Г. МУНИЦИПАЛЬНЫЙ ОКРУГ НОВО-ПЕРЕДЕЛКИНО, УЛ НОВООРЛОВСКАЯ, Д. 3/1, ЭТ/КОМ 4/445</t>
  </si>
  <si>
    <t>+79652242015,+74951981506,+78002016686,+78003331626</t>
  </si>
  <si>
    <t>opttorg06@bk.ru</t>
  </si>
  <si>
    <t>17</t>
  </si>
  <si>
    <t>ООО "ДАО-ФАРМ ИСТРА"</t>
  </si>
  <si>
    <t>ОБЩЕСТВО С ОГРАНИЧЕННОЙ ОТВЕТСТВЕННОСТЬЮ "ДАО-ФАРМ ИСТРА"</t>
  </si>
  <si>
    <t>2000-11-23</t>
  </si>
  <si>
    <t>31.09</t>
  </si>
  <si>
    <t>Производство прочей мебели</t>
  </si>
  <si>
    <t>16.21,16.29.1,21.20,22.29,31.0,31.01,46.15,46.18,46.49,62.02,68.20,77.3</t>
  </si>
  <si>
    <t>СЕРОПОВ ДАВИД ЛЕВОНОВИЧ</t>
  </si>
  <si>
    <t>143500,  МОСКОВСКАЯ ОБЛАСТЬ, Г ИСТРА, ПР-Д ЖЕЛЕЗНОДОРОЖНЫЙ, Д. 5, КАБИНЕТ 213</t>
  </si>
  <si>
    <t>+74991789202,+74983141445,+74959944226,+74951789202,+74991612878,+74951612878</t>
  </si>
  <si>
    <t>lomova@melem.ru</t>
  </si>
  <si>
    <t>ООО "СПЕЦИАЛИЗИРОВАННЫЙ ЗАСТРОЙЩИК "ЯМАЛ-Ф"</t>
  </si>
  <si>
    <t>ОБЩЕСТВО С ОГРАНИЧЕННОЙ ОТВЕТСТВЕННОСТЬЮ "СПЕЦИАЛИЗИРОВАННЫЙ ЗАСТРОЙЩИК "ЯМАЛ-Ф"</t>
  </si>
  <si>
    <t>2001-09-13</t>
  </si>
  <si>
    <t>33.12,35.11,35.13,35.3,36.00,42.11,42.12,42.13,42.21,42.22.2,43.22,43.31,43.32,43.33,43.34,43.39,43.99.7,43.99.9,52.21.2,62.09,68.31.1,68.31.2,68.31.3,68.31.4,73.20</t>
  </si>
  <si>
    <t>ГОЛОВАНОВА ОЛЬГА ИГОРЕВНА</t>
  </si>
  <si>
    <t>143980, МОСКОВСКАЯ ОБЛАСТЬ, Г.О. БАЛАШИХА, Г БАЛАШИХА, МКР. ЖЕЛЕЗНОДОРОЖНЫЙ, УЛ ОКТЯБРЬСКАЯ, Д. 29А</t>
  </si>
  <si>
    <t>+74955277504,+74955225131,+74955229185,+74955274530,+74955229182,+74955225126,+74965225131,+74955221918</t>
  </si>
  <si>
    <t>pti25@mail.ru,yamal-f@mail.ru</t>
  </si>
  <si>
    <t>АО "НТЦ "ПРОМЫШЛЕННАЯ БЕЗОПАСНОСТЬ"</t>
  </si>
  <si>
    <t>АКЦИОНЕРНОЕ ОБЩЕСТВО "НАУЧНО-ТЕХНИЧЕСКИЙ ЦЕНТР ПО БЕЗОПАСНОСТИ В ПРОМЫШЛЕННОСТИ"</t>
  </si>
  <si>
    <t>2006-03-22</t>
  </si>
  <si>
    <t>71.12.63</t>
  </si>
  <si>
    <t>Деятельность в области аккредитации</t>
  </si>
  <si>
    <t>58.14,58.19,62.01,62.02,63.11.1,69.20.1,70.22,71.11.1,71.12,71.12.1,71.12.13,71.12.61,72.19,73.20.1,74.90.31</t>
  </si>
  <si>
    <t>КОТЕЛЬНИКОВ ВЛАДИМИР СЕМЕНОВИЧ</t>
  </si>
  <si>
    <t>109147,  Г.МОСКВА, УЛ. ТАГАНСКАЯ, Д.34А</t>
  </si>
  <si>
    <t>+74955005198,+74956204746,+74992639686,+74997637020,+74997637019,+78462784398,+74997637021,+78495451263,+74997637090,+79236042810,+74952639686</t>
  </si>
  <si>
    <t>www.oaontc.ru,www.oaontc.ru,,www.safety.ru</t>
  </si>
  <si>
    <t>ntc@oaontc.ru,k.max1976@mail.ru,nichbuh@sstu.smr.ru,surkovaoa@oaontc.ru,nyc@oaontc.ru,insaf@mail.sitek.ru</t>
  </si>
  <si>
    <t>49</t>
  </si>
  <si>
    <t>ООО "РДС"</t>
  </si>
  <si>
    <t>ОБЩЕСТВО С ОГРАНИЧЕННОЙ ОТВЕТСТВЕННОСТЬЮ "РДС"</t>
  </si>
  <si>
    <t>1996-03-25</t>
  </si>
  <si>
    <t>41.20,42.11,46.19,46.47.2,46.52,46.63,46.69,46.71,46.72,46.73.6,46.75,46.90,49.20,49.41,52.10,52.24,77.11,77.12,77.39</t>
  </si>
  <si>
    <t>РАЗГОНОВ САВЕЛИЙ АНДРЕЕВИЧ</t>
  </si>
  <si>
    <t>117405, Г.МОСКВА, ВН.ТЕР.Г. МУНИЦИПАЛЬНЫЙ ОКРУГ ЧЕРТАНОВО ЮЖНОЕ, УЛ КИРПИЧНЫЕ ВЫЕМКИ, Д. 2, К. 1, ПОМЕЩ. 32/12</t>
  </si>
  <si>
    <t>+74957662831,+74951358601</t>
  </si>
  <si>
    <t>info@r-d-s.ru</t>
  </si>
  <si>
    <t>ООО  "ДА ВИНЧИ-АКРОПОЛЬ"</t>
  </si>
  <si>
    <t>ОБЩЕСТВО С ОГРАНИЧЕННОЙ ОТВЕТСТВЕННОСТЬЮ "ДА ВИНЧИ-АКРОПОЛЬ"</t>
  </si>
  <si>
    <t>2003-12-15</t>
  </si>
  <si>
    <t>47.77</t>
  </si>
  <si>
    <t>Торговля розничная часами и ювелирными изделиями в специализированных магазинах</t>
  </si>
  <si>
    <t>46.18.2,46.48,47.77.2,47.79,47.79.3,47.91,47.91.2,74.90,95.25</t>
  </si>
  <si>
    <t>КУЗНЕЦОВА АЛЕКСАНДРА СЕРГЕЕВНА</t>
  </si>
  <si>
    <t>121099,  Г.МОСКВА, ПЛ. СМОЛЕНСКАЯ, Д.3</t>
  </si>
  <si>
    <t>+74952877707,+74959802646</t>
  </si>
  <si>
    <t>www.da-vinci.ru</t>
  </si>
  <si>
    <t>info@da-vinci.ru</t>
  </si>
  <si>
    <t>ООО ПКО "ЭВЕРЕСТ"</t>
  </si>
  <si>
    <t>ОБЩЕСТВО С ОГРАНИЧЕННОЙ ОТВЕТСТВЕННОСТЬЮ ПРОФЕССИОНАЛЬНАЯ КОЛЛЕКТОРСКАЯ ОРГАНИЗАЦИЯ "ЭВЕРЕСТ"</t>
  </si>
  <si>
    <t>2014-01-28</t>
  </si>
  <si>
    <t>66.11.1</t>
  </si>
  <si>
    <t>Деятельность по организации торговли на финансовых рынках</t>
  </si>
  <si>
    <t>53.20.3,62.01,62.02,62.09,63.11,63.91,63.99.1,64.91,64.92,64.99,66.11,66.12,66.19,66.19.4,69.10,69.20,69.20.2,69.20.3,70.22,74.30,82.19,82.30,82.91,82.99,95.11</t>
  </si>
  <si>
    <t>ЩЕРБАКОВА АННА ВАЛЕРЬЕВНА</t>
  </si>
  <si>
    <t>117342, Г.МОСКВА, ВН.ТЕР.Г. МУНИЦИПАЛЬНЫЙ ОКРУГ КОНЬКОВО, УЛ БУТЛЕРОВА, Д. 17, ПОМЕЩ. 112/4</t>
  </si>
  <si>
    <t>+79162984640,+74997059229,+79996204439</t>
  </si>
  <si>
    <t>everestcollect.ru</t>
  </si>
  <si>
    <t>contact@everestcollect.ru</t>
  </si>
  <si>
    <t>152</t>
  </si>
  <si>
    <t>ООО "СЗ "СТРОЙСОЮЗ"</t>
  </si>
  <si>
    <t>ОБЩЕСТВО С ОГРАНИЧЕННОЙ ОТВЕТСТВЕННОСТЬЮ "СПЕЦИАЛИЗИРОВАННЫЙ ЗАСТРОЙЩИК "СТРОЙСОЮЗ"</t>
  </si>
  <si>
    <t>1997-12-03</t>
  </si>
  <si>
    <t>68.10.1,68.10.11,68.10.12,68.10.2,68.10.21,68.10.22,68.10.23,68.20.1,68.20.2,68.31.1,68.31.11,68.31.12,68.31.2,68.31.21,68.31.22,68.31.3,68.31.31,68.31.32,68.31.4,68.31.41,68.31.42</t>
  </si>
  <si>
    <t>ЗВАРИЧ ВАСИЛИЙ ЕВСТАФЬЕВИЧ</t>
  </si>
  <si>
    <t>140053,  МОСКОВСКАЯ ОБЛАСТЬ, Г. КОТЕЛЬНИКИ, УЛ. АСФАЛЬТОВАЯ, Д. 21, ЛИТЕРА З, ПОМЕЩ. 310</t>
  </si>
  <si>
    <t>+74955804692,+74955540358</t>
  </si>
  <si>
    <t>ooo-stroysoyuz.ru</t>
  </si>
  <si>
    <t>ООО "ПТК-ИНВЕСТ"</t>
  </si>
  <si>
    <t>ОБЩЕСТВО С ОГРАНИЧЕННОЙ ОТВЕТСТВЕННОСТЬЮ "ПЕЧОРСКАЯ ТОРГОВАЯ КОМПАНИЯ - ИНВЕСТ"</t>
  </si>
  <si>
    <t>2006-03-14</t>
  </si>
  <si>
    <t>56.10</t>
  </si>
  <si>
    <t>Деятельность ресторанов и услуги по доставке продуктов питания</t>
  </si>
  <si>
    <t>47.25.1,49.41,56.10.1,56.10.21,56.29.1,56.30,68.20,77.11,77.39.1,82.99</t>
  </si>
  <si>
    <t>ДУШАК АЛЕКСАНДР ЕВГЕНЬЕВИЧ</t>
  </si>
  <si>
    <t>121614,  Г.МОСКВА, УЛ. КРЫЛАТСКИЕ ХОЛМЫ, Д.33, К.1, 39</t>
  </si>
  <si>
    <t>+78214235353,+78214236040,+78214235164,+78214270155</t>
  </si>
  <si>
    <t>ООО ФИРМА "КОЛОМЕНСКИЙ ДС"</t>
  </si>
  <si>
    <t>ОБЩЕСТВО С ОГРАНИЧЕННОЙ ОТВЕТСТВЕННОСТЬЮ ФИРМА "КОЛОМЕНСКИЙ ДОМОСТРОИТЕЛЬ"</t>
  </si>
  <si>
    <t>2001-03-01</t>
  </si>
  <si>
    <t>ХАРЬКИН СЕРГЕЙ НИКОЛАЕВИЧ</t>
  </si>
  <si>
    <t>140414,  МОСКОВСКАЯ ОБЛАСТЬ, Г. КОЛОМНА, УЛ. СВЕРДЛОВА, Д. 23, ИНЖЕНЕРНЫЙ КОРПУС</t>
  </si>
  <si>
    <t>+74966234010,+74966234011,+74966152737,+74966137627,+74966152277,+74966152211,+74956152141,+74966152141,+74966137680,+74966100455,+74961152737</t>
  </si>
  <si>
    <t>domostroitel2012@mail.ru,okdsk@mail.ru,kolomnastroy@mail.ru</t>
  </si>
  <si>
    <t>ООО "ОЗДОРОВИТЕЛЬНЫЙ КОМПЛЕКС "ЛОСИНЫЙ ОСТРОВ"</t>
  </si>
  <si>
    <t>ОБЩЕСТВО С ОГРАНИЧЕННОЙ ОТВЕТСТВЕННОСТЬЮ "ОЗДОРОВИТЕЛЬНЫЙ КОМПЛЕКС "ЛОСИНЫЙ ОСТРОВ"</t>
  </si>
  <si>
    <t>1993-09-21</t>
  </si>
  <si>
    <t>46.19,46.46,46.90,47.73,47.74,47.75,47.78.9,52.24,52.29,70.22,73.11,77.39.26,79.11,82.99,86.90.9,93.19,96.02,96.04,96.09</t>
  </si>
  <si>
    <t>МУТИН ИГОРЬ НИКОЛАЕВИЧ</t>
  </si>
  <si>
    <t>129337,  Г.МОСКВА, Ш. ЯРОСЛАВСКОЕ, Д.116, К.1</t>
  </si>
  <si>
    <t>+74951839574</t>
  </si>
  <si>
    <t>ООО "СЗ "КВАРТАЛ-ИНВЕСТСТРОЙ"</t>
  </si>
  <si>
    <t>ОБЩЕСТВО С ОГРАНИЧЕННОЙ ОТВЕТСТВЕННОСТЬЮ "СПЕЦИАЛИЗИРОВАННЫЙ ЗАСТРОЙЩИК "КВАРТАЛ-ИНВЕСТСТРОЙ"</t>
  </si>
  <si>
    <t>2003-07-21</t>
  </si>
  <si>
    <t>46.73.6</t>
  </si>
  <si>
    <t>Торговля оптовая прочими строительными материалами и изделиями</t>
  </si>
  <si>
    <t>46.90,41.10,41.20,42.11,42.21,42.22,42.99,43.11,43.12,43.21,43.22,43.29,43.31,43.32,43.33,43.34,43.39,43.99,68.10,68.20,68.31,68.32,71.11,71.12</t>
  </si>
  <si>
    <t>ВЕЛИЧКИНА НИНА АЛЕКСАНДРОВНА</t>
  </si>
  <si>
    <t>141006, МОСКОВСКАЯ ОБЛАСТЬ, Г.О. МЫТИЩИ, Г МЫТИЩИ, ПРОЕЗД ШАРАПОВСКИЙ, ВЛД. 2, ЭТАЖ 3, КОМ. 79</t>
  </si>
  <si>
    <t>+79055101080</t>
  </si>
  <si>
    <t>info@k-instroy.ru,notary33@yandex.ru</t>
  </si>
  <si>
    <t>АО "САК"</t>
  </si>
  <si>
    <t>АКЦИОНЕРНОЕ ОБЩЕСТВО "САК"</t>
  </si>
  <si>
    <t>1993-11-11</t>
  </si>
  <si>
    <t>60.10</t>
  </si>
  <si>
    <t>Деятельность в области радиовещания</t>
  </si>
  <si>
    <t>62.01,62.02,62.02.1,62.02.4,62.03.13,62.09,63.11,63.11.1,63.11.9,63.12.1,63.91,63.99,63.99.1,63.99.2,90.01</t>
  </si>
  <si>
    <t>ПЕТРОВ ЕВГЕНИЙ ПЕТРОВИЧ</t>
  </si>
  <si>
    <t>109004,  Г.МОСКВА, УЛ. СТАНИСЛАВСКОГО, Д.21, СТР.5</t>
  </si>
  <si>
    <t>+74957999797,+74956271156</t>
  </si>
  <si>
    <t>radio7.ru,www.radio7.ru</t>
  </si>
  <si>
    <t>n.smirnova@emg.fm,reception@emg.fm;,a.samsonov@emg.fm,krasnov.info@gmail.com</t>
  </si>
  <si>
    <t>ООО  "ИМПРЕКС"</t>
  </si>
  <si>
    <t>ОБЩЕСТВО С ОГРАНИЧЕННОЙ ОТВЕТСТВЕННОСТЬЮ "ИМПРЕКС"</t>
  </si>
  <si>
    <t>2012-06-14</t>
  </si>
  <si>
    <t>46.49.43</t>
  </si>
  <si>
    <t>Торговля оптовая спортивными товарами, включая велосипеды</t>
  </si>
  <si>
    <t>46.1,46.18.99,46.4,46.9,47.64,47.71.5</t>
  </si>
  <si>
    <t>КАШУНИН АЛЕКСАНДР КОНСТАНТИНОВИЧ</t>
  </si>
  <si>
    <t>Управляющий - индивидуальный  предприниматель</t>
  </si>
  <si>
    <t>108811,  Г.МОСКВА, КМ 22-Й (КИЕВСКОЕ Ш.), Д. 4, СТР. 2, ЭТАЖ 8,БЛОК В,ОФИС 812В</t>
  </si>
  <si>
    <t>+79104845985</t>
  </si>
  <si>
    <t>tusa.ru</t>
  </si>
  <si>
    <t>ООО "ВОСЬМАЯ  ПЛАНЕТА"</t>
  </si>
  <si>
    <t>ОБЩЕСТВО С ОГРАНИЧЕННОЙ ОТВЕТСТВЕННОСТЬЮ "ВОСЬМАЯ  ПЛАНЕТА"</t>
  </si>
  <si>
    <t>2012-07-13</t>
  </si>
  <si>
    <t>46.34.1</t>
  </si>
  <si>
    <t>Торговля оптовая соками, минеральной водой и прочими безалкогольными напитками</t>
  </si>
  <si>
    <t>46.31.2,46.33.1,46.34,46.35,46.38,46.71,46.73.1,46.73.2,46.9,47.25,49.41.2,52.10.9,58.29,61.20,62.01,62.02,62.03,62.09,63.11,63.11.1,63.12,63.99</t>
  </si>
  <si>
    <t>ЕРМИШКИНА ЕЛЕНА АЛЕКСАНДРОВНА</t>
  </si>
  <si>
    <t>123317,  Г.МОСКВА, ПР-Д ШМИТОВСКИЙ, Д. 18А, СТР. 1, ПОМЕЩ. 1 КОМНАТА 1 ОФИС 406</t>
  </si>
  <si>
    <t>+74956393526,+74959793526</t>
  </si>
  <si>
    <t>max_ich@mail.ru</t>
  </si>
  <si>
    <t>ООО "ИСК "АРТУРСКАПИТАЛ""</t>
  </si>
  <si>
    <t>ОБЩЕСТВО С ОГРАНИЧЕННОЙ ОТВЕТСТВЕННОСТЬЮ "ИНВЕСТИЦИОННО-СТРОИТЕЛЬНАЯ КОМПАНИЯ "АРТУРСКАПИТАЛ"</t>
  </si>
  <si>
    <t>2003-08-07</t>
  </si>
  <si>
    <t>68.10,68.10.1,68.32</t>
  </si>
  <si>
    <t>ВАСИЛЯН СЕВАК ВИРАБОВИЧ</t>
  </si>
  <si>
    <t>141052,  МОСКОВСКАЯ ОБЛАСТЬ, Г. МЫТИЩИ, Д. ЛАРЕВО, УЛ. ХВОЙНАЯ, ВЛД. 22, СТР. 1</t>
  </si>
  <si>
    <t>+74954516660</t>
  </si>
  <si>
    <t>notarybaranova@mail.ru</t>
  </si>
  <si>
    <t>ООО "Т-ИНВЕСТ"</t>
  </si>
  <si>
    <t>ОБЩЕСТВО С ОГРАНИЧЕННОЙ ОТВЕТСТВЕННОСТЬЮ "Т-ИНВЕСТ"</t>
  </si>
  <si>
    <t>2007-06-13</t>
  </si>
  <si>
    <t>ЗАХАРОВ ЕВГЕНИЙ ВЛАДИСЛАВОВИЧ</t>
  </si>
  <si>
    <t>119311, Г.МОСКВА, ВН.ТЕР.Г. МУНИЦИПАЛЬНЫЙ ОКРУГ РАМЕНКИ, ПР-КТ ЛОМОНОСОВСКИЙ, Д. 25, К. 2, ПОМЕЩ. 8/1</t>
  </si>
  <si>
    <t>+74953367105</t>
  </si>
  <si>
    <t>ООО "ПКО "КРЕДИТ ИНКАСО РУС"</t>
  </si>
  <si>
    <t>ОБЩЕСТВО С ОГРАНИЧЕННОЙ ОТВЕТСТВЕННОСТЬЮ "ПРОФЕССИОНАЛЬНАЯ КОЛЛЕКТОРСКАЯ ОРГАНИЗАЦИЯ "КРЕДИТ ИНКАСО РУС"</t>
  </si>
  <si>
    <t>2003-09-26</t>
  </si>
  <si>
    <t>82.99</t>
  </si>
  <si>
    <t>Деятельность по предоставлению прочих вспомогательных услуг для бизнеса, не включенная в другие группировки</t>
  </si>
  <si>
    <t>45.20,45.3,46.1,46.4,46.73,46.90,47.5,52.29,56.10,56.10.1,56.10.3,64.99,64.99.11,69.10,70.22,73.11,82.99</t>
  </si>
  <si>
    <t>СТРЕЛКОВСКАЯ АЛЛА-МАРИЯ АДАМОВНА</t>
  </si>
  <si>
    <t>127273,  Г.МОСКВА, АЛ. БЕРЁЗОВАЯ, Д. 5АСТР7, ПОМЕЩ. 4</t>
  </si>
  <si>
    <t>+79852227231,+74956400395,+79030199210</t>
  </si>
  <si>
    <t>kredytinkaso.ru</t>
  </si>
  <si>
    <t>office_moscow@kredytinkaso.ru,alla.strzalkowska@kredytinkaso.pl</t>
  </si>
  <si>
    <t>ООО "АКОС"</t>
  </si>
  <si>
    <t>ОБЩЕСТВО С ОГРАНИЧЕННОЙ ОТВЕТСТВЕННОСТЬЮ "АКОС"</t>
  </si>
  <si>
    <t>1992-05-26</t>
  </si>
  <si>
    <t>46.73,47.52,49.4,52.10,52.24,52.29,82.92</t>
  </si>
  <si>
    <t>БАЛАНДИН АЛЕКСЕЙ ГЕННАДИЕВИЧ</t>
  </si>
  <si>
    <t>143006,  МОСКОВСКАЯ ОБЛАСТЬ, Г. ОДИНЦОВО, УЛ. ВНУКОВСКАЯ, Д.11</t>
  </si>
  <si>
    <t>+74955141156</t>
  </si>
  <si>
    <t>acos.ru</t>
  </si>
  <si>
    <t>notariuszaharov@rambler.ru</t>
  </si>
  <si>
    <t>26</t>
  </si>
  <si>
    <t>ООО "РЕММЕРС"</t>
  </si>
  <si>
    <t>ОБЩЕСТВО С ОГРАНИЧЕННОЙ ОТВЕТСТВЕННОСТЬЮ "РЕММЕРС"</t>
  </si>
  <si>
    <t>2012-09-10</t>
  </si>
  <si>
    <t>16.10.9,20.12,20.13,20.14,20.30,20.30.1,20.30.2,20.59,47.19,47.52,47.91,49.41,52.24,52.29,70.22,73.1,74.90.6,82.92,82.99</t>
  </si>
  <si>
    <t>БАБИЧ АНДРЕЙ ЮРЬЕВИЧ</t>
  </si>
  <si>
    <t>123060,  Г.МОСКВА, УЛ. МАРШАЛА СОКОЛОВСКОГО, Д.5</t>
  </si>
  <si>
    <t>+79090006500,+79096506560,+74952256982,+74954190190,+74957442299,+78123320566,+78633051186,+79031352528,+79057228862,+79104174560,+74956443596,+79163602424,+70572288628,+78909650656,+70849564435,+79684952256,+79828495419,+70190849574,+74229988123,+73205668863,+73051186890,+73135252889,+74956340190</t>
  </si>
  <si>
    <t>remmers.ru</t>
  </si>
  <si>
    <t>eshmyrov@remmers.ru</t>
  </si>
  <si>
    <t>ООО "НЦ ТЕХНОСПАРК"</t>
  </si>
  <si>
    <t>ОБЩЕСТВО С ОГРАНИЧЕННОЙ ОТВЕТСТВЕННОСТЬЮ "НАНОТЕХНОЛОГИЧЕСКИЙ ЦЕНТР ТЕХНОСПАРК"</t>
  </si>
  <si>
    <t>2012-05-21</t>
  </si>
  <si>
    <t>46.90,64.92,68.20,70.22,72.19,73.20,77.39.29</t>
  </si>
  <si>
    <t>ЕРМИЛОВ ВЛАДИМИР АЛЕКСАНДРОВИЧ</t>
  </si>
  <si>
    <t>108840,  Г.МОСКВА, Г ТРОИЦК, УЛ ПРОМЫШЛЕННАЯ, Д. 2А</t>
  </si>
  <si>
    <t>+74992717175,+79037216361,+74956603752</t>
  </si>
  <si>
    <t>technospark.ru</t>
  </si>
  <si>
    <t>info@it-park.org,null@null.ru</t>
  </si>
  <si>
    <t>ООО "МИДАС"</t>
  </si>
  <si>
    <t>ОБЩЕСТВО С ОГРАНИЧЕННОЙ ОТВЕТСТВЕННОСТЬЮ "МИДАС"</t>
  </si>
  <si>
    <t>2013-09-18</t>
  </si>
  <si>
    <t>62.02</t>
  </si>
  <si>
    <t>Деятельность консультативная и работы в области компьютерных технологий</t>
  </si>
  <si>
    <t>26.20,62.01,62.09,63.11,63.11.1,85.30,85.42</t>
  </si>
  <si>
    <t>КАН ОЛЕГ АЛЕКСЕЕВИЧ</t>
  </si>
  <si>
    <t>115280,  Г.МОСКВА, УЛ. ЛЕНИНСКАЯ СЛОБОДА, Д. 19, КОМ. 21К</t>
  </si>
  <si>
    <t>+79653509462,+74959398432,+74952690257,+79661537330,+74952322232,+79099735756</t>
  </si>
  <si>
    <t>okan@midasit.com,terentev@midasit.com,info@midasit.com,rusupport@midasit.com,а@mail.ru,66@mail.ru</t>
  </si>
  <si>
    <t>ООО "АБЕТ"</t>
  </si>
  <si>
    <t>ОБЩЕСТВО С ОГРАНИЧЕННОЙ ОТВЕТСТВЕННОСТЬЮ "АБЕТ"</t>
  </si>
  <si>
    <t>2004-11-03</t>
  </si>
  <si>
    <t>46.76</t>
  </si>
  <si>
    <t>Торговля оптовая прочими промежуточными продуктами</t>
  </si>
  <si>
    <t>31.09,46.1,46.47.3,46.90,47.78.9,52.29,68.10,68.20,69.10,69.20,70.22,73.11,73.20,74.30,82.19,82.99</t>
  </si>
  <si>
    <t>БУРМАТОВА НАТАЛЬЯ АЛЕКСАНДРОВНА</t>
  </si>
  <si>
    <t>101000, Г.МОСКВА, ВН.ТЕР.Г. МУНИЦИПАЛЬНЫЙ ОКРУГ БАСМАННЫЙ, Б-Р ЧИСТОПРУДНЫЙ, Д. 5</t>
  </si>
  <si>
    <t>+74952091515,+70952091515</t>
  </si>
  <si>
    <t>ООО "СУПЕРОЙЛ"</t>
  </si>
  <si>
    <t>ОБЩЕСТВО С ОГРАНИЧЕННОЙ ОТВЕТСТВЕННОСТЬЮ "СУПЕРОЙЛ"</t>
  </si>
  <si>
    <t>2002-06-03</t>
  </si>
  <si>
    <t>08.12,08.12.1,42.11,46.73,47.11,47.30,47.52,47.52.79,47.81,49.20,49.20.1,49.20.9,49.41,50.20,50.40,52.21,68.10,79.90,88.99</t>
  </si>
  <si>
    <t>ФЕДОРОВ КИРИЛЛ ЮРЬЕВИЧ</t>
  </si>
  <si>
    <t>127473, Г.МОСКВА, ВН.ТЕР.Г. МУНИЦИПАЛЬНЫЙ ОКРУГ ТВЕРСКОЙ, УЛ СЕЛЕЗНЕВСКАЯ, Д. 22, ПОМЕЩ. 4/Т</t>
  </si>
  <si>
    <t>+74951572507</t>
  </si>
  <si>
    <t>189</t>
  </si>
  <si>
    <t>ООО "ИМА ИНДАСТРИЗ"</t>
  </si>
  <si>
    <t>ОБЩЕСТВО С ОГРАНИЧЕННОЙ ОТВЕТСТВЕННОСТЬЮ "ИМА ИНДАСТРИЗ"</t>
  </si>
  <si>
    <t>2004-10-18</t>
  </si>
  <si>
    <t>46.69.4</t>
  </si>
  <si>
    <t>Торговля оптовая машинами и оборудованием для производства пищевых продуктов, напитков и табачных изделий</t>
  </si>
  <si>
    <t>32.99.9,33.12,46.14.9,46.18.99,46.19,46.6,46.69,46.69.2,46.69.4,46.69.9,46.90,52.29,73.20.1</t>
  </si>
  <si>
    <t>КАПРА АНДРЕА</t>
  </si>
  <si>
    <t>115162,  Г.МОСКВА, УЛ. ШАБОЛОВКА, Д. 31, СТР. 8, ПОМЕЩ. 1</t>
  </si>
  <si>
    <t>+74957805865,+78121021185,+74956692300</t>
  </si>
  <si>
    <t>ООО "КИНТЕТЦУ (РУС)"</t>
  </si>
  <si>
    <t>ОБЩЕСТВО С ОГРАНИЧЕННОЙ ОТВЕТСТВЕННОСТЬЮ "КИНТЕТЦУ УОРЛД ЭКСПРЕСС (РУС), ИНК."</t>
  </si>
  <si>
    <t>2004-10-14</t>
  </si>
  <si>
    <t>49.41.2,52.29</t>
  </si>
  <si>
    <t>МОЛЕНААР МАХИЛ ЭРИЕ</t>
  </si>
  <si>
    <t>125362,  Г.МОСКВА, УЛ. ВИШНЁВАЯ, Д. 9, К. 1, ОФИС 411</t>
  </si>
  <si>
    <t>+78124164002,+74955102184,+74957713969,+74959375870,+78124164001,+74959373265,+74956265266,+74957457794,+78123804387,+78126358261,+78126358262,+74236642512,+78123804385</t>
  </si>
  <si>
    <t>kwe-russia.ru</t>
  </si>
  <si>
    <t>kwemow@kwe.su</t>
  </si>
  <si>
    <t>ООО "ВОСТОКГОРМАШ"</t>
  </si>
  <si>
    <t>ОБЩЕСТВО С ОГРАНИЧЕННОЙ ОТВЕТСТВЕННОСТЬЮ "ВОСТОЧНЫЕ ГОРНЫЕ МАШИНЫ"</t>
  </si>
  <si>
    <t>2007-05-15</t>
  </si>
  <si>
    <t>46.69.9</t>
  </si>
  <si>
    <t>Торговля оптовая прочими машинами, приборами, аппаратурой и оборудованием общепромышленного и специального назначения</t>
  </si>
  <si>
    <t>46.1,46.14,46.6,46.61,46.62,46.63,46.64,46.69,46.69.3,46.69.5,46.69.9,46.73.3,46.74.2,74.20,74.30,82.92</t>
  </si>
  <si>
    <t>Лаврухин Владимир Александрович</t>
  </si>
  <si>
    <t>117279, Г.МОСКВА, ВН.ТЕР.Г. МУНИЦИПАЛЬНЫЙ ОКРУГ КОНЬКОВО, УЛ МИКЛУХО-МАКЛАЯ, Д. 36А</t>
  </si>
  <si>
    <t>+79152310099,+73843994394</t>
  </si>
  <si>
    <t>ООО "ШТИБЕЛЬ ЭЛЬТРОН"</t>
  </si>
  <si>
    <t>ОБЩЕСТВО С ОГРАНИЧЕННОЙ ОТВЕТСТВЕННОСТЬЮ "ШТИБЕЛЬ ЭЛЬТРОН"</t>
  </si>
  <si>
    <t>2007-03-06</t>
  </si>
  <si>
    <t>46.43.1</t>
  </si>
  <si>
    <t>Торговля оптовая электрической бытовой техникой</t>
  </si>
  <si>
    <t>27.51,33.12,33.13,33.14,46.47.1,46.49.5,46.69,46.73.3,47.19,47.59.9,47.91.2,47.91.4,49.41.2,49.41.3,52.29,73.20,82.99,95.22</t>
  </si>
  <si>
    <t>ПАЩЕНКО АЛЕКСАНДР НИКОЛАЕВИЧ</t>
  </si>
  <si>
    <t>129343,  Г.МОСКВА, УЛ. УРЖУМСКАЯ, Д.4, СТР.2</t>
  </si>
  <si>
    <t>+74957753889,+74957753887,+74951812255,+74952152917,+78005553371,+78007756589,+78123855749,+74951250125,+79263533526</t>
  </si>
  <si>
    <t>www.stiebel-eltron.ru</t>
  </si>
  <si>
    <t>ЗАО "ПРОФЭСТЕЙТ"</t>
  </si>
  <si>
    <t>ЗАКРЫТОЕ АКЦИОНЕРНОЕ ОБЩЕСТВО "ПРОФЭСТЕЙТ"</t>
  </si>
  <si>
    <t>2008-09-04</t>
  </si>
  <si>
    <t>41.20,41.20,43.21,43.39,64.99.3,68.10.22,68.20,68.32,68.32.2,70.22</t>
  </si>
  <si>
    <t>ЛОМОВ МИХАИЛ АЛЕКСАНДРОВИЧ</t>
  </si>
  <si>
    <t>125009,  Г.МОСКВА, УЛ. ТВЕРСКАЯ, Д.16, СТР.3</t>
  </si>
  <si>
    <t>+74953631457,+74953631458,+74959358374,+74959358376</t>
  </si>
  <si>
    <t>profestate.ru</t>
  </si>
  <si>
    <t>gizatulina_gf@profestate.ru,gizatulinagf@profestate.ru</t>
  </si>
  <si>
    <t>ООО КОМПАНИЯ "МЕГАПЬЮТЕР ИНТЕЛЛИДЖЕНС"</t>
  </si>
  <si>
    <t>ОБЩЕСТВО С ОГРАНИЧЕННОЙ ОТВЕТСТВЕННОСТЬЮ КОМПАНИЯ "МЕГАПЬЮТЕР ИНТЕЛЛИДЖЕНС"</t>
  </si>
  <si>
    <t>1993-12-01</t>
  </si>
  <si>
    <t>18.20,46.15,46.43,47.41,47.41.4,47.59.1,47.78.1,62.02,63.11.1,69.10,72.19,82.99</t>
  </si>
  <si>
    <t>ШИШОВ ДМИТРИЙ ВЛАДИМИРОВИЧ</t>
  </si>
  <si>
    <t>105066, Г.МОСКВА, ВН.ТЕР.Г. МУНИЦИПАЛЬНЫЙ ОКРУГ БАСМАННЫЙ, УЛ НИЖНЯЯ КРАСНОСЕЛЬСКАЯ, Д. 35, СТР. 64, ПОМЕЩ. 13А/7</t>
  </si>
  <si>
    <t>+79154242345,+74997530129</t>
  </si>
  <si>
    <t>megaputer.ru</t>
  </si>
  <si>
    <t>russkikh@megaputer.ru,salnikova@alpschase.com</t>
  </si>
  <si>
    <t>36</t>
  </si>
  <si>
    <t>ООО "А-РИЭЛТИ"</t>
  </si>
  <si>
    <t>ОБЩЕСТВО С ОГРАНИЧЕННОЙ ОТВЕТСТВЕННОСТЬЮ "А-РИЭЛТИ"</t>
  </si>
  <si>
    <t>2001-07-26</t>
  </si>
  <si>
    <t>68.10,68.10.1,68.10.11,68.10.12,68.10.21,68.10.23,68.20.1,68.31</t>
  </si>
  <si>
    <t>ЭНДЛИНА СОФЬЯ КОНСТАНТИНОВНА</t>
  </si>
  <si>
    <t>127018,  Г.МОСКВА, УЛ. СКЛАДОЧНАЯ, Д. 1, СТР. 7, ЭТАЖ 2 ОФИС 8</t>
  </si>
  <si>
    <t>+74957868035,+74957868026</t>
  </si>
  <si>
    <t>skladochnaya-1.ru</t>
  </si>
  <si>
    <t>ООО "АВАНС"</t>
  </si>
  <si>
    <t>ОБЩЕСТВО С ОГРАНИЧЕННОЙ ОТВЕТСТВЕННОСТЬЮ "АВАНС"</t>
  </si>
  <si>
    <t>31.01</t>
  </si>
  <si>
    <t>Производство мебели для офисов и предприятий торговли</t>
  </si>
  <si>
    <t>31.02,31.09,46.15.1,46.47.1,46.49.4,47.59.1,47.91.2</t>
  </si>
  <si>
    <t>НЮ ЕКАТЕРИНА ЛЕОНИДОВНА</t>
  </si>
  <si>
    <t>111024, Г.МОСКВА, ВН.ТЕР.Г. МУНИЦИПАЛЬНЫЙ ОКРУГ ПЕРОВО, УЛ 2-Я ЭНТУЗИАСТОВ, Д. 5, К. 50</t>
  </si>
  <si>
    <t>+74957976797</t>
  </si>
  <si>
    <t>44</t>
  </si>
  <si>
    <t>ООО "ЛИКСИ"</t>
  </si>
  <si>
    <t>ОБЩЕСТВО С ОГРАНИЧЕННОЙ ОТВЕТСТВЕННОСТЬЮ "ЛИКСИ"</t>
  </si>
  <si>
    <t>2014-12-26</t>
  </si>
  <si>
    <t>46.74</t>
  </si>
  <si>
    <t>Торговля оптовая скобяными изделиями, водопроводным и отопительным оборудованием и принадлежностями</t>
  </si>
  <si>
    <t>25.72,25.73,25.93,25.94,25.99,28.24,46.43,46.49,46.62,46.63,46.69,46.72,46.72.21,46.72.22,46.73,46.75,46.90,47.43,47.52,47.54,47.91,52.10,52.24,52.29,53.20,62.09,68.10,68.20,68.32,77.11,77.12,77.29,77.32,77.39,82.92</t>
  </si>
  <si>
    <t>АМЕЛЬКИН МИХАИЛ АНДРЕЕВИЧ</t>
  </si>
  <si>
    <t>121471, Г.МОСКВА, ВН.ТЕР.Г. МУНИЦИПАЛЬНЫЙ ОКРУГ ОЧАКОВО-МАТВЕЕВСКОЕ, УЛ РЯБИНОВАЯ, Д. 55, СТР. 9</t>
  </si>
  <si>
    <t>+79645650568</t>
  </si>
  <si>
    <t>ООО "ШАРОН-ИНВЕСТ"</t>
  </si>
  <si>
    <t>ОБЩЕСТВО С ОГРАНИЧЕННОЙ ОТВЕТСТВЕННОСТЬЮ "ШАРОН-ИНВЕСТ"</t>
  </si>
  <si>
    <t>2011-09-29</t>
  </si>
  <si>
    <t>68.10.21</t>
  </si>
  <si>
    <t>Покупка и продажа собственного жилого недвижимого имущества</t>
  </si>
  <si>
    <t>64.99.11,64.99.3,68.10,68.10.1,68.20,68.32,69.10,70.10.2,70.22,82.99</t>
  </si>
  <si>
    <t>ОБЩЕСТВО С ОГРАНИЧЕННОЙ ОТВЕТСТВЕННОСТЬЮ "УНИКОСЕРВИС"</t>
  </si>
  <si>
    <t>119285,  Г.МОСКВА, УЛ. МИНСКАЯ, Д. 1А</t>
  </si>
  <si>
    <t>+74997376176</t>
  </si>
  <si>
    <t>101@unicoservice.org</t>
  </si>
  <si>
    <t>ООО "БОСТОК ДВ"</t>
  </si>
  <si>
    <t>ОБЩЕСТВО С ОГРАНИЧЕННОЙ ОТВЕТСТВЕННОСТЬЮ "БОСТОК ДАЛЬНИЙ ВОСТОК"</t>
  </si>
  <si>
    <t>2017-05-24</t>
  </si>
  <si>
    <t>46.31.13</t>
  </si>
  <si>
    <t>Торговля оптовая свежими фруктами и орехами</t>
  </si>
  <si>
    <t>01.24,10.32,10.39.2,10.82.5,10.86.2,47.21,70.22</t>
  </si>
  <si>
    <t>ЧЕРНОВ ИГОРЬ ЮРЬЕВИЧ</t>
  </si>
  <si>
    <t>117208, Г.МОСКВА, ВН.ТЕР.Г. МУНИЦИПАЛЬНЫЙ ОКРУГ ЧЕРТАНОВО СЕВЕРНОЕ, УЛ ЧЕРТАНОВСКАЯ, Д. 7А, ПОМЕЩ. 22Н/3</t>
  </si>
  <si>
    <t>+79147077363,+79089942075,+79142980721,+74232746363,+79046280721</t>
  </si>
  <si>
    <t>ООО "МАРТИН БРАУН"</t>
  </si>
  <si>
    <t>ОБЩЕСТВО С ОГРАНИЧЕННОЙ ОТВЕТСТВЕННОСТЬЮ "МАРТИН БРАУН"</t>
  </si>
  <si>
    <t>2018-03-15</t>
  </si>
  <si>
    <t>46.38.2</t>
  </si>
  <si>
    <t>Торговля оптовая прочими пищевыми продуктами</t>
  </si>
  <si>
    <t>10.32,10.72.31,10.82,10.89.9,46.36.2,46.36.3,46.38.21,46.38.29</t>
  </si>
  <si>
    <t>ЦУРБИН ВИТАЛИЙ ВАЛЕНТИНОВИЧ</t>
  </si>
  <si>
    <t>109428,  Г.МОСКВА, ПР-КТ РЯЗАНСКИЙ, Д. 24, К. 1, ЭТ 1 ПОМ 2 КОМ 97</t>
  </si>
  <si>
    <t>+79104560002</t>
  </si>
  <si>
    <t>ООО "СК ГЕНЕЗИС"</t>
  </si>
  <si>
    <t>ОБЩЕСТВО С ОГРАНИЧЕННОЙ ОТВЕТСТВЕННОСТЬЮ "СТРОИТЕЛЬНАЯ КОМПАНИЯ ГЕНЕЗИС"</t>
  </si>
  <si>
    <t>2018-02-27</t>
  </si>
  <si>
    <t>49.42,52.21,52.29,68.20,69.10,69.20,96.09</t>
  </si>
  <si>
    <t>БЕРДУКАЕВ ЮСУП АДНАНОВИЧ</t>
  </si>
  <si>
    <t>125167, Г.МОСКВА, ВН.ТЕР.Г. МУНИЦИПАЛЬНЫЙ ОКРУГ ХОРОШЕВСКИЙ, ПР-КТ ЛЕНИНГРАДСКИЙ, Д. 37, ПОМЕЩ. 28/13</t>
  </si>
  <si>
    <t>+74995799202,+79109474767</t>
  </si>
  <si>
    <t>ООО "МПМ УПАКОВКА"</t>
  </si>
  <si>
    <t>ОБЩЕСТВО С ОГРАНИЧЕННОЙ ОТВЕТСТВЕННОСТЬЮ "МПМ УПАКОВКА"</t>
  </si>
  <si>
    <t>17.21</t>
  </si>
  <si>
    <t>Производство гофрированной бумаги и картона, бумажной и картонной тары</t>
  </si>
  <si>
    <t>17.12,17.29,46.76.1</t>
  </si>
  <si>
    <t>БАРАБОШКИН МАКСИМ ВЛАДИМИРОВИЧ</t>
  </si>
  <si>
    <t>107140, Г.МОСКВА, ВН.ТЕР.Г. МУНИЦИПАЛЬНЫЙ ОКРУГ КРАСНОСЕЛЬСКИЙ, УЛ ВЕРХНЯЯ КРАСНОСЕЛЬСКАЯ, Д. 2/1, СТР. 1</t>
  </si>
  <si>
    <t>+79162879777</t>
  </si>
  <si>
    <t>60</t>
  </si>
  <si>
    <t>ООО "АБК-ГРУПП"</t>
  </si>
  <si>
    <t>ОБЩЕСТВО С ОГРАНИЧЕННОЙ ОТВЕТСТВЕННОСТЬЮ "АБК-ГРУПП"</t>
  </si>
  <si>
    <t>2017-02-03</t>
  </si>
  <si>
    <t>43.29,43.39,68.10.12,68.10.22,68.31.21,81.21</t>
  </si>
  <si>
    <t>ЩЕРБА ОЛЕГ НИКОЛАЕВИЧ</t>
  </si>
  <si>
    <t>109316,  Г.МОСКВА, ПР-КТ ВОЛГОГРАДСКИЙ, Д. 21, СТР. 1, ПОМЕЩ. II, КОМНАТА 1</t>
  </si>
  <si>
    <t>+74952800173</t>
  </si>
  <si>
    <t>ООО "АКСИОМА"</t>
  </si>
  <si>
    <t>ОБЩЕСТВО С ОГРАНИЧЕННОЙ ОТВЕТСТВЕННОСТЬЮ "АКСИОМА"</t>
  </si>
  <si>
    <t>2022-06-29</t>
  </si>
  <si>
    <t>82.92</t>
  </si>
  <si>
    <t>Деятельность по упаковыванию товаров</t>
  </si>
  <si>
    <t>45.11,45.20,45.32,45.40,46.73.4,46.90,47.30,47.52.2,52.10,52.10.2,52.10.9,52.21,52.24,52.24.1,52.24.2,63.12</t>
  </si>
  <si>
    <t>КИНДЕЕВ АЛЕКСАНДР ВАЛЕРЬЕВИЧ</t>
  </si>
  <si>
    <t>105082, Г.МОСКВА, ВН.ТЕР.Г. МУНИЦИПАЛЬНЫЙ ОКРУГ БАСМАННЫЙ, ПЕР ПЕРЕВЕДЕНОВСКИЙ, Д. 18, СТР. 6</t>
  </si>
  <si>
    <t>+79167230771</t>
  </si>
  <si>
    <t>ООО "ИНТЕРПАМП ГИДРАВЛИКС РУС"</t>
  </si>
  <si>
    <t>ОБЩЕСТВО С ОГРАНИЧЕННОЙ ОТВЕТСТВЕННОСТЬЮ "ИНТЕРПАМП ГИДРАВЛИКС РУС"</t>
  </si>
  <si>
    <t>2017-07-27</t>
  </si>
  <si>
    <t>46.69.1</t>
  </si>
  <si>
    <t>Торговля оптовая транспортными средствами, кроме автомобилей, мотоциклов и велосипедов</t>
  </si>
  <si>
    <t>45.31,45.31.1,45.32,45.32.1,46.69,46.69.3,46.69.9</t>
  </si>
  <si>
    <t>КАМАЛОВ АРТЕМ МАРАТОВИЧ</t>
  </si>
  <si>
    <t>117465, Г.МОСКВА, ВН.ТЕР.Г. МУНИЦИПАЛЬНЫЙ ОКРУГ ТЕПЛЫЙ СТАН, УЛ ГЕНЕРАЛА ТЮЛЕНЕВА, Д. 4А, СТР. 3</t>
  </si>
  <si>
    <t>+74992374566</t>
  </si>
  <si>
    <t>ООО "СОЛЕРАМИЧИ"</t>
  </si>
  <si>
    <t>ОБЩЕСТВО С ОГРАНИЧЕННОЙ ОТВЕТСТВЕННОСТЬЮ "СОЛЕРАМИЧИ"</t>
  </si>
  <si>
    <t>2018-03-20</t>
  </si>
  <si>
    <t>10.13.2</t>
  </si>
  <si>
    <t>Производство колбасных изделий</t>
  </si>
  <si>
    <t>10.11.3,10.12.1,10.12.2,10.12.4,10.13.1,10.13.3,10.13.4,10.13.5,10.13.6,10.13.7,10.85,10.89.1,45.20,46.33.3,46.36.3,46.38.2,47.19,47.22,49.41,52.10,52.21.24,52.24</t>
  </si>
  <si>
    <t>МАРЧЕНКО РОМАН ЛЕОНИДОВИЧ</t>
  </si>
  <si>
    <t>141504,  МОСКОВСКАЯ ОБЛАСТЬ, Г. СОЛНЕЧНОГОРСК, ПЕР. МЕХАНИЗАТОРОВ, СТР. 1В, ПОМЕЩ. 302</t>
  </si>
  <si>
    <t>+79161196757,+74959562057</t>
  </si>
  <si>
    <t>info@solemici.ru,hlaw@ws-ww.ru</t>
  </si>
  <si>
    <t>АО "АЙТИ-ЛАБ"</t>
  </si>
  <si>
    <t>АКЦИОНЕРНОЕ ОБЩЕСТВО "АЙТИ-ЛАБ"</t>
  </si>
  <si>
    <t>2024-10-07</t>
  </si>
  <si>
    <t>63.11</t>
  </si>
  <si>
    <t>Деятельность по обработке данных, предоставление услуг по размещению информации и связанная с этим деятельность</t>
  </si>
  <si>
    <t>46.51,62.01,62.03,77.33</t>
  </si>
  <si>
    <t>ЩУЧКО ВАЛЕРИЙ АНАТОЛЬЕВИЧ</t>
  </si>
  <si>
    <t>117218, Г.МОСКВА, ВН.ТЕР.Г. МУНИЦИПАЛЬНЫЙ ОКРУГ АКАДЕМИЧЕСКИЙ, УЛ КЕДРОВА, Д. 14, К. 1, ПОМЕЩ. 1/2</t>
  </si>
  <si>
    <t>+79154844505,+79117778350</t>
  </si>
  <si>
    <t>ООО "РОБУСТА ТЕХНОЛОГИИ"</t>
  </si>
  <si>
    <t>ОБЩЕСТВО С ОГРАНИЧЕННОЙ ОТВЕТСТВЕННОСТЬЮ "РОБУСТА ТЕХНОЛОГИИ"</t>
  </si>
  <si>
    <t>2022-04-28</t>
  </si>
  <si>
    <t>62.02,62.03,62.09,63.11,63.12,69.20.2,70.22,73.11,73.12,73.20</t>
  </si>
  <si>
    <t>АРТЕМОВ АЛЕКСАНДР АЛЕКСАНДРОВИЧ</t>
  </si>
  <si>
    <t>119019, Г.МОСКВА, ВН.ТЕР.Г. МУНИЦИПАЛЬНЫЙ ОКРУГ АРБАТ, ПЕР ФИЛИППОВСКИЙ, Д. 8, СТР. 1, ПОМЕЩ. 2/1</t>
  </si>
  <si>
    <t>+79636910155</t>
  </si>
  <si>
    <t>welcome@robusta.group,zaodiem@gmail.com</t>
  </si>
  <si>
    <t>102</t>
  </si>
  <si>
    <t>ООО ГК "МПА"</t>
  </si>
  <si>
    <t>ОБЩЕСТВО С ОГРАНИЧЕННОЙ ОТВЕТСТВЕННОСТЬЮ ГРУППА КОМПАНИЙ "МОСПРОМАВТОМАТИКА"</t>
  </si>
  <si>
    <t>2022-12-27</t>
  </si>
  <si>
    <t>27.12</t>
  </si>
  <si>
    <t>Производство электрической распределительной и регулирующей аппаратуры</t>
  </si>
  <si>
    <t>27.90.9,33.14,33.20,41.20,43.21,43.22,43.29,43.39,43.91,43.99.1,46.43,46.44,46.49,46.61,46.62,46.63,46.64,46.69,46.69.5,46.73,46.74,46.90,62.01,62.02,71.12.1,71.12.12,71.20.4,82.99</t>
  </si>
  <si>
    <t>ИВЕНКОВ ВЛАДИМИР ВИКТОРОВИЧ</t>
  </si>
  <si>
    <t>127015, Г.МОСКВА, ВН.ТЕР.Г. МУНИЦИПАЛЬНЫЙ ОКРУГ БУТЫРСКИЙ, УЛ НОВОДМИТРОВСКАЯ, Д. 5А, СТР. 1, ОФИС 1810</t>
  </si>
  <si>
    <t>+79260773610</t>
  </si>
  <si>
    <t>АО "АГРОПРОМЦИФРА"</t>
  </si>
  <si>
    <t>АКЦИОНЕРНОЕ ОБЩЕСТВО "АГРОПРОМЫШЛЕННЫЙ ЦЕНТР ЦИФРОВИЗАЦИИ"</t>
  </si>
  <si>
    <t>2023-06-02</t>
  </si>
  <si>
    <t>18.11,18.12,18.13,18.14,43.21,46.51,46.51.2,46.52,56.10,56.30,58.14,58.19,58.29,59.11,59.20,62.01,62.02,62.02.1,62.02.2,62.02.3,62.02.4,62.02.9,62.03,62.03.1,62.03.11,62.03.12,62.03.13,62.03.19,62.09,63.11,63.11.1,63.11.9,63.12,63.91,63.99.1,70.22,72.19,72.19.4,73.11,74.10,74.20,74.90.4,74.90.9,77.33,77.40,78.10,79.90,82.11,82.30,82.99,85.42,93.29,95.11,95.12,96.09</t>
  </si>
  <si>
    <t>ЧЕБУНИНА ОЛЬГА АЛЕКСАНДРОВНА</t>
  </si>
  <si>
    <t>107078, Г.МОСКВА, ВН.ТЕР.Г. МУНИЦИПАЛЬНЫЙ ОКРУГ КРАСНОСЕЛЬСКИЙ, УЛ САДОВАЯ-СПАССКАЯ, Д. 11/1</t>
  </si>
  <si>
    <t>+74959708702,+79168112394,+79262823908,+79055884613</t>
  </si>
  <si>
    <t>info@agropromcifra.ru,o.bushmanov@agropromcifra.ru,zakupki@agropromcifra.ru,agropromcifra@yandex.ru</t>
  </si>
  <si>
    <t>101</t>
  </si>
  <si>
    <t>ООО "СИЛ"</t>
  </si>
  <si>
    <t>ОБЩЕСТВО С ОГРАНИЧЕННОЙ ОТВЕТСТВЕННОСТЬЮ "СИЛ"</t>
  </si>
  <si>
    <t>2022-08-15</t>
  </si>
  <si>
    <t>49.20</t>
  </si>
  <si>
    <t>Деятельность железнодорожного транспорта: грузовые перевозки</t>
  </si>
  <si>
    <t>46.21</t>
  </si>
  <si>
    <t>ЛИПЕНИН ИГОРЬ СЕРГЕЕВИЧ</t>
  </si>
  <si>
    <t>119048, Г.МОСКВА, ВН.ТЕР.Г. МУНИЦИПАЛЬНЫЙ ОКРУГ ХАМОВНИКИ, УЛ УСАЧЁВА, Д. 11, КВ. 94Б</t>
  </si>
  <si>
    <t>+79198599559</t>
  </si>
  <si>
    <t>lipeninigor@gmail.com</t>
  </si>
  <si>
    <t>ООО "МАСТЕР-ИНВЕСТ"</t>
  </si>
  <si>
    <t>ОБЩЕСТВО С ОГРАНИЧЕННОЙ ОТВЕТСТВЕННОСТЬЮ "МАСТЕР-ИНВЕСТ"</t>
  </si>
  <si>
    <t>2007-01-11</t>
  </si>
  <si>
    <t>41.20,43.39,43.99,46.19,46.39,46.69,47.29,49.41.2,52.10,52.24,55.10,58,63.11.1,68.20.2,68.32.1,70.22,71.11.1,71.12,73.11,82.99</t>
  </si>
  <si>
    <t>ПЕТРОВА ТАТЬЯНА АЛЕКСАНДРОВНА</t>
  </si>
  <si>
    <t>121596, Г.МОСКВА, ВН.ТЕР.Г. МУНИЦИПАЛЬНЫЙ ОКРУГ МОЖАЙСКИЙ, УЛ ГОРБУНОВА, Д. 2, СТР. 3, ПОМЕЩ. 36/5</t>
  </si>
  <si>
    <t>+74957717023,+74999404810,+74993603292</t>
  </si>
  <si>
    <t>www.maximahotels.ru</t>
  </si>
  <si>
    <t>info@maximahotels.ru,stroim-hotel2009@yandex.ru,masterinvest@info.com,mastep@info.ru,info@master.ru</t>
  </si>
  <si>
    <t>ООО "АКВАДЕМИ"</t>
  </si>
  <si>
    <t>ОБЩЕСТВО С ОГРАНИЧЕННОЙ ОТВЕТСТВЕННОСТЬЮ "АКВАДЕМИ"</t>
  </si>
  <si>
    <t>2007-09-10</t>
  </si>
  <si>
    <t>46.73.3</t>
  </si>
  <si>
    <t>Торговля оптовая санитарно-техническим оборудованием</t>
  </si>
  <si>
    <t>46.18.99,46.73.3,47.52.5,47.78.9,68.20,70.22,73.11,73.20.1</t>
  </si>
  <si>
    <t>ИГНАТЬЕВ МИХАИЛ ЛЕОНИДОВИЧ</t>
  </si>
  <si>
    <t>107023,  Г.МОСКВА, ПЛ. СЕМЁНОВСКАЯ, Д. 1А, ЭТ 21 ОФИС ПОМ 1-9</t>
  </si>
  <si>
    <t>+74956470735,+74956470745</t>
  </si>
  <si>
    <t>info@aquademie.ru,mikhail.ignatiev@hansgrohe.com</t>
  </si>
  <si>
    <t>20</t>
  </si>
  <si>
    <t>АО "СПА"</t>
  </si>
  <si>
    <t>АКЦИОНЕРНОЕ ОБЩЕСТВО "СПЕЦИАЛИЗИРОВАННЫЙ ПЕНСИОННЫЙ АДМИНИСТРАТОР"</t>
  </si>
  <si>
    <t>2007-12-26</t>
  </si>
  <si>
    <t>66.2</t>
  </si>
  <si>
    <t>Деятельность вспомогательная в сфере страхования и пенсионного обеспечения</t>
  </si>
  <si>
    <t>58.29,62.01,62.02,62.09,63.11,63.11.1,69.10,69.20.2,73.20,73.20.2,74.90.9,74.90.91,74.90.92,74.90.99,78.10,78.30,79.90,82.20,82.99</t>
  </si>
  <si>
    <t>БОРИН АНДРЕЙ ВАДИМОВИЧ</t>
  </si>
  <si>
    <t>127006,  Г.МОСКВА, УЛ МАЛАЯ ДМИТРОВКА, Д. 10</t>
  </si>
  <si>
    <t>+79260245108,+74992605411,+74952626264,+74952628124</t>
  </si>
  <si>
    <t>akupchik@spadmin.ru,spadmin@spadmin.ru,aborin@spadmin.ru</t>
  </si>
  <si>
    <t>ООО "МТ - ГРУП"</t>
  </si>
  <si>
    <t>ОБЩЕСТВО С ОГРАНИЧЕННОЙ ОТВЕТСТВЕННОСТЬЮ "МТ - ГРУП"</t>
  </si>
  <si>
    <t>2007-12-29</t>
  </si>
  <si>
    <t>49.20.9</t>
  </si>
  <si>
    <t>Перевозка прочих грузов</t>
  </si>
  <si>
    <t>30.20.9,33.17,45.20,46.90,49.20,52.21.1</t>
  </si>
  <si>
    <t>ИЗМАЙЛОВ БУЛАТ РАФЕКОВИЧ</t>
  </si>
  <si>
    <t>107078, Г.МОСКВА, ВН.ТЕР.Г. МУНИЦИПАЛЬНЫЙ ОКРУГ КРАСНОСЕЛЬСКИЙ, УЛ КАЛАНЧЕВСКАЯ, Д. 2/1, СТР. 1, ЭТАЖ 9, ПОМЕЩ. 923</t>
  </si>
  <si>
    <t>+79032945054</t>
  </si>
  <si>
    <t>ООО "УМНЫЕ РЕШЕНИЯ РУС"</t>
  </si>
  <si>
    <t>ОБЩЕСТВО С ОГРАНИЧЕННОЙ ОТВЕТСТВЕННОСТЬЮ "УМНЫЕ РЕШЕНИЯ РУС"</t>
  </si>
  <si>
    <t>2006-05-04</t>
  </si>
  <si>
    <t>46.77,47.52,52.29,62.01,62.02.4,77.39.27,16.29.12,25.99.25,27.90,46.15,46.74,47.24.2,47.52,47.52.73,47.59,47.59.9,82.99,95.29</t>
  </si>
  <si>
    <t>РУНИЧ ИГОР</t>
  </si>
  <si>
    <t>117420,  Г.МОСКВА, УЛ. НАМЁТКИНА, Д. 12А, ЭТ 15 ПXXII КОМ 2-4</t>
  </si>
  <si>
    <t>+79853415006,+74957870785,+74957870784,+79151479935,+74956488493,+79100131673,+79151100709,+74957870786</t>
  </si>
  <si>
    <t>www.haefele.com</t>
  </si>
  <si>
    <t>info@hafele.ru</t>
  </si>
  <si>
    <t>ООО "КПД - ТРАНСПОРТ"</t>
  </si>
  <si>
    <t>ОБЩЕСТВО С ОГРАНИЧЕННОЙ ОТВЕТСТВЕННОСТЬЮ "КОМПАНИЯ ПО ДОСТАВКЕ - ТРАНСПОРТ"</t>
  </si>
  <si>
    <t>2008-05-05</t>
  </si>
  <si>
    <t>49.41</t>
  </si>
  <si>
    <t>Деятельность автомобильного грузового транспорта</t>
  </si>
  <si>
    <t>45.2,45.20,45.20.2,49.42,52.10,52.21,52.21.1,52.21.2,52.24,52.24.1,52.24.2,52.29</t>
  </si>
  <si>
    <t>КОТОВ ИГОРЬ ВЛАДИМИРОВИЧ</t>
  </si>
  <si>
    <t>140073,  МОСКОВСКАЯ ОБЛАСТЬ, П ТОМИЛИНО, Р-Н ЛЮБЕРЕЦКИЙ, КМ НОВОРЯЗАНСКОГО ШОССЕ 23-Й, СТР. 27/1</t>
  </si>
  <si>
    <t>+74955581011,+74955581013,+79859231774</t>
  </si>
  <si>
    <t>ООО "Ю СЕРВИС"</t>
  </si>
  <si>
    <t>ОБЩЕСТВО С ОГРАНИЧЕННОЙ ОТВЕТСТВЕННОСТЬЮ "Ю СЕРВИС"</t>
  </si>
  <si>
    <t>2008-04-01</t>
  </si>
  <si>
    <t>28.9,35.1,35.11,35.11.1,35.11.4,35.11.4,35.12,35.2,35.30.1,35.30.4,35.30.5,37.00,38.1,38.2,38.32.2,38.32.2,38.32.3,38.32.4,41.2,41.20,42.21,42.22.2,42.99,43.2,43.21,43.22,43.29,43.91,43.99.1,43.99.7,56.10,56.10.1,56.10.3,68.32,68.32.1,68.32.2,71.1,71.12.5,71.12.6,82.99,97.0</t>
  </si>
  <si>
    <t>МОСИН ВЛАДИМИР АЛЕКСАНДРОВИЧ</t>
  </si>
  <si>
    <t>140186,  МОСКОВСКАЯ ОБЛАСТЬ, Г. ЖУКОВСКИЙ, УЛ. СОЛНЕЧНАЯ, Д. 10, ПОМЕЩ. IX</t>
  </si>
  <si>
    <t>+74964654009,+74964880175,+74957478133,+74965690675,+74987478133,+74984811092,+74964811092</t>
  </si>
  <si>
    <t>olga.vanyukova@yit.ru,yit-servis@mail.ru,rogozina.t.m@yandex.ru,dd@mail.ru</t>
  </si>
  <si>
    <t>66</t>
  </si>
  <si>
    <t>ООО "АГРОФИРМА"САФОНОВСКОЕ"</t>
  </si>
  <si>
    <t>ОБЩЕСТВО С ОГРАНИЧЕННОЙ ОТВЕТСТВЕННОСТЬЮ "АГРОФИРМА"САФОНОВСКОЕ"</t>
  </si>
  <si>
    <t>2002-03-28</t>
  </si>
  <si>
    <t>01.46</t>
  </si>
  <si>
    <t>Разведение свиней</t>
  </si>
  <si>
    <t>01.41,01.42,46.23,46.32,46.32.3,46.33.1,47.22,47.29.11</t>
  </si>
  <si>
    <t>КРАСНОВ АЛЕКСАНДР ВАЛЕНТИНОВИЧ</t>
  </si>
  <si>
    <t>140152,  МОСКОВСКАЯ ОБЛАСТЬ, Г РАМЕНСКОЕ, Д ЮРОВО, УЛ ПОЛЕВАЯ, Д. 22</t>
  </si>
  <si>
    <t>+74964643474</t>
  </si>
  <si>
    <t>ООО "ЭКО3"</t>
  </si>
  <si>
    <t>ОБЩЕСТВО С ОГРАНИЧЕННОЙ ОТВЕТСТВЕННОСТЬЮ "ЭКО3"</t>
  </si>
  <si>
    <t>2011-07-06</t>
  </si>
  <si>
    <t>18.13,18.20,46.18.3,46.51,46.69,46.69.8,46.69.9,46.90,62.02,62.09,69.10,69.20,95.11</t>
  </si>
  <si>
    <t>КНЯЗЕВ ИЛЬЯ АНАТОЛЬЕВИЧ</t>
  </si>
  <si>
    <t>115477, Г.МОСКВА, ВН.ТЕР.Г. МУНИЦИПАЛЬНЫЙ ОКРУГ МОСКВОРЕЧЬЕ-САБУРОВО, УЛ КАНТЕМИРОВСКАЯ, Д. 58, ПОМЕЩ. 20/4</t>
  </si>
  <si>
    <t>+74952342104,+74992342104</t>
  </si>
  <si>
    <t>agfa_russia@agfa.com,alexander.simonov@agfa.com,galina.pronina@agfa.com</t>
  </si>
  <si>
    <t>АО "САНАТОРИЙ "ЕРИНО"</t>
  </si>
  <si>
    <t>АКЦИОНЕРНОЕ ОБЩЕСТВО "САНАТОРИЙ "ЕРИНО"</t>
  </si>
  <si>
    <t>1999-07-21</t>
  </si>
  <si>
    <t>86.90.4</t>
  </si>
  <si>
    <t>Деятельность санаторно-курортных организаций</t>
  </si>
  <si>
    <t>11.07,11.07.1,47.11.3,47.19,47.19.1,47.99,55.10,55.20,55.30,55.90,56.10,56.10.1,56.10.2,56.10.21,56.10.22,56.10.23,56.10.24,56.10.3,56.21,56.29,56.29.1,56.29.2,56.29.3,56.29.4,56.30,68.20,68.20.2,77.21,86.10,86.22,86.23,86.90,86.90.2,88.91,93.11,93.12,93.13,93.19,93.21,93.29,93.29.1,93.29.9,96.02</t>
  </si>
  <si>
    <t>КУРОЧКИН АНДРЕЙ АЛЕКСАНДРОВИЧ</t>
  </si>
  <si>
    <t>108822, Г.МОСКВА, ВН.ТЕР.Г. МУНИЦИПАЛЬНЫЙ ОКРУГ ЩЕРБИНКА, П ЕРИНО, МКР САНАТОРИЙ, Д. 1, СТР. 13</t>
  </si>
  <si>
    <t>+74967699132,+74958675175,+74955108716,+74957159132,+74967675211,+74967675177,+74958675171,+74958699058,+79039603439,+74955435543,+74958675211,+74957675171,+74958675190,+74967699058,+74958675180,+74958675170,+74968675175,+70007675180,+77007675177,+78496767517,+74967675175,+79152009679,+74967675190,+74967675171,+74954154140</t>
  </si>
  <si>
    <t>erino.ru,www.erino.su</t>
  </si>
  <si>
    <t>u.ponomarenko@gk-osnova.ru,info@erino.ru,erino@rambler.ru,,sekretar@erino.su,secretar@erino.su,sa@erino.ru,56@mail.ru,kireeva@erino.su,erino@bk.ru,erino@rambler.ru,erino@bk.ru,,secretar@erino.ru,null@null.ru</t>
  </si>
  <si>
    <t>123</t>
  </si>
  <si>
    <t>ООО "РЕЙЛ1520"</t>
  </si>
  <si>
    <t>ОБЩЕСТВО С ОГРАНИЧЕННОЙ ОТВЕТСТВЕННОСТЬЮ "РЕЙЛ1520"</t>
  </si>
  <si>
    <t>2011-01-19</t>
  </si>
  <si>
    <t>46.77,30.20.33,30.20.4,30.20.9,33.17,46.69.1,49.10,49.20,52.21.1,52.29,77.39.12</t>
  </si>
  <si>
    <t>КРУГЛОВ АЛЕКСАНДР АЛЕКСАНДРОВИЧ</t>
  </si>
  <si>
    <t>107045, Г.МОСКВА, ВН.ТЕР.Г. МУНИЦИПАЛЬНЫЙ ОКРУГ МЕЩАНСКИЙ, ПЕР ПОСЛЕДНИЙ, Д. 11, СТР. 1</t>
  </si>
  <si>
    <t>+74959991521,+74999991520,+78126221000,+74999991521,+78126221001,+74959991520</t>
  </si>
  <si>
    <t>info@rail1520.com,info@notarius-goncharov.ru</t>
  </si>
  <si>
    <t>АО "РУЗСКОЕ МОЛОКО"</t>
  </si>
  <si>
    <t>АКЦИОНЕРНОЕ ОБЩЕСТВО "РУЗСКОЕ МОЛОКО"</t>
  </si>
  <si>
    <t>1999-10-19</t>
  </si>
  <si>
    <t>10.51.9</t>
  </si>
  <si>
    <t>Производство прочей молочной продукции</t>
  </si>
  <si>
    <t>10.51.1,10.51.2,10.51.3,10.51.1,10.51.2,10.51.3,10.51.9,10.51.9,10.86,35.30.2,35.30.3,36.00.1,36.00.2,46.33.1,46.38.21,47.29.11,47.29.21,47.29.39,49.41,68.20</t>
  </si>
  <si>
    <t>АКЦИОНЕРНОЕ ОБЩЕСТВО "РУССКОЕ МОЛОКО"</t>
  </si>
  <si>
    <t>143103,  МОСКОВСКАЯ ОБЛАСТЬ, Г. РУЗА, Ш ВОЛОКОЛАМСКОЕ, Д. 13А</t>
  </si>
  <si>
    <t>+74957846347,+74962720286,+74962750101,+74956420475,+74962720346,+74962723010,+74962721798</t>
  </si>
  <si>
    <t>www.e-disclosure.ru/portal/company.aspx?id=31687,ruzskoe-moloko.ru</t>
  </si>
  <si>
    <t>peresaa@vfp.ru,milk@rusmoloko.ru</t>
  </si>
  <si>
    <t>ООО "ГЕОКЛИМА"</t>
  </si>
  <si>
    <t>ОБЩЕСТВО С ОГРАНИЧЕННОЙ ОТВЕТСТВЕННОСТЬЮ  "ГЕОКЛИМА"</t>
  </si>
  <si>
    <t>2008-10-02</t>
  </si>
  <si>
    <t>28.25.1</t>
  </si>
  <si>
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</si>
  <si>
    <t>24.42,27.12,28.99.9,33.12,33.14,33.20,46.90,71.12.13,82.99</t>
  </si>
  <si>
    <t>АСТАШКИН ВЛАДИМИР ВАСИЛЬЕВИЧ
АСТАШКИН ВЛАДИМИР ВАСИЛЬЕВИЧ</t>
  </si>
  <si>
    <t>371800614357
371800614357</t>
  </si>
  <si>
    <t>ДИРЕКТОР
ДИРЕКТОР</t>
  </si>
  <si>
    <t>121309,  Г.МОСКВА, УЛ. БАРКЛАЯ, Д. 18/19, ОФИС 6</t>
  </si>
  <si>
    <t>+72021022511,+72021022316,+79169983222,+74953311015,+72020060815,+72021011412,+72021011907,+74952311015,+79163693482</t>
  </si>
  <si>
    <t>www.geoclima-rus.ru</t>
  </si>
  <si>
    <t>e.shipalova@geoclima.com,info@geoclima.com</t>
  </si>
  <si>
    <t>ООО "ПОЛИПАК"</t>
  </si>
  <si>
    <t>ОБЩЕСТВО С ОГРАНИЧЕННОЙ ОТВЕТСТВЕННОСТЬЮ "ПОЛИПАК"</t>
  </si>
  <si>
    <t>1999-02-11</t>
  </si>
  <si>
    <t>22.29.9</t>
  </si>
  <si>
    <t>Предоставление услуг в области производства прочих пластмассовых изделий</t>
  </si>
  <si>
    <t>25.62,46.69.9,62.09,21.20.2,22.29.9,25.62,32.50,33.12,33.12,46.46.2,46.69,46.90,52.10,62.02.9,62.09,64.92,68.20.2,69.10,69.20,70.22,71.20,74.10,74.90,74.90.5,78.30,81.10,82.99</t>
  </si>
  <si>
    <t>КУЗНЕЦОВ АЛЕКСАНДР ВЛАДИМИРОВИЧ</t>
  </si>
  <si>
    <t>141983, МОСКОВСКАЯ ОБЛАСТЬ, Г.О. ДУБНА, Г ДУБНА, УЛ ТВЕРСКАЯ, Д. 26А</t>
  </si>
  <si>
    <t>+79166720946,+74962125555,+74962124632,+74962170000,+74962129279</t>
  </si>
  <si>
    <t>a.levkovich@polipak.ru,a.simkina@polipak.ru,order@polipak.ru,magistral@notarias.ru,a.prokofiev@polipak.ru</t>
  </si>
  <si>
    <t>АО "АТП № 21"</t>
  </si>
  <si>
    <t>АКЦИОНЕРНОЕ ОБЩЕСТВО "АВТОТРАНСПОРТНОЕ ПРЕДПРИЯТИЕ № 21"</t>
  </si>
  <si>
    <t>1997-10-01</t>
  </si>
  <si>
    <t>41.2,41.20,45.1,45.20,45.20.1,45.20.2,45.3,49.4,49.41.1,49.41.2,49.41.3,52.10,52.21.2,52.21.24,52.24,52.29,68.1,68.10,68.20.2,68.3,68.31.1,68.31.12,68.31.2,68.31.22,68.31.3,68.31.32,68.31.4,68.31.42,68.32,71.20.5,74.20,74.30,77.3,77.39.1,81.29.1,81.29.9,82.92</t>
  </si>
  <si>
    <t>ТАВРЕЛЬ СЕРГЕЙ ВЛАДИМИРОВИЧ</t>
  </si>
  <si>
    <t>142000,  МОСКОВСКАЯ ОБЛАСТЬ, Г. ДОМОДЕДОВО, УЛ СТАНЦИОННАЯ (ЦЕНТРАЛЬНЫЙ МКР.), Д. 3, ПОМЕЩ. 407 (КОМНАТА №2)</t>
  </si>
  <si>
    <t>+74967934402,+74967932936,+74967972351,+74967931506,+74967930162</t>
  </si>
  <si>
    <t>АО "ЦБИ-СЕРВИС"</t>
  </si>
  <si>
    <t>АКЦИОНЕРНОЕ ОБЩЕСТВО "ЦБИ-СЕРВИС"</t>
  </si>
  <si>
    <t>2000-07-24</t>
  </si>
  <si>
    <t>62.09</t>
  </si>
  <si>
    <t>Деятельность, связанная с использованием вычислительной техники и информационных технологий, прочая</t>
  </si>
  <si>
    <t>18.20,26.20,26.51.5,43.21,46.43.2,46.49.4,46.51,46.69,46.90,58.29,61.10.9,62.01,62.02,68.10,68.20,71.20,72.19,74.90,80.30</t>
  </si>
  <si>
    <t>ГАВРИЛЕНКО АЛЕКСАНДР ВЛАДИМИРОВИЧ</t>
  </si>
  <si>
    <t>141090, МОСКОВСКАЯ ОБЛАСТЬ, Г.О. КОРОЛЁВ, Г КОРОЛЁВ, МКР ЮБИЛЕЙНЫЙ, УЛ ПИОНЕРСКАЯ, Д. 1/4, ПОМЕЩ. XVII</t>
  </si>
  <si>
    <t>+74955104498,+74955433086,+74955151598,+74955433046,+74955733060,+74955433060,+74965361284,+79163301581,+79261151137,+74965433060,+74965433086,+79036789691,+79175800404,+79262205263,+74912513505,+79955433060,+74955438086,+74995433086,+74995433060</t>
  </si>
  <si>
    <t>www.cbi-info.ru</t>
  </si>
  <si>
    <t>dgz@cbi-s.ru,trade@cbi-info.ru,,kie@cbi-info.ru,,mail@cbi-info.ru,,mail@cbi-info.ru,bes@cbi-s.ru,kd@cbi-s.ru,bue@cbi-s.ru,gds@cbi-info.ru,kd@cbi-info.ru,zaa@cbi-info.ru,net@net.ru,bogatyrev@cbi-info.ru,bue@cbi-info.ru,torgi@ivanteevka.org,fau@cbi-info.ru,azimov@cbi-info.ru,zav@cbi-info.ru,dsp@cbi-info.ru,kiv@cbi-info.ru,po@sbi-info.ru,mva@cbi-info.ru,cbi-info@mail.ru,yvz@cbi-info.ru,comdep@cbi-info.ru,123@mail.ru,mon@cbi-info.ru,aks@cbi-info.ru,info@cbi-info.ru,b3d4@icloud.com,mall@cbi-info.ru,kobzaririna@gmail.com,traid@cdi-info.ru,kie@cbi-info.ru,uma@cbi-info.ru,trade@cbi-info.ru,yvz@cdi-info.ru,iov@cbi-info.ru,iov@ci-info.ru,jov@cbi-info.ru</t>
  </si>
  <si>
    <t>ООО "АГРОНОМ"</t>
  </si>
  <si>
    <t>ОБЩЕСТВО С ОГРАНИЧЕННОЙ ОТВЕТСТВЕННОСТЬЮ "АГРОНОМ"</t>
  </si>
  <si>
    <t>2002-02-14</t>
  </si>
  <si>
    <t>01.13</t>
  </si>
  <si>
    <t>Выращивание овощей, бахчевых, корнеплодных и клубнеплодных культур, грибов и трюфелей</t>
  </si>
  <si>
    <t>01.19.2,01.25,01.25.1,01.28.1,01.30,46.18,46.31,46.31.11,46.38,47.21,47.7,52.29,56.10,56.10.1,56.10.3,68.20.2</t>
  </si>
  <si>
    <t>ХАРДИН АНДРЕЙ ВЛАДИМИРОВИЧ</t>
  </si>
  <si>
    <t>143032,  МОСКОВСКАЯ ОБЛАСТЬ, Г ОДИНЦОВО, П ГОРКИ-10, ВЛД. 1, СТР. 13</t>
  </si>
  <si>
    <t>+74956342573,+74956342015,+74956341322,+79660993458,+74954191322,+74954192573</t>
  </si>
  <si>
    <t>gorki-10.ru</t>
  </si>
  <si>
    <t>greenhouse@gorki-10.ru</t>
  </si>
  <si>
    <t>63</t>
  </si>
  <si>
    <t>ООО СЗ "ИНЭС"</t>
  </si>
  <si>
    <t>ОБЩЕСТВО С ОГРАНИЧЕННОЙ ОТВЕТСТВЕННОСТЬЮ СПЕЦИАЛИЗИРОВАННЫЙ ЗАСТРОЙЩИК "ИНВЕСТЭНЕРГОСТРОЙ"</t>
  </si>
  <si>
    <t>2000-09-11</t>
  </si>
  <si>
    <t>42.21,43.11,43.12.1,43.12.3,43.31,43.32,43.33,43.34,43.39,43.99.2,43.99.3,43.99.4,43.99.6,43.99.7,43.99.9,68.10.11,68.10.12,68.10.21,68.10.22,68.20.1,68.20.2,68.31.5,82.99</t>
  </si>
  <si>
    <t>ЗАИКИНА ЛЮБОВЬ АЛЕКСАНДРОВНА</t>
  </si>
  <si>
    <t>107113, Г.МОСКВА, ВН.ТЕР.Г. МУНИЦИПАЛЬНЫЙ ОКРУГ СОКОЛЬНИКИ, УЛ МАЛЕНКОВСКАЯ, Д. 14, К. 3, ПОМЕЩ. 4/1</t>
  </si>
  <si>
    <t>+74955720360,+74955790493,+74957757644,+74955790369</t>
  </si>
  <si>
    <t>v1a_tp@bk.ru</t>
  </si>
  <si>
    <t>АО "ТЕРМИНАЛ-ПРЕМЬЕР"</t>
  </si>
  <si>
    <t>АКЦИОНЕРНОЕ ОБЩЕСТВО "ТЕРМИНАЛ-ПРЕМЬЕР"</t>
  </si>
  <si>
    <t>1996-07-11</t>
  </si>
  <si>
    <t>49.41,49.41.1,49.41.2,52.21,52.24,52.24.1,52.24.2,68.20,68.20.2</t>
  </si>
  <si>
    <t>БУЛЫНИН СЕРГЕЙ ВЛАДИМИРОВИЧ</t>
  </si>
  <si>
    <t>141730,  МОСКОВСКАЯ ОБЛАСТЬ, Г. ЛОБНЯ, УЛ. ГАГАРИНА, Д.9</t>
  </si>
  <si>
    <t>+74955775413,+74951097949,+74955657967,+74992864949,+74955770213,+74955786461,+74957866461,+70955785922,+70955786461,+79037248610,+74955785922</t>
  </si>
  <si>
    <t>www.terminal-premier.ru</t>
  </si>
  <si>
    <t>info@terminal-premier.ru,,terprim@lobnja.ru</t>
  </si>
  <si>
    <t>104</t>
  </si>
  <si>
    <t>АО "СЕРВИССНАБ"</t>
  </si>
  <si>
    <t>АКЦИОНЕРНОЕ ОБЩЕСТВО "СЕРВИССНАБ"</t>
  </si>
  <si>
    <t>1998-11-06</t>
  </si>
  <si>
    <t>49.4,52.10,52.21.1,77.39.11</t>
  </si>
  <si>
    <t>ЗАХАРОВ АЛЕКСАНДР ВИКТОРОВИЧ</t>
  </si>
  <si>
    <t>143002,  МОСКОВСКАЯ ОБЛАСТЬ, Г. ОДИНЦОВО, УЛ. АКУЛОВСКАЯ, Д. 23, СТР. 1, ОФИС 1</t>
  </si>
  <si>
    <t>+74955931548,+74955930267</t>
  </si>
  <si>
    <t>МУП "ПОДОЛЬСКИЙ ТРОЛЛЕЙБУС"</t>
  </si>
  <si>
    <t>МУНИЦИПАЛЬНОЕ УНИТАРНОЕ ПРЕДПРИЯТИЕ ГОРОДСКОГО ОКРУГА ПОДОЛЬСК "ПОДОЛЬСКИЙ ТРОЛЛЕЙБУС"</t>
  </si>
  <si>
    <t>2001-03-19</t>
  </si>
  <si>
    <t>49.31.22</t>
  </si>
  <si>
    <t>Регулярные перевозки пассажиров троллейбусами в городском и пригородном сообщении</t>
  </si>
  <si>
    <t>БЫКОВ ВАДИМ АЛЕКСАНДРОВИЧ</t>
  </si>
  <si>
    <t>142100, МОСКОВСКАЯ ОБЛАСТЬ, Г.О. ПОДОЛЬСК, Г ПОДОЛЬСК, УЛ БОЛЬШАЯ СЕРПУХОВСКАЯ, Д. 25А</t>
  </si>
  <si>
    <t>+79851814327,+79774763670,+79645389512,+74967681304,+74967681303,+74967681452,+74967681330,+74955005757,+74967632030,+77967682030,+74967682030,+74697681303,+74967681306,+79168871270,+74967641304,+74967681308,+74967681307,+74967583055,+74967681302,+79299443405,+74967583102</t>
  </si>
  <si>
    <t>muppt.ru</t>
  </si>
  <si>
    <t>info@muppt.ru,zakupkilift@mail.ru,zvereva2319@mail.ru,zakupki@muppt.ru,dk.karlyha@yandex.ru,info@muppt.ru,,kirille@yandex.ru,muppt@yandex.ru</t>
  </si>
  <si>
    <t>ООО "ПЭЗ ИМ. КАЛИНИНА"</t>
  </si>
  <si>
    <t>ОБЩЕСТВО С ОГРАНИЧЕННОЙ ОТВЕТСТВЕННОСТЬЮ "ПОДОЛЬСКИЙ ЭНЕРГЕТИЧЕСКИЙ ЗАВОД ИМЕНИ КАЛИНИНА"</t>
  </si>
  <si>
    <t>2002-08-01</t>
  </si>
  <si>
    <t>36.00.1,36.00.2,37.00,46.69.9,47.59.9,68.10.22,68.20.2,77.39.29,81.29.2</t>
  </si>
  <si>
    <t>СИТНИКОВ ДМИТРИЙ ГЕННАДЬЕВИЧ</t>
  </si>
  <si>
    <t>142100, МОСКОВСКАЯ ОБЛАСТЬ, Г.О. ПОДОЛЬСК, Г ПОДОЛЬСК, УЛ КОМСОМОЛЬСКАЯ, Д. 1, СТР. 29, ПОМЕЩ. 2</t>
  </si>
  <si>
    <t>+74967546318,+74967583363,+79164726377,+74959295168,+74697546318,+79152714846,+74967680174,+74967529313,+74957895847,+74967546331,+74967583388,+74967529373,+74952391783,+79672391794,+70967546318,+74967541528</t>
  </si>
  <si>
    <t>zavodkalinina.ru</t>
  </si>
  <si>
    <t>zavodkalinina@podolsk-mo.ru,zvodkalinina@podolsk-mo.ru,zavodkalininabuh@mail.ru,zavodkalinina@podolsk-mo.ruz,zavodkalinina@podolsk.-mo.ru,1111111@mail.ru,avodkalinina@podolsk-mo.ru,sewmashine@podolsk-mo.ru,zavodkalinina@podlsk-mo.ru,00@mail.ru,zavadkalinina@podolsk-mo.ru</t>
  </si>
  <si>
    <t>ПО  "КОЛОМЕНСКИЙ РАЙПОТРЕБСОЮЗ"</t>
  </si>
  <si>
    <t>ПОТРЕБИТЕЛЬСКОЕ ОБЩЕСТВО "КОЛОМЕНСКИЙ РАЙПОТРЕБСОЮЗ"- НЕКОММЕРЧЕСКАЯ ОРГАНИЗАЦИЯ</t>
  </si>
  <si>
    <t>1992-10-27</t>
  </si>
  <si>
    <t>47.11</t>
  </si>
  <si>
    <t>Торговля розничная преимущественно пищевыми продуктами, включая напитки, и табачными изделиями в неспециализированных магазинах</t>
  </si>
  <si>
    <t>10.71,10.72,41.20,47.7,47.73,47.78,47.78.9,49.4,52.10,53.20,53.20.3,56.10,56.10.1,56.10.3,56.29,64.92,66.19,73.11,79.90,82.30,93.29,94.99</t>
  </si>
  <si>
    <t>КАЗАКОВ КОНСТАНТИН МИХАЙЛОВИЧ</t>
  </si>
  <si>
    <t>ПРЕДСЕДАТЕЛЬ  СОВЕТА</t>
  </si>
  <si>
    <t>140400,  МОСКОВСКАЯ ОБЛАСТЬ, Г. КОЛОМНА, УЛ. ЛАЖЕЧНИКОВА, Д.18, -, -</t>
  </si>
  <si>
    <t>+74966186332,+74966155817,+74966186018,+74966125817,+79166913171,+74966000000,+74966186300,+74966125762,+74956125817</t>
  </si>
  <si>
    <t>pogrebok-kolomna.ru</t>
  </si>
  <si>
    <t>po_kolomna_rps@pochta.ru,kolomna_rps@mail.ru</t>
  </si>
  <si>
    <t>ООО "ИМПЕРАТОРСКИЙ ЧАЙ"</t>
  </si>
  <si>
    <t>ОБЩЕСТВО С ОГРАНИЧЕННОЙ ОТВЕТСТВЕННОСТЬЮ "ИМПЕРАТОРСКИЙ ЧАЙ"</t>
  </si>
  <si>
    <t>2000-03-30</t>
  </si>
  <si>
    <t>10.83</t>
  </si>
  <si>
    <t>Производство чая и кофе</t>
  </si>
  <si>
    <t>18.12,43.31,43.32,43.33,43.34,46.19,46.37,49.4,81.21,81.29.2</t>
  </si>
  <si>
    <t>ЧУРИН НИКОЛАЙ ВАЛЕНТИНОВИЧ</t>
  </si>
  <si>
    <t>143430,  МОСКОВСКАЯ ОБЛАСТЬ, Г КРАСНОГОРСК, ПГТ. НАХАБИНО, УЛ ВОКЗАЛЬНАЯ, Д. 7</t>
  </si>
  <si>
    <t>+74957440655,+74957846303,+79684319363,+79260868575,+74957440659,+74967440655</t>
  </si>
  <si>
    <t>www.imperialtea.ru</t>
  </si>
  <si>
    <t>7516459@mail.ru,info@imperialtea.ru</t>
  </si>
  <si>
    <t>ООО"СТРОЙМАСТЕР"</t>
  </si>
  <si>
    <t>ОБЩЕСТВО С ОГРАНИЧЕННОЙ ОТВЕТСТВЕННОСТЬЮ "СТРОЙМАСТЕР"</t>
  </si>
  <si>
    <t>1988-08-04</t>
  </si>
  <si>
    <t>41.2,43.2,43.3,43.99,46.73,47.1,47.52.7,71.11.1,71.12.45</t>
  </si>
  <si>
    <t>РЯБУХИНА МАРИЯ АНДРЕЕВНА</t>
  </si>
  <si>
    <t>141508,  МОСКОВСКАЯ ОБЛАСТЬ, Г СОЛНЕЧНОГОРСК, УЛ ТАМОЙКИНА, Д. 2, ОФИС 35</t>
  </si>
  <si>
    <t>+79109817652,+74959941654,+74932374488,+74932300766</t>
  </si>
  <si>
    <t>ООО "НВЦ АГРОВЕТЗАЩИТА"</t>
  </si>
  <si>
    <t>ОБЩЕСТВО С ОГРАНИЧЕННОЙ ОТВЕТСТВЕННОСТЬЮ "НАУЧНО-ВНЕДРЕНЧЕСКИЙ ЦЕНТР АГРОВЕТЗАЩИТА"</t>
  </si>
  <si>
    <t>2005-02-07</t>
  </si>
  <si>
    <t>01.6,20.4,20.41.1,21.1,21.10,21.20.2,46.11.34,46.18.1,46.21,46.38.22,46.46,47.5,47.73,47.74,47.75,72.20,75.0,86.90.9</t>
  </si>
  <si>
    <t>ЕНГАШЕВ СЕРГЕЙ ВЛАДИМИРОВИЧ</t>
  </si>
  <si>
    <t>129329,  Г.МОСКВА, ПР-Д ИГАРСКИЙ, Д. 4, СТР. 2</t>
  </si>
  <si>
    <t>+74956482626,+78007001993</t>
  </si>
  <si>
    <t>www.vetmag.ru</t>
  </si>
  <si>
    <t>admin@vetmag.ru</t>
  </si>
  <si>
    <t>ООО "ВАГОНРЕМСЕРВИС"</t>
  </si>
  <si>
    <t>ОБЩЕСТВО С ОГРАНИЧЕННОЙ ОТВЕТСТВЕННОСТЬЮ "ВАГОНРЕМСЕРВИС"</t>
  </si>
  <si>
    <t>2005-03-04</t>
  </si>
  <si>
    <t>30.20.4,33.17,41.10,41.20,42.12,42.13,42.99,43.11,43.12,43.21,43.22,43.29,43.31,43.32,43.33,43.34,43.39,43.91,43.99,46.3,46.4,46.6,46.69.1,46.7,46.90,47.19,47.2,47.24,47.25.2,47.29.35,47.78.3,47.78.4,49.10,49.20,52.21,52.21.1,56.10,56.10.1,56.10.3,56.29,56.30,79.1,82.99,86.10,86.21,86.90.9,87.90,88.10</t>
  </si>
  <si>
    <t>РЫКУНОВ АЛЕКСАНДР МИХАЙЛОВИЧ</t>
  </si>
  <si>
    <t>129626, Г.МОСКВА, ВН.ТЕР.Г. МУНИЦИПАЛЬНЫЙ ОКРУГ АЛЕКСЕЕВСКИЙ, ПЕР ГРАФСКИЙ, Д. 14, К. 1</t>
  </si>
  <si>
    <t>+74956803332,+74956801865</t>
  </si>
  <si>
    <t>transsibexpress.ru</t>
  </si>
  <si>
    <t>vagonremservis@mail.ru</t>
  </si>
  <si>
    <t>ООО "ПАРОС"</t>
  </si>
  <si>
    <t>ОБЩЕСТВО С ОГРАНИЧЕННОЙ ОТВЕТСТВЕННОСТЬЮ "ПАРОС"</t>
  </si>
  <si>
    <t>2005-04-21</t>
  </si>
  <si>
    <t>46.41.2,47.54,68.1,68.10,68.20,68.31.1,68.31.2,68.31.3,68.31.4,68.32</t>
  </si>
  <si>
    <t>КОНОСОВА АРИАДНА АЛЬБЕРТОВНА</t>
  </si>
  <si>
    <t>119618, Г.МОСКВА, ВН.ТЕР.Г. МУНИЦИПАЛЬНЫЙ ОКРУГ СОЛНЦЕВО, ТЕР. МКАД, КМ 47-Й, Д. 31А, СТР. 1</t>
  </si>
  <si>
    <t>+74951502609,+79266188497,+78126122327</t>
  </si>
  <si>
    <t>vant.spb@mail.ru</t>
  </si>
  <si>
    <t>ООО "ГАРАЖ"</t>
  </si>
  <si>
    <t>ОБЩЕСТВО С ОГРАНИЧЕННОЙ ОТВЕТСТВЕННОСТЬЮ "ГАРАЖ"</t>
  </si>
  <si>
    <t>2005-05-30</t>
  </si>
  <si>
    <t>46.34</t>
  </si>
  <si>
    <t>Торговля оптовая напитками</t>
  </si>
  <si>
    <t>46.90,47.1,47.11,47.25,52.10,56.10,56.10.1,56.10.3,56.30,68.3,79.1,82.99</t>
  </si>
  <si>
    <t>СЕДУНОВ ЕВГЕНИЙ ЕВГЕНЬЕВИЧ</t>
  </si>
  <si>
    <t>119017,  Г.МОСКВА, УЛ. ПЯТНИЦКАЯ, Д.33-35, СТР.4</t>
  </si>
  <si>
    <t>+74959377110,+70959377166</t>
  </si>
  <si>
    <t>www.garagvine.ru</t>
  </si>
  <si>
    <t>ООО"ВИНЕГРЕТ КАФЕ"</t>
  </si>
  <si>
    <t>ОБЩЕСТВО С ОГРАНИЧЕННОЙ ОТВЕТСТВЕННОСТЬЮ "ВИНЕГРЕТ КАФЕ"</t>
  </si>
  <si>
    <t>2005-11-22</t>
  </si>
  <si>
    <t>10.71,46.37,46.49.49,47.11,47.29.35,56.1,56.21,56.29,56.30,70.22</t>
  </si>
  <si>
    <t>МОРОЗОВ АНДРЕЙ СЕРГЕЕВИЧ</t>
  </si>
  <si>
    <t>115191,  Г.МОСКВА, ПЕР. ГАМСОНОВСКИЙ, Д. 5, СТР. 2, ПОМЕЩ. V КОМНАТЫ 11-20, 22</t>
  </si>
  <si>
    <t>+74952218381,+74952218384,+74952218382</t>
  </si>
  <si>
    <t>vinegretcafe.ru</t>
  </si>
  <si>
    <t>musa-163@mail.ru</t>
  </si>
  <si>
    <t>276</t>
  </si>
  <si>
    <t>ООО "НЕТЧ ПАМПС РУС"</t>
  </si>
  <si>
    <t>ОБЩЕСТВО С ОГРАНИЧЕННОЙ ОТВЕТСТВЕННОСТЬЮ "НЕТЧ ПАМПС РУС"</t>
  </si>
  <si>
    <t>2005-11-03</t>
  </si>
  <si>
    <t>46.63</t>
  </si>
  <si>
    <t>Торговля оптовая машинами и оборудованием для добычи полезных ископаемых и строительства</t>
  </si>
  <si>
    <t>33.12,33.12,46.14.9,46.6,46.69,49.4,69.10,70.22,72.19,73.1,73.20.1,82.99</t>
  </si>
  <si>
    <t>МОММЕРТ КАРЛ-ХАЙНЦ ЗИГФРИД</t>
  </si>
  <si>
    <t>117198, Г.МОСКВА, ВН.ТЕР.Г. МУНИЦИПАЛЬНЫЙ ОКРУГ ОБРУЧЕВСКИЙ, ПР-КТ ЛЕНИНСКИЙ, Д. 113/1, ПОМЕЩ. 1/1П</t>
  </si>
  <si>
    <t>+74959569086,+74959563836,+74959747360,+70296412840,+70358859201,+70663085550,+74955439745,+70663085610</t>
  </si>
  <si>
    <t>www.netzsch.ru</t>
  </si>
  <si>
    <t>nmp@netzsch.ru,netzsch@netzsch.ru,,nft@netzsch.ru,,5439745@mail.ru,karlheinz.mommert@netzsch.com,artem.baev@netzsch.com,1@1.ru</t>
  </si>
  <si>
    <t>ООО "СЗ ТЕХНОСТРОЙОЛИМП"</t>
  </si>
  <si>
    <t>ОБЩЕСТВО С ОГРАНИЧЕННОЙ ОТВЕТСТВЕННОСТЬЮ "СПЕЦИАЛИЗИРОВАННЫЙ ЗАСТРОЙЩИК ТЕХНОСТРОЙОЛИМП"</t>
  </si>
  <si>
    <t>2005-09-01</t>
  </si>
  <si>
    <t>41.20,43.11,43.12.1,43.99,43.99.7,68.31,68.31.1,68.31.11,68.31.2,68.31.21,68.31.3,68.31.31,68.31.4,68.31.41,68.31.5</t>
  </si>
  <si>
    <t>ГУСЬКОВ ВЛАДИМИР АНАТОЛЬЕВИЧ</t>
  </si>
  <si>
    <t>127051,  Г.МОСКВА, Б-Р ЦВЕТНОЙ, Д. 30, СТР. 1, ПОМ. I КОМ. 32</t>
  </si>
  <si>
    <t>+74957480226,+74951487179,+70951487179</t>
  </si>
  <si>
    <t>sztolimp@mail.ru,techno@bk.ru,ya@ya.ru,tolimp@mail.ru</t>
  </si>
  <si>
    <t>ООО "ТРЕЙНСЕРВИС"</t>
  </si>
  <si>
    <t>ОБЩЕСТВО С ОГРАНИЧЕННОЙ ОТВЕТСТВЕННОСТЬЮ "ТРЕЙНСЕРВИС"</t>
  </si>
  <si>
    <t>2005-09-23</t>
  </si>
  <si>
    <t>30.20.4,33.17,46.3,46.4,46.6,46.7,46.90,47.2,47.24,47.25.2,47.29.35,47.78.3,47.78.4,49.10,49.20,52.21,52.21.1,55.2,56.10,56.10.1,56.10.3,56.30,77.39.12,79.1</t>
  </si>
  <si>
    <t>КОРШУНОВ ЮРИЙ ГЕННАДЬЕВИЧ</t>
  </si>
  <si>
    <t>+74957630091,+79152063054,+74956801902,+70957630091</t>
  </si>
  <si>
    <t>(vagonremservis@mail.ru)</t>
  </si>
  <si>
    <t>АО "НАТЭК ИНВЕСТ-ЭНЕРГО"</t>
  </si>
  <si>
    <t>АКЦИОНЕРНОЕ ОБЩЕСТВО "НАТЭК ИНВЕСТ-ЭНЕРГО"</t>
  </si>
  <si>
    <t>2005-09-08</t>
  </si>
  <si>
    <t>35.11,35.14,35.30.11,35.30.13,35.30.14,35.30.2,35.30.3,35.30.4,35.30.5,41.20,42.21,42.22.1,42.22.2,42.22.3,43.12,43.12.3</t>
  </si>
  <si>
    <t>ЧЕРНОВ АЛЕКСАНДР АНАТОЛЬЕВИЧ</t>
  </si>
  <si>
    <t>143401, МОСКОВСКАЯ ОБЛАСТЬ, Г.О. КРАСНОГОРСК, Г КРАСНОГОРСК, Б-Р СТРОИТЕЛЕЙ, Д. 2</t>
  </si>
  <si>
    <t>+74955029541,+78495502954,+74955029548,+79169008503,+74955209548,+79672819400,+74956413480,+74957750001</t>
  </si>
  <si>
    <t>info@natec.su,prishchepov@natec.su,n.larin@natec.su,semkin@natec.su,i.abakumov@natec.su,e.adamova@natec.su,i.sherstyuk@natec.su,vvolk@natec.su,a.pomazkova@natec.su,info1@natec.su,park@natec.su,semkina@natec.su,nnnn@mail.ru,mail@mail.ru,n@n.nu,adamova@natec.su,info@natec.ru,adamova@natec.su,,gorkovenkona@natec.ru</t>
  </si>
  <si>
    <t>ООО "ИСАТЕЛ"</t>
  </si>
  <si>
    <t>ОБЩЕСТВО С ОГРАНИЧЕННОЙ ОТВЕТСТВЕННОСТЬЮ "ИСАТЕЛ"</t>
  </si>
  <si>
    <t>2003-08-20</t>
  </si>
  <si>
    <t>61.90.9</t>
  </si>
  <si>
    <t>Деятельность в области телекоммуникаций прочая, не включенная в другие группировки</t>
  </si>
  <si>
    <t>46.52,27.90,33.20,42.21,42.21,42.22.1,42.22.2,43.21,46.19,60.10,60.10,60.20,60.20,61.10,61.10.1,61.10.9,61.90,71.20,71.20.8,71.20.9,73.11,95.12,95.12</t>
  </si>
  <si>
    <t>ЗАБОЛОТНЫЙ ИГОРЬ ВИКТОРОВИЧ</t>
  </si>
  <si>
    <t>121099, Г.МОСКВА, ВН.ТЕР.Г. МУНИЦИПАЛЬНЫЙ ОКРУГ АРБАТ, ПЕР 2-Й СМОЛЕНСКИЙ, Д. 1/4</t>
  </si>
  <si>
    <t>+74956414426,+74992528286,+74992440286,+79037735096,+74992414654,+79857643609,+74952311683</t>
  </si>
  <si>
    <t>www.isatel.ru</t>
  </si>
  <si>
    <t>izabolot@mail.ru,teleport@isatel.ru,sales@isatel.ru,al@isatel.ru,info@isatel.ru,ag@isatel.ru,,info@isatei.ru,ag@isatel.ru,oss@isatel.ru</t>
  </si>
  <si>
    <t>ООО "НЬЮ КО"</t>
  </si>
  <si>
    <t>ОБЩЕСТВО С ОГРАНИЧЕННОЙ ОТВЕТСТВЕННОСТЬЮ "НЬЮ КО"</t>
  </si>
  <si>
    <t>1998-04-03</t>
  </si>
  <si>
    <t>47.11,47.91,47.99</t>
  </si>
  <si>
    <t>ИВАНОВ ОЛЕГ ПЕТРОВИЧ</t>
  </si>
  <si>
    <t>125047, Г.МОСКВА, ВН.ТЕР.Г. МУНИЦИПАЛЬНЫЙ ОКРУГ ТВЕРСКОЙ, УЛ 1-Я БРЕСТСКАЯ, Д. 33, СТР. 1, ПОМЕЩЕНИЕ/КОМНАТА I/2</t>
  </si>
  <si>
    <t>+74957349154</t>
  </si>
  <si>
    <t>ООО "ГРУППА "КОРПУС"</t>
  </si>
  <si>
    <t>ОБЩЕСТВО С ОГРАНИЧЕННОЙ ОТВЕТСТВЕННОСТЬЮ "ГРУППА "КОРПУС"</t>
  </si>
  <si>
    <t>2003-04-12</t>
  </si>
  <si>
    <t>46.32</t>
  </si>
  <si>
    <t>Торговля оптовая мясом и мясными продуктами</t>
  </si>
  <si>
    <t>41.20,42.99,43.12,43.99,43.99.5,43.99.7,46.1,46.14.9,46.18.99,46.32.1,46.32.2,46.32.3,46.33,46.33.1,46.33.3,46.34,46.38.23,46.71,46.71.9,49.50,50.20,52.10,52.10.1,52.10.21,52.10.9,52.21.2,52.24,52.29,62.02,66.12.1,70.10,70.10.1,70.10.2,70.22</t>
  </si>
  <si>
    <t>МЕДВЕДЕВ СЕРГЕЙ ЮРЬЕВИЧ</t>
  </si>
  <si>
    <t>115114,  Г.МОСКВА, ПР-Д КОЖЕВНИЧЕСКИЙ, Д. 3, ЭТ 3 ПОМ 1 КОМ 1</t>
  </si>
  <si>
    <t>+74999224477,+79855707070</t>
  </si>
  <si>
    <t>groupakorpus.ru</t>
  </si>
  <si>
    <t>info@gruppa-korpus.com,rf9210010@bk.ru,n9880744@yandex.ru</t>
  </si>
  <si>
    <t>ООО "МЕНДЕЛЕЕВ ТРАНС"</t>
  </si>
  <si>
    <t>ОБЩЕСТВО С ОГРАНИЧЕННОЙ ОТВЕТСТВЕННОСТЬЮ "МЕНДЕЛЕЕВ ТРАНС"</t>
  </si>
  <si>
    <t>2011-09-12</t>
  </si>
  <si>
    <t>38.11,38.12,49.31,49.39,49.41,49.42,52.10,52.21,52.21.29,52.24,52.29,53.20,63.99,96.09</t>
  </si>
  <si>
    <t>ГУСЕВ ВИКТОР ЕВГЕНЬЕВИЧ</t>
  </si>
  <si>
    <t>142450,  МОСКОВСКАЯ ОБЛАСТЬ, Г. СТАРАЯ КУПАВНА, Г. НОГИНСК, УЛ. БЕТОННАЯ</t>
  </si>
  <si>
    <t>+74965195697,+74965240434,+79164442683</t>
  </si>
  <si>
    <t>alexey.valner@rushimset.ru</t>
  </si>
  <si>
    <t>ООО "ОРЕШКИНСКИЙ ЗБИ"</t>
  </si>
  <si>
    <t>ОБЩЕСТВО С ОГРАНИЧЕННОЙ ОТВЕТСТВЕННОСТЬЮ "ОРЕШКИНСКИЙ ЗБИ"</t>
  </si>
  <si>
    <t>2011-06-24</t>
  </si>
  <si>
    <t>23.6</t>
  </si>
  <si>
    <t>Производство изделий из бетона, цемента и гипса</t>
  </si>
  <si>
    <t>46.73.6,52.10.9,93.11,93.12,93.13,93.19,93.21,93.29</t>
  </si>
  <si>
    <t>КОРИКОВ ВИКТОР АНАТОЛЬЕВИЧ</t>
  </si>
  <si>
    <t>143144,  МОСКОВСКАЯ ОБЛАСТЬ, Г. РУЗА, Д ЛЫЗЛОВО, Д. 300</t>
  </si>
  <si>
    <t>+79265936856,+79629727171,+74953804833,+74957231688</t>
  </si>
  <si>
    <t>zbi2011@bk.ru</t>
  </si>
  <si>
    <t>ООО "ПОРШЕ РУССЛАНД"</t>
  </si>
  <si>
    <t>ОБЩЕСТВО С ОГРАНИЧЕННОЙ ОТВЕТСТВЕННОСТЬЮ "ПОРШЕ РУССЛАНД"</t>
  </si>
  <si>
    <t>45.11.1</t>
  </si>
  <si>
    <t>Торговля оптовая легковыми автомобилями и легкими автотранспортными средствами</t>
  </si>
  <si>
    <t>45.11.1,45.11.2,45.11.3,45.11.4,45.20,45.31.1,45.31.2,45.32,45.32.1,45.32.2,64.91,68.10,68.20,70.22,73.11,77.11</t>
  </si>
  <si>
    <t>ФАБРИЧНОВ МИХАИЛ АНДРЕЕВИЧ</t>
  </si>
  <si>
    <t>125445,  Г.МОСКВА, Ш. ЛЕНИНГРАДСКОЕ, Д.71А, К.10</t>
  </si>
  <si>
    <t>+74959809911,+74953631911,+74957413911,+74957823911,+74957829111,+78007755911,+79218911911,+74955809911</t>
  </si>
  <si>
    <t>ООО "ИНТЕЛПРИБОР"</t>
  </si>
  <si>
    <t>ОБЩЕСТВО С ОГРАНИЧЕННОЙ ОТВЕТСТВЕННОСТЬЮ "ИНТЕЛПРИБОР"</t>
  </si>
  <si>
    <t>1999-12-14</t>
  </si>
  <si>
    <t>26.51</t>
  </si>
  <si>
    <t>Производство инструментов и приборов для измерения, тестирования и навигации</t>
  </si>
  <si>
    <t>25.11,25.61,26.12,26.20,26.3,26.30,26.51.1,26.51.2,26.51.4,26.51.5,26.51.6,26.51.7,26.51.8,27.12,27.90,33.13,33.14,42.21,43.2,43.21,43.22,43.29,43.99.1,58.29,62.0,62.01,62.02,62.09,63.11,63.11.1,71.1,71.12,71.12.11,71.12.5,71.12.6,71.12.8,71.20,71.20.4,72.1,95.12</t>
  </si>
  <si>
    <t>ЖИХАРЕВ РОМАН ВЛАДИМИРОВИЧ</t>
  </si>
  <si>
    <t>121205,  Г.МОСКВА, УЛ НОБЕЛЯ (ИННОВАЦИОННОГО ЦЕНТРА СКОЛКОВО ТЕР), Д. 5, ПОМЕЩ. 40</t>
  </si>
  <si>
    <t>+74644989129,+79852115512,+74996732354,+74923698745,+74959810207,+79165193100,+74959891275,+74959622889,+74959896228,+74952212174,+74955566283,+74955568893,+78362731759,+74984845810,+74952212147</t>
  </si>
  <si>
    <t>jrv137@gmail.com,info@intelpribor.ru,kozlova.e@intelpribor.ru,1321321@mail.ru,nadezhdin_12@mail.ru,147@mail.ru,nemova@rangroup.ru,kiseleva@intelpribor.ru,4391238@gmail.com,intelpribor@intelpribor.ru</t>
  </si>
  <si>
    <t>ООО "СОГАЗ-МЕДСЕРВИС"</t>
  </si>
  <si>
    <t>ОБЩЕСТВО С ОГРАНИЧЕННОЙ ОТВЕТСТВЕННОСТЬЮ "СОГАЗ-МЕДСЕРВИС"</t>
  </si>
  <si>
    <t>2003-04-09</t>
  </si>
  <si>
    <t>47.73,41.20,46.1,46.4,46.46,46.6,46.9,47.73,47.73,47.74,47.74,47.75,55.90,58.19,62.01,62.02,62.09,63.11,63.11.1,64.19,64.91,64.99,68.32,69.10,70.10.1,70.10.2,70.22,71.20.2,73.11,73.20,78.10,79.1,79.11,79.11,82.99,84.11.8,85.42,86.10,86.21,86.23,86.90.4,86.90.9,86.90.9,86.90.9,91.0,93.2,93.29,96.02</t>
  </si>
  <si>
    <t>НИЗОВ АНДРЕЙ АЛЕКСЕЕВИЧ</t>
  </si>
  <si>
    <t>107078, Г.МОСКВА, ВН.ТЕР.Г. МУНИЦИПАЛЬНЫЙ ОКРУГ КРАСНОСЕЛЬСКИЙ, ПР-КТ АКАДЕМИКА САХАРОВА, Д. 10, ПОМЕЩ. XII КОМ. 7 (ЭТАЖ 2)</t>
  </si>
  <si>
    <t>+74956454301,+74956454302,+78314118060,+78793249561,+74993460925,+74956629903</t>
  </si>
  <si>
    <t>sogaz-medservice.ru</t>
  </si>
  <si>
    <t>info@sogaz-medservice.ru,kostenkova@sogaz.ru,klochkova.elena@sogaz.ru</t>
  </si>
  <si>
    <t>230</t>
  </si>
  <si>
    <t>ООО "ПЕЛЛИ"</t>
  </si>
  <si>
    <t>ОБЩЕСТВО С ОГРАНИЧЕННОЙ ОТВЕТСТВЕННОСТЬЮ "ПЕЛЛИ"</t>
  </si>
  <si>
    <t>2018-09-10</t>
  </si>
  <si>
    <t>46.24</t>
  </si>
  <si>
    <t>Торговля оптовая шкурами и кожей</t>
  </si>
  <si>
    <t>13.30,13.92,13.94,13.95,13.99,32.99.9,46.11,46.16,46.41,46.47,46.49,46.90,47.72.2,49.41,73.20.1,74.10</t>
  </si>
  <si>
    <t>ОБЩЕСТВО С ОГРАНИЧЕННОЙ ОТВЕТСТВЕННОСТЬЮ "ХАНГЕР"</t>
  </si>
  <si>
    <t>143421, МОСКОВСКАЯ ОБЛАСТЬ, Г.О. КРАСНОГОРСК, ТЕР. АВТОДОРОГА БАЛТИЯ, КМ 21-Й, Д. 2, СТР. 1, ПОМЕЩ. 1</t>
  </si>
  <si>
    <t>+74956379079</t>
  </si>
  <si>
    <t>ООО "СЕВЕРО-ЗАПАД"</t>
  </si>
  <si>
    <t>ОБЩЕСТВО С ОГРАНИЧЕННОЙ ОТВЕТСТВЕННОСТЬЮ "СЕВЕРО-ЗАПАД"</t>
  </si>
  <si>
    <t>1995-05-29</t>
  </si>
  <si>
    <t>71.12.3</t>
  </si>
  <si>
    <t>Работы геолого-разведочные, геофизические и геохимические в области изучения недр и воспроизводства минерально-сырьевой базы</t>
  </si>
  <si>
    <t>26.51.6,42.21,42.22.1,42.22.2,43.99.3,46.69.9,62.01,63.11.1,72.19</t>
  </si>
  <si>
    <t>ХРАМОВ ИЛЬЯ БОРИСОВИЧ</t>
  </si>
  <si>
    <t>117545,  Г.МОСКВА, ПР-Д 1-Й ДОРОЖНЫЙ, Д.9, СТР.1, ОФИС 2</t>
  </si>
  <si>
    <t>+79166345812,+74955189494,+74959889514,+79775189494,+74955404946,+74952322232,+79852202348,+79163962478,+74957266471,+74959889534,+74955189492</t>
  </si>
  <si>
    <t>burilka-nw@yandex.ru,mail@nw-geophysics.com,mail@nw-geophysics.ru,mail@nw-geophisics.ru,ail@nw-geophysics.com,mail@mv-geo.ru,а@mail.ru,evero-zapad@mail.ru,mail@nw-geo.ru</t>
  </si>
  <si>
    <t>92</t>
  </si>
  <si>
    <t>ООО "ФИРМА "ГЕОСЕЙС"</t>
  </si>
  <si>
    <t>ОБЩЕСТВО С ОГРАНИЧЕННОЙ ОТВЕТСТВЕННОСТЬЮ "ФИРМА "ГЕОСЕЙС"</t>
  </si>
  <si>
    <t>1997-08-06</t>
  </si>
  <si>
    <t>02.10,02.20,09.10,09.10.1,09.10.2,09.10.3,09.10.9,09.90,18.12,26.20,26.30,26.51,26.51.1,26.51.6,26.51.8,27.11,27.12,28.92,28.92.1,33.12,33.13,33.2,33.20,41.20,43.13,43.21,43.99.3,45.20,46.12.1,46.14.9,52.10,52.29,58.11,58.11.1,58.11.3,58.29,62.01,62.02,62.03,62.09,63.99.1,64.99.11,68.20,69.10,69.20,70.10.1,70.10.2,70.22,71.12,71.12.1,71.12.12,71.12.4,71.12.41,71.12.42,71.12.43,71.12.44,71.12.45,71.12.5,71.12.6,71.12.9,71.20,72.19,73.11,74.90,74.90.6,77.11,77.12,77.39,77.39.2,77.39.22,77.40,78.30,82.30,85.23,85.42,95.11</t>
  </si>
  <si>
    <t>ГУРЬЕВ СЕРГЕЙ ВЛАДИМИРОВИЧ</t>
  </si>
  <si>
    <t>123104,  Г.МОСКВА, ТУП. СЫТИНСКИЙ, Д. 3, ОФИС 2</t>
  </si>
  <si>
    <t>+74957379285,+74956941940,+74956941997</t>
  </si>
  <si>
    <t>ООО "ТЕХНО-ПРО"</t>
  </si>
  <si>
    <t>ОБЩЕСТВО С ОГРАНИЧЕННОЙ ОТВЕТСТВЕННОСТЬЮ "ТЕХНО-ПРО"</t>
  </si>
  <si>
    <t>2018-04-05</t>
  </si>
  <si>
    <t>61.10</t>
  </si>
  <si>
    <t>Деятельность в области связи на базе проводных технологий</t>
  </si>
  <si>
    <t>61.20,61.90,62.01,62.02,62.03,62.09</t>
  </si>
  <si>
    <t>АРТЕМЬЕВ ДЕНИС НИКОЛАЕВИЧ</t>
  </si>
  <si>
    <t>125252,  Г.МОСКВА, УЛ. ЗОРГЕ, Д. 27, ПОМЕЩ. 10</t>
  </si>
  <si>
    <t>+74957755007</t>
  </si>
  <si>
    <t>info@teerex.ru</t>
  </si>
  <si>
    <t>АО "ЛОТК"</t>
  </si>
  <si>
    <t>АКЦИОНЕРНОЕ ОБЩЕСТВО "ЛЕНСКАЯ ОПТОВО-ТОРГОВАЯ КОМПАНИЯ"</t>
  </si>
  <si>
    <t>2002-06-26</t>
  </si>
  <si>
    <t>46.39</t>
  </si>
  <si>
    <t>Торговля оптовая неспециализированная пищевыми продуктами, напитками и табачными изделиями</t>
  </si>
  <si>
    <t>10.71,45.1,46.3,46.4,46.72,46.73.6,46.74.2,46.9,47.1,47.11,47.25.1,49.32,49.41.2,49.41.3,52.10,52.24,52.24.2,56.10,56.10.1,56.10.3,56.29,68.20.2,77.11,77.39.1,77.39.11,77.39.2</t>
  </si>
  <si>
    <t>ХАМАГАНОВ ДМИТРИЙ СЕРГЕЕВИЧ</t>
  </si>
  <si>
    <t>115211, Г.МОСКВА, ВН.ТЕР.Г. МУНИЦИПАЛЬНЫЙ ОКРУГ МОСКВОРЕЧЬЕ-САБУРОВО, УЛ БОРИСОВСКИЕ ПРУДЫ, Д. 5, К. 1, ПОМЕЩ. XIV</t>
  </si>
  <si>
    <t>+79142791093,+74113749911,+74113749910,+74113745635,+74113723468,+74113724094,+74955628411,+74113724401,+74113724444,+74113724424,+74113779910,+74113749915,+74113749913,+74991023468</t>
  </si>
  <si>
    <t>lotk@bk.ru,lotk@bkmail.ru,lotk@mail.ru,iotk@bk.ru,galina_pinigina@mail.ru,lenotk@rambler.ru,iotok@mail.ru,lotok@mail.ru,84113724401@mail.ru,lotok@bk.ru,lenotk@sakha.ru</t>
  </si>
  <si>
    <t>ООО "С.И.Т.И."</t>
  </si>
  <si>
    <t>ОБЩЕСТВО С ОГРАНИЧЕННОЙ ОТВЕТСТВЕННОСТЬЮ "С.И.Т.И."</t>
  </si>
  <si>
    <t>2008-09-24</t>
  </si>
  <si>
    <t>33.12,41.20,42.11,42.91,42.99,43.11,43.12.3,43.21,43.22,43.29,43.31,43.32,43.33,43.34,43.39,43.91,43.99,43.99.1,46.13,46.14,46.63,46.69,46.71,46.73,46.74,46.77,47.52,47.9,47.91,47.99,52.10,53.20,62.09,68.10,68.10.1,68.31,68.32,69.10,71.1,71.12,71.12.5,71.12.6,77.32,82.92</t>
  </si>
  <si>
    <t>РЕЙНЮК СЕРГЕЙ ЕВГЕНЬЕВИЧ</t>
  </si>
  <si>
    <t>127018, Г.МОСКВА, ВН.ТЕР.Г. МУНИЦИПАЛЬНЫЙ ОКРУГ МАРЬИНА РОЩА, УЛ СУЩЁВСКИЙ ВАЛ, Д. 5, СТР. 3, ЭТАЖ 5, КАБИНЕТ 19</t>
  </si>
  <si>
    <t>+78463782828,+74951282305,+74951282328,+79179593350,+78469261528,+78463788828,+78463788288,+78462010083,+78462635513,+78462678990,+78462678986,+78463782888</t>
  </si>
  <si>
    <t>office@citi-stroy.com,urist@siti163.com,siti63@siti63.com,iti63@siti63.com,saenkonp@mail.ru,mr.eynyuk@mail.ru,siti63@inbox.ru,mr.reynyuk@mail.ru</t>
  </si>
  <si>
    <t>99</t>
  </si>
  <si>
    <t>ООО "РЛ-ТЕХ"</t>
  </si>
  <si>
    <t>ОБЩЕСТВО С ОГРАНИЧЕННОЙ ОТВЕТСТВЕННОСТЬЮ "РЛ-ТЕХ"</t>
  </si>
  <si>
    <t>2001-07-19</t>
  </si>
  <si>
    <t>20.30.1,20.30.2,31.01,31.09,32.50,43.34.1,46.47,46.49,46.65,46.90,47.59.1,47.9,62.01,62.02,68.10,68.20,72.19,77.39.29,81.22,82.99</t>
  </si>
  <si>
    <t>ПЕТРОВ КОНСТАНТИН АНАТОЛЬЕВИЧ</t>
  </si>
  <si>
    <t>140070, МОСКОВСКАЯ ОБЛАСТЬ, Г.О. ЛЮБЕРЦЫ, ПГТ. ТОМИЛИНО, УЛ ГАРШИНА, Д. 26Б</t>
  </si>
  <si>
    <t>+74959139873,+74959138430</t>
  </si>
  <si>
    <t>ОАО "ГОК "ПЕКИН"</t>
  </si>
  <si>
    <t>ОТКРЫТОЕ АКЦИОНЕРНОЕ ОБЩЕСТВО "ГОСТИНИЧНО-ОФИСНЫЙ КОМПЛЕКС "ПЕКИН"</t>
  </si>
  <si>
    <t>2000-01-10</t>
  </si>
  <si>
    <t>68.20.29,55.10,68.20.2</t>
  </si>
  <si>
    <t>ГРИГОРЯН ОГАНЕС РУДОЛЬФОВИЧ</t>
  </si>
  <si>
    <t>ГЕНЕРАЛЬНЫИ ДИРЕКТОР</t>
  </si>
  <si>
    <t>123001,  Г.МОСКВА, УЛ. БОЛЬШАЯ САДОВАЯ, Д.5</t>
  </si>
  <si>
    <t>+74956503425,+74956500900,+74956503537,+74956501414,+74956502442,+74956504404,+74956502215,+74956502217,+74956502435,+74956500902,+74959805995,+74956500937,+74956500935</t>
  </si>
  <si>
    <t>www.hotelpeking.ru,www.e-disclosure.ru/portal/company.aspx?id=11012,,www.hotelpekin.ru,,www.hotelpekin.ru/ru/fin,www.hotelpekin.ru</t>
  </si>
  <si>
    <t>sales@hotelpekin.ru,reservation@hotelpeking.ru,reservation@hotelpekin.ru,market@hotelpekin.ru,info@hotelpekin.ru,,chikhtisova.v@hotelpeking.ru,pekin@mail.ru,null@null.ru</t>
  </si>
  <si>
    <t>72</t>
  </si>
  <si>
    <t>ООО "СИНКАЙ-МОТОРС"</t>
  </si>
  <si>
    <t>ОБЩЕСТВО С ОГРАНИЧЕННОЙ ОТВЕТСТВЕННОСТЬЮ "СИНКАЙ-МОТОРС"</t>
  </si>
  <si>
    <t>2017-02-13</t>
  </si>
  <si>
    <t>45.31.2,45.32.1,45.32.2,45.32.21,45.32.22,45.32.29</t>
  </si>
  <si>
    <t>ПИВОВАРОВ СЕРГЕЙ ВЛАДИМИРОВИЧ</t>
  </si>
  <si>
    <t>117545,  Г.МОСКВА, ПР-Д 1-Й ДОРОЖНЫЙ, Д. 9, СТР. 1, ПОМЕЩ. 30 ЭТАЖ 4</t>
  </si>
  <si>
    <t>+79161591149</t>
  </si>
  <si>
    <t>psv89161591149@gmail.com</t>
  </si>
  <si>
    <t>ООО "ПЛЮСПЭЙ"</t>
  </si>
  <si>
    <t>ОБЩЕСТВО С ОГРАНИЧЕННОЙ ОТВЕТСТВЕННОСТЬЮ "ПЛЮСПЭЙ"</t>
  </si>
  <si>
    <t>2010-03-16</t>
  </si>
  <si>
    <t>26.51.8,33.13,46.14.1,46.43.3,46.66,46.69.5,46.90,62.01,62.02,62.09,63.1,63.11.1,64.9,66.1,66.11.5,68.32,69,70.10.1,70.10.2,70.22,71.20,72.1,72.2,73.11,73.20,82.99,95.1</t>
  </si>
  <si>
    <t>БАЛДИН МАКСИМ ПАВЛОВИЧ</t>
  </si>
  <si>
    <t>119021, Г.МОСКВА, ВН.ТЕР.Г. МУНИЦИПАЛЬНЫЙ ОКРУГ ХАМОВНИКИ, УЛ РОССОЛИМО, Д. 17, СТР. 2</t>
  </si>
  <si>
    <t>+74953745667,+74962190258</t>
  </si>
  <si>
    <t>000119@mail.ru</t>
  </si>
  <si>
    <t>ООО "КОЛНАГ"</t>
  </si>
  <si>
    <t>ОБЩЕСТВО С ОГРАНИЧЕННОЙ ОТВЕТСТВЕННОСТЬЮ "КОЛНАГ"</t>
  </si>
  <si>
    <t>2016-01-12</t>
  </si>
  <si>
    <t>28.30.3</t>
  </si>
  <si>
    <t>Производство машин и сельскохозяйственного оборудования для обработки почвы</t>
  </si>
  <si>
    <t>46.61,25.62,25.99,28.30.3,28.30.81,28.30.82,28.30.83,28.30.84,28.30.85,33.12,35.30.14,46.61.1,68.20.2,73.11,77.31,77.39.1</t>
  </si>
  <si>
    <t>ТУБОЛЕВ СЕРГЕЙ СЕМЕНОВИЧ</t>
  </si>
  <si>
    <t>140405, МОСКОВСКАЯ ОБЛАСТЬ, Г.О. КОЛОМНА, Г КОЛОМНА, УЛ АСТАХОВА, Д. 4, К. 5</t>
  </si>
  <si>
    <t>+79152065040,+79161210754,+74966100383,+74966183707,+74956100383,+74956121210</t>
  </si>
  <si>
    <t>www.kolnag.ru</t>
  </si>
  <si>
    <t>info@koinag.ru,sergeytubolev@kolnag.ru,info@kolnag.ru</t>
  </si>
  <si>
    <t>ООО "РОМЕР ЛАБС"</t>
  </si>
  <si>
    <t>ОБЩЕСТВО С ОГРАНИЧЕННОЙ ОТВЕТСТВЕННОСТЬЮ "РОМЕР ЛАБС"</t>
  </si>
  <si>
    <t>2018-01-17</t>
  </si>
  <si>
    <t>46.69.9,46.75.2,47.91.2,52.10.9,52.29,68.20.2,71.20.1,71.20.9,77.39.29,82.20,82.99</t>
  </si>
  <si>
    <t>МИТРАКОВ ВЛАДИСЛАВ АЛЕКСЕЕВИЧ</t>
  </si>
  <si>
    <t>125167, Г.МОСКВА, ВН.ТЕР.Г. МУНИЦИПАЛЬНЫЙ ОКРУГ ХОРОШЕВСКИЙ, ПР-КТ ЛЕНИНГРАДСКИЙ, Д. 47, СТР. 2, ПОМЕЩ. 18А</t>
  </si>
  <si>
    <t>+79859244459</t>
  </si>
  <si>
    <t>ООО "ЗМД ПОДМОСКОВЬЕ"</t>
  </si>
  <si>
    <t>ОБЩЕСТВО С ОГРАНИЧЕННОЙ ОТВЕТСТВЕННОСТЬЮ "ЗАВОД МАЛОЭТАЖНОГО ДОМОСТРОЕНИЯ ПОДМОСКОВЬЕ"</t>
  </si>
  <si>
    <t>2016-02-26</t>
  </si>
  <si>
    <t>16.23.2</t>
  </si>
  <si>
    <t>Производство сборных деревянных строений</t>
  </si>
  <si>
    <t>35.30.14,43.99,46.73.6,47.52.7,68.20.2,68.32.1</t>
  </si>
  <si>
    <t>ТРОШИН АЛЕКСЕЙ ЕВГЕНЬЕВИЧ</t>
  </si>
  <si>
    <t>143006,  МОСКОВСКАЯ ОБЛАСТЬ, Г. ОДИНЦОВО, УЛ. ВНУКОВСКАЯ, Д. 9, СТР. 1</t>
  </si>
  <si>
    <t>+74952292790,+74956292790</t>
  </si>
  <si>
    <t>АО "АТОМКАПИТАЛ"</t>
  </si>
  <si>
    <t>АКЦИОНЕРНОЕ ОБЩЕСТВО "АТОМКАПИТАЛ"</t>
  </si>
  <si>
    <t>2013-03-28</t>
  </si>
  <si>
    <t>64.92.2</t>
  </si>
  <si>
    <t>Деятельность по предоставлению займов промышленности</t>
  </si>
  <si>
    <t>64.99.5,70.22</t>
  </si>
  <si>
    <t>ДЕМАШ ЮРИЙ АНАТОЛЬЕВИЧ</t>
  </si>
  <si>
    <t>119017,  Г.МОСКВА, УЛ. БОЛЬШАЯ ОРДЫНКА, Д.24</t>
  </si>
  <si>
    <t>+74999494805,+74999492534,+74999494176,+74999499996,+74999494996,+74999492544,+74999492763,+74956407338,+74999494571,+74999492979,+74956437338,+74999492336,+74999494296,+74999494969,+74999494854,+74999494919</t>
  </si>
  <si>
    <t>www.e-disclosure.ru/portal/company.aspx?id=33109</t>
  </si>
  <si>
    <t>info@atomcapital.ru,vlaakimov@rosatom.ru,yavkuznetsov@atomcapital.ru,aeelesina@rosatom.ru,volnacharov@rosatom.ru,yuvvoropaeva@atomcapital.ru,elifridman@rosatom.ru,nasfedorova@rosatom.ru,tefida2005@yandex.ru,mayutokareva@rosatom.ru,tyarchakova@rosatom.ru,ialuschenko@rosatom.ru,tyarchakova@yandex.ru,mytokareva@rosatom.ru,tneliseeva@rosatom.ru,iidanilova@rosatom.ru,aggromov@rosatom.ru,elpelistratova@rosatom.ru,ialsheludchenko@rosatom.ru,elpelistartova@rosatom.ru,osbarabanov@rosatom.ru</t>
  </si>
  <si>
    <t>ООО ВКЗ "ШЕРЕМЕТЬЕВСКИЙ"</t>
  </si>
  <si>
    <t>ОБЩЕСТВО С ОГРАНИЧЕННОЙ ОТВЕТСТВЕННОСТЬЮ ВКЗ "ШЕРЕМЕТЬЕВСКИЙ"</t>
  </si>
  <si>
    <t>2013-05-27</t>
  </si>
  <si>
    <t>11.01.1</t>
  </si>
  <si>
    <t>Производство дистиллированных питьевых алкогольных напитков: водки, виски, бренди, джина, ликеров и т. п.</t>
  </si>
  <si>
    <t>11.02,11.03,11.04,11.07,46.17.22,46.34,47.25,47.25.1,52.10,68.20</t>
  </si>
  <si>
    <t>КОТВАН ДЕНИС ВАЛЕРЬЕВИЧ</t>
  </si>
  <si>
    <t>141720, МОСКОВСКАЯ ОБЛАСТЬ, Г.О. ДОЛГОПРУДНЫЙ, Г ДОЛГОПРУДНЫЙ, МКР ШЕРЕМЕТЬЕВСКИЙ, УЛ ЮЖНАЯ, Д. 1, К. 21</t>
  </si>
  <si>
    <t>+79262312328,+79602580111</t>
  </si>
  <si>
    <t>ООО "ТОРГОВАЯ ГАЛЕРЕЯ"</t>
  </si>
  <si>
    <t>ОБЩЕСТВО С ОГРАНИЧЕННОЙ ОТВЕТСТВЕННОСТЬЮ "ТОРГОВАЯ ГАЛЕРЕЯ"</t>
  </si>
  <si>
    <t>2016-02-04</t>
  </si>
  <si>
    <t>41.20,43.11,43.12.3,68.10,68.10.1,68.10.23,68.20,68.20.2</t>
  </si>
  <si>
    <t>ПАВЛЕНКО АНДРЕЙ АЛЕКСАНДРОВИЧ</t>
  </si>
  <si>
    <t>129110, Г.МОСКВА, ВН.ТЕР.Г. МУНИЦИПАЛЬНЫЙ ОКРУГ МЕЩАНСКИЙ, УЛ БОЛЬШАЯ ПЕРЕЯСЛАВСКАЯ, Д. 52/55, СТР. 2, КВ. 94</t>
  </si>
  <si>
    <t>+74992382332,+79637710613</t>
  </si>
  <si>
    <t>ООО "КОПЭКЕР АГРО"</t>
  </si>
  <si>
    <t>ОБЩЕСТВО С ОГРАНИЧЕННОЙ ОТВЕТСТВЕННОСТЬЮ "КОПЭКЕР АГРО"</t>
  </si>
  <si>
    <t>2016-04-14</t>
  </si>
  <si>
    <t>01.61,10.84,10.85,10.86,11.06,46.21,46.21.11,46.21.19,46.38.21,46.38.29,46.90,52.10.3,52.10.9</t>
  </si>
  <si>
    <t>ГАЙВАС ВЯЧЕСЛАВ БОРИСОВИЧ</t>
  </si>
  <si>
    <t>142205,  МОСКОВСКАЯ ОБЛАСТЬ, Г. СЕРПУХОВ, Д. ЛЕВАШОВО, ТЕР. КВАРТАЛ Б, Д. 1, СТР. 5</t>
  </si>
  <si>
    <t>+79015331144,+79104043258</t>
  </si>
  <si>
    <t>ООО МК "ЗЕНИТ"</t>
  </si>
  <si>
    <t>ОБЩЕСТВО С ОГРАНИЧЕННОЙ ОТВЕТСТВЕННОСТЬЮ МЕЖОТРАСЛЕВОЙ КОНЦЕРН "ЗЕНИТ"</t>
  </si>
  <si>
    <t>2023-09-01</t>
  </si>
  <si>
    <t>18.12,41.20,46.31,46.34,46.37,46.38.2,46.71,46.76.1,49.41,49.42,64.19,68.20,69.10,69.20,71.20.89,77.11</t>
  </si>
  <si>
    <t>АКИНЬШИН ИГОРЬ ИГОРЕВИЧ</t>
  </si>
  <si>
    <t>ПРЕЗИДЕНТ ПРАВЛЕНИЯ</t>
  </si>
  <si>
    <t>111024, Г.МОСКВА, ВН.ТЕР.Г. МУНИЦИПАЛЬНЫЙ ОКРУГ ЛЕФОРТОВО, УЛ АВИАМОТОРНАЯ, Д. 50, СТР. 2, ПОМЕЩ. 29/2</t>
  </si>
  <si>
    <t>+79805445555</t>
  </si>
  <si>
    <t>akinshinigor@bk.ru</t>
  </si>
  <si>
    <t>210</t>
  </si>
  <si>
    <t>ООО "МСТ"</t>
  </si>
  <si>
    <t>ОБЩЕСТВО С ОГРАНИЧЕННОЙ ОТВЕТСТВЕННОСТЬЮ "МОБИЛЬНЫЕ СТРОИТЕЛЬНЫЕ ТЕХНОЛОГИИ"</t>
  </si>
  <si>
    <t>2013-08-12</t>
  </si>
  <si>
    <t>23.31,23.32,23.42,23.51,23.52.1,23.64,23.69,23.99,25.11,25.73,25.99,28.11.2,42.11,42.12,42.13,42.21,42.22.2,42.91,42.99,43.11,43.12.3,43.21,43.22,43.29,43.31,43.32,43.33,43.34,43.39,43.91,43.99,43.99.1,43.99.2,43.99.4,43.99.5,43.99.6,46.51,46.52,46.61,46.62,46.63,46.64,46.66,46.69,46.73,46.74,46.75,46.76,46.77,46.90,52.10,52.21,52.24,52.29,71.1,71.11.1,71.12,71.12.1,71.12.5,71.12.6,71.12.8,71.20,82.99</t>
  </si>
  <si>
    <t>КУЛЬКОВ НИКОЛАЙ ВИКТОРОВИЧ</t>
  </si>
  <si>
    <t>117545, Г.МОСКВА, ВН.ТЕР.Г. МУНИЦИПАЛЬНЫЙ ОКРУГ ЧЕРТАНОВО ЦЕНТРАЛЬНОЕ, УЛ ДОРОЖНАЯ, Д. 3, К. 1</t>
  </si>
  <si>
    <t>+78462129926,+79276853734,+79626024447,+79150618655,+79198060630,+79198070101</t>
  </si>
  <si>
    <t>notariusam@mail.ru</t>
  </si>
  <si>
    <t>АО "ТЕХНОДЖИМ"</t>
  </si>
  <si>
    <t>АКЦИОНЕРНОЕ ОБЩЕСТВО "ТЕХНОДЖИМ"</t>
  </si>
  <si>
    <t>2008-02-06</t>
  </si>
  <si>
    <t>46.18.99,46.49.43,47.64,70.22,73.20.1,93.19,95.29</t>
  </si>
  <si>
    <t>КЕЧЕЛИОГЛУ АНИЛЬ БАИРАМ</t>
  </si>
  <si>
    <t>121357, Г.МОСКВА, ВН.ТЕР.Г. МУНИЦИПАЛЬНЫЙ ОКРУГ МОЖАЙСКИЙ, УЛ ВЕРЕЙСКАЯ, Д. 29, СТР. 134, ЭТАЖ 2, КОМ. 36</t>
  </si>
  <si>
    <t>+74959333834,+79162056151,+74959333836,+73433456859,+79219402450</t>
  </si>
  <si>
    <t>www.technogym.ru</t>
  </si>
  <si>
    <t>akiryakov@technogym.com,techgym01@inmessage.ru,lvasilev@technogym.com,igulimov@technogym.com,mbongiolatti@technogym.com,akorotkov@technogym.com,ashulgin@technogym.com,kfilippova@technogym.com,info@technogym.ru,vsavin@technogym.com,texnogim5@yandex.ru</t>
  </si>
  <si>
    <t>ООО "СЕТЬ КОМПЬЮТЕРНЫХ КЛИНИК"</t>
  </si>
  <si>
    <t>ОБЩЕСТВО С ОГРАНИЧЕННОЙ ОТВЕТСТВЕННОСТЬЮ "СЕТЬ КОМПЬЮТЕРНЫХ КЛИНИК"</t>
  </si>
  <si>
    <t>2008-01-31</t>
  </si>
  <si>
    <t>46.51,46.15.4,46.43.3,46.51,46.66,47.41,47.41.4,52.10.9,52.24,62.01,62.02,62.02.2,71.20.2,71.20.4,82.99,95.11,95.12,95.21,95.22</t>
  </si>
  <si>
    <t>ПАНИН АНДРЕЙ МИХАЙЛОВИЧ</t>
  </si>
  <si>
    <t>107497, Г.МОСКВА, ВН.ТЕР.Г. МУНИЦИПАЛЬНЫЙ ОКРУГ ГОЛЬЯНОВО, УЛ МОНТАЖНАЯ, Д. 7, СТР. 2</t>
  </si>
  <si>
    <t>+74957781429</t>
  </si>
  <si>
    <t>itclinic.ru</t>
  </si>
  <si>
    <t>office@itclinic.ru</t>
  </si>
  <si>
    <t>124</t>
  </si>
  <si>
    <t>ООО "БУШ ВАКУУМ РУССИА"</t>
  </si>
  <si>
    <t>ОБЩЕСТВО С ОГРАНИЧЕННОЙ ОТВЕТСТВЕННОСТЬЮ "БУШ ВАКУУМ РУССИА"</t>
  </si>
  <si>
    <t>2008-01-11</t>
  </si>
  <si>
    <t>28.13</t>
  </si>
  <si>
    <t>Производство прочих насосов и компрессоров</t>
  </si>
  <si>
    <t>28.12.1,33.12,46.69.9,82.99</t>
  </si>
  <si>
    <t>ВОЛКОВ АЛЕКСАНДР НИКОЛАЕВИЧ</t>
  </si>
  <si>
    <t>142181, МОСКОВСКАЯ ОБЛАСТЬ, Г.О. ПОДОЛЬСК, Д КОЛЕДИНО, ТЕР. ИНДУСТРИАЛЬНЫЙ ПАРК КОЛЕДИНО, Д. 11Б</t>
  </si>
  <si>
    <t>+74956486726,+73832000766,+74952000766,+74956486724,+74956655108,+77724646666</t>
  </si>
  <si>
    <t>ООО "ЭГЛО ЛАЙТИНГ"</t>
  </si>
  <si>
    <t>ОБЩЕСТВО С ОГРАНИЧЕННОЙ ОТВЕТСТВЕННОСТЬЮ "ЭГЛО ЛАЙТИНГ"</t>
  </si>
  <si>
    <t>2010-01-14</t>
  </si>
  <si>
    <t>46.43</t>
  </si>
  <si>
    <t>Торговля оптовая бытовыми электротоварами</t>
  </si>
  <si>
    <t>47.59,27.40,43.21,46.15.3,46.43.1,46.47,46.47.2,47.59,68.10,68.20,70.10.2,73.20.1</t>
  </si>
  <si>
    <t>БЕККЕР ДМИТРИЙ ВЛАДИМИРОВИЧ</t>
  </si>
  <si>
    <t>117105,  Г.МОСКВА, Ш. ВАРШАВСКОЕ, Д. 3, ОФИС 23</t>
  </si>
  <si>
    <t>+74957894312,+79161128139,+74957894311</t>
  </si>
  <si>
    <t>dmitry.becker@eglo.com,dmitry.bekker@eglo.com,info-russia@eglo.com</t>
  </si>
  <si>
    <t>ООО "НЕОТОН-ТРЕЙД"</t>
  </si>
  <si>
    <t>ОБЩЕСТВО С ОГРАНИЧЕННОЙ ОТВЕТСТВЕННОСТЬЮ "НЕОТОН-ТРЕЙД"</t>
  </si>
  <si>
    <t>2010-01-26</t>
  </si>
  <si>
    <t>25.1,25.99,68.32.2</t>
  </si>
  <si>
    <t>КОМАРОВ РОМАН ЮРЬЕВИЧ</t>
  </si>
  <si>
    <t>125284, Г.МОСКВА, ВН.ТЕР.Г. МУНИЦИПАЛЬНЫЙ ОКРУГ БЕГОВОЙ, ПР-КТ ЛЕНИНГРАДСКИЙ, Д. 31А, СТР. 1, ПОМЕЩ. 7/30</t>
  </si>
  <si>
    <t>+79853044283,+74959959966,+79150497556</t>
  </si>
  <si>
    <t>null@null.ru</t>
  </si>
  <si>
    <t>ОАО "ДЭП №12"</t>
  </si>
  <si>
    <t>ОТКРЫТОЕ АКЦИОНЕРНОЕ ОБЩЕСТВО "ДОРОЖНОЕ ЭКСПЛУАТАЦИОННОЕ ПРЕДПРИЯТИЕ №12"</t>
  </si>
  <si>
    <t>2010-07-12</t>
  </si>
  <si>
    <t>42.11,42.11,42.12,42.13,52.21.22,68.20,68.20.2</t>
  </si>
  <si>
    <t>КУБЫШКИН МИХАИЛ БОРИСОВИЧ</t>
  </si>
  <si>
    <t>142608,  МОСКОВСКАЯ ОБЛАСТЬ, Г. ОРЕХОВО-ЗУЕВО, УЛ. УРИЦКОГО, Д.69</t>
  </si>
  <si>
    <t>+74964234390,+74964234488,+74964234501</t>
  </si>
  <si>
    <t>dep12.ru</t>
  </si>
  <si>
    <t>ozdep12@yandex.ru,drsu12@centrdor.ru,drsu12@centror.ru,drsu12@centrdpr.ru</t>
  </si>
  <si>
    <t>АО "МОСМЕК НЕДВИЖИМОСТЬ"</t>
  </si>
  <si>
    <t>АКЦИОНЕРНОЕ ОБЩЕСТВО "МОСМЕК НЕДВИЖИМОСТЬ"</t>
  </si>
  <si>
    <t>2019-12-09</t>
  </si>
  <si>
    <t>35.11,35.12,35.13,35.14,35.21,35.22,35.23,35.30,36.00,37.00,41.20,42.99,43.11,43.12,43.12.3,43.21,43.22,43.29,43.31,43.32,43.33,43.34,43.39,43.91,43.99,43.99.1,52.10,52.21,52.24,68.10,68.31.1,68.31.2,68.32,68.32.3,70.22,77.32</t>
  </si>
  <si>
    <t>БАЙКОВ ФЕДОР ЮРЬЕВИЧ</t>
  </si>
  <si>
    <t>142700,  МОСКОВСКАЯ ОБЛАСТЬ, Г ВИДНОЕ, Ш БЕЛОКАМЕННОЕ, ВЛД. 10, ЗДАНИЕ ЗАК-2, ЭТ/ПОМ 1/38</t>
  </si>
  <si>
    <t>+74957398245,+74957394318,+74957398234,+74955413655,+74955418477,+74955418067,+74955009130,+74955416636,+74956440200</t>
  </si>
  <si>
    <t>______@mail.ru,____@mail.ru,_____@mail.ru,beleevsky@mos-mek.ru</t>
  </si>
  <si>
    <t>88</t>
  </si>
  <si>
    <t>ООО "ФОРМУЛА УПАКОВКИ"</t>
  </si>
  <si>
    <t>ОБЩЕСТВО С ОГРАНИЧЕННОЙ ОТВЕТСТВЕННОСТЬЮ "ФОРМУЛА УПАКОВКИ"</t>
  </si>
  <si>
    <t>2019-07-09</t>
  </si>
  <si>
    <t>10.89.9</t>
  </si>
  <si>
    <t>Производство прочих продуктов питания, не включенных в другие группировки</t>
  </si>
  <si>
    <t>46.76.1</t>
  </si>
  <si>
    <t>БАРАБОШКИН АЛЕКСАНДР МАКСИМОВИЧ</t>
  </si>
  <si>
    <t>141196,  МОСКОВСКАЯ ОБЛАСТЬ, Г. ЩЁЛКОВО, Д. БОГОСЛОВО, ТЕР. ПРОМЫШЛЕННАЯ, СТР. 7</t>
  </si>
  <si>
    <t>+79160625308</t>
  </si>
  <si>
    <t>ООО "МЕЖДУНАРОДНАЯ ЛОГИСТИКА СРСТ РУС"</t>
  </si>
  <si>
    <t>ОБЩЕСТВО С ОГРАНИЧЕННОЙ ОТВЕТСТВЕННОСТЬЮ "МЕЖДУНАРОДНАЯ ЛОГИСТИКА СРСТ РУС"</t>
  </si>
  <si>
    <t>2019-08-09</t>
  </si>
  <si>
    <t>33.12,46.90,47.19,49.20,49.20.9,49.41,49.41.1,49.41.2,49.41.3,49.42,50.20,50.20.1,50.40.1,51.21.1,52.10,52.10.9,52.21,52.21.2,52.24,52.29,63.11,63.99.1,68.10,68.20,70.22,73.20,77.11,77.39,77.39.1,77.39.12,79.11,79.12,82.99</t>
  </si>
  <si>
    <t>КАН ИНФЭН</t>
  </si>
  <si>
    <t>119330, Г.МОСКВА, ВН.ТЕР.Г. МУНИЦИПАЛЬНЫЙ ОКРУГ РАМЕНКИ, ПР-КТ УНИВЕРСИТЕТСКИЙ, Д. 12</t>
  </si>
  <si>
    <t>+79037235188</t>
  </si>
  <si>
    <t>11686868@mail.ru</t>
  </si>
  <si>
    <t>ООО "ВИВА-СТАР"</t>
  </si>
  <si>
    <t>ОБЩЕСТВО С ОГРАНИЧЕННОЙ ОТВЕТСТВЕННОСТЬЮ "ВИВА-СТАР"</t>
  </si>
  <si>
    <t>2001-01-26</t>
  </si>
  <si>
    <t>60.20</t>
  </si>
  <si>
    <t>ШИЛОВ ЮРИЙ ВЛАДИМИРОВИЧ</t>
  </si>
  <si>
    <t>107023,  Г.МОСКВА, УЛ. ЭЛЕКТРОЗАВОДСКАЯ, Д. 20, СТР. 8, ЭТАЖ 2 ПОМЕЩЕНИЕ 1</t>
  </si>
  <si>
    <t>+74957806705,+74957806706,+74957376353,+70957304005,+74957304005</t>
  </si>
  <si>
    <t>vivastar.ru</t>
  </si>
  <si>
    <t>finance@vivastar.ru,nr@vivastar.ru,emax@yandex.ru</t>
  </si>
  <si>
    <t>ООО "СТОМАДЕНТ"</t>
  </si>
  <si>
    <t>ОБЩЕСТВО С ОГРАНИЧЕННОЙ ОТВЕТСТВЕННОСТЬЮ "СТОМАТОЛОГИЯ ДЕНТИСТРИ"</t>
  </si>
  <si>
    <t>2015-01-22</t>
  </si>
  <si>
    <t>21.20.2</t>
  </si>
  <si>
    <t>Производство материалов, применяемых в медицинских целях</t>
  </si>
  <si>
    <t>КУЗОВКОВ ЮРИЙ ВЛАДИМИРОВИЧ</t>
  </si>
  <si>
    <t>140070, МОСКОВСКАЯ ОБЛАСТЬ, Г.О. ЛЮБЕРЦЫ, ПГТ. ТОМИЛИНО, УЛ ГАРШИНА, Д. 11, СТР. 6, ОФИС 301</t>
  </si>
  <si>
    <t>+79254645195,+73912660123,+74955149346,+74955149347,+73751728316,+73852200782,+74955149313,+73432332533,+73432379911,+73852532881,+71728316838,+75220078283,+78525328818,+75849551493,+71384955149,+73478495514,+79346834323,+73253383432,+73799118375,+78925464519,+73852379911,+73852429233,+73912978181,+74952048087,+79857626548,+74995149346</t>
  </si>
  <si>
    <t>59</t>
  </si>
  <si>
    <t>ООО "МАГАЗИН "ЦЕНТРАЛЬНЫЙ"</t>
  </si>
  <si>
    <t>ОБЩЕСТВО С ОГРАНИЧЕННОЙ ОТВЕТСТВЕННОСТЬЮ "МАГАЗИН "ЦЕНТРАЛЬНЫЙ"</t>
  </si>
  <si>
    <t>2024-12-23</t>
  </si>
  <si>
    <t>46.31,46.32,46.33,46.34,46.36,46.37,46.38,46.39,47.11,47.19,47.19.2</t>
  </si>
  <si>
    <t>ШЕИН АЛЕКСЕЙ ЛЕОНИДОВИЧ</t>
  </si>
  <si>
    <t>108840, Г.МОСКВА, ВН.ТЕР.Г. ГОРОДСКОЙ ОКРУГ ТРОИЦК, Г ТРОИЦК, ПЛ АКАДЕМИКА ВЕРЕЩАГИНА, Д. 1</t>
  </si>
  <si>
    <t>+79261852777</t>
  </si>
  <si>
    <t>mmc_troitsk@mail.ru</t>
  </si>
  <si>
    <t>ООО "РВ"</t>
  </si>
  <si>
    <t>ОБЩЕСТВО С ОГРАНИЧЕННОЙ ОТВЕТСТВЕННОСТЬЮ  "РЭНДЖВИЖН"</t>
  </si>
  <si>
    <t>2015-02-03</t>
  </si>
  <si>
    <t>26.20,26.70,46.51.1,46.51.2,46.52.2,46.69.2,46.69.7,47.41,47.78.1,47.91.2,47.99.1,62.01,62.02,63.11,63.11.1,68.10,68.20,72.19,77.33,95.11</t>
  </si>
  <si>
    <t>МАЛЬЦЕВ ОЛЕГ АЛЕКСАНДРОВИЧ</t>
  </si>
  <si>
    <t>143404, МОСКОВСКАЯ ОБЛАСТЬ, Г.О. КРАСНОГОРСК, Г КРАСНОГОРСК, УЛ ЛЕНИНА, Д. 3Б</t>
  </si>
  <si>
    <t>+74955327280,+79035253409,+74996383388</t>
  </si>
  <si>
    <t>info@rangevision.com</t>
  </si>
  <si>
    <t>ООО "ТАЛАН"</t>
  </si>
  <si>
    <t>ОБЩЕСТВО С ОГРАНИЧЕННОЙ ОТВЕТСТВЕННОСТЬЮ "ТАЛАН"</t>
  </si>
  <si>
    <t>2004-09-28</t>
  </si>
  <si>
    <t>52.10</t>
  </si>
  <si>
    <t>Деятельность по складированию и хранению</t>
  </si>
  <si>
    <t>46.90,47.9,49.4,49.41.1,52.10.9,52.21.24,52.24,68.2,68.20,82.92</t>
  </si>
  <si>
    <t>ХУХЛИНА ЮЛИЯ ВАЛЕРЬЕВНА</t>
  </si>
  <si>
    <t>140301, МОСКОВСКАЯ ОБЛАСТЬ, М.О. ЕГОРЬЕВСК, Г ЕГОРЬЕВСК, УЛ 50 ЛЕТ ВЛКСМ, Д. 1Б</t>
  </si>
  <si>
    <t>+74964024779,+74964043410,+74964046042</t>
  </si>
  <si>
    <t>ООО "КЛР"</t>
  </si>
  <si>
    <t>ОБЩЕСТВО С ОГРАНИЧЕННОЙ ОТВЕТСТВЕННОСТЬЮ "КОМПЛЕКСНЫЕ ЛОГИСТИЧЕСКИЕ РЕШЕНИЯ"</t>
  </si>
  <si>
    <t>2006-11-29</t>
  </si>
  <si>
    <t>27.11,28.22,28.22.41,28.22.42,28.22.5,28.22.9,28.25.1,28.25.2,28.29,28.41,28.91,33.12,41.20,43.11,43.12.3,43.39,43.91,43.99,46.49,46.61,46.62,46.63,46.69,46.69.1,46.69.2,46.69.3,46.9,47.52.7,47.9,52.10,52.29,68.10,68.31,69,69.20,70.22,73.1,73.20,74.20,74.30,77.39.21,82.92,82.99</t>
  </si>
  <si>
    <t>САДОХА АЛЕКСЕЙ МИХАЙЛОВИЧ</t>
  </si>
  <si>
    <t>125430, Г.МОСКВА, ВН.ТЕР.Г. МУНИЦИПАЛЬНЫЙ ОКРУГ МИТИНО, УЛ МИТИНСКАЯ, Д. 16, ЭТАЖ/ПОМ/КОМ 13/1301Б/1</t>
  </si>
  <si>
    <t>+74959371291</t>
  </si>
  <si>
    <t>ООО "БИС РУС"</t>
  </si>
  <si>
    <t>ОБЩЕСТВО С ОГРАНИЧЕННОЙ ОТВЕТСТВЕННОСТЬЮ "БИС РУС"</t>
  </si>
  <si>
    <t>2006-12-14</t>
  </si>
  <si>
    <t>26.20,28.14,28.23,28.29,41.20,42.91,43.21,46.14,46.15,46.43,46.66,47.43,47.54,47.7,47.99,62.01,62.02,62.09,63.11,63.11.1,70.22,71.11.1,82.99,95.11,95.12</t>
  </si>
  <si>
    <t>ДАВЫДОВ СТАНИСЛАВ ОЛЕГОВИЧ</t>
  </si>
  <si>
    <t>+74999952195,+74955809085,+74991531460,+74997501792,+74951531460,+74952591569</t>
  </si>
  <si>
    <t>www.it-mpire.ru</t>
  </si>
  <si>
    <t>info@bisrus.com,null@null.ru</t>
  </si>
  <si>
    <t>АО "СЕВЕРКА"</t>
  </si>
  <si>
    <t>АКЦИОНЕРНОЕ ОБЩЕСТВО "СЕВЕРКА"</t>
  </si>
  <si>
    <t>2004-12-29</t>
  </si>
  <si>
    <t>01.13.3</t>
  </si>
  <si>
    <t>Выращивание столовых корнеплодных и клубнеплодных культур с высоким содержанием крахмала или инулина</t>
  </si>
  <si>
    <t>01.11.1,01.13.1,01.61,01.63,68.10.11,01.11,01.11.1,01.11.2,01.13.1,01.13.3,01.19,01.19.1,01.29,01.41,01.42,01.61,01.63,01.64,10.11.1,10.11.2,10.11.3,10.31,10.39.1,46.31.11,47.21,49.41,52.10,52.29,68.20,71.11,77.11,77.12,77.31</t>
  </si>
  <si>
    <t>ОРЛОВ ВИКТОР ДМИТРИЕВИЧ</t>
  </si>
  <si>
    <t>140474,  МОСКОВСКАЯ ОБЛАСТЬ, Г КОЛОМНА, П ИНДУСТРИЯ, УЛ ЦЕНТРАЛЬНАЯ, Д. 3, -</t>
  </si>
  <si>
    <t>+74966173275,+74966173112,+74956173112,+74735554245</t>
  </si>
  <si>
    <t>sv-kremleva@yandex.ru</t>
  </si>
  <si>
    <t>ООО "МИРАСТРОЙ"</t>
  </si>
  <si>
    <t>ОБЩЕСТВО С ОГРАНИЧЕННОЙ ОТВЕТСТВЕННОСТЬЮ "МИРАСТРОЙ"</t>
  </si>
  <si>
    <t>2015-09-10</t>
  </si>
  <si>
    <t>23.63</t>
  </si>
  <si>
    <t>Производство товарного бетона</t>
  </si>
  <si>
    <t>23.61,23.64,23.69,46.13,46.13.2,46.69,46.90,49.4,49.41,49.42,52.10,52.21,52.24,52.29,68.10,68.20,77.12,77.32,77.39.11,77.39.2</t>
  </si>
  <si>
    <t>НИКИТИН КИРИЛЛ АЛЕКСАНДРОВИЧ</t>
  </si>
  <si>
    <t>119048, Г.МОСКВА, ВН.ТЕР.Г. МУНИЦИПАЛЬНЫЙ ОКРУГ ХАМОВНИКИ, ПР-КТ КОМСОМОЛЬСКИЙ, Д. 42, СТР. 1, ПОМЕЩ. 1/5</t>
  </si>
  <si>
    <t>+79299660393,+79299660363,+79035051214,+74954818777,+79689482306,+79104108378</t>
  </si>
  <si>
    <t>tender@mirastroy.ru,tender@myrastroy.ru,info@mirastroy.ru,faktorialrf@gmail.com,mirastroi@mail.ru,info@mirastroy.build,irastroq@mail.ru,odsb15@gmail.com</t>
  </si>
  <si>
    <t>ООО "ЛОГИСТИКА СЕРВИС"</t>
  </si>
  <si>
    <t>ОБЩЕСТВО С ОГРАНИЧЕННОЙ ОТВЕТСТВЕННОСТЬЮ "ЛОГИСТИКА СЕРВИС"</t>
  </si>
  <si>
    <t>2004-04-16</t>
  </si>
  <si>
    <t>68.2</t>
  </si>
  <si>
    <t>46.33,52.10</t>
  </si>
  <si>
    <t>ШЕЛАГИН МАКСИМ ЮРЬЕВИЧ</t>
  </si>
  <si>
    <t>142701,  МОСКОВСКАЯ ОБЛАСТЬ, Г. ВИДНОЕ, Д. ПУГОВИЧИНО, ТЕР ПРОМЗОНА ПУГОВИЧИНО, Д. 4</t>
  </si>
  <si>
    <t>+74956452050,+74959379771</t>
  </si>
  <si>
    <t>40</t>
  </si>
  <si>
    <t>АО "МАРТИНЕЛЛИ ЭТТОРЕ"</t>
  </si>
  <si>
    <t>АКЦИОНЕРНОЕ ОБЩЕСТВО "МАРТИНЕЛЛИ ЭТТОРЕ"</t>
  </si>
  <si>
    <t>2004-05-12</t>
  </si>
  <si>
    <t>33.12</t>
  </si>
  <si>
    <t>Ремонт машин и оборудования</t>
  </si>
  <si>
    <t>46.69.9,28.99,28.99.9,33.12,46.69,46.73.6</t>
  </si>
  <si>
    <t>КУЛЬБАКОВА ЛАРИСА ОЛЕГОВНА</t>
  </si>
  <si>
    <t>142505,  МОСКОВСКАЯ ОБЛАСТЬ, Г. ПАВЛОВСКИЙ ПОСАД, Ш. МИШУТИНСКОЕ, Д.66</t>
  </si>
  <si>
    <t>+74964322483,+79166058204</t>
  </si>
  <si>
    <t>АО "НЬЮКО"</t>
  </si>
  <si>
    <t>АКЦИОНЕРНОЕ ОБЩЕСТВО "НЬЮКО"</t>
  </si>
  <si>
    <t>2004-12-10</t>
  </si>
  <si>
    <t>47.74</t>
  </si>
  <si>
    <t>Торговля розничная изделиями, применяемыми в медицинских целях, ортопедическими изделиями в специализированных магазинах</t>
  </si>
  <si>
    <t>26.60.1,33.13,46.46.2,72.19,74.30,82.19,86.21</t>
  </si>
  <si>
    <t>ПОСАДСКИЙ НИКОЛАЙ НИКОЛАЕВИЧ</t>
  </si>
  <si>
    <t>141190, МОСКОВСКАЯ ОБЛАСТЬ, Г.О. ФРЯЗИНО, Г ФРЯЗИНО, ТЕР. ВОСТОЧНАЯ ЗАВОДСКАЯ ПРОМЫШЛЕННАЯ, Д. 3А, ПОМЕЩ. 315</t>
  </si>
  <si>
    <t>+79166811621,+74965651377,+74955651377,+74952216441,+79857690612,+74957451570,+78255651377</t>
  </si>
  <si>
    <t>ssluha.ru</t>
  </si>
  <si>
    <t>info@ssluha.ru,2216441@mail.ru,prodaja@istok-audio.com,221644@mail.ru</t>
  </si>
  <si>
    <t>ООО "ПЛАФЕН"</t>
  </si>
  <si>
    <t>ОБЩЕСТВО С ОГРАНИЧЕННОЙ ОТВЕТСТВЕННОСТЬЮ "ПЛАФЕН"</t>
  </si>
  <si>
    <t>2004-03-31</t>
  </si>
  <si>
    <t>22.23.1</t>
  </si>
  <si>
    <t>Производство материалов, изделий и конструкций строительного назначения из полимерных композитов</t>
  </si>
  <si>
    <t>25.11,46.73.6,16.23,22.23,22.29.9,23.12,23.19.2,25.11,25.12,28.99.9,33.12,38.32.51,38.32.53,41.20,43.32,46.73.5,46.73.6,47.52.3,47.52.7,52.29,71.11.1,73.20.1</t>
  </si>
  <si>
    <t>ТРУНЦЕВ АЛЕКСАНДР СЕРГЕЕВИЧ</t>
  </si>
  <si>
    <t>140090,  МОСКОВСКАЯ ОБЛАСТЬ, Г. ДЗЕРЖИНСКИЙ, Г ЛЮБЕРЦЫ, УЛ САДОВАЯ, Д. 7</t>
  </si>
  <si>
    <t>+74959950972,+70959950973,+74955505151,+74959950973,+74955507832,+74955507833</t>
  </si>
  <si>
    <t>www.plafen.com</t>
  </si>
  <si>
    <t>zavod@plafen.com</t>
  </si>
  <si>
    <t>93</t>
  </si>
  <si>
    <t>ООО "ОЛИ РУС"</t>
  </si>
  <si>
    <t>ОБЩЕСТВО С ОГРАНИЧЕННОЙ ОТВЕТСТВЕННОСТЬЮ "ОЛИ РУС"</t>
  </si>
  <si>
    <t>2015-02-18</t>
  </si>
  <si>
    <t>22.29.2</t>
  </si>
  <si>
    <t>Производство прочих изделий из пластмасс, не включенных в другие группировки, кроме устройств пломбировочных из пластика</t>
  </si>
  <si>
    <t>46.73.3,22.21,22.23,22.29,25.99,37.00,37.00,43.22,46.73.3,46.73.3,46.73.6,46.73.6,46.74.2,46.74.3,46.90,47.52,47.52.5,47.52.73,47.91,47.99</t>
  </si>
  <si>
    <t>ДАВЫДОВ ЕВГЕНИЙ ВАЛЕНТИНОВИЧ</t>
  </si>
  <si>
    <t>108840, Г.МОСКВА, ВН.ТЕР.Г. ГОРОДСКОЙ ОКРУГ ТРОИЦК, Г ТРОИЦК, УЛ ПРОМЫШЛЕННАЯ, Д. 13</t>
  </si>
  <si>
    <t>+74992706555</t>
  </si>
  <si>
    <t>milant@mail.ru</t>
  </si>
  <si>
    <t>ООО "МЕТАСИНТЕЗ"</t>
  </si>
  <si>
    <t>ОБЩЕСТВО С ОГРАНИЧЕННОЙ ОТВЕТСТВЕННОСТЬЮ "МЕТАСИНТЕЗ"</t>
  </si>
  <si>
    <t>2015-02-05</t>
  </si>
  <si>
    <t>46.12,46.12.1,46.71.1,46.71.2,46.71.3,46.71.4,46.71.5,46.71.51,46.71.52,46.71.9,62.01,62.02,63.11,63.11.1,64.19,64.20,66.12,70.10.1,70.10.2,70.22,71.11,71.11.1,71.12,71.12.1,71.12.12,71.12.13,71.12.41,71.12.45,71.12.5,71.12.53,71.12.6,71.12.63,71.20,71.20.1,71.20.3,71.20.6,71.20.8,71.20.9,73.20</t>
  </si>
  <si>
    <t>ПИМЕНОВ МИХАИЛ АНДРЕЕВИЧ</t>
  </si>
  <si>
    <t>105066,  Г.МОСКВА, УЛ. СТАРАЯ БАСМАННАЯ, Д. 16/1Б, СТР. 6, ЭТ. 2 КАБ/ПОМ 4</t>
  </si>
  <si>
    <t>+74952314181,+79057909500</t>
  </si>
  <si>
    <t>metasynthes.ru</t>
  </si>
  <si>
    <t>kirillova_ea@mail.ru,mike_pimenov@mail.ru</t>
  </si>
  <si>
    <t>ООО "УПРАВЛЯЮЩАЯ КОМПАНИЯ "ТУШИНО 2018"</t>
  </si>
  <si>
    <t>ОБЩЕСТВО С ОГРАНИЧЕННОЙ ОТВЕТСТВЕННОСТЬЮ "УПРАВЛЯЮЩАЯ КОМПАНИЯ "ТУШИНО 2018"</t>
  </si>
  <si>
    <t>2015-12-25</t>
  </si>
  <si>
    <t>68.10.2</t>
  </si>
  <si>
    <t>37.00,41.20,43.22,43.31,43.32,43.33,43.34.1,43.91,52.21.24,64.99.3,68.10,68.20,68.20.2,68.31.1,68.31.2,68.31.3,68.31.4,68.31.5,68.32,68.32.1,68.32.2,73.11,73.20.1,81.22,82.99</t>
  </si>
  <si>
    <t>САВИН НИКОЛАЙ ОЛЕГОВИЧ</t>
  </si>
  <si>
    <t>125424,  Г.МОСКВА, Ш. ВОЛОКОЛАМСКОЕ, Д. 69, СТР. 1</t>
  </si>
  <si>
    <t>+79032549542</t>
  </si>
  <si>
    <t>ООО "НОВОСТЬ"</t>
  </si>
  <si>
    <t>ОБЩЕСТВО С ОГРАНИЧЕННОЙ ОТВЕТСТВЕННОСТЬЮ "КОМБИНАТ БЫТОВОГО ОБСЛУЖИВАНИЯ "НОВОСТЬ"</t>
  </si>
  <si>
    <t>2015-09-18</t>
  </si>
  <si>
    <t>77.11,77.39</t>
  </si>
  <si>
    <t>БОГДАНОВ ДМИТРИЙ НИКОЛАЕВИЧ</t>
  </si>
  <si>
    <t>115201,  Г.МОСКВА, ПЕР. 1-Й КОТЛЯКОВСКИЙ, Д. 13</t>
  </si>
  <si>
    <t>+79852266537,+74996132845,+74996135645,+74996737739,+79258080093,+74996136667</t>
  </si>
  <si>
    <t>oao-novost.ru</t>
  </si>
  <si>
    <t>xx@xx.ru,oao-novost@yandex.ru</t>
  </si>
  <si>
    <t>ООО "СПУТНИК"</t>
  </si>
  <si>
    <t>ОБЩЕСТВО С ОГРАНИЧЕННОЙ ОТВЕТСТВЕННОСТЬЮ "СПУТНИК"</t>
  </si>
  <si>
    <t>2021-11-18</t>
  </si>
  <si>
    <t>10.39.1,46.11.39,46.31,46.31.11,46.31.2,46.90,47.21,47.21.2,52.10,52.24,64.91,68.20.2,73.20.1,82.99</t>
  </si>
  <si>
    <t>ЮРГАЕВА АЛЕКСАНДРА ВЛАДИМИРОВНА</t>
  </si>
  <si>
    <t>142253, МОСКОВСКАЯ ОБЛАСТЬ, Г.О. СЕРПУХОВ, Д КАЛИНОВО, ТЕР. КВАРТАЛ А, Д. 1, ЭТАЖ 2, КОМ. 76</t>
  </si>
  <si>
    <t>+79609639201</t>
  </si>
  <si>
    <t>ООО "ДХ РУС СЕРВИСЕЗ"</t>
  </si>
  <si>
    <t>ОБЩЕСТВО С ОГРАНИЧЕННОЙ ОТВЕТСТВЕННОСТЬЮ "ДХ РУС СЕРВИСЕЗ"</t>
  </si>
  <si>
    <t>69.20</t>
  </si>
  <si>
    <t>Деятельность по оказанию услуг в области бухгалтерского учета, по проведению финансового аудита, по налоговому консультированию</t>
  </si>
  <si>
    <t>63.11,68.20.2,70.22,73.20.1,74.30,82.19,82.99</t>
  </si>
  <si>
    <t>Косенко Наталия Александровна</t>
  </si>
  <si>
    <t>109004, Г.МОСКВА, ВН.ТЕР.Г. МУНИЦИПАЛЬНЫЙ ОКРУГ ТАГАНСКИЙ, УЛ СТАНИСЛАВСКОГО, Д. 21, СТР. 5</t>
  </si>
  <si>
    <t>+78123244250</t>
  </si>
  <si>
    <t>ООО "ДОМЗ"</t>
  </si>
  <si>
    <t>ОБЩЕСТВО С ОГРАНИЧЕННОЙ ОТВЕТСТВЕННОСТЬЮ "ДОМОДЕДОВСКИЙ ОПЫТНЫЙ МАШИНОСТРОИТЕЛЬНЫЙ ЗАВОД"</t>
  </si>
  <si>
    <t>2004-04-01</t>
  </si>
  <si>
    <t>26.51.6</t>
  </si>
  <si>
    <t>Производство прочих приборов, датчиков, аппаратуры и инструментов для измерения, контроля и испытаний</t>
  </si>
  <si>
    <t>46.69.9,68.20.29,26.51.6,33.13,46.51,46.69.9,46.90,62.01,62.02,63.11.1,68.20.2,71.12.12,71.12.61,71.20,77.39.22,77.39.29</t>
  </si>
  <si>
    <t>ЧУРАЕВ ВИКТОР ГЕННАДЬЕВИЧ</t>
  </si>
  <si>
    <t>142005,  МОСКОВСКАЯ ОБЛАСТЬ, Г. ДОМОДЕДОВО, УЛ КИРОВА (ЦЕНТРАЛЬНЫЙ МКР.), СТР. 27</t>
  </si>
  <si>
    <t>+74957885781,+74954190096,+74954190196,+74967974619,+74956340096,+74957885780,+78277974619,+74957800819</t>
  </si>
  <si>
    <t>www.domz.ru</t>
  </si>
  <si>
    <t>domz@domz.ru</t>
  </si>
  <si>
    <t>ООО "АРТ-КУРЬЕР"</t>
  </si>
  <si>
    <t>ОБЩЕСТВО С ОГРАНИЧЕННОЙ ОТВЕТСТВЕННОСТЬЮ "АРТ-КУРЬЕР"</t>
  </si>
  <si>
    <t>2004-01-26</t>
  </si>
  <si>
    <t>16.23,16.24,28.29.22,28.29.3,43.31,43.32,43.34,47.78.5,49.41,52.10,52.29,65.12.2,66.1,74.30,82.92,82.92,82.99,90.0,91.03,93.2</t>
  </si>
  <si>
    <t>ЗАРЕЦКИЙ АЛЕКСАНДР ЭДУАРДОВИЧ</t>
  </si>
  <si>
    <t>115114, Г.МОСКВА, ВН.ТЕР.Г. МУНИЦИПАЛЬНЫЙ ОКРУГ ДАНИЛОВСКИЙ, УЛ ДЕРБЕНЕВСКАЯ, Д. 24, СТР. 2</t>
  </si>
  <si>
    <t>+74956410471,+74953314754,+74956937519,+74956927130,+74951410911,+74959825490,+74953652894,+74956209191,+74991208455,+74956893562,+74959811007,+74956412471</t>
  </si>
  <si>
    <t>a.zaretskiy@art-courier.ru,info@art-courier.ru,i.sergeev@art-courier.ru,a.tsvirkunova@art-courier.ru,r.litvinova@art-courier.ru,art@mail.ru,m.maslakova@art-courier.ru,zzz@mail.ru,xx@mail.ru,rrr@mail.ru,anastasia@art-courier.ru,ray@art-courier.ru,zak@art-courier.ru,null@null.ru,89099612770@mail.ru</t>
  </si>
  <si>
    <t>АО "АМТЕЛ-СВЯЗЬ"</t>
  </si>
  <si>
    <t>АКЦИОНЕРНОЕ ОБЩЕСТВО "АМТЕЛ-СВЯЗЬ"</t>
  </si>
  <si>
    <t>2004-06-11</t>
  </si>
  <si>
    <t>61.1</t>
  </si>
  <si>
    <t>33.20,42.21,42.22.2,43.21,43.29,45.1,46.51,46.69.5,46.90,47.41,47.41.4,52.29,61.10.1,61.10.9,61.20,61.30,61.30.1,61.90,62.01,62.02,62.09,63.11,63.11.1,68.10,68.10.1,85.42.9,95.11</t>
  </si>
  <si>
    <t>АНОСОВ АЛЕКСАНДР ВЯЧЕСЛАВОВИЧ</t>
  </si>
  <si>
    <t>125315,  Г.МОСКВА, ПР-КТ ЛЕНИНГРАДСКИЙ, Д. 80, К. 37</t>
  </si>
  <si>
    <t>+74959830404,+74959830429,+74959830444,+74959830400,+73852383999,+79091599718,+74959830440,+78002000429,+74956830429,+73859121898,+74952830429,+74959830405,+74959830550,+74949830404,+78722780520</t>
  </si>
  <si>
    <t>amtelsvyaz.ru</t>
  </si>
  <si>
    <t>t.pochekina@amtelcom.ru,eteri_amtel@mail.ru,info@amtelcom.ru,frolova@amtelcom.ru,frolova@amtelsvyaz.ru,kd@amtelcom.ru,bill@amtelcom.ru,informa@amtelcom.ru,a.kozlov@amtelcom.ru,vsn@tscomnao.ru,vsn@tccomnao.ru,m.ibragimova@amtelcom.ru,dill@amtelcom.ru,adm-aykhal@mail.ru,sosnovskiy@amtelcom.ru,support@amtelcom.ru,a.kozlov@amtelsvyaz.ru,info@amtelsvyaz.ru,hda@amtelsvyaz.ru</t>
  </si>
  <si>
    <t>АО "ЦРТ"</t>
  </si>
  <si>
    <t>АКЦИОНЕРНОЕ ОБЩЕСТВО "ЦЕНТР РОБОТИЗИРОВАННЫХ ТЕХНОЛОГИЙ"</t>
  </si>
  <si>
    <t>2020-06-23</t>
  </si>
  <si>
    <t>28.99</t>
  </si>
  <si>
    <t>Производство прочих машин и оборудования специального назначения, не включенных в другие группировки</t>
  </si>
  <si>
    <t>28.99.5,33.20,62.01,62.02,71.12,72.19,74.90,85.30,85.41,85.42</t>
  </si>
  <si>
    <t>ИППОЛИТОВ ВАДИМ ВАЛЕРЬЕВИЧ</t>
  </si>
  <si>
    <t>109316, Г.МОСКВА, ВН.ТЕР.Г. МУНИЦИПАЛЬНЫЙ ОКРУГ ТАГАНСКИЙ, ПР-КТ ВОЛГОГРАДСКИЙ, Д. 2, ПОМЕЩ. 1/1</t>
  </si>
  <si>
    <t>+79167010362</t>
  </si>
  <si>
    <t>smirnov@crt.aero</t>
  </si>
  <si>
    <t>АО "ЛК СДМ"</t>
  </si>
  <si>
    <t>АКЦИОНЕРНОЕ ОБЩЕСТВО "ЛИЗИНГОВАЯ КОМПАНИЯ СДМ"</t>
  </si>
  <si>
    <t>2004-05-21</t>
  </si>
  <si>
    <t>68.20.2,41.20,45.1,45.20,64.19,64.91,68.10,68.20</t>
  </si>
  <si>
    <t>ВИННИКОВ МИХАИЛ ВИКТОРОВИЧ</t>
  </si>
  <si>
    <t>125424, Г.МОСКВА, ВН.ТЕР.Г. МУНИЦИПАЛЬНЫЙ ОКРУГ ПОКРОВСКОЕ-СТРЕШНЕВО, Ш ВОЛОКОЛАМСКОЕ, Д. 73, ЭТАЖ 6, ПОМЕЩ. 604</t>
  </si>
  <si>
    <t>+74954906989,+70954906989</t>
  </si>
  <si>
    <t>ООО "ДЖОЙКО"</t>
  </si>
  <si>
    <t>ОБЩЕСТВО С ОГРАНИЧЕННОЙ ОТВЕТСТВЕННОСТЬЮ "ДЖОЙКО"</t>
  </si>
  <si>
    <t>2020-04-01</t>
  </si>
  <si>
    <t>10.71.2</t>
  </si>
  <si>
    <t>Производство мучных кондитерских изделий, тортов и пирожных недлительного хранения</t>
  </si>
  <si>
    <t>10.61,10.71,10.72,10.82,10.86,46.36.2,46.36.3,46.38.2,46.38.29,46.90,47.11,47.19,52.10,82.92</t>
  </si>
  <si>
    <t>КОНЧАКОВ ВЛАДИМИР ВЛАДИМИРОВИЧ</t>
  </si>
  <si>
    <t>117437,  Г.МОСКВА, УЛ. АКАДЕМИКА АРЦИМОВИЧА, Д. 6, ЭТАЖ 3, КОМНАТА 31</t>
  </si>
  <si>
    <t>+74956729571</t>
  </si>
  <si>
    <t>39</t>
  </si>
  <si>
    <t>ООО "СИНАРА - ГТР"</t>
  </si>
  <si>
    <t>ОБЩЕСТВО С ОГРАНИЧЕННОЙ ОТВЕТСТВЕННОСТЬЮ "СИНАРА - ГОРОДСКИЕ ТРАНСПОРТНЫЕ РЕШЕНИЯ"</t>
  </si>
  <si>
    <t>2020-07-16</t>
  </si>
  <si>
    <t>16.23,16.23.1,23.20.1,23.20.2,41.20,42.11,42.12,42.13,42.22,42.99,43.12,43.12.1,43.12.3,43.99,46.13.2,46.73,46.73.6,47.52.7,63.99.1,64.99,64.99.3,68.20,68.20.2,68.31.1,68.31.2,68.32,70.10.1,70.10.2,70.22,71.11,71.11.1,71.12,71.12.2,71.12.3,71.12.4,74.90,77.32,77.39.2</t>
  </si>
  <si>
    <t>ЛЯСЕЦКИЙ АЛЕКСЕЙ ГЕОРГИЕВИЧ</t>
  </si>
  <si>
    <t>+79217590236,+79217927209,+79223000500</t>
  </si>
  <si>
    <t>ООО "РТДА"</t>
  </si>
  <si>
    <t>ОБЩЕСТВО С ОГРАНИЧЕННОЙ ОТВЕТСТВЕННОСТЬЮ "РТДА"</t>
  </si>
  <si>
    <t>2004-09-08</t>
  </si>
  <si>
    <t>71.11.1</t>
  </si>
  <si>
    <t>Деятельность в области архитектуры, связанная с созданием архитектурного объекта</t>
  </si>
  <si>
    <t>68.1,68.20,68.3,71.11.2,71.11.3,74.10</t>
  </si>
  <si>
    <t>ЛЕПЕШКИНА МАРИНА НИКОЛАЕВНА</t>
  </si>
  <si>
    <t>119017, Г.МОСКВА, ВН.ТЕР.Г. МУНИЦИПАЛЬНЫЙ ОКРУГ ЯКИМАНКА, НАБ КАДАШЁВСКАЯ, Д. 14, К. 2</t>
  </si>
  <si>
    <t>+74956628002,+74957256236,+74957256235</t>
  </si>
  <si>
    <t>brt.ru</t>
  </si>
  <si>
    <t>greben@rtda.su,fo@rtda.su,office@brt.ru,soldatskaya-10@mail.ru,gd@brt.ru</t>
  </si>
  <si>
    <t>ООО "ПОЛЕ"</t>
  </si>
  <si>
    <t>ОБЩЕСТВО С ОГРАНИЧЕННОЙ ОТВЕТСТВЕННОСТЬЮ "ПОЛЕ"</t>
  </si>
  <si>
    <t>2020-12-23</t>
  </si>
  <si>
    <t>46.11,46.75,47.11,62.01,63.11.1,63.99,63.99.1,63.99.12,73.11,74.90</t>
  </si>
  <si>
    <t>БЕЛОВ ЕВГЕНИЙ АЛЕКСАНДРОВИЧ</t>
  </si>
  <si>
    <t>127006, Г.МОСКВА, ВН.ТЕР.Г. МУНИЦИПАЛЬНЫЙ ОКРУГ ТВЕРСКОЙ, УЛ КРАСНОПРОЛЕТАРСКАЯ, Д. 4, ПОМЕЩ. 2/1</t>
  </si>
  <si>
    <t>+79646260157</t>
  </si>
  <si>
    <t>info@poleinvest.ru,buh@poleinvest.ru,amp@dholding.ru</t>
  </si>
  <si>
    <t>95</t>
  </si>
  <si>
    <t>ООО "СОЛНЦЕВО"</t>
  </si>
  <si>
    <t>ОБЩЕСТВО С ОГРАНИЧЕННОЙ ОТВЕТСТВЕННОСТЬЮ "СОЛНЦЕВО"</t>
  </si>
  <si>
    <t>2020-12-24</t>
  </si>
  <si>
    <t>18.12,33.14,46.31,68.10,68.20,68.31.2,68.31.3,68.31.4</t>
  </si>
  <si>
    <t>ШИК СЕРГЕЙ ВАСИЛЬЕВИЧ</t>
  </si>
  <si>
    <t>119619, Г.МОСКВА, ВН.ТЕР.Г. МУНИЦИПАЛЬНЫЙ ОКРУГ СОЛНЦЕВО, УЛ ПРОИЗВОДСТВЕННАЯ, Д. 11, СТР. 6</t>
  </si>
  <si>
    <t>+79037280829</t>
  </si>
  <si>
    <t>bazasolncevo@mail.ru</t>
  </si>
  <si>
    <t>ООО "ИНСТИТУТ МИКРОЭКОНОМИКИ"</t>
  </si>
  <si>
    <t>ОБЩЕСТВО С ОГРАНИЧЕННОЙ ОТВЕТСТВЕННОСТЬЮ "ИНСТИТУТ МИКРОЭКОНОМИКИ"</t>
  </si>
  <si>
    <t>68.10,68.10.1,68.10.2,68.20.1,68.20.2,68.31,68.31.1,68.31.2,68.31.3,68.31.4,68.31.5,68.32,69.20.2,69.20.3,72.20</t>
  </si>
  <si>
    <t>ВАРАКИНА МАРИЯ ГЕННАДЬЕВНА</t>
  </si>
  <si>
    <t>117218,  Г.МОСКВА, УЛ. БОЛЬШАЯ ЧЕРЁМУШКИНСКАЯ, Д. 34, ЭТ/ПОМ/КОМ 6/I/9</t>
  </si>
  <si>
    <t>+74957271110</t>
  </si>
  <si>
    <t>1282904@mail.ru,arenda_dom34@mail.ru</t>
  </si>
  <si>
    <t>ООО "ТЭНКАРД"</t>
  </si>
  <si>
    <t>ОБЩЕСТВО С ОГРАНИЧЕННОЙ ОТВЕТСТВЕННОСТЬЮ "ТЭНКАРД"</t>
  </si>
  <si>
    <t>1995-09-14</t>
  </si>
  <si>
    <t>46.17,47.11,49.42,52.10,68.20.2,77.11,77.12</t>
  </si>
  <si>
    <t>Миньков Евгений Израилевич</t>
  </si>
  <si>
    <t>117105, Г.МОСКВА, ВН.ТЕР.Г. МУНИЦИПАЛЬНЫЙ ОКРУГ ДОНСКОЙ, Ш ВАРШАВСКОЕ, Д. 1А</t>
  </si>
  <si>
    <t>+78452308800,+78452208854,+78452308854,+78452312565,+78452308802,+78482391925,+78452308879,+78464986058,+79272233256</t>
  </si>
  <si>
    <t>tankard.ru</t>
  </si>
  <si>
    <t>urist@tankard.ru,prosinav@tankard.ru</t>
  </si>
  <si>
    <t>ООО "КЕССЕБЕМЕР РУС"</t>
  </si>
  <si>
    <t>ОБЩЕСТВО С ОГРАНИЧЕННОЙ ОТВЕТСТВЕННОСТЬЮ "КЕССЕБЕМЕР РУС"</t>
  </si>
  <si>
    <t>2019-12-05</t>
  </si>
  <si>
    <t>18.12,25.91,25.92,25.93,25.94,25.99,31.02,31.09,46.15,46.15.1,46.16.2,46.42,46.47,46.47.1,46.49,46.49.3,46.49.4,46.49.49,46.52.1,46.65,46.76.3,46.90,47.19,47.42,47.52.1,47.52.4,47.52.7,47.59,47.59.1,47.61,47.62,47.71,47.78.3,47.89,47.91,49.41,53.20.3,58.19,70.22,73.11,85.30,85.41.9</t>
  </si>
  <si>
    <t>ЗАЯЦ ВЛАДИМИР ВЛАДИМИРОВИЧ
ПУШКАРЕВА НАТАЛИЯ АЛЕКСАНДРОВНА</t>
  </si>
  <si>
    <t>622911397360
772016710067</t>
  </si>
  <si>
    <t>129343, Г.МОСКВА, ВН.ТЕР.Г. МУНИЦИПАЛЬНЫЙ ОКРУГ СВИБЛОВО, ПРОЕЗД СЕРЕБРЯКОВА, Д. 14, СТР. 15</t>
  </si>
  <si>
    <t>+79692801186</t>
  </si>
  <si>
    <t>ООО "ЭКСПОРТ ТРЕЙДИНГ КОМПАНИ"</t>
  </si>
  <si>
    <t>ОБЩЕСТВО С ОГРАНИЧЕННОЙ ОТВЕТСТВЕННОСТЬЮ "ЭКСПОРТ ТРЕЙДИНГ КОМПАНИ"</t>
  </si>
  <si>
    <t>46.46</t>
  </si>
  <si>
    <t>Торговля оптовая фармацевтической продукцией</t>
  </si>
  <si>
    <t>46.18,46.19,46.21,46.22,46.23,46.24,46.31,46.32,46.33,46.34,46.45,46.61,46.69,46.71,46.73,46.75,46.90,47.73,47.74,47.75,49.41,49.42,52.10,52.24,52.29,68.10,68.20,70.22,73.11,73.12,73.20</t>
  </si>
  <si>
    <t>ДИКОВ ФЁДОР АЛЕКСАНДРОВИЧ</t>
  </si>
  <si>
    <t>121596, Г.МОСКВА, ВН.ТЕР.Г. МУНИЦИПАЛЬНЫЙ ОКРУГ МОЖАЙСКИЙ, УЛ ГОРБУНОВА, Д. 2, СТР. 3, ПОМЕЩ. 12</t>
  </si>
  <si>
    <t>+79166521374</t>
  </si>
  <si>
    <t>liramed@list.ru</t>
  </si>
  <si>
    <t>ОАО "ПФОП"</t>
  </si>
  <si>
    <t>ОТКРЫТОЕ АКЦИОНЕРНОЕ ОБЩЕСТВО "ПОДОЛЬСКАЯ ФАБРИКА ОФСЕТНОЙ ПЕЧАТИ"</t>
  </si>
  <si>
    <t>17.2,18.1,18.11,18.13,18.14,18.20,47.1,49.4,66.1,69,73.11</t>
  </si>
  <si>
    <t>СТЕСЕНКО ЭЛИНА ОЛЕГОВНА</t>
  </si>
  <si>
    <t>142100,  МОСКОВСКАЯ ОБЛАСТЬ, Г. ПОДОЛЬСК, ПР-КТ РЕВОЛЮЦИОННЫЙ, Д.80/42</t>
  </si>
  <si>
    <t>+74967699722,+74967637104,+74957404335,+79645796381,+74967664311,+74967552369,+74967569824,+79166805731,+74963624014,+74966441180,+74963622286,+74963623911,+74993404180,+74957404345,+74967699142,+74956170524,+74967699729,+74963621401,+79175406119,+74955007137,+74967637132,+74967637131,+74959886776,+79859916145,+74967969729,+74976637336,+74967637103,+74967699783,+79168110447,+74967599722,+74967637102,+77967637104,+74967679722</t>
  </si>
  <si>
    <t>ipkpfop.ru</t>
  </si>
  <si>
    <t>zakupki@pfop.ru,st-elina@yandex.ru,janna@ofsetpodolsk.ru,st-elina@prof.ru,po_volokofset@mail.ru,zakaz@pfop.ru,pfop@pfop.ru,ofset@bk.ru,sale@pfop.ru,ofspechat@mail.ru,pfop@mail.ru,manzhosovaa@yandex.ru,po@volokofset.ru,ofsetpodolsk@mail.ru,zakaz@(pfop.ru,zakaz@pfor.ru,mail@mail.ru,zakaz@prof.ru,neznau@mail.ru,ofset@podolsk.ru,nshamina@ofsetrpodolsk.ru,iv75@pfop.ru,sk@ofsetpodolsk.ru,zakupki@prof.ru,zakaz@ofsetpodolsk.ry,zakaz@ofsetpodolsk.ru,zakupki@prop.ru,volokofset@rambler.ru,000@mail.ru,info@ofsetpodolsk.ru,5406119@mail.ru,fset@podolsk.ru,null@null.ru,nshamina@ofsetpodolsk.ru,lv@ofsetpodolsk.ru</t>
  </si>
  <si>
    <t>228</t>
  </si>
  <si>
    <t>ООО "СИК МГ"</t>
  </si>
  <si>
    <t>ОБЩЕСТВО С ОГРАНИЧЕННОЙ ОТВЕТСТВЕННОСТЬЮ "СИК МЕНЕДЖМЕНТ ГРУП"</t>
  </si>
  <si>
    <t>2018-12-26</t>
  </si>
  <si>
    <t>69.10</t>
  </si>
  <si>
    <t>Деятельность в области права</t>
  </si>
  <si>
    <t>64.91,64.92,66.21,66.30,68.10,68.20,68.32,69.20,70.10,70.21,70.22,71.12,71.20.2,73.20,74.30,77.11,77.12,77.31,77.32,77.39,79.90,82.11,82.99</t>
  </si>
  <si>
    <t>БОРОДАЕВА ЕКАТЕРИНА ВИКТОРОВНА
ШМАКОВ ИГОРЬ ВЛАДИМИРОВИЧ</t>
  </si>
  <si>
    <t>615016226206
614107886423</t>
  </si>
  <si>
    <t>ИСПОЛНИТЕЛЬНЫЙ ДИРЕКТОР
ДИРЕКТОР</t>
  </si>
  <si>
    <t>105064, Г.МОСКВА, ВН.ТЕР.Г. МУНИЦИПАЛЬНЫЙ ОКРУГ БАСМАННЫЙ, УЛ КАЗАКОВА, Д. 8, СТР. 3, ПОМЕЩ. 4/2</t>
  </si>
  <si>
    <t>+78007756161</t>
  </si>
  <si>
    <t>info@sic-mg.com</t>
  </si>
  <si>
    <t>ООО "АГС"</t>
  </si>
  <si>
    <t>ОБЩЕСТВО С ОГРАНИЧЕННОЙ ОТВЕТСТВЕННОСТЬЮ "АТАЛИАН ГЛОБАЛ СЕРВИСЕЗ"</t>
  </si>
  <si>
    <t>2016-10-31</t>
  </si>
  <si>
    <t>81.22</t>
  </si>
  <si>
    <t>Деятельность по чистке и уборке жилых зданий и нежилых помещений прочая</t>
  </si>
  <si>
    <t>33.12,38.11,38.12,38.21,38.22,43.21,43.22,43.29,68.32.2,70.22,81.10,81.21,81.22,81.29,81.29.2,81.29.9</t>
  </si>
  <si>
    <t>БЕЛОВ ПАВЕЛ ЮРЬЕВИЧ</t>
  </si>
  <si>
    <t>125040,  Г.МОСКВА, УЛ. СКАКОВАЯ, Д. 36, ЭТ 1 ПОМ XIII КОМ 102А</t>
  </si>
  <si>
    <t>+74954115645,+79060985273</t>
  </si>
  <si>
    <t>6701900@mail.ru</t>
  </si>
  <si>
    <t>110</t>
  </si>
  <si>
    <t>ООО "НТЦ"</t>
  </si>
  <si>
    <t>ОБЩЕСТВО С ОГРАНИЧЕННОЙ ОТВЕТСТВЕННОСТЬЮ "НОГИНСКИЙ ТЕПЛОВОЙ ЦЕНТР"</t>
  </si>
  <si>
    <t>2006-09-15</t>
  </si>
  <si>
    <t>35.30.11,35.11,35.11.1,35.2,35.30,41.2,43.11,43.12.3,43.2,43.3,43.99,78.10</t>
  </si>
  <si>
    <t>НИКИТИН ИГОРЬ МИХАЙЛОВИЧ</t>
  </si>
  <si>
    <t>107045,  Г.МОСКВА, УЛ. СРЕТЕНКА, Д.24/2, СТР.1</t>
  </si>
  <si>
    <t>+74957856696,+74957856695,+74952348808</t>
  </si>
  <si>
    <t>ООО "МОЛ-РУСС"</t>
  </si>
  <si>
    <t>ОБЩЕСТВО С ОГРАНИЧЕННОЙ ОТВЕТСТВЕННОСТЬЮ "МОЛ-РУСС"</t>
  </si>
  <si>
    <t>2006-09-26</t>
  </si>
  <si>
    <t>06.1,09.10.9,46.12.1,46.12.3,46.71,46.71,46.75,46.90,49.50.11,49.50.12,49.50.21,49.50.22,52.10.2,52.10.21,52.10.22,69.20.2,70.22,71.12.3,73.20.1,78.30,82.99,85.23</t>
  </si>
  <si>
    <t>ХОЛОДОВ МИХАИЛ ВИКТОРОВИЧ</t>
  </si>
  <si>
    <t>115054,  Г.МОСКВА, НАБ КОСМОДАМИАНСКАЯ, Д. 52, СТР. 4, ЭТ8</t>
  </si>
  <si>
    <t>+74953633952,+74953633958,+74953633959,+74959676806,+74959676805</t>
  </si>
  <si>
    <t>www.mol.hu</t>
  </si>
  <si>
    <t>ООО ФИРМА  "ЛАМА"</t>
  </si>
  <si>
    <t>ОБЩЕСТВО С ОГРАНИЧЕННОЙ ОТВЕТСТВЕННОСТЬЮ ФИРМА  "ЛАМА"</t>
  </si>
  <si>
    <t>2017-03-29</t>
  </si>
  <si>
    <t>56.10.1,56.10.21,96.01</t>
  </si>
  <si>
    <t>МАЛЫШЕВ НИКОЛАЙ СЕРГЕЕВИЧ</t>
  </si>
  <si>
    <t>119415,  Г.МОСКВА, ПР-КТ ЛЕНИНСКИЙ, Д. 108СТР1</t>
  </si>
  <si>
    <t>+74994315714</t>
  </si>
  <si>
    <t>ООО "МПО ЭЛЕКТРОТЕХНИКА"</t>
  </si>
  <si>
    <t>ОБЩЕСТВО С ОГРАНИЧЕННОЙ ОТВЕТСТВЕННОСТЬЮ "МОСКОВСКОЕ ПРОИЗВОДСТВЕННОЕ ОБЪЕДИНЕНИЕ "ЭЛЕКТРОТЕХНИКА"</t>
  </si>
  <si>
    <t>1999-05-11</t>
  </si>
  <si>
    <t>27.33</t>
  </si>
  <si>
    <t>Производство электроустановочных изделий</t>
  </si>
  <si>
    <t>22.29.2,46.90,68.20.1,22.29.2,23.41,27.11.1,27.12,27.33,27.51,32.99.3,32.99.9,45.20,45.3,46.90,47.9,56.29,56.29.2,68.20.2</t>
  </si>
  <si>
    <t>БУРДО ИРИНА АЛЕКСАНДРОВНА</t>
  </si>
  <si>
    <t>115230,  Г.МОСКВА, Ш КАШИРСКОЕ, Д. 1, К. 2</t>
  </si>
  <si>
    <t>+74996111052,+74996111090,+74996112391,+74822346742,+74822346768,+74952238617,+74996111092</t>
  </si>
  <si>
    <t>www.elektrotech.ru</t>
  </si>
  <si>
    <t>electro@elektrotech.ru,sbit@elektrotech.ru,2238617@gmail.ru,2238617@gmail.com</t>
  </si>
  <si>
    <t>ООО "ДЕЛЬТА ПЛЮС С.Е.И."</t>
  </si>
  <si>
    <t>ОБЩЕСТВО С ОГРАНИЧЕННОЙ ОТВЕТСТВЕННОСТЬЮ "ДЕЛЬТА ПЛЮС С.Е.И."</t>
  </si>
  <si>
    <t>2014-09-01</t>
  </si>
  <si>
    <t>46.42</t>
  </si>
  <si>
    <t>Торговля оптовая одеждой и обувью</t>
  </si>
  <si>
    <t>14.12,14.19,15.20,22.19,22.29,25.73,25.93,25.94,25.99,46.15,46.16,46.18,46.42,46.49,47.7,47.71,47.72</t>
  </si>
  <si>
    <t>СИМОНОВ ДМИТРИЙ ВЛАДИМИРОВИЧ</t>
  </si>
  <si>
    <t>115114, Г.МОСКВА, ВН.ТЕР.Г. МУНИЦИПАЛЬНЫЙ ОКРУГ ЗАМОСКВОРЕЧЬЕ, НАБ ШЛЮЗОВАЯ, Д. 4, НАДСТР.ЭТ.,ПОМ. III, ОФИС 3</t>
  </si>
  <si>
    <t>+74951300000,+79036412240,+79060540909,+79065463223</t>
  </si>
  <si>
    <t>АО "ИНВЕСТИЦИОННАЯ КОМПАНИЯ "ВИКАИНВЕСТ"</t>
  </si>
  <si>
    <t>АКЦИОНЕРНОЕ ОБЩЕСТВО "ИНВЕСТИЦИОННАЯ КОМПАНИЯ "ВИКАИНВЕСТ"</t>
  </si>
  <si>
    <t>1995-10-31</t>
  </si>
  <si>
    <t>БЫВШЕВА ЛЮДМИЛА БОРИСОВНА</t>
  </si>
  <si>
    <t>107023,  Г.МОСКВА, ПЛ. СЕМЁНОВСКАЯ, Д. 1А, ЭТ 1 ПОМ III КОМ 9</t>
  </si>
  <si>
    <t>+74959830200,+74952099762</t>
  </si>
  <si>
    <t>www.e-disclosure.ru/portal/company.aspx?id=32529</t>
  </si>
  <si>
    <t>ОАО "МАРМА"</t>
  </si>
  <si>
    <t>ОТКРЫТОЕ АКЦИОНЕРНОЕ ОБЩЕСТВО "МАРМА"</t>
  </si>
  <si>
    <t>1999-03-16</t>
  </si>
  <si>
    <t>31.01,31.02,31.09,35.30.1,35.30.14,35.30.2,35.30.6,46.47.1,46.49,47.59</t>
  </si>
  <si>
    <t>ЭЛЬДАРОВ РУСЛАН БАУДИНОВИЧ</t>
  </si>
  <si>
    <t>125130,  Г.МОСКВА, УЛ. НАРВСКАЯ, Д.2</t>
  </si>
  <si>
    <t>+74954504645</t>
  </si>
  <si>
    <t>divan@mikmar.ru</t>
  </si>
  <si>
    <t>50</t>
  </si>
  <si>
    <t>ООО "ГРАНД-ТРАКТОРОРЕСУРС"</t>
  </si>
  <si>
    <t>ОБЩЕСТВО С ОГРАНИЧЕННОЙ ОТВЕТСТВЕННОСТЬЮ "ГРАНД-ТРАКТОРОРЕСУРС"</t>
  </si>
  <si>
    <t>1993-09-16</t>
  </si>
  <si>
    <t>64.99,70.22,71.20.9,72.19,73.20</t>
  </si>
  <si>
    <t>ИВАНЦОВ ИГОРЬ НИКОЛАЕВИЧ</t>
  </si>
  <si>
    <t>117209, Г.МОСКВА, ВН.ТЕР.Г. МУНИЦИПАЛЬНЫЙ ОКРУГ ЗЮЗИНО, УЛ ПЕРЕКОПСКАЯ, Д. 11, К. 3, КВ. 92</t>
  </si>
  <si>
    <t>+74992522350,+74992522631</t>
  </si>
  <si>
    <t>ООО "МАРКЕЗИНИ ГРУП РУС"</t>
  </si>
  <si>
    <t>ОБЩЕСТВО С ОГРАНИЧЕННОЙ ОТВЕТСТВЕННОСТЬЮ "МАРКЕЗИНИ ГРУП РУС"</t>
  </si>
  <si>
    <t>2015-11-09</t>
  </si>
  <si>
    <t>46.14</t>
  </si>
  <si>
    <t>Деятельность агентов по оптовой торговле машинами, промышленным оборудованием, судами и летательными аппаратами</t>
  </si>
  <si>
    <t>46.69.8,33.12,46.14.9,46.69.2,46.69.9</t>
  </si>
  <si>
    <t>ИЛЮХИН СЕРГЕЙ ГЕОРГИЕВИЧ</t>
  </si>
  <si>
    <t>123001,  Г.МОСКВА, ПЕР. МАМОНОВСКИЙ, Д. 4, СТР. 1</t>
  </si>
  <si>
    <t>+74956941222</t>
  </si>
  <si>
    <t>iesi.ru</t>
  </si>
  <si>
    <t>ООО "ПРОМСТРОЙХОЛДИНГ"</t>
  </si>
  <si>
    <t>ОБЩЕСТВО С ОГРАНИЧЕННОЙ ОТВЕТСТВЕННОСТЬЮ "ПРОМСТРОЙХОЛДИНГ"</t>
  </si>
  <si>
    <t>1998-12-10</t>
  </si>
  <si>
    <t>22.21,22.23,22.29,41.20,43.31,43.32,43.33,43.34,43.39,43.99,46.69.9,55.90,68.31.1,68.31.2,68.31.3,68.31.4,70.22,71.11.1,71.12.45,77.39.2</t>
  </si>
  <si>
    <t>ТРЕГУБОВ АНТОН АЛЕКСАНДРОВИЧ</t>
  </si>
  <si>
    <t>142180, МОСКОВСКАЯ ОБЛАСТЬ, Г.О. ПОДОЛЬСК, Г ПОДОЛЬСК, МКР. КЛИМОВСК, УЛ ЛЕНИНА, Д. 3В, ПОМЕЩ. 1</t>
  </si>
  <si>
    <t>+74994005382</t>
  </si>
  <si>
    <t>ООО "КОСМЕТИК АВТО"</t>
  </si>
  <si>
    <t>ОБЩЕСТВО С ОГРАНИЧЕННОЙ ОТВЕТСТВЕННОСТЬЮ "КОСМЕТИК АВТО"</t>
  </si>
  <si>
    <t>2002-08-16</t>
  </si>
  <si>
    <t>20.41,20.41.2,20.41.3,20.41.4,20.59.5,46.90,47.7,47.78,52.24,58.19,73.20.1,77.39.2</t>
  </si>
  <si>
    <t>БЕСЯКОВ ВЕНИАМИН МИХАЙЛОВИЧ</t>
  </si>
  <si>
    <t>123308, Г.МОСКВА, ВН.ТЕР.Г. МУНИЦИПАЛЬНЫЙ ОКРУГ ХОРОШЕВО-МНЕВНИКИ, НАБ. КАРАМЫШЕВСКАЯ, Д. 2А, ПОМЕЩ. 5/П3</t>
  </si>
  <si>
    <t>+74956006911,+74953624672,+74959567080,+74957451512,+70957451512</t>
  </si>
  <si>
    <t>www.9567080.ru,,www.cosmetic-auto.ru</t>
  </si>
  <si>
    <t>zakaz01@6006911.ru,info@kosmetiksavto.ru</t>
  </si>
  <si>
    <t>ООО "ГАРАНТ ПЛЮС"</t>
  </si>
  <si>
    <t>ОБЩЕСТВО С ОГРАНИЧЕННОЙ ОТВЕТСТВЕННОСТЬЮ "ГАРАНТ ПЛЮС"</t>
  </si>
  <si>
    <t>2002-12-17</t>
  </si>
  <si>
    <t>49.39.39</t>
  </si>
  <si>
    <t>Перевозки пассажиров сухопутным транспортом прочие, не включенные в другие группировки</t>
  </si>
  <si>
    <t>49.20.1,49.39.39,49.41,49.41.1,49.41.2,49.41.3,77.3</t>
  </si>
  <si>
    <t>Субботин Алексей Алексеевич</t>
  </si>
  <si>
    <t>127030,  Г.МОСКВА, УЛ НОВОСУЩЁВСКАЯ, Д. 3, СТР. 6</t>
  </si>
  <si>
    <t>+74959992318</t>
  </si>
  <si>
    <t>al-subbotin@mail.ru</t>
  </si>
  <si>
    <t>78</t>
  </si>
  <si>
    <t>ООО "ЕВРОМАРКЕТ ЦЕНТР"</t>
  </si>
  <si>
    <t>ОБЩЕСТВО С ОГРАНИЧЕННОЙ ОТВЕТСТВЕННОСТЬЮ "ЕВРОМАРКЕТ ЦЕНТР"</t>
  </si>
  <si>
    <t>1994-10-06</t>
  </si>
  <si>
    <t>46.49,46.73,46.90,68.10,68.31.1,68.31.2,68.31.3,68.31.4,73.11</t>
  </si>
  <si>
    <t>Искра Валентина Николаевна</t>
  </si>
  <si>
    <t>144011,  МОСКОВСКАЯ ОБЛАСТЬ, Г. ЭЛЕКТРОСТАЛЬ, УЛ. ЛЕСНАЯ, Д.15</t>
  </si>
  <si>
    <t>+74965754720,+79166715596,+74965753505,+74965773220,+74957029465</t>
  </si>
  <si>
    <t>ООО "СЭЛФ СОФТ ПРОДАКШН"</t>
  </si>
  <si>
    <t>ОБЩЕСТВО С ОГРАНИЧЕННОЙ ОТВЕТСТВЕННОСТЬЮ "СЭЛФ СОФТ ПРОДАКШН"</t>
  </si>
  <si>
    <t>47.91.1,47.91.2,47.91.3,47.91.4,47.99,62.02,62.09,63.11,73.11,73.20</t>
  </si>
  <si>
    <t>ИВАНОВ КИРИЛЛ АЛЕКСАНДРОВИЧ</t>
  </si>
  <si>
    <t>127473, Г.МОСКВА, ВН.ТЕР.Г. МУНИЦИПАЛЬНЫЙ ОКРУГ ТВЕРСКОЙ, УЛ КРАСНОПРОЛЕТАРСКАЯ, Д. 16, СТР. 1, ЭТАЖ/ПОМ/КОМ 5/V/15(ЧАСТЬ)</t>
  </si>
  <si>
    <t>+79175891344,+79055350481</t>
  </si>
  <si>
    <t>АО "МОСКОВСКИЙ ЗАВОД "СПРИНТ"</t>
  </si>
  <si>
    <t>АКЦИОНЕРНОЕ ОБЩЕСТВО "МОСКОВСКИЙ ЗАВОД "СПРИНТ"</t>
  </si>
  <si>
    <t>1993-05-11</t>
  </si>
  <si>
    <t>25.99</t>
  </si>
  <si>
    <t>ВОРОНОВ ВАСИЛИЙ ДЕНИСОВИЧ</t>
  </si>
  <si>
    <t>125438,  Г.МОСКВА, УЛ. АВТОМОТОРНАЯ, Д. 1/3, ЭТ/ПОМ/КОМ 2/I/10</t>
  </si>
  <si>
    <t>+74951542308,+74957978827</t>
  </si>
  <si>
    <t>www.mz-sprint.ru,,www.mzsprint.ru</t>
  </si>
  <si>
    <t>kontora.32@mail.ru,sale@mzsprint.ru</t>
  </si>
  <si>
    <t>МЕСТНАЯ РЕЛИГИОЗНАЯ ОРГАНИЗАЦИЯ ПРАВОСЛАВНЫЙ ПРИХОД ХРАМА СВЯТИТЕЛЯ НИКОЛАЯ ЧУДОТВОРЦА С. ОРАУШИ ВУРНАРСКОГО РАЙОНА ЧУВАШСКОЙ РЕСПУБЛИКИ ЧЕБОКСАРСКО-ЧУВАШСКОЙ ЕПАРХИИ РУССКОЙ ПРАВОСЛАВНОЙ ЦЕРКВИ (МОСКОВСКИЙ ПАТРИАРХАТ)</t>
  </si>
  <si>
    <t>2011-01-11</t>
  </si>
  <si>
    <t>94.91</t>
  </si>
  <si>
    <t>Деятельность религиозных организаций</t>
  </si>
  <si>
    <t>БЕЛОВ АЛЕКСЕЙ ВАЛЕРЬЕВИЧ</t>
  </si>
  <si>
    <t>НАСТОЯТЕЛЬ</t>
  </si>
  <si>
    <t>429207,  ЧУВАШСКАЯ РЕСПУБЛИКА - ЧУВАШИЯ, Р-Н ВУРНАРСКИЙ, С. ОРАУШИ, УЛ. ПЕРВОМАЙСКАЯ, Д.15А</t>
  </si>
  <si>
    <t>+78353741225,+78353741243</t>
  </si>
  <si>
    <t>МКУ ЦБ</t>
  </si>
  <si>
    <t>МУНИЦИПАЛЬНОЕ КАЗЕННОЕ УЧРЕЖДЕНИЕ "ЦЕНТРАЛИЗОВАННАЯ БУХГАЛТЕРИЯ" ЯДРИНСКОГО МУНИЦИПАЛЬНОГО ОКРУГА ЧУВАШСКОЙ РЕСПУБЛИКИ</t>
  </si>
  <si>
    <t>2024-01-12</t>
  </si>
  <si>
    <t>69.20.2</t>
  </si>
  <si>
    <t>Деятельность по оказанию услуг в области бухгалтерского учета</t>
  </si>
  <si>
    <t>ПОСЫПКИНА ЯНА АНАТОЛЬЕВНА</t>
  </si>
  <si>
    <t>429060, ЧУВАШСКАЯ РЕСПУБЛИКА - ЧУВАШИЯ, М.О. ЯДРИНСКИЙ, Г. ЯДРИН, УЛ. 30 ЛЕТ ПОБЕДЫ, Д. 1</t>
  </si>
  <si>
    <t>+79876607456</t>
  </si>
  <si>
    <t>МЕСТНАЯ РЕЛИГИОЗНАЯ ОРГАНИЗАЦИЯ ПРАВОСЛАВНЫЙ ПРИХОД ХРАМА СВЯТОГО ПРАВЕДНОГО ПАВЛА ТАГАНРОГСКОГО ГОРОДА КАНАШ ЧУВАШСКОЙ РЕСПУБЛИКИ КАНАШСКОЙ ЕПАРХИИ РУССКОЙ ПРАВОСЛАВНОЙ ЦЕРКВИ (МОСКОВСКИЙ ПАТРИАРХАТ)</t>
  </si>
  <si>
    <t>2023-04-17</t>
  </si>
  <si>
    <t>МИХАЙЛОВ ЛЕОНИД ВАЛЕНТИНОВИЧ</t>
  </si>
  <si>
    <t>429335, ЧУВАШСКАЯ РЕСПУБЛИКА - ЧУВАШИЯ, М.О. КАНАШСКИЙ, Г. КАНАШ, УЛ. ФИЛАТОВА, Д. 2</t>
  </si>
  <si>
    <t>+79278643970,+79876690207</t>
  </si>
  <si>
    <t>АДМИНИСТРАЦИЯ КОМСОМОЛЬСКОГО МУНИЦИПАЛЬНОГО ОКРУГА</t>
  </si>
  <si>
    <t>АДМИНИСТРАЦИЯ КОМСОМОЛЬСКОГО МУНИЦИПАЛЬНОГО ОКРУГА ЧУВАШСКОЙ РЕСПУБЛИКИ</t>
  </si>
  <si>
    <t>2022-12-08</t>
  </si>
  <si>
    <t>84.11.34</t>
  </si>
  <si>
    <t>Деятельность органов местного самоуправления муниципальных округов</t>
  </si>
  <si>
    <t>84.11.3</t>
  </si>
  <si>
    <t>РАСЬКИН НИКОЛАЙ НИКАНДРОВИЧ</t>
  </si>
  <si>
    <t>ГЛАВА КОМСОМОЛЬСКОГО МУНИЦИПАЛЬНОГО ОКРУГА ЧУВАШСКОЙ РЕСПУБЛИКИ</t>
  </si>
  <si>
    <t>429140, ЧУВАШСКАЯ РЕСПУБЛИКА - ЧУВАШИЯ, М.О. КОМСОМОЛЬСКИЙ, С. КОМСОМОЛЬСКОЕ, УЛ. ЗАВОДСКАЯ, ЗД. 57</t>
  </si>
  <si>
    <t>+78353942234</t>
  </si>
  <si>
    <t>komsml@cap.ru</t>
  </si>
  <si>
    <t>АДМИНИСТРАЦИЯ АЛИКОВСКОГО МУНИЦИПАЛЬНОГО ОКРУГА</t>
  </si>
  <si>
    <t>АДМИНИСТРАЦИЯ АЛИКОВСКОГО МУНИЦИПАЛЬНОГО ОКРУГА ЧУВАШСКОЙ РЕСПУБЛИКИ</t>
  </si>
  <si>
    <t>84.22,84.25.1</t>
  </si>
  <si>
    <t>ТЕРЕНТЬЕВ АЛЕКСАНДР ЮРЬЕВИЧ</t>
  </si>
  <si>
    <t>ГЛАВА АЛИКОВСКОГО МУНИЦИПАЛЬНОГО ОКРУГА ЧУВАШСКОЙ РЕСПУБЛИКИ</t>
  </si>
  <si>
    <t>429250, ЧУВАШСКАЯ РЕСПУБЛИКА - ЧУВАШИЯ, М.О. АЛИКОВСКИЙ, С. АЛИКОВО, УЛ. ОКТЯБРЬСКАЯ, Д. 21</t>
  </si>
  <si>
    <t>+79200411090</t>
  </si>
  <si>
    <t>АНО СЗС "ЛАСТОЧКА"</t>
  </si>
  <si>
    <t>АВТОНОМНАЯ НЕКОММЕРЧЕСКАЯ ОРГАНИЗАЦИЯ "СООБЩЕСТВО ЗАМЕЩАЮЩИХ СЕМЕЙ "ЛАСТОЧКА"</t>
  </si>
  <si>
    <t>2022-12-21</t>
  </si>
  <si>
    <t>88.99</t>
  </si>
  <si>
    <t>Предоставление прочих социальных услуг без обеспечения проживания, не включенных в другие группировки</t>
  </si>
  <si>
    <t>ГРИГОРЬЕВА НАТАЛИЯ МЕФОДЬЕВНА</t>
  </si>
  <si>
    <t>429965, ЧУВАШСКАЯ РЕСПУБЛИКА - ЧУВАШИЯ, Г.О. ГОРОД НОВОЧЕБОКСАРСК, Г. НОВОЧЕБОКСАРСК, УЛ. ПЕРВОМАЙСКАЯ, Д. 29, КВ. 29</t>
  </si>
  <si>
    <t>+79656868025</t>
  </si>
  <si>
    <t>nifela2971@yandex.ru</t>
  </si>
  <si>
    <t>РСОО "ФЕДЕРАЦИЯ ФУНКЦИОНАЛЬНОГО МНОГОБОРЬЯ ПО ЧУВАШСКОЙ РЕСПУБЛИКЕ"</t>
  </si>
  <si>
    <t>РЕГИОНАЛЬНАЯ СПОРТИВНАЯ ОБЩЕСТВЕННАЯ ОРГАНИЗАЦИЯ "ФЕДЕРАЦИЯ ФУНКЦИОНАЛЬНОГО МНОГОБОРЬЯ ПО ЧУВАШСКОЙ РЕСПУБЛИКЕ"</t>
  </si>
  <si>
    <t>2023-04-19</t>
  </si>
  <si>
    <t>93.11</t>
  </si>
  <si>
    <t>Деятельность спортивных объектов</t>
  </si>
  <si>
    <t>93.19</t>
  </si>
  <si>
    <t>ПЯСТОЛОВ АЛЕКСАНДР ВЛАДИМИРОВИЧ</t>
  </si>
  <si>
    <t>ПРЕДСЕДАТЕЛЬ</t>
  </si>
  <si>
    <t>428001, ЧУВАШСКАЯ РЕСПУБЛИКА - ЧУВАШИЯ, Г.О. ГОРОД ЧЕБОКСАРЫ, Г ЧЕБОКСАРЫ, ПР-КТ МАКСИМА ГОРЬКОГО, Д. 6, ПОМ. 7</t>
  </si>
  <si>
    <t>+79049823650</t>
  </si>
  <si>
    <t>ffmcheb@yandex.ru</t>
  </si>
  <si>
    <t>БФ "ПРИКОСНИСЬ К СОЛНЦУ"</t>
  </si>
  <si>
    <t>БЛАГОТВОРИТЕЛЬНЫЙ ФОНД "ПРИКОСНИСЬ К СОЛНЦУ"</t>
  </si>
  <si>
    <t>2023-12-22</t>
  </si>
  <si>
    <t>88.10</t>
  </si>
  <si>
    <t>Предоставление социальных услуг без обеспечения проживания престарелым и инвалидам</t>
  </si>
  <si>
    <t>63.11,64.99.6,86.90.5,87.10,87.30,91.02,91.03,93.29,94.99.1,94.99.2,94.99.3,94.99.4</t>
  </si>
  <si>
    <t>ГОЛОВИН ВАДИМ ВАЛЕРЬЕВИЧ</t>
  </si>
  <si>
    <t>428003, ЧУВАШСКАЯ РЕСПУБЛИКА - ЧУВАШИЯ, Г.О. ГОРОД ЧЕБОКСАРЫ, Г ЧЕБОКСАРЫ, Б-Р ОЛЕГА ВОЛКОВА, Д. 5, КВ. 27</t>
  </si>
  <si>
    <t>+79033584413</t>
  </si>
  <si>
    <t>ЧРОО "НКОТ ЧР"</t>
  </si>
  <si>
    <t>ЧУВАШСКАЯ РЕГИОНАЛЬНАЯ ОБЩЕСТВЕННАЯ ОРГАНИЗАЦИЯ "НАЦИОНАЛЬНО-КУЛЬТУРНОЕ ОБЪЕДИНЕНИЕ ТАТАР ЧУВАШСКОЙ РЕСПУБЛИКИ"</t>
  </si>
  <si>
    <t>2022-05-26</t>
  </si>
  <si>
    <t>94.99</t>
  </si>
  <si>
    <t>Деятельность прочих общественных организаций и некоммерческих организаций, кроме религиозных и политических организаций</t>
  </si>
  <si>
    <t>ШАКИРОВ АГЗЯМ ХАЛИМОВИЧ</t>
  </si>
  <si>
    <t>429155, ЧУВАШСКАЯ РЕСПУБЛИКА - ЧУВАШИЯ, М.О. КОМСОМОЛЬСКИЙ, С. ТОКАЕВО, УЛ. ЗЕЛЕНАЯ, Д. 2</t>
  </si>
  <si>
    <t>+79053457091</t>
  </si>
  <si>
    <t>airataizat@yandex.ru</t>
  </si>
  <si>
    <t>ОБЩЕСТВЕННАЯ ОРГАНИЗАЦИЯ ЯДРИНСКОГО МУНИЦИПАЛЬНОГО ОКРУГА ЧУВАШСКОЙ РЕСПУБЛИКИ "ЯДРИН-ТЕРРИТОРИЯ КУЛЬТУРЫ"</t>
  </si>
  <si>
    <t>2024-11-12</t>
  </si>
  <si>
    <t>94.99.4,94.99.5,94.99.6,94.99.9</t>
  </si>
  <si>
    <t>ПАВЛОВА АННА СЕРГЕЕВНА</t>
  </si>
  <si>
    <t>РУКОВОДИТЕЛЬ</t>
  </si>
  <si>
    <t>429060, ЧУВАШСКАЯ РЕСПУБЛИКА - ЧУВАШИЯ, М.О. ЯДРИНСКИЙ, Г. ЯДРИН, УЛ. К.МАРКСА, ЗД. 27</t>
  </si>
  <si>
    <t>+79656844608</t>
  </si>
  <si>
    <t>yadrin-territoria@yandex.ru</t>
  </si>
  <si>
    <t>ТСЖ "БЛАГОВЕЩЕНСКИЙ"</t>
  </si>
  <si>
    <t>ТОВАРИЩЕСТВО СОБСТВЕННИКОВ ЖИЛЬЯ "БЛАГОВЕЩЕНСКИЙ"</t>
  </si>
  <si>
    <t>2023-09-19</t>
  </si>
  <si>
    <t>68.20,68.32</t>
  </si>
  <si>
    <t>ПАРШИНА ИРИНА АНАТОЛЬЕВНА</t>
  </si>
  <si>
    <t>428003, ЧУВАШСКАЯ РЕСПУБЛИКА - ЧУВАШИЯ, Г.О. ГОРОД ЧЕБОКСАРЫ, Г. ЧЕБОКСАРЫ, Б-Р ОЛЕГА ВОЛКОВА, Д. 5, КВ. 33</t>
  </si>
  <si>
    <t>+79373879397</t>
  </si>
  <si>
    <t>blagovechenskiy@bk.ru</t>
  </si>
  <si>
    <t>ЧРОО РСМ "СМЧ"</t>
  </si>
  <si>
    <t>ЧУВАШСКАЯ РЕСПУБЛИКАНСКАЯ ОБЩЕСТВЕННАЯ ОРГАНИЗАЦИЯ ОБЩЕРОССИЙСКОЙ ОБЩЕСТВЕННОЙ ОРГАНИЗАЦИИ "РОССИЙСКИЙ СОЮЗ МОЛОДЕЖИ" - "СОЮЗ МОЛОДЕЖИ ЧУВАШИИ"</t>
  </si>
  <si>
    <t>2022-05-31</t>
  </si>
  <si>
    <t>58.11,58.19,63.11,63.99.1,73.20,82.30,85.41,85.42.9,88.99,90.01,90.02,90.04.2,93.19,93.29</t>
  </si>
  <si>
    <t>МИХАЙЛОВА МАРИЯ СЕРГЕЕВНА</t>
  </si>
  <si>
    <t>428003, ЧУВАШСКАЯ РЕСПУБЛИКА - ЧУВАШИЯ, Г.О. ГОРОД ЧЕБОКСАРЫ, Г ЧЕБОКСАРЫ, УЛ АФАНАСЬЕВА, Д. 13, ОФИС 1</t>
  </si>
  <si>
    <t>+79373939815</t>
  </si>
  <si>
    <t>chuvashia@ruy.ru</t>
  </si>
  <si>
    <t>МО ЧГО ООО "РОССИЙСКИЙ КРАСНЫЙ КРЕСТ"</t>
  </si>
  <si>
    <t>МЕСТНОЕ ОТДЕЛЕНИЕ ЧЕБОКСАРСКОГО ГОРОДСКОГО ОКРУГА ОБЩЕРОССИЙСКОЙ ОБЩЕСТВЕННОЙ ОРГАНИЗАЦИИ "РОССИЙСКИЙ КРАСНЫЙ КРЕСТ"</t>
  </si>
  <si>
    <t>86.90.9</t>
  </si>
  <si>
    <t>Деятельность в области медицины прочая, не включенная в другие группировки</t>
  </si>
  <si>
    <t>85.30,85.41,85.41.2,85.41.9,85.42.9,86.90,86.90.3,86.90.4,87.10,87.20,87.30,87.90,88.10,88.91,88.99,90.01,90.02,90.03,90.04,93.29.9,94.99</t>
  </si>
  <si>
    <t>СТОЛЯРОВА ОЛЬГА АЛЕКСАНДРОВНА</t>
  </si>
  <si>
    <t>ПРЕДСЕДАТЕЛЬ МЕСТНОГО ОТДЕЛЕНИЯ</t>
  </si>
  <si>
    <t>428027, ЧУВАШСКАЯ РЕСПУБЛИКА - ЧУВАШИЯ, Г.О. ГОРОД ЧЕБОКСАРЫ, Г. ЧЕБОКСАРЫ, УЛ. ХУЗАНГАЯ, Д. 14, ОФИС 314А</t>
  </si>
  <si>
    <t>+79063842220</t>
  </si>
  <si>
    <t>21region@redcross.ru</t>
  </si>
  <si>
    <t>УБИРТ АДМИНИСТРАЦИИ БАТЫРЕВСКОГО МУНИЦИПАЛЬНОГО ОКРУГА</t>
  </si>
  <si>
    <t>УПРАВЛЕНИЕ ПО БЛАГОУСТРОЙСТВУ И РАЗВИТИЮ ТЕРРИТОРИЙ АДМИНИСТРАЦИИ БАТЫРЕВСКОГО МУНИЦИПАЛЬНОГО ОКРУГА ЧУВАШСКОЙ РЕСПУБЛИКИ</t>
  </si>
  <si>
    <t>АЛИУЛЛОВ ФЕНИЛЬ АНСАРОВИЧ</t>
  </si>
  <si>
    <t>ПЕРВЫЙ ЗАМЕСТИТЕЛЬ ГЛАВЫ - НАЧАЛЬНИК УПРАВЛЕНИЯ ПО БЛАГОУСТРОЙСТВУ</t>
  </si>
  <si>
    <t>429350, ЧУВАШСКАЯ РЕСПУБЛИКА - ЧУВАШИЯ, М.О. БАТЫРЕВСКИЙ, С. БАТЫРЕВО, ПР-КТ ЛЕНИНА, Д. 5</t>
  </si>
  <si>
    <t>+79033790197</t>
  </si>
  <si>
    <t>kadr-batyr@cap.ru</t>
  </si>
  <si>
    <t>АНО ДО "ЦЕНТР "ПЕРСПЕКТИВА-Ч"</t>
  </si>
  <si>
    <t>АВТОНОМНАЯ НЕКОММЕРЧЕСКАЯ ОРГАНИЗАЦИЯ ДОПОЛНИТЕЛЬНОГО ОБРАЗОВАНИЯ "ЦЕНТР "ПЕРСПЕКТИВА-Ч"</t>
  </si>
  <si>
    <t>85.41</t>
  </si>
  <si>
    <t>Образование дополнительное детей и взрослых</t>
  </si>
  <si>
    <t>62.02,68.20,72.19,74.10,85.30</t>
  </si>
  <si>
    <t>ПЕТРОВ ИВАН КОНСТАНТИНОВИЧ</t>
  </si>
  <si>
    <t>428003, ЧУВАШСКАЯ РЕСПУБЛИКА - ЧУВАШИЯ, Г.О. ГОРОД ЧЕБОКСАРЫ, Г ЧЕБОКСАРЫ, Б-Р ПРЕЗИДЕНТСКИЙ, Д. 14, КОМ. 72</t>
  </si>
  <si>
    <t>+79520218454</t>
  </si>
  <si>
    <t>perspektivaano@mail.ru</t>
  </si>
  <si>
    <t>АДМИНИСТРАЦИЯ ЯДРИНСКОГО МУНИЦИПАЛЬНОГО ОКРУГА</t>
  </si>
  <si>
    <t>АДМИНИСТРАЦИЯ ЯДРИНСКОГО МУНИЦИПАЛЬНОГО ОКРУГА ЧУВАШСКОЙ РЕСПУБЛИКИ</t>
  </si>
  <si>
    <t>2022-11-18</t>
  </si>
  <si>
    <t>84.22</t>
  </si>
  <si>
    <t>МОЖАЕВ ВЯЧЕСЛАВ АНАТОЛЬЕВИЧ</t>
  </si>
  <si>
    <t>ГЛАВА ЯДРИНСКОГО МУНИЦИПАЛЬНОГО ОКРУГА ЧУВАШСКОЙ РЕСПУБЛИКИ</t>
  </si>
  <si>
    <t>+79656856776</t>
  </si>
  <si>
    <t>yadrin_kadr@cap.ru</t>
  </si>
  <si>
    <t>СОБРАНИЕ ДЕПУТАТОВ ВУРНАРСКОГО МУНИЦИПАЛЬНОГО ОКРУГА</t>
  </si>
  <si>
    <t>СОБРАНИЕ ДЕПУТАТОВ ВУРНАРСКОГО МУНИЦИПАЛЬНОГО ОКРУГА ЧУВАШСКОЙ РЕСПУБЛИКИ</t>
  </si>
  <si>
    <t>ПЕТРОВ АНДРЕЙ РОБЕРТОВИЧ</t>
  </si>
  <si>
    <t>ПРЕДСЕДАТЕЛЬ СОБРАНИЯ ДЕПУТАТОВ ВУРНАРСКОГО МУНИЦИПАЛЬНОГО ОКРУГА</t>
  </si>
  <si>
    <t>429220, ЧУВАШСКАЯ РЕСПУБЛИКА - ЧУВАШИЯ, М.О. ВУРНАРСКИЙ, ПГТ. ВУРНАРЫ, УЛ. СОВЕТСКАЯ, Д. 20</t>
  </si>
  <si>
    <t>+79278479810</t>
  </si>
  <si>
    <t>vurnar@cap.ru</t>
  </si>
  <si>
    <t>РФСОО "СОЮЗ ТХЭКВОНДО ЧУВАШИИ"</t>
  </si>
  <si>
    <t>РЕГИОНАЛЬНАЯ ФИЗКУЛЬТУРНО-СПОРТИВНАЯ ОБЩЕСТВЕННАЯ ОРГАНИЗАЦИЯ "СОЮЗ ТХЭКВОНДО ЧУВАШИИ"</t>
  </si>
  <si>
    <t>2011-08-17</t>
  </si>
  <si>
    <t>Деятельность в области спорта прочая</t>
  </si>
  <si>
    <t>МУРАТКИН ЕВГЕНИЙ НИКОЛАЕВИЧ</t>
  </si>
  <si>
    <t>Председатель</t>
  </si>
  <si>
    <t>428006,  ЧУВАШСКАЯ РЕСПУБЛИКА - ЧУВАШИЯ, Г. ЧЕБОКСАРЫ, УЛ. ПРОМЫШЛЕННАЯ, Д.7А</t>
  </si>
  <si>
    <t>+79196683184,+79053418778</t>
  </si>
  <si>
    <t>РФСОО "ФЕДЕРАЦИЯ ПАДЕЛ ЧР"</t>
  </si>
  <si>
    <t>РЕГИОНАЛЬНАЯ ФИЗКУЛЬТУРНО-СПОРТИВНАЯ ОБЩЕСТВЕННАЯ ОРГАНИЗАЦИЯ "ФЕДЕРАЦИЯ ПАДЕЛ ЧУВАШСКОЙ РЕСПУБЛИКИ"</t>
  </si>
  <si>
    <t>2024-11-15</t>
  </si>
  <si>
    <t>58.11,58.14,93.11,94.99</t>
  </si>
  <si>
    <t>ЧЕРНЫШОВ ВЛАДИМИР СЕРГЕЕВИЧ</t>
  </si>
  <si>
    <t>428003, ЧУВАШСКАЯ РЕСПУБЛИКА - ЧУВАШИЯ, Г.О. ГОРОД ЧЕБОКСАРЫ, Г ЧЕБОКСАРЫ, ПР-КТ И.Я.ЯКОВЛЕВА, Д. 5</t>
  </si>
  <si>
    <t>+79098028088</t>
  </si>
  <si>
    <t>АДМИНИСТРАЦИЯ МАРИИНСКО-ПОСАДСКОГО МУНИЦИПАЛЬНОГО ОКРУГА</t>
  </si>
  <si>
    <t>АДМИНИСТРАЦИЯ МАРИИНСКО-ПОСАДСКОГО МУНИЦИПАЛЬНОГО ОКРУГА ЧУВАШСКОЙ РЕСПУБЛИКИ</t>
  </si>
  <si>
    <t>ПЕТРОВ ВЛАДИМИР ВЛАДИМИРОВИЧ</t>
  </si>
  <si>
    <t>ГЛАВА МАРИИНСКО-ПОСАДСКОГО МУНИЦИПАЛЬНОГО ОКРУГА ЧУВАШСКОЙ РЕСПУБЛИКИ</t>
  </si>
  <si>
    <t>429570, ЧУВАШСКАЯ РЕСПУБЛИКА - ЧУВАШИЯ, М.О. МАРИИНСКО-ПОСАДСКИЙ, Г. МАРИИНСКИЙ ПОСАД, УЛ. НИКОЛАЕВА, Д. 47</t>
  </si>
  <si>
    <t>+79196777798</t>
  </si>
  <si>
    <t>marpos@cap.ru</t>
  </si>
  <si>
    <t>ТОС "РОДИНА"</t>
  </si>
  <si>
    <t>ОБЩЕСТВЕННАЯ ОРГАНИЗАЦИЯ ТЕРРИТОРИАЛЬНОГО ОБЩЕСТВЕННОГО САМОУПРАВЛЕНИЯ "РОДИНА" ДЕРЕВНИ СЕНДИМИРКИНО ВУРНАРСКОГО МУНИЦИПАЛЬНОГО ОКРУГА ЧУВАШСКОЙ РЕСПУБЛИКИ</t>
  </si>
  <si>
    <t>2023-10-06</t>
  </si>
  <si>
    <t>ЛУКИН ВЛАДИСЛАВ ВЛАДИМИРОВИЧ</t>
  </si>
  <si>
    <t>429210, ЧУВАШСКАЯ РЕСПУБЛИКА - ЧУВАШИЯ, М.О. ВУРНАРСКИЙ, Д. СЕНДИМИРКИНО, УЛ. ЦЕНТРАЛЬНАЯ, Д. 50</t>
  </si>
  <si>
    <t>+79603031730</t>
  </si>
  <si>
    <t>vladislavlukin01@gmail.com</t>
  </si>
  <si>
    <t>ТОС "ЮХМА"</t>
  </si>
  <si>
    <t>ОБЩЕСТВЕННАЯ ОРГАНИЗАЦИЯ ТЕРРИТОРИАЛЬНОГО ОБЩЕСТВЕННОГО САМОУПРАВЛЕНИЯ "ЮХМА" СЕЛА БАТЫРЕВО БАТЫРЕВСКОГО МУНИЦИПАЛЬНОГО ОКРУГА ПО ЧУВАШСКОЙ РЕСПУБЛИКЕ</t>
  </si>
  <si>
    <t>2024-11-20</t>
  </si>
  <si>
    <t>ПЕТРОВ ВИКТОР ВЛАДИМИРОВИЧ</t>
  </si>
  <si>
    <t>429350, ЧУВАШСКАЯ РЕСПУБЛИКА - ЧУВАШИЯ, М.О. БАТЫРЕВСКИЙ, С БАТЫРЕВО, УЛ КАНАШСКАЯ, ВЛД. 22</t>
  </si>
  <si>
    <t>+79278684950</t>
  </si>
  <si>
    <t>tosyhma@mail.ru</t>
  </si>
  <si>
    <t>БУ ЧР "РИРС" МИНСТРОЯ ЧУВАШИИ</t>
  </si>
  <si>
    <t>БЮДЖЕТНОЕ УЧРЕЖДЕНИЕ ЧУВАШСКОЙ РЕСПУБЛИКИ "РЕСПУБЛИКАНСКИЙ ИНСТИТУТ РАЗВИТИЯ СТРОИТЕЛЬСТВА" МИНИСТЕРСТВА СТРОИТЕЛЬСТВА, АРХИТЕКТУРЫ И ЖИЛИЩНО-КОММУНАЛЬНОГО ХОЗЯЙСТВА ЧУВАШСКОЙ РЕСПУБЛИКИ</t>
  </si>
  <si>
    <t>2024-01-18</t>
  </si>
  <si>
    <t>62.02,62.02.1,62.02.3,62.02.9,63.11,63.11.1,63.11.9,63.91,63.99,68.32,70.22,71.11.1,71.11.2,71.11.3,71.12,71.12.1,71.12.11,71.12.12,71.12.13,71.12.44,71.12.45,82.19,82.99</t>
  </si>
  <si>
    <t>ГАЙНУЛЛИНА ФАРИДА САЛИМЖАНОВНА</t>
  </si>
  <si>
    <t>ИСПОЛНЯЮЩИЙ ОБЯЗАННОСТИ ДИРЕКТОРА</t>
  </si>
  <si>
    <t>428003, ЧУВАШСКАЯ РЕСПУБЛИКА - ЧУВАШИЯ, Г.О. ГОРОД ЧЕБОКСАРЫ, Г ЧЕБОКСАРЫ, УЛ АФАНАСЬЕВА, Д. 9, ПОМЕЩ. 2</t>
  </si>
  <si>
    <t>+79056622520</t>
  </si>
  <si>
    <t>rirs21@inbox.ru</t>
  </si>
  <si>
    <t>АДМИНИСТРАЦИЯ БАТЫРЕВСКОГО МУНИЦИПАЛЬНОГО ОКРУГА</t>
  </si>
  <si>
    <t>АДМИНИСТРАЦИЯ БАТЫРЕВСКОГО МУНИЦИПАЛЬНОГО ОКРУГА ЧУВАШСКОЙ РЕСПУБЛИКИ</t>
  </si>
  <si>
    <t>2022-12-02</t>
  </si>
  <si>
    <t>84.22,84.11.3</t>
  </si>
  <si>
    <t>ЯМАЛЕТДИНОВ РАВИЛЬ ФАРАХУТДИНОВИЧ</t>
  </si>
  <si>
    <t>ВРЕМЕННО ИСПОЛНЯЮЩИЙ ПОЛНОМОЧИЯ ГЛАВЫ БАТЫРЕВСКОГО МУНИЦИПАЛЬНОГО ОКРУГА</t>
  </si>
  <si>
    <t>АССОЦИАЦИЯ ПРЕДПРИНИМАТЕЛЕЙ В СФЕРЕ КРЕАТИВНЫХ ИНДУСТРИЙ</t>
  </si>
  <si>
    <t>2022-11-10</t>
  </si>
  <si>
    <t>94.12</t>
  </si>
  <si>
    <t>Деятельность профессиональных членских организаций</t>
  </si>
  <si>
    <t>18.12,58.14</t>
  </si>
  <si>
    <t>БЕЛЯКОВА ЛИДИЯ ПЕТРОВНА</t>
  </si>
  <si>
    <t>428022, ЧУВАШСКАЯ РЕСПУБЛИКА - ЧУВАШИЯ, Г.О. ГОРОД ЧЕБОКСАРЫ, Г ЧЕБОКСАРЫ, УЛ ПАТРИСА ЛУМУМБЫ, Д. 15, ПОМЕЩ. 2</t>
  </si>
  <si>
    <t>+79276650667</t>
  </si>
  <si>
    <t>lidochka86@bk.ru</t>
  </si>
  <si>
    <t>АНО СХК "БЕРКУТ"</t>
  </si>
  <si>
    <t>АВТОНОМНАЯ НЕКОММЕРЧЕСКАЯ ОРГАНИЗАЦИЯ СПОРТИВНЫЙ ХОККЕЙНЫЙ КЛУБ "БЕРКУТ"</t>
  </si>
  <si>
    <t>2024-01-19</t>
  </si>
  <si>
    <t>93.12</t>
  </si>
  <si>
    <t>Деятельность спортивных клубов</t>
  </si>
  <si>
    <t>93.11,93.19</t>
  </si>
  <si>
    <t>ШАШКОВ ВИКТОР ГЕННАДЬЕВИЧ</t>
  </si>
  <si>
    <t>428023, ЧУВАШСКАЯ РЕСПУБЛИКА - ЧУВАШИЯ, Г.О. ГОРОД ЧЕБОКСАРЫ, Г ЧЕБОКСАРЫ, УЛ ГРАЖДАНСКАЯ, Д. 95, ПОМЕЩ. 10</t>
  </si>
  <si>
    <t>+79613427004</t>
  </si>
  <si>
    <t>ЧРОО ЗПП "КНК"</t>
  </si>
  <si>
    <t>ЧУВАШСКАЯ РЕГИОНАЛЬНАЯ ОБЩЕСТВЕННАЯ ОРГАНИЗАЦИЯ ЗАЩИТЫ ПРАВ ПОТРЕБИТЕЛЕЙ "КОМИТЕТ НАРОДНОГО КОНТРОЛЯ"</t>
  </si>
  <si>
    <t>2014-11-19</t>
  </si>
  <si>
    <t>ДАНИЛОВ ГРИГОРИЙ ВЛАДИСЛАВОВИЧ</t>
  </si>
  <si>
    <t>ПРЕДСЕДАТЕЛЬ ПРАВЛЕНИЯ</t>
  </si>
  <si>
    <t>428009, ЧУВАШСКАЯ РЕСПУБЛИКА - ЧУВАШИЯ, Г.О. ГОРОД ЧЕБОКСАРЫ, Г ЧЕБОКСАРЫ, УЛ АХАЗОВА, Д. 8, ПОМЕЩ. 7</t>
  </si>
  <si>
    <t>+79033589945</t>
  </si>
  <si>
    <t>МКУ "ЦЕНТРАЛИЗОВАННАЯ БУХГАЛТЕРИЯ"</t>
  </si>
  <si>
    <t>МУНИЦИПАЛЬНОЕ КАЗЕННОЕ УЧРЕЖДЕНИЕ "ЦЕНТРАЛИЗОВАННАЯ БУХГАЛТЕРИЯ" КОМСОМОЛЬСКОГО МУНИЦИПАЛЬНОГО ОКРУГА ЧУВАШСКОЙ РЕСПУБЛИКИ</t>
  </si>
  <si>
    <t>2024-11-25</t>
  </si>
  <si>
    <t>МИТЮКОВА ОЛЕСЯ КОНСТАНТИНОВНА</t>
  </si>
  <si>
    <t>РУКОВОДИТЕЛЬ-ГЛАВНЫЙ БУХГАЛТЕР</t>
  </si>
  <si>
    <t>+79278422475</t>
  </si>
  <si>
    <t>koms_mku@cap.ru</t>
  </si>
  <si>
    <t>ТОС "ВОЗРОЖДЕНИЕ"</t>
  </si>
  <si>
    <t>ОБЩЕСТВЕННАЯ ОРГАНИЗАЦИЯ ТЕРРИТОРИАЛЬНОГО ОБЩЕСТВЕННОГО САМОУПРАВЛЕНИЯ "ВОЗРОЖДЕНИЕ" АЛИКОВСКОГО МУНИЦИПАЛЬНОГО ОКРУГА ЧУВАШСКОЙ РЕСПУБЛИКИ</t>
  </si>
  <si>
    <t>2023-05-03</t>
  </si>
  <si>
    <t>ФИЛИМОНОВ ВЯЧЕСЛАВ ВЛАДИМИРОВИЧ</t>
  </si>
  <si>
    <t>429240, ЧУВАШСКАЯ РЕСПУБЛИКА - ЧУВАШИЯ, М.О. АЛИКОВСКИЙ, Д ПИТИШЕВО, УЛ ВОЙКОВА, ЗД. 58</t>
  </si>
  <si>
    <t>+79033798907</t>
  </si>
  <si>
    <t>vyacheslav.pit@mail.ru</t>
  </si>
  <si>
    <t>МКУ "ЦДДСИОУ" Г. ШУМЕРЛЯ</t>
  </si>
  <si>
    <t>МУНИЦИПАЛЬНОЕ КАЗЕННОЕ УЧРЕЖДЕНИЕ "ЦЕНТР ДЕЖУРНОЙ ДИСПЕТЧЕРСКОЙ СВЯЗИ И ОКАЗАНИЯ УСЛУГ ГОРОДА ШУМЕРЛЯ ЧУВАШСКОЙ РЕСПУБЛИКИ"</t>
  </si>
  <si>
    <t>2024-01-23</t>
  </si>
  <si>
    <t>84.25.9,38.11,52.21,81.29.2,81.30,84.11.3</t>
  </si>
  <si>
    <t>АНДРЕЕВ ДЕНИС ВИТАЛЬЕВИЧ</t>
  </si>
  <si>
    <t>429122, ЧУВАШСКАЯ РЕСПУБЛИКА - ЧУВАШИЯ, М.О. ШУМЕРЛИНСКИЙ, Г. ШУМЕРЛЯ, УЛ. ОКТЯБРЬСКАЯ, Д. 24</t>
  </si>
  <si>
    <t>+79176578466</t>
  </si>
  <si>
    <t>gshum-cdds@cap.ru</t>
  </si>
  <si>
    <t>СССППК "РАССВЕТ"</t>
  </si>
  <si>
    <t>СЕЛЬСКОХОЗЯЙСТВЕННЫЙ СБЫТОВОЙ СНАБЖЕНЧЕСКИЙ ПЕРЕРАБАТЫВАЮЩИЙ ПОТРЕБИТЕЛЬСКИЙ КООПЕРАТИВ "РАССВЕТ"</t>
  </si>
  <si>
    <t>2023-10-12</t>
  </si>
  <si>
    <t>10.92</t>
  </si>
  <si>
    <t>Производство готовых кормов для непродуктивных животных</t>
  </si>
  <si>
    <t>01.42,10.11,46.38,47.76,49.41</t>
  </si>
  <si>
    <t>ФАХУРТДИНОВ МАРС МИНТАГИРОВИЧ</t>
  </si>
  <si>
    <t>429360, ЧУВАШСКАЯ РЕСПУБЛИКА - ЧУВАШИЯ, М.О. БАТЫРЕВСКИЙ, С. ШЫГЫРДАН, УЛ. ИНТЕРНАЦИОНАЛЬНАЯ, ЗД. 141</t>
  </si>
  <si>
    <t>+79063858343</t>
  </si>
  <si>
    <t>faxmaks@mail.ru</t>
  </si>
  <si>
    <t>СПОК"СОПРОВОЖДЕНИЕ АГРОБИЗНЕСА"</t>
  </si>
  <si>
    <t>СЕЛЬСКОХОЗЯЙСТВЕННЫЙ ПОТРЕБИТЕЛЬСКИЙ ОБСЛУЖИВАЮЩИЙ КООПЕРАТИВ "СОПРОВОЖДЕНИЕ АГРОБИЗНЕСА"</t>
  </si>
  <si>
    <t>2022-11-15</t>
  </si>
  <si>
    <t>69.20.1,69.20.2,69.20.3</t>
  </si>
  <si>
    <t>РОДИОНОВ АЛЕКСАНДР НИКОЛАЕВИЧ
КУЖИКОВА ВЕНЕРА ВАСИЛЬЕВНА</t>
  </si>
  <si>
    <t>210802742312
210301468838</t>
  </si>
  <si>
    <t>ПРЕДСЕДАТЕЛЬ КООПЕРАТИВА
ИСПОЛНИТЕЛЬНЫЙ ДИРЕКТОР</t>
  </si>
  <si>
    <t>428000, ЧУВАШСКАЯ РЕСПУБЛИКА - ЧУВАШИЯ, Г.О. ГОРОД ЧЕБОКСАРЫ, Г ЧЕБОКСАРЫ, УЛ ПИРОГОВА, Д. 16, ОФИС 438</t>
  </si>
  <si>
    <t>+79053414868</t>
  </si>
  <si>
    <t>spokagrobisnes@yandex.ru</t>
  </si>
  <si>
    <t>СОБРАНИЕ ДЕПУТАТОВ МАРИИНСКО ПОСАДСКОГО МУНИЦИПАЛЬНОГО ОКРУГА</t>
  </si>
  <si>
    <t>СОБРАНИЕ ДЕПУТАТОВ МАРИИНСКО ПОСАДСКОГО МУНИЦИПАЛЬНОГО ОКРУГА ЧУВАШСКОЙ РЕСПУБЛИКИ</t>
  </si>
  <si>
    <t>ЯКОВЛЕВА МАРИНА ВАСИЛЬЕВНА</t>
  </si>
  <si>
    <t>ПРЕДСЕДАТЕЛЬ СОБРАНИЯ ДЕПУТАТОВ МАРИИНСКО-ПОСАДСКОГО МУНИЦИПАЛЬНОГО ОКРУГА ЧУВАШСКОЙ РЕСПУБЛИКИ</t>
  </si>
  <si>
    <t>+79603008384</t>
  </si>
  <si>
    <t>АНО "АПИК"</t>
  </si>
  <si>
    <t>АВТОНОМНАЯ НЕКОММЕРЧЕСКАЯ ОРГАНИЗАЦИЯ  "АКАДЕМИЯ ПРОФЕССИЙ И КОМПЕТЕНЦИЙ"</t>
  </si>
  <si>
    <t>2022-12-12</t>
  </si>
  <si>
    <t>85.41.9</t>
  </si>
  <si>
    <t>Образование дополнительное детей и взрослых, не включенное в другие группировки</t>
  </si>
  <si>
    <t>18.12,64.99,82.30,85.41.2,90.04.3</t>
  </si>
  <si>
    <t>ЛУКИЯНОВА НАДЕЖДА НИКОЛАЕВНА</t>
  </si>
  <si>
    <t>428000, ЧУВАШСКАЯ РЕСПУБЛИКА - ЧУВАШИЯ, Г.О. ГОРОД ЧЕБОКСАРЫ, Г ЧЕБОКСАРЫ, УЛ К.МАРКСА, Д. 52, СТР. 2, ПОМЕЩ. 4, ОФИС/КАБ 217/1</t>
  </si>
  <si>
    <t>+79677961919</t>
  </si>
  <si>
    <t>bizfabrika21@yandex.ru</t>
  </si>
  <si>
    <t>ЧРРО "СПЕЦИАЛЬНАЯ ОЛИМПИАДА РОССИИ"</t>
  </si>
  <si>
    <t>ЧУВАШСКОЕ РЕСПУБЛИКАНСКОЕ РЕГИОНАЛЬНОЕ ОТДЕЛЕНИЕ ОБЩЕРОССИЙСКОЙ ОБЩЕСТВЕННОЙ БЛАГОТВОРИТЕЛЬНОЙ ОРГАНИЗАЦИИ ПОМОЩИ ИНВАЛИДАМ С УМСТВЕННОЙ ОТСТАЛОСТЬЮ "СПЕЦИАЛЬНАЯ ОЛИМПИАДА РОССИИ"</t>
  </si>
  <si>
    <t>МУРАТКИНА ЛИДИЯ НИКОЛАЕВНА</t>
  </si>
  <si>
    <t>429960, ЧУВАШСКАЯ РЕСПУБЛИКА - ЧУВАШИЯ, Г.О. ГОРОД НОВОЧЕБОКСАРСК, Г. НОВОЧЕБОКСАРСК, УЛ. ЮЖНАЯ, Д. 6, КВ. 50</t>
  </si>
  <si>
    <t>+79176689175</t>
  </si>
  <si>
    <t>specialolimpk21@yandex.ru</t>
  </si>
  <si>
    <t>ФОНД "РАЗВИТИЕ"</t>
  </si>
  <si>
    <t>ФОНД ПОДДЕРЖКИ ИНОСТРАННЫХ СТУДЕНТОВ И РАЗВИТИЯ МЕЖДУНАРОДНЫХ ОТНОШЕНИЙ</t>
  </si>
  <si>
    <t>2024-01-26</t>
  </si>
  <si>
    <t>58.19,82.30</t>
  </si>
  <si>
    <t>ГАЛИЦКИЙ ВЯЧЕСЛАВ ВАЛЕРЬЕВИЧ</t>
  </si>
  <si>
    <t>428022, ЧУВАШСКАЯ РЕСПУБЛИКА - ЧУВАШИЯ, Г.О. ГОРОД ЧЕБОКСАРЫ, Г ЧЕБОКСАРЫ, УЛ АРКАДИЯ ГАЙДАРА, Д. 6, КВ. 1</t>
  </si>
  <si>
    <t>+79033458998</t>
  </si>
  <si>
    <t>СНТ "ВЕТЕРАНЫ ПО"</t>
  </si>
  <si>
    <t>САДОВОДЧЕСКОЕ НЕКОММЕРЧЕСКОЕ ТОВАРИЩЕСТВО "ВЕТЕРАНЫ ПРАВООХРАНИТЕЛЬНЫХ ОРГАНОВ"</t>
  </si>
  <si>
    <t>2024-01-29</t>
  </si>
  <si>
    <t>ПЕТРОВ ВАСИЛИЙ ЕГОРОВИЧ</t>
  </si>
  <si>
    <t>428022, ЧУВАШСКАЯ РЕСПУБЛИКА - ЧУВАШИЯ, Г.О. ГОРОД ЧЕБОКСАРЫ, Г ЧЕБОКСАРЫ, УЛ ПАТРИСА ЛУМУМБЫ, Д. 14, ПОМЕЩ. 4, КОМ. 10</t>
  </si>
  <si>
    <t>+79276689120</t>
  </si>
  <si>
    <t>chrsvpo@mail.ru</t>
  </si>
  <si>
    <t>ЧРФСОО "ФЕДЕРАЦИЯ ШАХБОКСА ЧУВАШСКОЙ РЕСПУБЛИКИ"</t>
  </si>
  <si>
    <t>ЧУВАШСКАЯ РЕГИОНАЛЬНАЯ ФИЗКУЛЬТУРНО-СПОРТИВНАЯ ОБЩЕСТВЕННАЯ ОРГАНИЗАЦИЯ "ФЕДЕРАЦИЯ ШАХБОКСА ЧУВАШСКОЙ РЕСПУБЛИКИ"</t>
  </si>
  <si>
    <t>2022-12-05</t>
  </si>
  <si>
    <t>77.21,82.30,93.12,93.19,93.29</t>
  </si>
  <si>
    <t>САЛАХУТДИНОВ АЛЕКСАНДР АНАТОЛЬЕВИЧ</t>
  </si>
  <si>
    <t>428031, ЧУВАШСКАЯ РЕСПУБЛИКА - ЧУВАШИЯ, Г.О. ГОРОД ЧЕБОКСАРЫ, Г ЧЕБОКСАРЫ, УЛ 324 СТРЕЛКОВОЙ ДИВИЗИИ, ЗД. 3, ПОМЕЩ. 30</t>
  </si>
  <si>
    <t>+79278668873</t>
  </si>
  <si>
    <t>ОБЩЕСТВЕННАЯ ОРГАНИЗАЦИЯ ТЕРРИТОРИАЛЬНОГО ОБЩЕСТВЕННОГО САМОУПРАВЛЕНИЯ "ЮВАНОВО" ЯДРИНСКОГО МУНИЦИПАЛЬНОГО ОКРУГА ЧУВАШСКОЙ РЕСПУБЛИКИ</t>
  </si>
  <si>
    <t>2023-05-17</t>
  </si>
  <si>
    <t>МИШЕНКОВА АННА ГЕННАДЬЕВНА</t>
  </si>
  <si>
    <t>429071, ЧУВАШСКАЯ РЕСПУБЛИКА - ЧУВАШИЯ, М.О. ЯДРИНСКИЙ, С ЮВАНОВО, УЛ СЮЛЬДИКАСЫ, Д. 52</t>
  </si>
  <si>
    <t>+79278663022</t>
  </si>
  <si>
    <t>toc_uvanovo@mail.ru</t>
  </si>
  <si>
    <t>ОО "ФЕДЕРАЦИЯ ПЛАВАНИЯ НА ОТКРЫТОЙ ВОДЕ"</t>
  </si>
  <si>
    <t>ОБЩЕСТВЕННАЯ ОРГАНИЗАЦИЯ "ФЕДЕРАЦИЯ ПЛАВАНИЯ НА ОТКРЫТОЙ ВОДЕ" В ЧУВАШСКОЙ РЕСПУБЛИКЕ</t>
  </si>
  <si>
    <t>18.12,93.19</t>
  </si>
  <si>
    <t>БЕЛОВ АЛЕКСАНДР ВАЛЕРЬЕВИЧ</t>
  </si>
  <si>
    <t>428034, ЧУВАШСКАЯ РЕСПУБЛИКА - ЧУВАШИЯ, Г.О. ГОРОД ЧЕБОКСАРЫ, Г ЧЕБОКСАРЫ, УЛ АКАДЕМИКА РАН Х.М.МИНАЧЕВА, Д. 11, К. 1, КВ. 211</t>
  </si>
  <si>
    <t>+79170778005</t>
  </si>
  <si>
    <t>ТОС "ТУРМЫШИ"</t>
  </si>
  <si>
    <t>ОБЩЕСТВЕННАЯ ОРГАНИЗАЦИЯ ТЕРРИТОРИАЛЬНОГО ОБЩЕСТВЕННОГО САМОУПРАВЛЕНИЯ "ТУРМЫШИ" СЕЛА ТУРМЫШИ ЯНТИКОВСКОГО МУНИЦИПАЛЬНОГО ОКРУГА ЧУВАШСКОЙ РЕСПУБЛИКИ</t>
  </si>
  <si>
    <t>АФАНАСЬЕВ ИГОРЬ ВЛАДИМИРОВИЧ</t>
  </si>
  <si>
    <t>429281, ЧУВАШСКАЯ РЕСПУБЛИКА - ЧУВАШИЯ, М.О. ЯНТИКОВСКИЙ, С ТУРМЫШИ, УЛ СОВЕТСКАЯ, Д. 12</t>
  </si>
  <si>
    <t>+79053411194</t>
  </si>
  <si>
    <t>ruslan0000ruslan@yandex.ru,alekx-r@bk.ru</t>
  </si>
  <si>
    <t>ФОНД "ПРЕОБРАЖЕНИЕ"</t>
  </si>
  <si>
    <t>ФОНД ПОДДЕРЖКИ СОЦИАЛЬНЫХ ПРОГРАММ "ПРЕОБРАЖЕНИЕ"</t>
  </si>
  <si>
    <t>2022-09-16</t>
  </si>
  <si>
    <t>66.19,88.99</t>
  </si>
  <si>
    <t>АЛЕКСЕЕВА МАРИЯ АЛЕКСАНДРОВНА</t>
  </si>
  <si>
    <t>428024, ЧУВАШСКАЯ РЕСПУБЛИКА - ЧУВАШИЯ, Г.О. ГОРОД ЧЕБОКСАРЫ, Г ЧЕБОКСАРЫ, ПР-КТ МИРА, Д. 54, ПОМЕЩ. 5</t>
  </si>
  <si>
    <t>+79176592850</t>
  </si>
  <si>
    <t>vass21@bk.ru</t>
  </si>
  <si>
    <t>ТСЖ  "СТРОИТЕЛЬ-29"</t>
  </si>
  <si>
    <t>ТОВАРИЩЕСТВО СОБСТВЕННИКОВ ЖИЛЬЯ "СТРОИТЕЛЬ-29"</t>
  </si>
  <si>
    <t>2009-07-02</t>
  </si>
  <si>
    <t>68.32,68.32.2</t>
  </si>
  <si>
    <t>БУЗЕКАНОВА ЕЛЕНА НИКОЛАЕВНА</t>
  </si>
  <si>
    <t>429960,  ЧУВАШСКАЯ РЕСПУБЛИКА - ЧУВАШИЯ, Г. НОВОЧЕБОКСАРСК, УЛ. СТРОИТЕЛЕЙ, Д.29</t>
  </si>
  <si>
    <t>+78352485830</t>
  </si>
  <si>
    <t>ЧРОО "СОВЕТ МОЛОДЫХ БИБЛИОТЕКАРЕЙ ЧУВАШИИ"</t>
  </si>
  <si>
    <t>ЧУВАШСКАЯ РЕГИОНАЛЬНАЯ ОБЩЕСТВЕННАЯ ОРГАНИЗАЦИЯ "СОВЕТ МОЛОДЫХ БИБЛИОТЕКАРЕЙ ЧУВАШИИ"</t>
  </si>
  <si>
    <t>2022-09-19</t>
  </si>
  <si>
    <t>ИВАНОВА АЛЕКСАНДРА ИВАНОВНА</t>
  </si>
  <si>
    <t>428003, ЧУВАШСКАЯ РЕСПУБЛИКА - ЧУВАШИЯ, Г.О. ГОРОД ЧЕБОКСАРЫ, Г ЧЕБОКСАРЫ, ПР-КТ ЛЕНИНА, Д. 15, ОФИС 305</t>
  </si>
  <si>
    <t>+79053456051</t>
  </si>
  <si>
    <t>molodez@nbchr.ru</t>
  </si>
  <si>
    <t>АССОЦИАЦИЯ "МАШИНОСТРОИТЕЛЬНЫЙ КЛАСТЕР ЧУВАШСКОЙ РЕСПУБЛИКИ"</t>
  </si>
  <si>
    <t>2022-09-05</t>
  </si>
  <si>
    <t>94.11</t>
  </si>
  <si>
    <t>Деятельность предпринимательских членских некоммерческих организаций</t>
  </si>
  <si>
    <t>18.12,58.11,82.30</t>
  </si>
  <si>
    <t>ДМИТРИЕВ АЛЕКСАНДР ВЛАДИМИРОВИЧ</t>
  </si>
  <si>
    <t>428028, ЧУВАШСКАЯ РЕСПУБЛИКА - ЧУВАШИЯ, Г.О. ГОРОД ЧЕБОКСАРЫ, Г. ЧЕБОКСАРЫ, ПР-КТ ТРАКТОРОСТРОИТЕЛЕЙ, ЗД. 109, ОФИС 24</t>
  </si>
  <si>
    <t>+79033220611</t>
  </si>
  <si>
    <t>ЧРОО "АССОЦИАЦИЯ МОЛОДЫХ СЕМЕЙ ЧУВАШИИ"</t>
  </si>
  <si>
    <t>ЧУВАШСКАЯ РЕСПУБЛИКАНСКАЯ ОБЩЕСТВЕННАЯ ОРГАНИЗАЦИЯ "АССОЦИАЦИЯ МОЛОДЫХ СЕМЕЙ ЧУВАШИИ"</t>
  </si>
  <si>
    <t>58.14,93.19</t>
  </si>
  <si>
    <t>ТУМАКОВ ИЛЬЯ НИКОЛАЕВИЧ</t>
  </si>
  <si>
    <t>428000, ЧУВАШСКАЯ РЕСПУБЛИКА - ЧУВАШИЯ, Г.О. ГОРОД ЧЕБОКСАРЫ, Г ЧЕБОКСАРЫ, УЛ К.МАРКСА, Д. 52, ПОМЕЩ. 14, ОФИС 217</t>
  </si>
  <si>
    <t>+79379555533</t>
  </si>
  <si>
    <t>molsem21@yandex.ru,molsemchuv@mail.ru</t>
  </si>
  <si>
    <t>МБУК "ЦБС" КРАСНОАРМЕЙСКОГО МУНИЦИПАЛЬНОГО ОКРУГА</t>
  </si>
  <si>
    <t>МУНИЦИПАЛЬНОЕ БЮДЖЕТНОЕ УЧРЕЖДЕНИЕ КУЛЬТУРЫ "ЦЕНТРАЛИЗОВАННАЯ БИБЛИОТЕЧНАЯ СИСТЕМА" КРАСНОАРМЕЙСКОГО МУНИЦИПАЛЬНОГО ОКРУГА ЧУВАШСКОЙ РЕСПУБЛИКИ</t>
  </si>
  <si>
    <t>2024-01-31</t>
  </si>
  <si>
    <t>91.01</t>
  </si>
  <si>
    <t>Деятельность библиотек и архивов</t>
  </si>
  <si>
    <t>ГРИГОРЬЕВА НАТАЛИЯ ЛЬВОВНА</t>
  </si>
  <si>
    <t>ДИРЕКТОР МУНИЦИПАЛЬНОГО БЮДЖЕТНОГО УЧРЕЖДЕНИЯ КУЛЬТУРЫ "ЦЕНТРАЛИЗОВАННАЯ БИБЛИОТЕЧНАЯ СИСТЕМА" КРАСНОАРМЕЙСКОГО МУНИЦИПАЛЬНОГО ОКРУГА ЧУВАШСКОЙ РЕСПУБЛИКИ</t>
  </si>
  <si>
    <t>429620, ЧУВАШСКАЯ РЕСПУБЛИКА - ЧУВАШИЯ, М.О. КРАСНОАРМЕЙСКИЙ, С КРАСНОАРМЕЙСКОЕ, УЛ ЛЕНИНА, ЗД. 26/1</t>
  </si>
  <si>
    <t>+79603072002</t>
  </si>
  <si>
    <t>krarm_cb@cap.ru</t>
  </si>
  <si>
    <t>ТОС "ЗЕЛЕНЫЙ"</t>
  </si>
  <si>
    <t>ОБЩЕСТВЕННАЯ ОРГАНИЗАЦИЯ ТЕРРИТОРИАЛЬНОГО ОБЩЕСТВЕННОГО САМОУПРАВЛЕНИЯ "ЗЕЛЕНЫЙ" СЕЛА КОМСОМОЛЬСКОЕ КОМСОМОЛЬСКОГО МУНИЦИПАЛЬНОГО ОКРУГА ЧУВАШСКОЙ РЕСПУБЛИКИ</t>
  </si>
  <si>
    <t>2023-05-22</t>
  </si>
  <si>
    <t>ПРОХОРОВА МИНФЕНИСЕ МИНЗЕКРЕМОВНА</t>
  </si>
  <si>
    <t>429140, ЧУВАШСКАЯ РЕСПУБЛИКА - ЧУВАШИЯ, М.О. КОМСОМОЛЬСКИЙ, С. КОМСОМОЛЬСКОЕ, УЛ. КАНАШСКАЯ, Д. 22</t>
  </si>
  <si>
    <t>+79061307000</t>
  </si>
  <si>
    <t>ТОС "КАРАБАЙ-ШЕМУРШИНСКИЙ"</t>
  </si>
  <si>
    <t>ОБЩЕСТВЕННАЯ ОРГАНИЗАЦИЯ ТЕРРИТОРИАЛЬННОГО ОБЩЕСТВЕННОГО САМОУПРАВЛЕНИЯ "КАРАБАЙ-ШЕМУРШИНСКИЙ" ДЕРЕВЕНЬ КАРАБАЙ-ШЕМУРША И НОВОЕ БУЯНОВО ШЕМУРШИНСКОГО МУНИЦИПАЛЬНОГО ОКРУГА ЧУВАШСКОЙ РЕСПУБЛИКИ</t>
  </si>
  <si>
    <t>2023-05-23</t>
  </si>
  <si>
    <t>ТЕНИШЕВА ГАЛИНА АРКАДЬЕВНА</t>
  </si>
  <si>
    <t>429181, ЧУВАШСКАЯ РЕСПУБЛИКА - ЧУВАШИЯ, М.О. ШЕМУРШИНСКИЙ, Д КАРАБАЙ-ШЕМУРША, УЛ ЛЕНИНА, Д. 4</t>
  </si>
  <si>
    <t>+79373703626</t>
  </si>
  <si>
    <t>АДМИНИСТРАЦИЯ ЦИВИЛЬСКОГО МУНИЦИПАЛЬНОГО ОКРУГА</t>
  </si>
  <si>
    <t>АДМИНИСТРАЦИЯ ЦИВИЛЬСКОГО МУНИЦИПАЛЬНОГО ОКРУГА ЧУВАШСКОЙ РЕСПУБЛИКИ</t>
  </si>
  <si>
    <t>2022-12-15</t>
  </si>
  <si>
    <t>КОНСТАНТИНОВ ЮРИЙ ВЯЧЕСЛАВОВИЧ</t>
  </si>
  <si>
    <t>ВРЕМЕННО ИСПОЛНЯЮЩИЙ ПОЛНОМОЧИЯ ГЛАВЫ ЦИВИЛЬСКОГО МУНИЦИПАЛЬНОГО ОКРУГА ЧУВАШСКОЙ РЕСПУБЛИКИ</t>
  </si>
  <si>
    <t>429900, ЧУВАШСКАЯ РЕСПУБЛИКА - ЧУВАШИЯ, М.О. ЦИВИЛЬСКИЙ, Г. ЦИВИЛЬСК, УЛ. МАЯКОВСКОГО, ДВЛД. 12</t>
  </si>
  <si>
    <t>+79176594567</t>
  </si>
  <si>
    <t>zivil@cap.ru</t>
  </si>
  <si>
    <t>СНТ "МИЧУРИНЕЦ"</t>
  </si>
  <si>
    <t>САДОВОДЧЕСКОЕ НЕКОММЕРЧЕСКОЕ ТОВАРИЩЕСТВО "МИЧУРИНЕЦ"</t>
  </si>
  <si>
    <t>2023-06-08</t>
  </si>
  <si>
    <t>РУСАКОВ ВЛАДИМИР НИКОЛАЕВИЧ</t>
  </si>
  <si>
    <t>429965, ЧУВАШСКАЯ РЕСПУБЛИКА - ЧУВАШИЯ, Г.О. ГОРОД НОВОЧЕБОКСАРСК, Г НОВОЧЕБОКСАРСК, ПРОЕЗД ЕЛЬНИКОВСКИЙ, Д. 2, КВ. 88</t>
  </si>
  <si>
    <t>+79196507420</t>
  </si>
  <si>
    <t>АНО "ИВК "СТРИБОГ"</t>
  </si>
  <si>
    <t>АВТОНОМНАЯ НЕКОММЕРЧЕСКАЯ ОРГАНИЗАЦИЯ ВОЕННО-СПОРТИВНОГО И ПАТРИОТИЧЕСКОГО ВОСПИТАНИЯ "ИГРОВАЯ ВОЕННАЯ КАМПАНИЯ "СТРИБОГ"</t>
  </si>
  <si>
    <t>2024-02-01</t>
  </si>
  <si>
    <t>77.21,85.41,93.11,93.12,93.29</t>
  </si>
  <si>
    <t>БЕЛОВ СТАНИСЛАВ ИГОРЕВИЧ</t>
  </si>
  <si>
    <t>428014, ЧУВАШСКАЯ РЕСПУБЛИКА - ЧУВАШИЯ, Г.О. ГОРОД ЧЕБОКСАРЫ, Г ЧЕБОКСАРЫ, УЛ М.А.САПОЖНИКОВА, Д. 5, КВ. 58</t>
  </si>
  <si>
    <t>+79999696839</t>
  </si>
  <si>
    <t>ivkstribog@mail.ru</t>
  </si>
  <si>
    <t>ЧРОО СТК "ЧЕБОКСАРЫ РЭЙСИНГ ТИМ"</t>
  </si>
  <si>
    <t>ЧУВАШСКАЯ РЕГИОНАЛЬНАЯ ОБЩЕСТВЕННАЯ ОРГАНИЗАЦИЯ СПОРТИВНО-ТЕХНИЧЕСКИЙ КЛУБ "ЧЕБОКСАРЫ РЭЙСИНГ ТИМ"</t>
  </si>
  <si>
    <t>2023-06-14</t>
  </si>
  <si>
    <t>77.21,93.12,93.19,96.04</t>
  </si>
  <si>
    <t>РЫБКИН ДЕНИС ИВАНОВИЧ</t>
  </si>
  <si>
    <t>428003, ЧУВАШСКАЯ РЕСПУБЛИКА - ЧУВАШИЯ, Г.О. ГОРОД ЧЕБОКСАРЫ, Г ЧЕБОКСАРЫ, УЛ ВОДОПРОВОДНАЯ, Д. 22, КВ. 14</t>
  </si>
  <si>
    <t>+79674700097</t>
  </si>
  <si>
    <t>23310@mail.ru</t>
  </si>
  <si>
    <t>АДМИНИСТРАЦИЯ ЧЕБОКСАРСКОГО МУНИЦИПАЛЬНОГО ОКРУГА</t>
  </si>
  <si>
    <t>АДМИНИСТРАЦИЯ ЧЕБОКСАРСКОГО МУНИЦИПАЛЬНОГО ОКРУГА ЧУВАШСКОЙ РЕСПУБЛИКИ</t>
  </si>
  <si>
    <t>2022-12-14</t>
  </si>
  <si>
    <t>МИХАЙЛОВ ВЛАДИМИР БОРИСОВИЧ</t>
  </si>
  <si>
    <t>ГЛАВА ЧЕБОКСАРСКОГО МУНИЦИПАЛЬНОГО ОКРУГА ЧУВАШСКОЙ РЕСПУБЛИКИ</t>
  </si>
  <si>
    <t>429500, ЧУВАШСКАЯ РЕСПУБЛИКА - ЧУВАШИЯ, М.О. ЧЕБОКСАРСКИЙ, П. КУГЕСИ, УЛ. ШОССЕЙНАЯ, ЗД. 15</t>
  </si>
  <si>
    <t>+78354022202,+79053408241</t>
  </si>
  <si>
    <t>chebs@cap.ru,chzacup@cap.ru</t>
  </si>
  <si>
    <t>МКУ "ЦХО ЯЛЬЧИКСКОГО МО"</t>
  </si>
  <si>
    <t>МУНИЦИПАЛЬНОЕ КАЗЕННОЕ УЧРЕЖДЕНИЕ ЯЛЬЧИКСКОГО МУНИЦИПАЛЬНОГО ОКРУГА ЧУВАШСКОЙ РЕСПУБЛИКИ "ЦЕНТР ХОЗЯЙСТВЕННОГО ОБЕСПЕЧЕНИЯ"</t>
  </si>
  <si>
    <t>2024-02-06</t>
  </si>
  <si>
    <t>35.30.14,84.25.1,84.25.9,52.21.2,81.10,81.29.2,81.30,82.11,82.19,84.11,84.11.3,84.25.9</t>
  </si>
  <si>
    <t>ИВАНОВА ИРИНА ЮРЬЕВНА</t>
  </si>
  <si>
    <t>429380, ЧУВАШСКАЯ РЕСПУБЛИКА - ЧУВАШИЯ, М.О. ЯЛЬЧИКСКИЙ, С. ЯЛЬЧИКИ, УЛ. ИВАНОВА, Д. 16</t>
  </si>
  <si>
    <t>+79656854080</t>
  </si>
  <si>
    <t>МКУ "ЦХО" КОЗЛОВСКОГО МУНИЦИПАЛЬНОГО ОКРУГА</t>
  </si>
  <si>
    <t>МУНИЦИПАЛЬНОЕ КАЗЕННОЕ УЧРЕЖДЕНИЕ "ЦЕНТР ХОЗЯЙСТВЕННОГО ОБЕСПЕЧЕНИЯ" КОЗЛОВСКОГО МУНИЦИПАЛЬНОГО ОКРУГА ЧУВАШСКОЙ РЕСПУБЛИКИ</t>
  </si>
  <si>
    <t>2022-12-26</t>
  </si>
  <si>
    <t>49.39.39,69.20.2,84.25.9,43.22,49.32,62.02,63.11,69.10,70.22,80.10,80.20,80.30,81.29.2,82.11,84.25</t>
  </si>
  <si>
    <t>СЛАДКОВА ОЛЬГА ПЕТРОВНА</t>
  </si>
  <si>
    <t>ИСПОЛНЯЮЩИЙ ОБЯЗАННОСТИ НАЧАЛЬНИКА</t>
  </si>
  <si>
    <t>429430, ЧУВАШСКАЯ РЕСПУБЛИКА - ЧУВАШИЯ, М.О. КОЗЛОВСКИЙ, Г. КОЗЛОВКА, УЛ. ЛЕНИНА, Д. 55</t>
  </si>
  <si>
    <t>+79279907758</t>
  </si>
  <si>
    <t>kozlov_buch@cap.ru,kozlov_obrazov4@cap.ru</t>
  </si>
  <si>
    <t>МЕСТНАЯ РЕЛИГИОЗНАЯ ОРГАНИЗАЦИЯ ПРАВОСЛАВНЫЙ ПРИХОД ХРАМА РОЖДЕСТВА ПРЕСВЯТОЙ БОГОРОДИЦЫ Д. ПОЛЕВЫЕ ЯУШИ КОМСОМОЛЬСКОГО РАЙОНА ЧУВАШСКОЙ РЕСПУБЛИКИ КАНАШСКОЙ ЕПАРХИИ РУССКОЙ ПРАВОСЛАВНОЙ ЦЕРКВИ (МОСКОВСКИЙ ПАТРИАРХАТ)</t>
  </si>
  <si>
    <t>ЛЕВШИН ЮРИЙ ИВАНОВИЧ</t>
  </si>
  <si>
    <t>ЧУВАШСКАЯ РЕСПУБЛИКА - ЧУВАШИЯ, М.О. КОМСОМОЛЬСКИЙ, Д. ПОЛЕВЫЕ ЯУШИ, УЛ. ПОДГОРНАЯ, ЗД. 37А</t>
  </si>
  <si>
    <t>+79278477390</t>
  </si>
  <si>
    <t>АССОЦИАЦИЯ "АТАМАНСКАЯ СТАНИЦА НИКОЛАЕВСКАЯ"</t>
  </si>
  <si>
    <t>АССОЦИАЦИЯ ВОЗРОЖДЕНИЯ КАЗАЧЬИХ ОРГАНИЗАЦИЙ "АТАМАНСКАЯ СТАНИЦА НИКОЛАЕВСКАЯ"</t>
  </si>
  <si>
    <t>2022-09-21</t>
  </si>
  <si>
    <t>БОБКОВ ВАЛЕРИЙ КОНСТАНТИНОВИЧ</t>
  </si>
  <si>
    <t>ПРЕДСЕДАТЕЛЬ АССОЦИАЦИИ (АТАМАН)</t>
  </si>
  <si>
    <t>428022, ЧУВАШСКАЯ РЕСПУБЛИКА - ЧУВАШИЯ, Г.О. ГОРОД ЧЕБОКСАРЫ, Г ЧЕБОКСАРЫ, УЛ КАЛИНИНА, Д. 102, К. 3, ПОМЕЩ. 11,13</t>
  </si>
  <si>
    <t>+79030634419</t>
  </si>
  <si>
    <t>УПРАВЛЕНИЕ ПО БЛАГОУСТРОЙСТВУ АДМИНИСТРАЦИИ ЯЛЬЧИКСКОГО МУНИЦИПАЛЬНОГО ОКРУГА</t>
  </si>
  <si>
    <t>УПРАВЛЕНИЕ ПО БЛАГОУСТРОЙСТВУ И РАЗВИТИЮ ТЕРРИТОРИЙ АДМИНИСТРАЦИИ ЯЛЬЧИКСКОГО МУНИЦИПАЛЬНОГО ОКРУГА ЧУВАШСКОЙ РЕСПУБЛИКИ</t>
  </si>
  <si>
    <t>2022-12-30</t>
  </si>
  <si>
    <t>81.22,84.11.34</t>
  </si>
  <si>
    <t>ПЕТРОВ НИКОЛАЙ ПЕТРОВИЧ</t>
  </si>
  <si>
    <t>И.О. ПЕРВОГО ЗАМЕСТИТЕЛЯ ГЛАВЫ АДМИНИСТРАЦИИ МО - НАЧАЛЬНИКА УБИРТ АДМИНИСТРАЦИИ ЯЛЬЧИКСКОГО МО</t>
  </si>
  <si>
    <t>+79278542201</t>
  </si>
  <si>
    <t>БФ "ЗОВ ЧУВАШИЯ"</t>
  </si>
  <si>
    <t>БЛАГОТВОРИТЕЛЬНЫЙ ФОНД "ЗОВ ЧУВАШИЯ"</t>
  </si>
  <si>
    <t>2022-10-27</t>
  </si>
  <si>
    <t>58.14,64.99.2,88.99</t>
  </si>
  <si>
    <t>АНДРЕЕВ АНДРЕЙ ВАЛЕРИАНОВИЧ
ЕРШОВА ЕЛЕНА АЛЕКСАНДРОВНА</t>
  </si>
  <si>
    <t>212902996410
212908588907</t>
  </si>
  <si>
    <t>ИСПОЛНИТЕЛЬНЫЙ ДИРЕКТОР
ПРЕЗИДЕНТ</t>
  </si>
  <si>
    <t>428024, ЧУВАШСКАЯ РЕСПУБЛИКА - ЧУВАШИЯ, Г.О. ГОРОД ЧЕБОКСАРЫ, Г ЧЕБОКСАРЫ, ПР-КТ МИРА, Д. 62В, ОФИС 1</t>
  </si>
  <si>
    <t>+79276673450</t>
  </si>
  <si>
    <t>andreev.a@list.ru</t>
  </si>
  <si>
    <t>ТОС "ТАРХАНСКОЕ"</t>
  </si>
  <si>
    <t>ОБЩЕСТВЕННАЯ ОРГАНИЗАЦИЯ ТЕРРИТОРИАЛЬНОЕ ОБЩЕСТВЕННОЕ САМОУПРАВЛЕНИЕ "ТАРХАНСКОЕ" СЕЛА ТАРХАНЫ БАТЫРЕВСКОГО МУНИЦИПАЛЬНОГО ОКРУГА ЧУВАШСКОЙ РЕСПУБЛИКИ</t>
  </si>
  <si>
    <t>2023-06-19</t>
  </si>
  <si>
    <t>КАКЛИМОВ НИКОЛАЙ СЕРГЕЕВИЧ</t>
  </si>
  <si>
    <t>429362, ЧУВАШСКАЯ РЕСПУБЛИКА - ЧУВАШИЯ, М.О. БАТЫРЕВСКИЙ, С ТАРХАНЫ, УЛ КОКЕЛЯ, Д. 23</t>
  </si>
  <si>
    <t>+79050280616</t>
  </si>
  <si>
    <t>ЧРОО "АССОЦИАЦИЯ ЭКСКУРСОВОДОВ"</t>
  </si>
  <si>
    <t>ЧУВАШСКАЯ РЕСПУБЛИКАНСКАЯ ОБЩЕСТВЕННАЯ ОРГАНИЗАЦИЯ "АССОЦИАЦИЯ ЭКСКУРСОВОДОВ, ГИДОВ-ПЕРЕВОДЧИКОВ ЧУВАШИИ"</t>
  </si>
  <si>
    <t>2023-06-16</t>
  </si>
  <si>
    <t>58.11.1,58.11.2,58.11.4,63.11.1,74.20,82.30,85.42.9,93.29.9</t>
  </si>
  <si>
    <t>ТРИФОНОВА ЗОЯ АЛЕКСЕЕВНА</t>
  </si>
  <si>
    <t>428001, ЧУВАШСКАЯ РЕСПУБЛИКА - ЧУВАШИЯ, Г.О. ГОРОД ЧЕБОКСАРЫ, Г ЧЕБОКСАРЫ, УЛ ИЛЬЕНКО, Д. 14/7, КВ. 8</t>
  </si>
  <si>
    <t>+79176655588</t>
  </si>
  <si>
    <t>tour_guides21@mail.ru</t>
  </si>
  <si>
    <t>ТОС "СУГАЙ"</t>
  </si>
  <si>
    <t>ОБЩЕСТВЕННАЯ ОРГАНИЗАЦИЯ ТЕРРИТОРИАЛЬНОГО ОБЩЕСТВЕННОГО САМОУПРАВЛЕНИЯ "СУГАЙ" ДЕРЕВНИ СУГАЙКАСЫ КАНАШСКОГО РАЙОНА ЧУВАШСКОЙ РЕСПУБЛИКИ</t>
  </si>
  <si>
    <t>СЕМЕНОВ ПАВЕЛ ЮРЬЕВИЧ</t>
  </si>
  <si>
    <t>ПРЕДСЕДАТЕЛЬ ТОС "СУГАЙ"</t>
  </si>
  <si>
    <t>429335, ЧУВАШСКАЯ РЕСПУБЛИКА - ЧУВАШИЯ, М.О. КАНАШСКИЙ, Д. СУГАЙКАСЫ, УЛ. МОЛОДЕЖНАЯ, Д. 66</t>
  </si>
  <si>
    <t>+79083097556</t>
  </si>
  <si>
    <t>kan-sugajkas@cap.ru</t>
  </si>
  <si>
    <t>РО ООО ВФСЛИН В ЧУВАШСКОЙ РЕСПУБЛИКЕ</t>
  </si>
  <si>
    <t>РЕГИОНАЛЬНОЕ ОТДЕЛЕНИЕ ОБЩЕРОССИЙСКОЙ ОБЩЕСТВЕННОЙ ОРГАНИЗАЦИИ "ВСЕРОССИЙСКАЯ ФЕДЕРАЦИЯ СПОРТА ЛИЦ С ИНТЕЛЛЕКТУАЛЬНЫМИ НАРУШЕНИЯМИ" В ЧУВАШСКОЙ РЕСПУБЛИКЕ</t>
  </si>
  <si>
    <t>2022-11-23</t>
  </si>
  <si>
    <t>18.12,94.99,96.04</t>
  </si>
  <si>
    <t>taekwondo21ncbk@yandex.ru</t>
  </si>
  <si>
    <t>АДМИНИСТРАЦИЯ ШЕМУРШИНСКОГО МУНИЦИПАЛЬНОГО ОКРУГА</t>
  </si>
  <si>
    <t>АДМИНИСТРАЦИЯ ШЕМУРШИНСКОГО МУНИЦИПАЛЬНОГО ОКРУГА ЧУВАШСКОЙ РЕСПУБЛИКИ</t>
  </si>
  <si>
    <t>2022-12-23</t>
  </si>
  <si>
    <t>81.22,84.25.1,84.25.9,84.11.3</t>
  </si>
  <si>
    <t>ГАЛКИН СЕРГЕЙ АВЕНИРОВИЧ</t>
  </si>
  <si>
    <t>ГЛАВА ШЕМУРШИНСКОГО МУНИЦИПАЛЬНОГО ОКРУГА ЧУВАШСКОЙ РЕСПУБЛИКИ</t>
  </si>
  <si>
    <t>429170, ЧУВАШСКАЯ РЕСПУБЛИКА - ЧУВАШИЯ, М.О. ШЕМУРШИНСКИЙ, С. ШЕМУРША, УЛ. СОВЕТСКАЯ, ВЛД. 8</t>
  </si>
  <si>
    <t>+79063827595</t>
  </si>
  <si>
    <t>СОБРАНИЕ ДЕПУТАТОВ ЧЕБОКСАРСКОГО МУНИЦИПАЛЬНОГО ОКРУГА</t>
  </si>
  <si>
    <t>СОБРАНИЕ ДЕПУТАТОВ ЧЕБОКСАРСКОГО МУНИЦИПАЛЬНОГО ОКРУГА ЧУВАШСКОЙ РЕСПУБЛИКИ</t>
  </si>
  <si>
    <t>ВАНЮШКИН СЕРГЕЙ АЛЕКСЕЕВИЧ</t>
  </si>
  <si>
    <t>ПРЕДСЕДАТЕЛЬ СОБРАНИЯ ДЕПУТАТОВ ЧЕБОКСАРСКОГО МУНИЦИПАЛЬНОГО ОКРУГА</t>
  </si>
  <si>
    <t>+79053408241</t>
  </si>
  <si>
    <t>chebs@cap.ru</t>
  </si>
  <si>
    <t>КФХ "МИР"</t>
  </si>
  <si>
    <t>КРЕСТЬЯНСКОЕ (ФЕРМЕРСКОЕ) ХОЗЯЙСТВО "МИР"</t>
  </si>
  <si>
    <t>2022-09-22</t>
  </si>
  <si>
    <t>01.13,01.19,01.41.11,01.41.12,01.41.21,01.42.11,01.45,01.46,01.47,01.50,01.61,01.62</t>
  </si>
  <si>
    <t>АНИСИМОВ ВАЛЕРИЙ ЕВГЕНЬЕВИЧ</t>
  </si>
  <si>
    <t>ГЛАВА</t>
  </si>
  <si>
    <t>429077, ЧУВАШСКАЯ РЕСПУБЛИКА - ЧУВАШИЯ, М.О. ЯДРИНСКИЙ, С. ЧЕБАКОВО, УЛ. ЛЕНИНА, ДВЛД. 2А</t>
  </si>
  <si>
    <t>+79063862080</t>
  </si>
  <si>
    <t>СОБРАНИЕ ДЕПУТАТОВ МОРГАУШСКОГО МУНИЦИПАЛЬНОГО ОКРУГА</t>
  </si>
  <si>
    <t>СОБРАНИЕ ДЕПУТАТОВ МОРГАУШСКОГО МУНИЦИПАЛЬНОГО ОКРУГА ЧУВАШСКОЙ РЕСПУБЛИКИ</t>
  </si>
  <si>
    <t>2022-11-02</t>
  </si>
  <si>
    <t>ДАВЫДОВ АЛЕКСАНДР ПЛАТОНОВИЧ</t>
  </si>
  <si>
    <t>ПРЕДСЕДАТЕЛЬ СОБРАНИЯ ДЕПУТАТОВ МОРГАУШСКОГО МУНИЦИПАЛЬНОГО ОКРУГА ЧУВАШСКОЙ РЕСПУБЛИКИ</t>
  </si>
  <si>
    <t>429530, ЧУВАШСКАЯ РЕСПУБЛИКА - ЧУВАШИЯ, М.О. МОРГАУШСКИЙ, С. МОРГАУШИ, УЛ. МИРА, ЗД. 6</t>
  </si>
  <si>
    <t>+79373837373</t>
  </si>
  <si>
    <t>ТОС "ВИКТОРИЯ"</t>
  </si>
  <si>
    <t>ОБЩЕСТВЕННАЯ ОРГАНИЗАЦИЯ ТЕРРИТОРИАЛЬНОГО ОБЩЕСТВЕННОГО САМОУПРАВЛЕНИЯ "ВИКТОРИЯ" УЛИЦЫ ПЕРВОМАЙСКАЯ ДЕРЕВНИ ХОРНОЙ МОРГАУШСКОГО МУНИЦИПАЛЬНОГО ОКРУГА ЧУВАШСКОЙ РЕСПУБЛИКИ</t>
  </si>
  <si>
    <t>БОРИСОВ ВЛАДИСЛАВ ГЕННАДЬЕВИЧ</t>
  </si>
  <si>
    <t>429530, ЧУВАШСКАЯ РЕСПУБЛИКА - ЧУВАШИЯ, М.О. МОРГАУШСКИЙ, Д. ХОРНОЙ, УЛ. ПЕРВОМАЙСКАЯ, Д. 51</t>
  </si>
  <si>
    <t>+79278637710</t>
  </si>
  <si>
    <t>ЧРОО "ФЕДЕРАЦИЯ ФЕХТОВАНИЯ"</t>
  </si>
  <si>
    <t>ЧУВАШСКАЯ РЕГИОНАЛЬНАЯ ОБЩЕСТВЕННАЯ ОРГАНИЗАЦИЯ "ФЕДЕРАЦИЯ ФЕХТОВАНИЯ"</t>
  </si>
  <si>
    <t>58.19,77.21,93.11,93.12</t>
  </si>
  <si>
    <t>САВЕЛЬЕВ АНДРЕЙ ЕВГЕНЬЕВИЧ</t>
  </si>
  <si>
    <t>428009, ЧУВАШСКАЯ РЕСПУБЛИКА - ЧУВАШИЯ, Г.О. ГОРОД ЧЕБОКСАРЫ, Г ЧЕБОКСАРЫ, УЛ СЕМЕНА ИСЛЮКОВА, ЗД. 17, ПОМЕЩ. 6</t>
  </si>
  <si>
    <t>+79176561453</t>
  </si>
  <si>
    <t>216353ac@gmail.com</t>
  </si>
  <si>
    <t>СОБРАНИЕ ДЕПУТАТОВ ЦИВИЛЬСКОГО МУНИЦИПАЛЬНОГО ОКРУГА</t>
  </si>
  <si>
    <t>СОБРАНИЕ ДЕПУТАТОВ ЦИВИЛЬСКОГО МУНИЦИПАЛЬНОГО ОКРУГА ЧУВАШСКОЙ РЕСПУБЛИКИ</t>
  </si>
  <si>
    <t>2022-10-06</t>
  </si>
  <si>
    <t>БАРАНОВА ТАТЬЯНА ВЛАДИМИРОВНА</t>
  </si>
  <si>
    <t>ПРЕДСЕДАТЕЛЬ СОБРАНИЯ ДЕПУТАТОВ ЦИВИЛЬСКОГО МУНИЦИПАЛЬНОГО ОКРУГА</t>
  </si>
  <si>
    <t>СОБРАНИЕ ДЕПУТАТОВ ЯНТИКОВСКОГО МУНИЦИПАЛЬНОГО ОКРУГА</t>
  </si>
  <si>
    <t>СОБРАНИЕ ДЕПУТАТОВ ЯНТИКОВСКОГО МУНИЦИПАЛЬНОГО ОКРУГА ЧУВАШСКОЙ РЕСПУБЛИКИ</t>
  </si>
  <si>
    <t>СТЕПАНОВ АЛЕКСЕЙ ВЛАДИМИРОВИЧ</t>
  </si>
  <si>
    <t>ПРЕДСЕДАТЕЛЬ СОБРАНИЯ ДЕПУТАТОВ ЯНТИКОВСКОГО МУНИЦИПАЛЬНОГО ОКРУГА</t>
  </si>
  <si>
    <t>429290, ЧУВАШСКАЯ РЕСПУБЛИКА - ЧУВАШИЯ, М.О. ЯНТИКОВСКИЙ, С ЯНТИКОВО, ПР-КТ ЛЕНИНА, Д. 13</t>
  </si>
  <si>
    <t>+79373809966</t>
  </si>
  <si>
    <t>yantik@cap.ru</t>
  </si>
  <si>
    <t>АНО "ЦСЕ "РОНИН"</t>
  </si>
  <si>
    <t>АВТОНОМНАЯ НЕКОММЕРЧЕСКАЯ ОРГАНИЗАЦИЯ "ЦЕНТР СПОРТИВНЫХ ЕДИНОБОРСТВ "РОНИН"</t>
  </si>
  <si>
    <t>2023-07-03</t>
  </si>
  <si>
    <t>18.12,64.99,82.30,85.41.9,93.11,93.12,93.19,93.29</t>
  </si>
  <si>
    <t>НИКОЛАЕВ ВИКТОР ЮРЬЕВИЧ</t>
  </si>
  <si>
    <t>428001, ЧУВАШСКАЯ РЕСПУБЛИКА - ЧУВАШИЯ, Г.О. ГОРОД ЧЕБОКСАРЫ, Г. ЧЕБОКСАРЫ, УЛ. СПОРТСМЕНА ВАЛЕРИАНА СОКОЛОВА, Д. 6, КВ. 119</t>
  </si>
  <si>
    <t>+79968505579</t>
  </si>
  <si>
    <t>cseronin@yandex.ru,cspkatana@yandex.ru</t>
  </si>
  <si>
    <t>СОБРАНИЕ ДЕПУТАТОВ ИБРЕСИНСКОГО МУНИЦИПАЛЬНОГО ОКРУГА</t>
  </si>
  <si>
    <t>СОБРАНИЕ ДЕПУТАТОВ ИБРЕСИНСКОГО МУНИЦИПАЛЬНОГО ОКРУГА ЧУВАШСКОЙ РЕСПУБЛИКИ</t>
  </si>
  <si>
    <t>2022-10-10</t>
  </si>
  <si>
    <t>Деятельность органов местного самоуправления по управлению вопросами общего характера</t>
  </si>
  <si>
    <t>РОМАНОВ ВЛАДИМИР ЕВГЕНЬЕВИЧ</t>
  </si>
  <si>
    <t>429700, ЧУВАШСКАЯ РЕСПУБЛИКА - ЧУВАШИЯ, М.О. ИБРЕСИНСКИЙ, ПГТ ИБРЕСИ, УЛ МАРЕСЬЕВА, ВЛД. 49</t>
  </si>
  <si>
    <t>+79053453500</t>
  </si>
  <si>
    <t>ibrdeputat@cap.ru</t>
  </si>
  <si>
    <t>СОБРАНИЕ ДЕПУТАТОВ КОМСОМОЛЬСКОГО МУНИЦИПАЛЬНОГО ОКРУГА</t>
  </si>
  <si>
    <t>СОБРАНИЕ ДЕПУТАТОВ КОМСОМОЛЬСКОГО МУНИЦИПАЛЬНОГО ОКРУГА ЧУВАШСКОЙ РЕСПУБЛИКИ</t>
  </si>
  <si>
    <t>2022-10-05</t>
  </si>
  <si>
    <t>ГРАЧЕВА СВЕТЛАНА НИКОЛАЕВНА</t>
  </si>
  <si>
    <t>ПРЕДСЕДАТЕЛЬ СОБРАНИЯ ДЕПУТАТОВ</t>
  </si>
  <si>
    <t>+79278559372</t>
  </si>
  <si>
    <t>КФХ"ТОЖМОЖАРЫ"</t>
  </si>
  <si>
    <t>КРЕСТЬЯНСКОЕ (ФЕРМЕРСКОЕ) ХОЗЯЙСТВО "ТОЖМОЖАРЫ"</t>
  </si>
  <si>
    <t>2022-10-11</t>
  </si>
  <si>
    <t>01.25.1</t>
  </si>
  <si>
    <t>Выращивание прочих плодовых и ягодных культур</t>
  </si>
  <si>
    <t>01.13.1,01.25.2,01.28.2,01.30</t>
  </si>
  <si>
    <t>ЕГОРОВА ИРАИДА ВИТАЛЬЕВНА</t>
  </si>
  <si>
    <t>ГЛАВА ФЕРМЕРСКОГО ХОЗЯЙСТВА</t>
  </si>
  <si>
    <t>429900, ЧУВАШСКАЯ РЕСПУБЛИКА - ЧУВАШИЯ, М.О. ЦИВИЛЬСКИЙ, Д. ТОЖМОЖАРЫ, УЛ. НАГОРНАЯ, ДВЛД. 20</t>
  </si>
  <si>
    <t>+79656803332</t>
  </si>
  <si>
    <t>1@trud-rf.ru</t>
  </si>
  <si>
    <t>СОБРАНИЕ ДЕПУТАТОВ КОЗЛОВСКОГО МУНИЦИПАЛЬНОГО ОКРУГА</t>
  </si>
  <si>
    <t>СОБРАНИЕ ДЕПУТАТОВ КОЗЛОВСКОГО МУНИЦИПАЛЬНОГО ОКРУГА ЧУВАШСКОЙ РЕСПУБЛИКИ</t>
  </si>
  <si>
    <t>2022-10-03</t>
  </si>
  <si>
    <t>ИСКАНДАРОВ ФИРДАВИЛЬ РАФАЭЛЕВИЧ</t>
  </si>
  <si>
    <t>ПРЕДСЕДАТЕЛЬ СОБРАНИЯ ДЕПУТАТОВ КОЗЛОВСКОГО МУНИЦИПАЛЬНОГО ОКРУГА</t>
  </si>
  <si>
    <t>+79053438007</t>
  </si>
  <si>
    <t>kozlov_buch@cap.ru</t>
  </si>
  <si>
    <t>БЛАГОТВОРИТЕЛЬНЫЙ ФОНД "ДОБРЫЕ КРЫЛЬЯ"</t>
  </si>
  <si>
    <t>БЛАГОТВОРИТЕЛЬНЫЙ ФОНД СОДЕЙСТВИЯ В СОЦИАЛЬНОЙ АДАПТАЦИИ ДЕТЕЙ-ИНВАЛИДОВ И ПОДРОСТКОВ "ДОБРЫЕ КРЫЛЬЯ"</t>
  </si>
  <si>
    <t>2023-06-29</t>
  </si>
  <si>
    <t>64.99.21</t>
  </si>
  <si>
    <t>СТЕПАНОВА РАИСА НИКОЛАЕВНА</t>
  </si>
  <si>
    <t>428003, ЧУВАШСКАЯ РЕСПУБЛИКА - ЧУВАШИЯ, Г.О. ГОРОД ЧЕБОКСАРЫ, Г ЧЕБОКСАРЫ, УЛ АФАНАСЬЕВА, Д. 14, КВ. 224</t>
  </si>
  <si>
    <t>+79877359209</t>
  </si>
  <si>
    <t>camukovo1969@gmail.ru</t>
  </si>
  <si>
    <t>АНО "ПРЕДПРИНИМАТЕЛЬСКАЯ ИНИЦИАТИВА"</t>
  </si>
  <si>
    <t>АВТОНОМНАЯ НЕКОММЕРЧЕСКАЯ ОРГАНИЗАЦИЯ "ПРЕДПРИНИМАТЕЛЬСКАЯ ИНИЦИАТИВА"</t>
  </si>
  <si>
    <t>2023-07-20</t>
  </si>
  <si>
    <t>18.12,69.10,69.20,70.22,72.19,72.20,74.90,82.30,82.99,85.41.9,88.10,88.99,93.29,96.09</t>
  </si>
  <si>
    <t>АНДРЕЕВ ЕВГЕНИЙ АЛЕКСАНДРОВИЧ</t>
  </si>
  <si>
    <t>428003, ЧУВАШСКАЯ РЕСПУБЛИКА - ЧУВАШИЯ, Г.О. ГОРОД ЧЕБОКСАРЫ, Г ЧЕБОКСАРЫ, УЛ НИЖЕГОРОДСКАЯ, ЗД. 6, СТР. 2, ПОМЕЩ. 6</t>
  </si>
  <si>
    <t>+79033455552</t>
  </si>
  <si>
    <t>ОО "ТАДЖИКСКИЙ КУЛЬТУРНЫЙ ЦЕНТР ЧУВАШСКОЙ РЕСПУБЛИКИ"</t>
  </si>
  <si>
    <t>ОБЩЕСТВЕННАЯ ОРГАНИЗАЦИЯ "ТАДЖИКСКИЙ КУЛЬТУРНЫЙ ЦЕНТР ЧУВАШСКОЙ РЕСПУБЛИКИ"</t>
  </si>
  <si>
    <t>2023-07-28</t>
  </si>
  <si>
    <t>58.11</t>
  </si>
  <si>
    <t>КАРИМОВ БОТУРДЖОН КАДИРОВИЧ</t>
  </si>
  <si>
    <t>428027, ЧУВАШСКАЯ РЕСПУБЛИКА - ЧУВАШИЯ, Г.О. ГОРОД ЧЕБОКСАРЫ, Г ЧЕБОКСАРЫ, УЛ ХУЗАНГАЯ, Д. 20, ПОМЕЩ. 301</t>
  </si>
  <si>
    <t>+79196545949</t>
  </si>
  <si>
    <t>bkarimov_57@mail.ru</t>
  </si>
  <si>
    <t>РОФСО "ФССЧР"</t>
  </si>
  <si>
    <t>РЕГИОНАЛЬНАЯ ОБЩЕСТВЕННАЯ ФИЗКУЛЬТУРНО-СПОРТИВНАЯ ОРГАНИЗАЦИЯ "ФЕДЕРАЦИЯ СИЛОВОГО СПОРТА В ЧУВАШСКОЙ РЕСПУБЛИКЕ"</t>
  </si>
  <si>
    <t>2025-05-12</t>
  </si>
  <si>
    <t>93.11,93.12</t>
  </si>
  <si>
    <t>ОСИПОВ ВЯЧЕСЛАВ ЮРЬЕВИЧ</t>
  </si>
  <si>
    <t>429965, ЧУВАШСКАЯ РЕСПУБЛИКА - ЧУВАШИЯ, Г.О. ГОРОД НОВОЧЕБОКСАРСК, Г НОВОЧЕБОКСАРСК, УЛ СОЛНЕЧНАЯ, Д. 32, КВ. 65</t>
  </si>
  <si>
    <t>+79876738581</t>
  </si>
  <si>
    <t>osipov230886@mail.ru</t>
  </si>
  <si>
    <t>ТОС "ДРУЖБА"</t>
  </si>
  <si>
    <t>ОБЩЕСТВЕННАЯ ОРГАНИЗАЦИЯ ТЕРРИТОРИАЛЬНОГО ОБЩЕСТВЕННОГО САМОУПРАВЛЕНИЯ "ДРУЖБА" ДЕРЕВНИ ЛИПОВО КОЗЛОВСКОГО МУНИЦИПАЛЬНОГО ОКРУГА ЧУВАШСКОЙ РЕСПУБЛИКИ</t>
  </si>
  <si>
    <t>2025-05-16</t>
  </si>
  <si>
    <t>ФИЛИППОВА ЛИДИЯ ВАЛЕРИАНОВНА</t>
  </si>
  <si>
    <t>429438, ЧУВАШСКАЯ РЕСПУБЛИКА - ЧУВАШИЯ, М.О. КОЗЛОВСКИЙ, Д. ЛИПОВО, УЛ. ЛУГОВАЯ, Д. 19</t>
  </si>
  <si>
    <t>+79176563411,+79674710414</t>
  </si>
  <si>
    <t>kozlov_sao_emet@cap.ru</t>
  </si>
  <si>
    <t>МБОУ "АТНАРСКАЯ СОШ"</t>
  </si>
  <si>
    <t>МУНИЦИПАЛЬНОЕ БЮДЖЕТНОЕ ОБЩЕОБРАЗОВАТЕЛЬНОЕ УЧРЕЖДЕНИЕ "АТНАРСКАЯ СРЕДНЯЯ ОБЩЕОБРАЗОВАТЕЛЬНАЯ ШКОЛА" КРАСНОЧЕТАЙСКОГО МУНИЦИПАЛЬНОГО ОКРУГА ЧУВАШСКОЙ РЕСПУБЛИКИ</t>
  </si>
  <si>
    <t>1999-07-16</t>
  </si>
  <si>
    <t>85.14</t>
  </si>
  <si>
    <t>Образование среднее общее</t>
  </si>
  <si>
    <t>55.90,68.31.1,68.31.2,68.31.3,68.31.4,85.12,85.13,85.14</t>
  </si>
  <si>
    <t>КУДРЯШОВ СЕРГЕЙ ИВАНОВИЧ</t>
  </si>
  <si>
    <t>429055,  ЧУВАШСКАЯ РЕСПУБЛИКА - ЧУВАШИЯ, Р-Н КРАСНОЧЕТАЙСКИЙ, С. АТНАРЫ, УЛ. ПРИШКОЛЬНАЯ, Д.60 А</t>
  </si>
  <si>
    <t>+78355122290,+79278573167,+79613472936,+78355121832,+78355130221,+78355121232,+79875778296,+78354122290</t>
  </si>
  <si>
    <t>www.atnar-krchet.edu.cap.ru/default.aspx?t=eduid&amp;eduid=4410</t>
  </si>
  <si>
    <t>atnar_1@mail.ru,atnar-1@mail.ru,2110001829@mail.ru,buh-roo@krchet.cap.ru,atnar1@mail.ru</t>
  </si>
  <si>
    <t>БУ ДО "СШОР № 4"</t>
  </si>
  <si>
    <t>БЮДЖЕТНОЕ УЧРЕЖДЕНИЕ ЧУВАШСКОЙ РЕСПУБЛИКИ ДОПОЛНИТЕЛЬНОГО ОБРАЗОВАНИЯ "СПОРТИВНАЯ ШКОЛА ОЛИМПИЙСКОГО РЕЗЕРВА № 4"</t>
  </si>
  <si>
    <t>2000-06-14</t>
  </si>
  <si>
    <t>85.41.1</t>
  </si>
  <si>
    <t>Образование в области спорта и отдыха</t>
  </si>
  <si>
    <t>55.90,47.19,47.64,55.10,55.90,56.29.2,68.32,77.11,77.21,85.41,93.11,93.19,93.29,95.29,95.29.2,96.04</t>
  </si>
  <si>
    <t>ПАНФЕРОВ ДМИТРИЙ ВИКТОРОВИЧ</t>
  </si>
  <si>
    <t>429951, ЧУВАШСКАЯ РЕСПУБЛИКА - ЧУВАШИЯ, Г.О. ГОРОД НОВОЧЕБОКСАРСК, Г. НОВОЧЕБОКСАРСК, УЛ. Ж.КРУТОВОЙ, ЗД. 1А, К. 1</t>
  </si>
  <si>
    <t>+78352222154,+78352485899,+78352737747,+78352733327</t>
  </si>
  <si>
    <t>ok-sokol@bk.ru,u-sokol@bk.ru,arefeva1994@mail.ru,cfo_sport_bu@mail.ru,sokol-std@bk.ru</t>
  </si>
  <si>
    <t>МБОУ "АЛИКОВСКАЯ СОШ ИМ. И.Я.ЯКОВЛЕВА"</t>
  </si>
  <si>
    <t>МУНИЦИПАЛЬНОЕ БЮДЖЕТНОЕ ОБЩЕОБРАЗОВАТЕЛЬНОЕ УЧРЕЖДЕНИЕ "АЛИКОВСКАЯ СРЕДНЯЯ ОБЩЕОБРАЗОВАТЕЛЬНАЯ ШКОЛА ИМ. И.Я.ЯКОВЛЕВА" АЛИКОВСКОГО МУНИЦИПАЛЬНОГО ОКРУГА ЧУВАШСКОЙ РЕСПУБЛИКИ</t>
  </si>
  <si>
    <t>2003-04-21</t>
  </si>
  <si>
    <t>47.9,56.29,85.12,85.13,85.14</t>
  </si>
  <si>
    <t>ВОЛКОВ ВЛАДИСЛАВ КОНСТАНТИНОВИЧ</t>
  </si>
  <si>
    <t>429250, ЧУВАШСКАЯ РЕСПУБЛИКА - ЧУВАШИЯ, М.О. АЛИКОВСКИЙ, С. АЛИКОВО, УЛ. СОВЕТСКАЯ, Д. 15</t>
  </si>
  <si>
    <t>+79278654916,+78353522044,+79063819628,+78353522761,+78353522448,+78353522053,+78353522950</t>
  </si>
  <si>
    <t>www.sosh-alikov.edu.cap.ru</t>
  </si>
  <si>
    <t>salikovo1@yandex.ru,school-alik@yandex.ru,sb_alik@alikov.cap.ru,obrazov@alikov.cap.ru,obrazov@alikv.cap.ru</t>
  </si>
  <si>
    <t>ОТДЕЛЕНИЕ СТД РФ (ВТО) - СТД ЧУВАШСКОЙ РЕСПУБЛИКИ, ОТДЕЛЕНИЕ СТД РФ - СТД ЧУВАШСКОЙ РЕСПУБЛИКИ</t>
  </si>
  <si>
    <t>РЕГИОНАЛЬНОЕ ОТДЕЛЕНИЕ ОБЩЕРОССИЙСКОЙ ОБЩЕСТВЕННОЙ ОРГАНИЗАЦИИ "СОЮЗ ТЕАТРАЛЬНЫХ ДЕЯТЕЛЕЙ РОССИЙСКОЙ ФЕДЕРАЦИИ (ВСЕРОССИЙСКОЕ ТЕАТРАЛЬНОЕ ОБЩЕСТВО)" - "СОЮЗ ТЕАТРАЛЬНЫХ ДЕЯТЕЛЕЙ ЧУВАШСКОЙ РЕСПУБЛИКИ"</t>
  </si>
  <si>
    <t>1997-04-28</t>
  </si>
  <si>
    <t>90.01,90.04,94.12</t>
  </si>
  <si>
    <t>УРДЮКОВ ЕВГЕНИЙ ВАСИЛЬЕВИЧ</t>
  </si>
  <si>
    <t>428003,  ЧУВАШСКАЯ РЕСПУБЛИКА - ЧУВАШИЯ, Г. ЧЕБОКСАРЫ, ПЛ. КРАСНАЯ, Д. 7</t>
  </si>
  <si>
    <t>+78352622621</t>
  </si>
  <si>
    <t>МБУ "УПРАВЛЕНИЕ КАПИТАЛЬНОГО СТРОИТЕЛЬСТВА И РЕКОНСТРУКЦИИ" ГОРОДА ЧЕБОКСАРЫ</t>
  </si>
  <si>
    <t>МУНИЦИПАЛЬНОЕ БЮДЖЕТНОЕ УЧРЕЖДЕНИЕ "УПРАВЛЕНИЕ КАПИТАЛЬНОГО СТРОИТЕЛЬСТВА И РЕКОНСТРУКЦИИ" ГОРОДА ЧЕБОКСАРЫ ЧУВАШСКОЙ РЕСПУБЛИКИ</t>
  </si>
  <si>
    <t>2016-07-14</t>
  </si>
  <si>
    <t>ГАВРИЛОВА ФАИНА НИКОЛАЕВНА</t>
  </si>
  <si>
    <t>НАЧАЛЬНИК</t>
  </si>
  <si>
    <t>428024, ЧУВАШСКАЯ РЕСПУБЛИКА - ЧУВАШИЯ, Г.О. ГОРОД ЧЕБОКСАРЫ, Г ЧЕБОКСАРЫ, ПР-КТ МИРА, Д. 90, К. 2, ПОМЕЩ. 2</t>
  </si>
  <si>
    <t>+78352224858,+78352442412,+78352224844,+74956565835</t>
  </si>
  <si>
    <t>moka-84@mail.ru,uks1@gcheb.cap.ru,slt09@mail.ru,uks_mbu@mail.ru,uks@gcheb.cap.ru,uksir21_zakupki@mail.ru</t>
  </si>
  <si>
    <t>КУ ЧР СЛУЖБА ЕДИНОГО ЗАКАЗЧИКА</t>
  </si>
  <si>
    <t>КАЗЕННОЕ УЧРЕЖДЕНИЕ ЧУВАШСКОЙ РЕСПУБЛИКИ "РЕСПУБЛИКАНСКАЯ СЛУЖБА ЕДИНОГО ЗАКАЗЧИКА" МИНИСТЕРСТВА СТРОИТЕЛЬСТВА, АРХИТЕКТУРЫ И ЖИЛИЩНО-КОММУНАЛЬНОГО ХОЗЯЙСТВА ЧУВАШСКОЙ РЕСПУБЛИКИ</t>
  </si>
  <si>
    <t>2014-03-20</t>
  </si>
  <si>
    <t>84.11.2</t>
  </si>
  <si>
    <t>Деятельность органов государственной власти по управлению вопросами общего характера, кроме судебной власти, субъектов Российской Федерации</t>
  </si>
  <si>
    <t>39.00,41.20,42.11,42.91,42.99,43.21,43.22,43.29,43.91,43.99,43.99.1,71.1,71.12,71.12.1,71.12.2,71.12.5,71.12.6</t>
  </si>
  <si>
    <t>РАЗУМОВ ВИКТОР ВАСИЛЬЕВИЧ</t>
  </si>
  <si>
    <t>428003, ЧУВАШСКАЯ РЕСПУБЛИКА - ЧУВАШИЯ, Г.О. ГОРОД ЧЕБОКСАРЫ, Г ЧЕБОКСАРЫ, УЛ ГАГАРИНА Ю., Д. 20, ПОМЕЩ. 1</t>
  </si>
  <si>
    <t>+78352585520,+78352585521,+79061368841,+79613418085,+78352585522</t>
  </si>
  <si>
    <t>zakazchik.21@mail.ru,zakazchik21@cap.ru,zakazchik21@bk.ru</t>
  </si>
  <si>
    <t>АСК "БАЙКОНУР-ЧЕБОКСАРЫ"</t>
  </si>
  <si>
    <t>АССОЦИАЦИЯ СОДЕЙСТВИЯ КОСМОНАВТИКЕ "БАЙКОНУР-ЧЕБОКСАРЫ"</t>
  </si>
  <si>
    <t>2003-08-22</t>
  </si>
  <si>
    <t>58,82.99</t>
  </si>
  <si>
    <t>ТИХОНОВ ВАЛЕРИАН ПЕТРОВИЧ</t>
  </si>
  <si>
    <t>428023,  ЧУВАШСКАЯ РЕСПУБЛИКА - ЧУВАШИЯ, Г. ЧЕБОКСАРЫ, УЛ. АКАДЕМИКА КОРОЛЕВА, Д.1, ПОМЕЩЕНИЕ 13</t>
  </si>
  <si>
    <t>+78352560968,+78352341898</t>
  </si>
  <si>
    <t>ООО "ОСНОВА 1"</t>
  </si>
  <si>
    <t>ОБЩЕСТВО С ОГРАНИЧЕННОЙ ОТВЕТСТВЕННОСТЬЮ "ОСНОВА 1"</t>
  </si>
  <si>
    <t>ХУНДЯКОВ СЕРГЕЙ АЛЕКСАНДРОВИЧ</t>
  </si>
  <si>
    <t>генеральный директор</t>
  </si>
  <si>
    <t>428026,  ЧУВАШСКАЯ РЕСПУБЛИКА - ЧУВАШИЯ, Г ЧЕБОКСАРЫ, УЛ ГОГОЛЯ, Д. 5</t>
  </si>
  <si>
    <t>+78352545640,+79196607776,+79196607744,+78352681017</t>
  </si>
  <si>
    <t>АДМИНИСТРАЦИЯ ВУРНАРСКОГО МУНИЦИПАЛЬНОГО ОКРУГА</t>
  </si>
  <si>
    <t>АДМИНИСТРАЦИЯ ВУРНАРСКОГО МУНИЦИПАЛЬНОГО ОКРУГА ЧУВАШСКОЙ РЕСПУБЛИКИ</t>
  </si>
  <si>
    <t>2022-12-13</t>
  </si>
  <si>
    <t>НИКАНДРОВА НАДЕЖДА ВАЛЕРИАНОВНА</t>
  </si>
  <si>
    <t>ГЛАВА ВУРНАРСКОГО МУНИЦИПАЛЬНОГО ОКРУГА ЧУВАШСКОЙ РЕСПУБЛИКИ</t>
  </si>
  <si>
    <t>+78353725204,+79093003151</t>
  </si>
  <si>
    <t>АДМИНИСТРАЦИЯ КРАСНОАРМЕЙСКОГО МУНИЦИПАЛЬНОГО ОКРУГА</t>
  </si>
  <si>
    <t>АДМИНИСТРАЦИЯ КРАСНОАРМЕЙСКОГО МУНИЦИПАЛЬНОГО ОКРУГА ЧУВАШСКОЙ РЕСПУБЛИКИ</t>
  </si>
  <si>
    <t>2021-12-15</t>
  </si>
  <si>
    <t>ГЛАВА КРАСНОАРМЕЙСКОГО МУНИЦИПАЛЬНОГО ОКРУГА ЧУВАШСКОЙ РЕСПУБЛИКИ</t>
  </si>
  <si>
    <t>429620,  ЧУВАШСКАЯ РЕСПУБЛИКА - ЧУВАШИЯ, Р-Н КРАСНОАРМЕЙСКИЙ, С КРАСНОАРМЕЙСКОЕ, УЛ ЛЕНИНА, ЗД. 35</t>
  </si>
  <si>
    <t>+79051320251</t>
  </si>
  <si>
    <t>krarm@cap.ru</t>
  </si>
  <si>
    <t>ТСН (ЖИЛЬЯ) "ПИРОГОВА 10"</t>
  </si>
  <si>
    <t>ТОВАРИЩЕСТВО СОБСТВЕННИКОВ НЕДВИЖИМОСТИ (ЖИЛЬЯ) "ПИРОГОВА 10"</t>
  </si>
  <si>
    <t>2018-12-18</t>
  </si>
  <si>
    <t>ТРАВИНА ЕЛЕНА АЛЕКСЕЕВНА</t>
  </si>
  <si>
    <t>429826,  ЧУВАШСКАЯ РЕСПУБЛИКА - ЧУВАШИЯ, Г. АЛАТЫРЬ, УЛ. ПИРОГОВА, Д. 10, КВ. 50</t>
  </si>
  <si>
    <t>+79373798395</t>
  </si>
  <si>
    <t>АДМИНИСТРАЦИЯ КРАСНОЧЕТАЙСКОГО МУНИЦИПАЛЬНОГО ОКРУГА</t>
  </si>
  <si>
    <t>АДМИНИСТРАЦИЯ КРАСНОЧЕТАЙСКОГО МУНИЦИПАЛЬНОГО ОКРУГА ЧУВАШСКОЙ РЕСПУБЛИКИ</t>
  </si>
  <si>
    <t>МИХОПАРОВ ИВАН НИКОЛАЕВИЧ</t>
  </si>
  <si>
    <t>ГЛАВА КРАСНОЧЕТАЙСКОГО МУНИЦИПАЛЬНОГО ОКРУГА ЧУВАШСКОЙ РЕСПУБЛИКИ</t>
  </si>
  <si>
    <t>429040, ЧУВАШСКАЯ РЕСПУБЛИКА - ЧУВАШИЯ, М.О. КРАСНОЧЕТАЙСКИЙ, С. КРАСНЫЕ ЧЕТАИ, ПЛ. ПОБЕДЫ, Д. 1</t>
  </si>
  <si>
    <t>+79196539149</t>
  </si>
  <si>
    <t>АДМИНИСТРАЦИЯ УРМАРСКОГО МУНИЦИПАЛЬНОГО ОКРУГА</t>
  </si>
  <si>
    <t>АДМИНИСТРАЦИЯ УРМАРСКОГО МУНИЦИПАЛЬНОГО ОКРУГА ЧУВАШСКОЙ РЕСПУБЛИКИ</t>
  </si>
  <si>
    <t>2022-12-06</t>
  </si>
  <si>
    <t>ШИГИЛЬДЕЕВ ВАСИЛИЙ ВИКТОРОВИЧ</t>
  </si>
  <si>
    <t>ГЛАВА УРМАРСКОГО МУНИЦИПАЛЬНОГО ОКРУГА ЧУВАШСКОЙ РЕСПУБЛИКИ</t>
  </si>
  <si>
    <t>429400, ЧУВАШСКАЯ РЕСПУБЛИКА - ЧУВАШИЯ, М.О. УРМАРСКИЙ, ПГТ. УРМАРЫ, УЛ. МИРА, ЗД. 5</t>
  </si>
  <si>
    <t>+78354421902,+77835421902,+79613479298</t>
  </si>
  <si>
    <t>urmary@cap.ru,urmary_zakupki1@cap.ru</t>
  </si>
  <si>
    <t>ЧРОО "ГРАЖДАНСКИЙ КОНТРОЛЬ"</t>
  </si>
  <si>
    <t>ЧУВАШСКАЯ РЕГИОНАЛЬНАЯ ОБЩЕСТВЕННАЯ ОРГАНИЗАЦИЯ СОДЕЙСТВИЯ ЗАЩИТЕ ПРАВ ГРАЖДАН "ГРАЖДАНСКИЙ КОНТРОЛЬ"</t>
  </si>
  <si>
    <t>2019-08-15</t>
  </si>
  <si>
    <t>ШИЛОВ ВИТАЛИЙ ЮРЬЕВИЧ</t>
  </si>
  <si>
    <t>429820, ЧУВАШСКАЯ РЕСПУБЛИКА - ЧУВАШИЯ, М.О. АЛАТЫРСКИЙ, Г. АЛАТЫРЬ, УЛ. КОМИССАРИАТСКАЯ, Д. 75, ОФИС 300</t>
  </si>
  <si>
    <t>+79379565656,+79370103489</t>
  </si>
  <si>
    <t>МБОУ  "ПИКШИКСКАЯ ООШ"</t>
  </si>
  <si>
    <t>МУНИЦИПАЛЬНОЕ БЮДЖЕТНОЕ ОБЩЕОБРАЗОВАТЕЛЬНОЕ УЧРЕЖДЕНИЕ "ПИКШИКСКАЯ ОСНОВНАЯ ОБЩЕОБРАЗОВАТЕЛЬНАЯ ШКОЛА" КРАСНОАРМЕЙСКОГО МУНИЦИПАЛЬНОГО ОКРУГА ЧУВАШСКОЙ РЕСПУБЛИКИ</t>
  </si>
  <si>
    <t>2002-02-28</t>
  </si>
  <si>
    <t>85.11,85.11,85.12,85.13,85.14,85.41</t>
  </si>
  <si>
    <t>ГАВРИЛОВ АНАТОЛИЙ ИВАНОВИЧ</t>
  </si>
  <si>
    <t>429622, ЧУВАШСКАЯ РЕСПУБЛИКА - ЧУВАШИЯ, М.О. КРАСНОАРМЕЙСКИЙ, Д. ПИКШИКИ, УЛ. ВОСТОЧНАЯ, ЗД. 2</t>
  </si>
  <si>
    <t>+78353038284,+78353021348,+78353038259,+78353021485</t>
  </si>
  <si>
    <t>pikshich-krarm.edu21.cap.ru</t>
  </si>
  <si>
    <t>krasnoarm_sosh-pikshin@rchuv.ru,pik_sosh@mail.ru,krarm_cb17@cap.ru,krarm_obrazov1@cap.ru,pikshich-krarm@edu.cap.ru,obrazov1@krarm.cap.ru,obrazov3@krarm.cap.ru</t>
  </si>
  <si>
    <t>МБОУ "ЯНШИХОВО-ЧЕЛЛИНСКАЯ ООШ"</t>
  </si>
  <si>
    <t>МУНИЦИПАЛЬНОЕ БЮДЖЕТНОЕ ОБЩЕОБРАЗОВАТЕЛЬНОЕ УЧРЕЖДЕНИЕ "ЯНШИХОВО-ЧЕЛЛИНСКАЯ ОСНОВНАЯ ОБЩЕОБРАЗОВАТЕЛЬНАЯ ШКОЛА" КРАСНОАРМЕЙСКОГО МУНИЦИПАЛЬНОГО ОКРУГА ЧУВАШСКОЙ РЕСПУБЛИКИ</t>
  </si>
  <si>
    <t>ДУБРОВА ВАЛЕНТИНА ГУРЬЕВНА</t>
  </si>
  <si>
    <t>429625, ЧУВАШСКАЯ РЕСПУБЛИКА - ЧУВАШИЯ, М.О. КРАСНОАРМЕЙСКИЙ, Д. ЯНШИХОВО-ЧЕЛЛЫ, УЛ. ЛЕСНАЯ, ВЛД. 1</t>
  </si>
  <si>
    <t>+78353034240,+79030656360,+79063884441,+78353021485</t>
  </si>
  <si>
    <t>www.yanchell-krarm.chvs.eduru.ru</t>
  </si>
  <si>
    <t>yanchell.scool@yandex.ru,krarm_cb16@cap.ru,krarm_obrazov3@cap.ru,yanchell-krarm@edu.cap.ru,yanchella-scool@yandex.ru,obrazov3@krarm.cap.ru,obrazov1@krarm.cap.ru,obrazov@krarm.cap.ru,bezzubova.yasosh@yandex.ru</t>
  </si>
  <si>
    <t>МБОУ "ШЕМУРШИНСКАЯ СОШ"</t>
  </si>
  <si>
    <t>МУНИЦИПАЛЬНОЕ БЮДЖЕТНОЕ ОБЩЕОБРАЗОВАТЕЛЬНОЕ УЧРЕЖДЕНИЕ "ШЕМУРШИНСКАЯ СРЕДНЯЯ ОБЩЕОБРАЗОВАТЕЛЬНАЯ ШКОЛА" ШЕМУРШИНСКОГО МУНИЦИПАЛЬНОГО ОКРУГА ЧУВАШСКОЙ РЕСПУБЛИКИ</t>
  </si>
  <si>
    <t>2003-12-25</t>
  </si>
  <si>
    <t>85.11,85.12,85.13,85.14,85.41,85.41.9,85.41.91,88.10,88.91</t>
  </si>
  <si>
    <t>ХОРЬКОВА ВЕРА ВАСИЛЬЕВНА</t>
  </si>
  <si>
    <t>429170,  ЧУВАШСКАЯ РЕСПУБЛИКА - ЧУВАШИЯ, Р-Н ШЕМУРШИНСКИЙ, С. ШЕМУРША, УЛ. ЮБИЛЕЙНАЯ, Д.1, К.А</t>
  </si>
  <si>
    <t>+78354623871,+78354623518,+79278452091,+78354623008,+78354623318</t>
  </si>
  <si>
    <t>sosh-shemur.edu21-test.cap.ru,www.sosh-shemur.edu.cap.ru</t>
  </si>
  <si>
    <t>sh_rshemur1@rchuv.ru,sosh-shemur@edu.cap.ru,shemshkola_shem@cap.ru,sectorzakupki@shemur.cap.ru,sosh-shemur@shemur.cap.ru</t>
  </si>
  <si>
    <t>УПРАВЛЕНИЕ РОСПОТРЕБНАДЗОРА ПО ЧУВАШСКОЙ РЕСПУБЛИКЕ - ЧУВАШИИ</t>
  </si>
  <si>
    <t>УПРАВЛЕНИЕ ФЕДЕРАЛЬНОЙ СЛУЖБЫ ПО НАДЗОРУ В СФЕРЕ ЗАЩИТЫ ПРАВ ПОТРЕБИТЕЛЕЙ И БЛАГОПОЛУЧИЯ ЧЕЛОВЕКА ПО ЧУВАШСКОЙ РЕСПУБЛИКЕ - ЧУВАШИИ</t>
  </si>
  <si>
    <t>84.11.12</t>
  </si>
  <si>
    <t>Деятельность полномочных представителей Президента Российской Федерации в регионах Российской Федерации и территориальных органов федеральных органов исполнительной власти в субъектах Российской Федерации (республиках, краях, областях)</t>
  </si>
  <si>
    <t>ГЕРМОНОВА ТАТЬЯНА ГЕННАДЬЕВНА</t>
  </si>
  <si>
    <t>ВРЕМЕННО ИСПОЛНЯЮЩИЙ ОБЯЗАННОСТИ РУКОВОДИТЕЛЯ</t>
  </si>
  <si>
    <t>428018,  ЧУВАШСКАЯ РЕСПУБЛИКА - ЧУВАШИЯ, Г. ЧЕБОКСАРЫ, ПР-КТ МОСКОВСКИЙ, Д.3Д</t>
  </si>
  <si>
    <t>+78352586740,+78352421713,+78352581713,+78352582525,+78352582512,+78352586713,+78352585033,+78352585053,+78352586774,+78352585307</t>
  </si>
  <si>
    <t>mtto@21.rospotrebnadzor.ru,sanit@toot.ru,zakuo@21.rospotrebnadzor.ru,buch@21.rospotrebnadzor.ru,sanit@21.rospotrebnadzor.ru,zakup@21.rospotrebnadzor.ru</t>
  </si>
  <si>
    <t>УФССП РОССИИ ПО ЧУВАШСКОЙ РЕСПУБЛИКЕ</t>
  </si>
  <si>
    <t>УПРАВЛЕНИЕ ФЕДЕРАЛЬНОЙ СЛУЖБЫ СУДЕБНЫХ ПРИСТАВОВ ПО ЧУВАШСКОЙ РЕСПУБЛИКЕ - ЧУВАШИИ</t>
  </si>
  <si>
    <t>2004-12-20</t>
  </si>
  <si>
    <t>84.11.13</t>
  </si>
  <si>
    <t>Деятельность территориальных органов федеральных органов исполнительной власти в городах и районах субъектов Российской Федерации</t>
  </si>
  <si>
    <t>84.11.12,84.11.12</t>
  </si>
  <si>
    <t>РЕЗНИК СЕРГЕЙ ПАВЛОВИЧ</t>
  </si>
  <si>
    <t>РУКОВОДИТЕЛЬ УПРАВЛЕНИЯ ФЕДЕРАЛЬНОЙ СЛУЖБЫ СУДЕБНЫХ ПРИСТАВОВ ПО ЧУВАШСКОЙ РЕСПУБЛИКЕ-ЧУВАШИИ-ГЛАВНЫЙ СУДЕБНЫЙ ПРИСТАВ ЧУВАШСКОЙ РЕСПУБЛИКИ-ЧУВАШИИ</t>
  </si>
  <si>
    <t>428023,  ЧУВАШСКАЯ РЕСПУБЛИКА - ЧУВАШИЯ, Г. ЧЕБОКСАРЫ, УЛ. ЭНТУЗИАСТОВ, Д.34 А</t>
  </si>
  <si>
    <t>+78352306240,+78352306111,+78352306058,+78353622807,+78352306246,+78352306165,+78352306244,+78352306001,+78352737434,+78352412717,+78352456068,+78353620207,+78353021990,+78354222857,+78354521416,+78354023350,+78353422335,+78354723217,+78353262266,+78353821035,+78355121590,+78354421440,+78353321924,+78354821492,+78353522208,+78354926149,+78354162901,+78353951568,+78353126596,+78353123210,+78353726087,+78353130611,+78352306122,+78352306103,+78353821654,+78354925982,+78354162838,+78353951668,+78354821048,+78352306232,+78352306143,+78355121128,+78354421239,+78352603058,+78352603240,+78352306050,+78352306258,+78352306053,+78352366058,+78352306056</t>
  </si>
  <si>
    <t>www.r21.fssprus.ru</t>
  </si>
  <si>
    <t>mto@r21.fssp.gov.ru,mto@r21.fssprus.ru,ospo2@r21.fssprus.ru,osp02@r21.fssprus.ru,vodokanal_shumerly@mail.ru,osp03@r21.fssprus.ru,osp05@r21.fssprus.ru,osp04@r21.fssprus.ru,mail@r21.fssprus.ru,osp17@r21.fssprus.ru,osp10@r21.fssprus.ru,osp11@r21.fssprus.ru,osp15@r21.fssprus.ru,osp16@r21.fssprus.ru,osp18@r21.fssprus.ru,osp20@r21.fssprus.ru,osp22@r21.fssprus.ru,osp24@r21.fssprus.ru,osp27@r21.fssprus.ru,osp07@r21.fssprus.ru,osp12@r21.fssprus.ru,osp13@r21.fssprus.ru,osp14@r21.fssprus.ru,osp26@r21.fssprus.ru,osp25@r21.fssprus.ru,fssp21@cbx.ru,osp21@r21.fssprus.ru,osp06@r21.fssprus.ru,osp08@r21.fssprus.ru,osp09@r21.fssprus.ru,osp02@21.fssprus.ru,osp02@r21.fssprus,mto@r21.fssprus,mto@e21.fssprus.ru,mto@r21.fsssprus.ru,mto@fssprus.ru,mto@r.fssprus.ru,mto@r21fssprus.ru,79278673476@yandex.ru,79373968866@yandex.ru,mto@r21.fspprus.ru,mto@r21.fssprus.rus,to@r21.fssprus.ru,denis.federov@r21.fssprus.ru,denis.fedorov@r21.fssprus.ru</t>
  </si>
  <si>
    <t>УПРАВЛЕНИЕ РОСРЕЕСТРА ПО ЧУВАШСКОЙ РЕСПУБЛИКЕ</t>
  </si>
  <si>
    <t>УПРАВЛЕНИЕ ФЕДЕРАЛЬНОЙ СЛУЖБЫ ГОСУДАРСТВЕННОЙ РЕГИСТРАЦИИ, КАДАСТРА И КАРТОГРАФИИ ПО ЧУВАШСКОЙ РЕСПУБЛИКЕ</t>
  </si>
  <si>
    <t>2004-12-17</t>
  </si>
  <si>
    <t>КАРПЕЕВА ЕКАТЕРИНА ВЛАДИМИРОВНА</t>
  </si>
  <si>
    <t>428000,  ЧУВАШСКАЯ РЕСПУБЛИКА - ЧУВАШИЯ, Г. ЧЕБОКСАРЫ, УЛ. К.МАРКСА, Д.56</t>
  </si>
  <si>
    <t>+78352628384,+78352621728,+78352626162,+77835625989,+78352627315,+77835628384,+78352625989,+77835621728,+78352626507,+78353323748,+78354623989,+78352621727,+78353726749,+78354521604,+78353126600,+78354421542,+78352749810,+78354162147,+78353262363,+78354723494,+78353341780,+78353821674,+78354925032,+78354322226,+78354222060,+78353425158,+78354021367,+78252628384,+78352662020,+73852628384,+78352625969,+78352629044,+78352621753,+78352626151</t>
  </si>
  <si>
    <t>www.rosreg21.ru,,www.rosreg21.ru/</t>
  </si>
  <si>
    <t>21_upr@rosreestr.ru,palata@chtts.ru,21_mto_luv@rosreestr.armgs.team,palata@chtss.ru,21_upr@rosregistr.ru,u2147@rosreestr.ru,u2152@r21.rosreestr.ru,u2138@r21.rosreestr.ru,u2153@r21.rossreestr.ru,u2133@r21.rosreestr.ru,u2135@r21.rosreestr.ru,rp_nov@chtts.ru,u2142@r21.rosreestr.ru,u2144@r21.rosreestr.ru,u2147@r21.rosreestr.ru,u2150@r21.rosreestr.ru,u2146@r21.rosreestr.ru,u2151@r21.rosreestr.ru,u2141@rosreestr.ru,u2134@r21.rosreestr.ru,u2137@21.rosreestr.ru,u2136@r21.rosreestr.ru,palata@chtts.tu,upr@rosreestr.ru</t>
  </si>
  <si>
    <t>ФБУ ЧУВАШСКАЯ ЛСЭ МИНЮСТА РОССИИ</t>
  </si>
  <si>
    <t>ФЕДЕРАЛЬНОЕ БЮДЖЕТНОЕ УЧРЕЖДЕНИЕ ЧУВАШСКАЯ ЛАБОРАТОРИЯ СУДЕБНОЙ ЭКСПЕРТИЗЫ МИНИСТЕРСТВА ЮСТИЦИИ РОССИЙСКОЙ ФЕДЕРАЦИИ</t>
  </si>
  <si>
    <t>2001-12-28</t>
  </si>
  <si>
    <t>71.20.2</t>
  </si>
  <si>
    <t>Судебно-экспертная деятельность</t>
  </si>
  <si>
    <t>84.23,84.24</t>
  </si>
  <si>
    <t>КУЧЕРОВ ОЛЕГ ПЕТРОВИЧ</t>
  </si>
  <si>
    <t>428031,  ЧУВАШСКАЯ РЕСПУБЛИКА - ЧУВАШИЯ, Г. ЧЕБОКСАРЫ, УЛ. КАДЫКОВА, Д. 7</t>
  </si>
  <si>
    <t>+78352542024,+78352541373,+79278542357,+78253542024,+78253541373,+78352541383,+78352542924,+78352641389,+78352542054,+78352641373</t>
  </si>
  <si>
    <t>info@minjust-expert21.ru,chlse@mail.ru,chlse2@mail.ru,сhlse2@mail.ru,chlse@chuvashia.ru</t>
  </si>
  <si>
    <t>МВД ПО ЧУВАШСКОЙ РЕСПУБЛИКЕ</t>
  </si>
  <si>
    <t>МИНИСТЕРСТВО ВНУТРЕННИХ ДЕЛ ПО ЧУВАШСКОЙ РЕСПУБЛИКЕ</t>
  </si>
  <si>
    <t>1996-08-05</t>
  </si>
  <si>
    <t>84.24</t>
  </si>
  <si>
    <t>Деятельность по обеспечению общественного порядка и безопасности</t>
  </si>
  <si>
    <t>КОНДРАШОВ СЕРГЕЙ НИКОЛАЕВИЧ</t>
  </si>
  <si>
    <t>МИНИСТР ВНУТРЕННИХ ДЕЛ ПО ЧУВАШСКОЙ РЕСПУБЛИКЕ</t>
  </si>
  <si>
    <t>428000,  ЧУВАШСКАЯ РЕСПУБЛИКА - ЧУВАШИЯ, Г. ЧЕБОКСАРЫ, УЛ. К.МАРКСА, Д.41</t>
  </si>
  <si>
    <t>+78352241447,+78352214474,+78352241747,+78252241447,+78352241867,+78352240756,+78352240761,+78352241619,+78352241795,+78352622487,+78352241015,+78352625093,+78354521337,+78354421079,+78353951429,+78353822636,+78352241638,+78352241008,+78354021462</t>
  </si>
  <si>
    <t>omirz_21@mail.ru,omirz_21@mai.ru,omirz21@mvd.ru,zakupki_mvd@mail.ru,mvd_zakupki@mail.ru,mwd@cap.ru,zakupks4421@mail.ru,zakupaka4421@mail.ru,iripanova@mvd.ru,zakupka4421@mail.ru,okdtp-2168@mail.ru,hozo21@mai.ru,hozo@mail.ru,cheb@mwd.cap.ru,okdtp-21@mail.ru,mwd6@zivil.cap.ru,okdtp@rambler.ru,hozo21@mail.ru,okdtp-21@rambler.ru</t>
  </si>
  <si>
    <t>АРБИТРАЖНЫЙ СУД ЧУВАШСКОЙ РЕСПУБЛИКИ</t>
  </si>
  <si>
    <t>АРБИТРАЖНЫЙ СУД ЧУВАШСКОЙ РЕСПУБЛИКИ - ЧУВАШИИ</t>
  </si>
  <si>
    <t>1995-04-28</t>
  </si>
  <si>
    <t>84.23.18</t>
  </si>
  <si>
    <t>Деятельность арбитражных апелляционных судов, арбитражных судов субъектов Российской Федерации</t>
  </si>
  <si>
    <t>ЛАЗАРЕВА ТАТЬЯНА ЮРЬЕВНА</t>
  </si>
  <si>
    <t>ИСПОЛНЯЮЩИЙ ОБЯЗАННОСТИ ПРЕДСЕДАТЕЛЯ СУДА</t>
  </si>
  <si>
    <t>428000,  ЧУВАШСКАЯ РЕСПУБЛИКА - ЧУВАШИЯ, Г. ЧЕБОКСАРЫ, ПР-КТ ЛЕНИНА, Д.4</t>
  </si>
  <si>
    <t>+78352240159,+78352240187,+78352624030,+78352240105,+78352240154,+78352240153,+78352621537,+78352240181,+78352625400,+78352240212,+78352240174,+78352240103,+75352240159,+78352240195</t>
  </si>
  <si>
    <t>chuvashia.arbitr.ru,,chuvashia.arbitr.ru/</t>
  </si>
  <si>
    <t>a79.slavrentev@arbitr.ru,chuvashia.info@arbitr.ru,kanc@arbitr79.ru,arbi@cbx.ru,,a79.mstarovoytova@arbitr.ru,a79.spetrov@arbitr.ru</t>
  </si>
  <si>
    <t>ЧУВАШСКОЕ УФАС РОССИИ</t>
  </si>
  <si>
    <t>УПРАВЛЕНИЕ ФЕДЕРАЛЬНОЙ АНТИМОНОПОЛЬНОЙ СЛУЖБЫ ПО ЧУВАШСКОЙ РЕСПУБЛИКЕ - ЧУВАШИИ</t>
  </si>
  <si>
    <t>1991-10-17</t>
  </si>
  <si>
    <t>КОТЕЕВ ВАЛЕРИЙ ВЯЧЕСЛАВОВИЧ</t>
  </si>
  <si>
    <t>РУКОВОДИТЕЛЬ УПРАВЛЕНИЯ</t>
  </si>
  <si>
    <t>428015,  ЧУВАШСКАЯ РЕСПУБЛИКА - ЧУВАШИЯ, Г. ЧЕБОКСАРЫ, ПР-КТ МОСКОВСКИЙ, Д.2</t>
  </si>
  <si>
    <t>+78352620437,+78352584013,+78352625008,+78352623912,+78352584208,+78352586667,+78352622588</t>
  </si>
  <si>
    <t>to21-opetrova@fas.gov.ru,to21@fas.gov.ru,anti@cap.ru,anti@cap.ru,,to21@fas.gov.ru,,to21-voronova@fas.gov.ru</t>
  </si>
  <si>
    <t>ОСФР ПО ЧУВАШСКОЙ РЕСПУБЛИКЕ - ЧУВАШИИ</t>
  </si>
  <si>
    <t>ОТДЕЛЕНИЕ ФОНДА ПЕНСИОННОГО И СОЦИАЛЬНОГО СТРАХОВАНИЯ РОССИЙСКОЙ ФЕДЕРАЦИИ ПО ЧУВАШСКОЙ РЕСПУБЛИКЕ - ЧУВАШИИ</t>
  </si>
  <si>
    <t>1995-02-08</t>
  </si>
  <si>
    <t>84.30</t>
  </si>
  <si>
    <t>Деятельность в области обязательного социального обеспечения</t>
  </si>
  <si>
    <t>НИКОЛАЕВ ВАЛЕРИЙ ПЕТРОВИЧ</t>
  </si>
  <si>
    <t>УПРАВЛЯЮЩИЙ ОТДЕЛЕНИЕМ</t>
  </si>
  <si>
    <t>428000,  ЧУВАШСКАЯ РЕСПУБЛИКА - ЧУВАШИЯ, Г. ЧЕБОКСАРЫ, УЛ. КОНСТАНТИНА ИВАНОВА, Д. 87</t>
  </si>
  <si>
    <t>+78352306506,+78352588019,+78352583150,+78352303919,+78352303900,+78352306591,+78352303907,+78352303924,+78352303946,+78352303928,+78352303930,+78352306592,+78352626140,+78352303926,+77835306591,+78352303937,+78352303913,+78352306593,+77835583150,+78352303911,+78352423150,+78352589019,+78352583162,+78352588107,+78352585945,+78352583058,+78352583263,+78354222599</t>
  </si>
  <si>
    <t>fedorovaal@21.sfr.gov.ru,aleksandrovaan@21.sfr.gov.ru,yuv.loginova@21.sfr.gov.ru,info@21.sfr.gov.ru,iv.rodionova@ro21.fss.ru,info@21.sfr.gov,info@21.spfr.gov.ru,nv.romanova@21.sfr.gov.ru,romanovana@015.pfr.gov.ru,iv.enderov@21.sfr.gov.ru,sosnina@21.sfr.gov.ru,iv.enderov@ro21.fss.ru,sl.garanina@21.sfr.gov.ru,da.lukiyanov@ro21.fss.ru,0715@015.pfr.gov.ru,on.borisova@21.sfr.gov.ru,on.borisova@ro21.fss.ru,iyu.ivanova@21.sfr.gov.ru,myu.semenov@ro21.fss.ru,0100@015.pfr.gov.ru,info@ro21.fss.ru,sosnina@015.pfr.gov.ru,0715@015.pfr.ru,0100@015.pfr.ru,pensi@cap.ru,0101@015.pfr.ru,0907@015.pfr.ru</t>
  </si>
  <si>
    <t>ФКУ ИК-5 УФСИН РОССИИ ПО ЧУВАШСКОЙ РЕСПУБЛИКЕ - ЧУВАШИИ</t>
  </si>
  <si>
    <t>ФЕДЕРАЛЬНОЕ КАЗЕННОЕ УЧРЕЖДЕНИЕ "ИСПРАВИТЕЛЬНАЯ КОЛОНИЯ № 5 УПРАВЛЕНИЯ ФЕДЕРАЛЬНОЙ СЛУЖБЫ ИСПОЛНЕНИЯ НАКАЗАНИЙ ПО ЧУВАШСКОЙ РЕСПУБЛИКЕ - ЧУВАШИИ"</t>
  </si>
  <si>
    <t>1997-02-24</t>
  </si>
  <si>
    <t>14.12</t>
  </si>
  <si>
    <t>Производство спецодежды</t>
  </si>
  <si>
    <t>35.12.1,35.30.14,36.00.1,37.00,39.00,84.23.4,52.10,68.20.2,82.19,84.23.4</t>
  </si>
  <si>
    <t>КИРЮХИН ПАВЕЛ АНАТОЛЬЕВИЧ</t>
  </si>
  <si>
    <t>429430,  ЧУВАШСКАЯ РЕСПУБЛИКА - ЧУВАШИЯ, Г. КОЗЛОВКА, Р-Н КОЗЛОВСКИЙ, УЛ. ШОССЕЙНАЯ, Д.10</t>
  </si>
  <si>
    <t>+79030662169,+78353421513,+78353421240,+79656840755,+79603018970,+79053470654,+79063891230,+79656859949,+79063873534,+79656838996,+79625988711,+79911558908,+79656835866,+79061332288,+79003332420,+79603092183,+79033594146,+79279932294,+79061323133,+79914645911,+79613454546,+79603093385,+79063849322,+78353421547,+79603147033,+78353129606,+78353422131,+78653421240,+79061364534,+78353422231,+79053417479,+78353421732,+78314318938,+79003311958,+79625981232,+79061338802,+79196643007,+79656823818,+78432317160,+78353421454,+79053400534,+79053435665,+79061353320,+79053450562,+78353021547,+79063887205,+79051980434,+79033898601,+78353421985,+78353421854</t>
  </si>
  <si>
    <t>zakupki-ik5@yandex.ru,zakupki-k5@yandex.ru,omto-ik5@yandex.ru,ik5@mail.ru,omto-ik5@ya.ru,ik5@21.fsin.ru,ik5@21.fsin.gov.ru,fgu-ik@yandex.ru,zakupki-ik5@andex.ru,fku.ik5@mail.ru,zakupi-ik5@yandex.ru,oto@52.fsin.su,zakupki-ik5@yandex.rru,zaakupki-ik5@yandex.ru,zakuhki-ik5@yandex.ru,marketik5@mail.ru,zakuupki-ik5@yandex.ru,chuvashia@mail.ru,zakupkiik5@yandex.ru,zakupki-ik5@yandex.кu,omto-ik5@eandex.ru,ik5@21.fsin.su,zaupki-ik5@yandex.ru,zakpki-ik5@yandex.ru,zakupki-ik5@yndex.ru,vasamid@cbx.ru,gosoboron@mail.ru,zakupki-ik5@yande.ru,zakupki-i5@yandex.ru,zakuoki-ik5@yandex.ru,pred345@rambler.ru,zakupku-ik5@yandex.ru,zakupki-ik6@yandex.ru,omto-ik5@rambler.ru,omso-ik5@yandex.ru,ik5-chuvashia@yandex.ru,ik-5@mail.ru,zakupki-ik@yandex.ru,fgu-ik5@yandex.ru</t>
  </si>
  <si>
    <t>АДМИНИСТРАЦИЯ КАНАШСКОГО МУНИЦИПАЛЬНОГО ОКРУГА</t>
  </si>
  <si>
    <t>АДМИНИСТРАЦИЯ КАНАШСКОГО МУНИЦИПАЛЬНОГО ОКРУГА ЧУВАШСКОЙ РЕСПУБЛИКИ</t>
  </si>
  <si>
    <t>2024-12-10</t>
  </si>
  <si>
    <t>ЧЕРНОВ ВАЛЕРИЙ АНАТОЛЬЕВИЧ</t>
  </si>
  <si>
    <t>ГЛАВА КАНАШСКОГО МУНИЦИПАЛЬНОГО ОКРУГА ЧУВАШСКОЙ РЕСПУБЛИКИ</t>
  </si>
  <si>
    <t>429330, ЧУВАШСКАЯ РЕСПУБЛИКА - ЧУВАШИЯ, М.О. КАНАШСКИЙ, Г. КАНАШ, УЛ. 30 ЛЕТ ПОБЕДЫ, Д. 24</t>
  </si>
  <si>
    <t>+79603002749</t>
  </si>
  <si>
    <t>gkan@cap.ru</t>
  </si>
  <si>
    <t>ЧУВАШСКАЯ РЕСПУБЛИКАНСКАЯ ОБЩЕСТВЕННАЯ ОРГАНИЗАЦИЯ "ФЕДЕРАЦИЯ БИАТЛОНА ЧУВАШСКОЙ РЕСПУБЛИКИ"</t>
  </si>
  <si>
    <t>2006-12-25</t>
  </si>
  <si>
    <t>96.04</t>
  </si>
  <si>
    <t>Деятельность физкультурно- оздоровительная</t>
  </si>
  <si>
    <t>77.21,93.19,93.29.9,94.99,96.04</t>
  </si>
  <si>
    <t>ПЕТРОВ АЛЕКСЕЙ СЕРГЕЕВИЧ</t>
  </si>
  <si>
    <t>428003, ЧУВАШСКАЯ РЕСПУБЛИКА - ЧУВАШИЯ, Г.О. ГОРОД ЧЕБОКСАРЫ, Г. ЧЕБОКСАРЫ, УЛ. ПРИСТАНЦИОННАЯ, ЗД. 10В, КАБИНЕТ 304</t>
  </si>
  <si>
    <t>+78352655369,+78352281020</t>
  </si>
  <si>
    <t>ЖСК "РЕЗИНЩИК"</t>
  </si>
  <si>
    <t>ЖИЛИЩНО-СТРОИТЕЛЬНЫЙ КООПЕРАТИВ "РЕЗИНЩИК"</t>
  </si>
  <si>
    <t>1967-06-22</t>
  </si>
  <si>
    <t>СИМАКОВА ТАТЬЯНА ЮРЬЕВНА</t>
  </si>
  <si>
    <t>428023, ЧУВАШСКАЯ РЕСПУБЛИКА - ЧУВАШИЯ, Г.О. ГОРОД ЧЕБОКСАРЫ, Г. ЧЕБОКСАРЫ, УЛ. КОМПОЗИТОРА МАКСИМОВА, Д. 6, КВ. 7</t>
  </si>
  <si>
    <t>+78352341609</t>
  </si>
  <si>
    <t>ЧРОО "ВЕТЕРАНЫ ФУТБОЛА"</t>
  </si>
  <si>
    <t>ЧУВАШСКАЯ РЕГИОНАЛЬНАЯ ОБЩЕСТВЕННАЯ ОРГАНИЗАЦИЯ ПО РАЗВИТИЮ ВЕТЕРАНСКОГО ФУТБОЛА</t>
  </si>
  <si>
    <t>2003-02-25</t>
  </si>
  <si>
    <t>01.30,77.21,81.30,93.11,93.12,93.13,94.99,96.04</t>
  </si>
  <si>
    <t>ЮДЕНКОВ СЕРГЕЙ ВЯЧЕСЛАВОВИЧ</t>
  </si>
  <si>
    <t>428031,  ЧУВАШСКАЯ РЕСПУБЛИКА - ЧУВАШИЯ, Г. ЧЕБОКСАРЫ, Б-Р ЭГЕРСКИЙ, Д.26</t>
  </si>
  <si>
    <t>+79023281286</t>
  </si>
  <si>
    <t>АУ "ЦМИРО" Г. ЧЕБОКСАРЫ</t>
  </si>
  <si>
    <t>АВТОНОМНОЕ УЧРЕЖДЕНИЕ "ЦЕНТР МОНИТОРИНГА И РАЗВИТИЯ ОБРАЗОВАНИЯ" ГОРОДА ЧЕБОКСАРЫ</t>
  </si>
  <si>
    <t>2010-06-01</t>
  </si>
  <si>
    <t>85.42.9</t>
  </si>
  <si>
    <t>Деятельность по дополнительному профессиональному образованию прочая, не включенная в другие группировки</t>
  </si>
  <si>
    <t>74.20,74.30,82.92,94.12</t>
  </si>
  <si>
    <t>ЗАХАРОВА ОЛЬГА ВЛАДИМИРОВНА</t>
  </si>
  <si>
    <t>428027,  ЧУВАШСКАЯ РЕСПУБЛИКА - ЧУВАШИЯ, Г ЧЕБОКСАРЫ, Б-Р ЭГЕРСКИЙ, Д. 49, ПОМЕЩ. 1,2</t>
  </si>
  <si>
    <t>+78352581549,+78352515758,+78352455758,+78352234490,+78352451902</t>
  </si>
  <si>
    <t>cmiro22@mail.ru,guo@gcheb.cap.ru,gcheb_guo1@cap.ru,zakupmosk@yandex.ru,andreeva_67@list.ru,guo1@gcheb.cap.ru,guo30@gcheb.cap.ru</t>
  </si>
  <si>
    <t>КПКГ "КАССА ВЗАИМОПОМОЩИ "СТОЛИЧНАЯ"</t>
  </si>
  <si>
    <t>КРЕДИТНЫЙ ПОТРЕБИТЕЛЬСКИЙ КООПЕРАТИВ ГРАЖДАН  "КАССА ВЗАИМОПОМОЩИ "СТОЛИЧНАЯ"</t>
  </si>
  <si>
    <t>2007-03-16</t>
  </si>
  <si>
    <t>64.99.6</t>
  </si>
  <si>
    <t>Деятельность по финансовой взаимопомощи</t>
  </si>
  <si>
    <t>62.09,63.11.1,64.92.1,64.92.3,64.99.11,66.19.4,68.31.12,68.31.22,68.31.32,68.31.42,69.10,77.11</t>
  </si>
  <si>
    <t>БРАНЧАЕВА ЕКАТЕРИНА НИКОЛАЕВНА</t>
  </si>
  <si>
    <t>428003, ЧУВАШСКАЯ РЕСПУБЛИКА - ЧУВАШИЯ, Г.О. ГОРОД ЧЕБОКСАРЫ, Г ЧЕБОКСАРЫ, УЛ ПЕТРОВА, Д. 6, К. 2, ПОМЕЩ. 3, КОМ. 20</t>
  </si>
  <si>
    <t>+78352560607,+78352610026</t>
  </si>
  <si>
    <t>kvstolica@yandex.ru</t>
  </si>
  <si>
    <t>УРМАРСКИЙ ФИНОТДЕЛ</t>
  </si>
  <si>
    <t>ФИНАНСОВЫЙ ОТДЕЛ АДМИНИСТРАЦИИ УРМАРСКОГО МУНИЦИПАЛЬНОГО ОКРУГА ЧУВАШСКОЙ РЕСПУБЛИКИ</t>
  </si>
  <si>
    <t>2005-11-20</t>
  </si>
  <si>
    <t>АНАНЬЕВА ОЛЬГА ГЕОРГИЕВНА</t>
  </si>
  <si>
    <t>НАЧАЛЬНИК ФИНАНСОВОГО ОТДЕЛА АДМИНИСТРАЦИИ УРМАРСКОГО МУНИЦИПАЛЬНОГО ОКРУГА</t>
  </si>
  <si>
    <t>429400,  ЧУВАШСКАЯ РЕСПУБЛИКА - ЧУВАШИЯ, Р-Н УРМАРСКИЙ, ПГТ УРМАРЫ, УЛ. МИРА, Д.5</t>
  </si>
  <si>
    <t>+78354421931,+78354421569,+78354421701,+79373745748</t>
  </si>
  <si>
    <t>finance-adm1@urmary.cap.ru,finance-adm2@urmary.cap.ru</t>
  </si>
  <si>
    <t>УФНС РОССИИ ПО ЧУВАШСКОЙ РЕСПУБЛИКЕ</t>
  </si>
  <si>
    <t>УПРАВЛЕНИЕ ФЕДЕРАЛЬНОЙ НАЛОГОВОЙ СЛУЖБЫ ПО ЧУВАШСКОЙ РЕСПУБЛИКЕ</t>
  </si>
  <si>
    <t>84.11.4</t>
  </si>
  <si>
    <t>Управление финансовой деятельностью и деятельностью в сфере налогообложения</t>
  </si>
  <si>
    <t>84.11,84.11.12,84.11.13</t>
  </si>
  <si>
    <t>ГУСЕВ НИКОЛАЙ ВЛАДИМИРОВИЧ</t>
  </si>
  <si>
    <t>428018,  ЧУВАШСКАЯ РЕСПУБЛИКА - ЧУВАШИЯ, Г. ЧЕБОКСАРЫ, УЛ. НИЖЕГОРОДСКАЯ, Д.8</t>
  </si>
  <si>
    <t>+78352709621,+77883709621,+78352302862,+78352585964,+78352302731,+78352302732,+78352586964,+73852585964,+78352302738,+78252585964,+78352302700,+78352426964,+73852586964,+78352596964,+78352302781,+78352302740,+78352302709,+78352302730,+75352302732,+78852585964,+78852302732,+78852586964</t>
  </si>
  <si>
    <t>zakupki.r2100@tax.gov.ru,2100@tax.gov.ru,zakupki.r2100@nalog.ru,zakupki@nalog.ru,u21@r21.nalog.ru,oob@r21.nalog.ru</t>
  </si>
  <si>
    <t>КУ "ЧУВАШУПРДОР" МИНТРАНСА ЧУВАШИИ</t>
  </si>
  <si>
    <t>КАЗЕННОЕ УЧРЕЖДЕНИЕ ЧУВАШСКОЙ РЕСПУБЛИКИ "УПРАВЛЕНИЕ АВТОМОБИЛЬНЫХ ДОРОГ ЧУВАШСКОЙ РЕСПУБЛИКИ" МИНИСТЕРСТВА ТРАНСПОРТА И ДОРОЖНОГО ХОЗЯЙСТВА ЧУВАШСКОЙ РЕСПУБЛИКИ</t>
  </si>
  <si>
    <t>2007-07-13</t>
  </si>
  <si>
    <t>84.11.8</t>
  </si>
  <si>
    <t>Управление имуществом, находящимся в государственной собственности</t>
  </si>
  <si>
    <t>42.11,42.12,42.13,52.21.22,52.21.23,77.34</t>
  </si>
  <si>
    <t>ШИЛОВ ЮРИЙ АЛЕКСАНДРОВИЧ</t>
  </si>
  <si>
    <t>428003,  ЧУВАШСКАЯ РЕСПУБЛИКА - ЧУВАШИЯ, Г. ЧЕБОКСАРЫ, ПЛ. КРАСНАЯ, Д. 3</t>
  </si>
  <si>
    <t>+78352709407,+78352540220,+78352709412,+78352540120,+78352452612,+78352540334,+78352452686,+78352452621,+78352540124</t>
  </si>
  <si>
    <t>mintrans2@cap.ru,mintrans27@mail.ru,mintrans@cap.ru,mintrans65@cap.ru,mintrans65@mail.ru,dir-pbdd@dk.ru,midakov62@mail.ru,mintrans29@cap.ru,mintrans57@cap.ru,dir-pbdd@bk.ru,mintrans27@cap.ru</t>
  </si>
  <si>
    <t>МИНТРАНС ЧУВАШИИ</t>
  </si>
  <si>
    <t>МИНИСТЕРСТВО ТРАНСПОРТА И ДОРОЖНОГО ХОЗЯЙСТВА ЧУВАШСКОЙ РЕСПУБЛИКИ</t>
  </si>
  <si>
    <t>2012-06-18</t>
  </si>
  <si>
    <t>84.11.21</t>
  </si>
  <si>
    <t>Деятельность органов государственной власти субъектов Российской Федерации (республик, краев, областей), кроме судебной власти, представительств исполнительных органов государственной власти субъектов Российской Федерации при Президенте Российской Федерации</t>
  </si>
  <si>
    <t>ПЕТРОВ МАКСИМ МИХАЙЛОВИЧ</t>
  </si>
  <si>
    <t>МИНИСТР ТРАНСПОРТА И ДОРОЖНОГО ХОЗЯЙСТВА ЧУВАШСКОЙ РЕСПУБЛИКИ</t>
  </si>
  <si>
    <t>428000,  ЧУВАШСКАЯ РЕСПУБЛИКА - ЧУВАШИЯ, Г ЧЕБОКСАРЫ, ПЛ РЕСПУБЛИКИ, Д. 2</t>
  </si>
  <si>
    <t>+78352622800,+78352620559</t>
  </si>
  <si>
    <t>mintrans104@cap.ru</t>
  </si>
  <si>
    <t>ПО ЦЕНТР ФИНПО-СОГЛАСИЕ</t>
  </si>
  <si>
    <t>ПОТРЕБИТЕЛЬСКОЕ ОБЩЕСТВО ЦЕНТР ФИНПО-СОГЛАСИЕ</t>
  </si>
  <si>
    <t>2003-11-17</t>
  </si>
  <si>
    <t>66.19</t>
  </si>
  <si>
    <t>Деятельность вспомогательная прочая в сфере финансовых услуг, кроме страхования и пенсионного обеспечения</t>
  </si>
  <si>
    <t>10.13,56.10,64.92,78.10,88.10,96.09</t>
  </si>
  <si>
    <t>СЫЧЕВА ТАМАРА ВАСИЛЬЕВНА</t>
  </si>
  <si>
    <t>429955,  ЧУВАШСКАЯ РЕСПУБЛИКА - ЧУВАШИЯ, Г. НОВОЧЕБОКСАРСК, УЛ. ВИНОКУРОВА, Д.6, К.А</t>
  </si>
  <si>
    <t>+78352732301</t>
  </si>
  <si>
    <t>АНО ДПО "ЦЕНТР НЕЗАВИСИМОЙ ЭКСПЕРТИЗЫ"</t>
  </si>
  <si>
    <t>АВТОНОМНАЯ НЕКОММЕРЧЕСКАЯ ОРГАНИЗАЦИЯ ДОПОЛНИТЕЛЬНОГО ПРОФЕССИОНАЛЬНОГО ОБРАЗОВАНИЯ "ЦЕНТР НЕЗАВИСИМОЙ ЭКСПЕРТИЗЫ"</t>
  </si>
  <si>
    <t>2016-06-14</t>
  </si>
  <si>
    <t>66.21,68.31.5,70.22,71.12,71.20,71.20.8,72.19,72.20,74.20,74.90.2,74.90.21,74.90.22,74.90.23,74.90.25,82.30,85.42,86.90.2</t>
  </si>
  <si>
    <t>ЛАГУНОВА ЛЮБОВЬ ВИКТОРОВНА</t>
  </si>
  <si>
    <t>428000, ЧУВАШСКАЯ РЕСПУБЛИКА - ЧУВАШИЯ, Г.О. ГОРОД ЧЕБОКСАРЫ, Г ЧЕБОКСАРЫ, УЛ КАЛИНИНА, ЗД. 109, СТР. 1, ПОМЕЩ. 411Б</t>
  </si>
  <si>
    <t>+79196621640,+79373884609</t>
  </si>
  <si>
    <t>ОО"ФУЧР"</t>
  </si>
  <si>
    <t>ОБЩЕСТВЕННАЯ ОРГАНИЗАЦИЯ "ФЕДЕРАЦИЯ УШУ ЧУВАШСКОЙ РЕСПУБЛИКИ"</t>
  </si>
  <si>
    <t>2001-09-14</t>
  </si>
  <si>
    <t>ИЛЬИН ГЕННАДИЙ ВАЛЕРЬЕВИЧ</t>
  </si>
  <si>
    <t>428027, ЧУВАШСКАЯ РЕСПУБЛИКА - ЧУВАШИЯ, Г.О. ГОРОД ЧЕБОКСАРЫ, Г ЧЕБОКСАРЫ, УЛ ХУЗАНГАЯ, Д. 14, ОФИС А120</t>
  </si>
  <si>
    <t>+73532446802,+78352548342,+79033586805,+79276689493,+78352640052</t>
  </si>
  <si>
    <t>ФГБОУ ВО "ЧГУ ИМ. И.Н. УЛЬЯНОВА"</t>
  </si>
  <si>
    <t>ФЕДЕРАЛЬНОЕ ГОСУДАРСТВЕННОЕ БЮДЖЕТНОЕ ОБРАЗОВАТЕЛЬНОЕ УЧРЕЖДЕНИЕ ВЫСШЕГО ОБРАЗОВАНИЯ "ЧУВАШСКИЙ ГОСУДАРСТВЕННЫЙ УНИВЕРСИТЕТ ИМЕНИ И.Н. УЛЬЯНОВА"</t>
  </si>
  <si>
    <t>1994-02-09</t>
  </si>
  <si>
    <t>85.22.1</t>
  </si>
  <si>
    <t>Образование высшее - бакалавриат</t>
  </si>
  <si>
    <t>55.90,56.29.2,58.11,72.19.9,85.21,18.11,18.12,18.14,21.10,33.12,35.14,41.20,42.99,43.2,43.21,43.3,43.31,43.34,43.39,43.99,43.99.5,43.99.7,43.99.9,45.20,49.3,49.4,52.29,53.10,53.20.1,55.20,55.90,56.29,58.11,60.10,60.20,61.10.1,62.09,63.11.1,64.99.11,68.31.1,68.31.2,68.31.3,68.31.4,70.22,71.1,71.12.5,71.12.6,71.20,72.19,72.20,78.10,79.11,82.99,85.12,85.13,85.14,85.21,85.22,85.42.1,85.42.9,86.90.4,90.0,90.04,91.01,91.02,91.03,93.19,93.29,95.11,95.12,96.04</t>
  </si>
  <si>
    <t>АЛЕКСАНДРОВ АНДРЕЙ ЮРЬЕВИЧ</t>
  </si>
  <si>
    <t>РЕКТОР</t>
  </si>
  <si>
    <t>428015,  ЧУВАШСКАЯ РЕСПУБЛИКА - ЧУВАШИЯ, Г. ЧЕБОКСАРЫ, ПР-КТ МОСКОВСКИЙ, Д.15</t>
  </si>
  <si>
    <t>+78352452027,+79278518762,+78352580036,+78352583012,+78353120436,+78353323214,+78353222849,+78352582012,+79176798044,+78532583012,+78352523012,+79033582704,+78352451294,+78352583912,+78352423036,+75838042059,+74526912055,+78532503812,+78352450141,+78352453967,+78352584619,+78422328521,+78352584574,+78352363424,+78352587544,+78352580947,+78352585136,+78352584774,+78352587445,+78352584874,+78352585955,+78835584574,+78352452339,+79674703424,+78352581840,+78353122075,+78352581146,+79033799910,+78353221879,+78353653557,+78353422454,+78353951221,+78353522044,+78354221465,+78432962728,+78353721363,+78354121149,+78353821116,+78363271775,+78354833232</t>
  </si>
  <si>
    <t>chuvsu.ru,www.chuvsu.ru/phones/sanatorij-profilaktorij/,oecomia-et-jus.ru,acta-medica-eurasica.ru</t>
  </si>
  <si>
    <t>lena2179@bk.ru,sanprof@chuvsu.ru,gordeev59@inbox.ru,office@chuvsu.ru,vladimir1569@mail.ru,gordeev58@inbox.ru,cnmo_chgu@mail.ru,cdo_chuvsu@bk.ru,gordeev59@#inbox.ru,cnit@chuvsu.ru,gordeev50@inbox.ru,6522000@gmail.com,innov_chuvsu@mail.ru,gordeev59@infobox.ru,ordeev59@inbox.ru,valentina.juravleva@yandex.ru,autochgu2017@yandex.ru,y-ivanova@alkona.it,gordeev59@mail.ru,gordeev59@ibbox.ru,Есопupr@chuvsu.rll,gordeeb59@inbox.ru,kazchgu@telebit.ru,ipkard@medinform.su,inbox59@mail.ru,pprogchgu@mail.ru,cnit@chuvsu.ru,,gordeev59@inbox.ru,,nich@chuvsu.ru,,kapranov@chuvsu.ru,,fer@mail.ru,info@yandex.ru,gordev59@inbox.ru,gordeev@inbox.ru,cdo_chuvso@bk.ru,kapranov@chuvsu.ru,rektor@chuvsu.ru,_alat_chuvsu@mail.ru,sergeev-dv@mail.ru,oper@chuvsu.ru,espp21@mail.ru,evdm@yandex.ru</t>
  </si>
  <si>
    <t>ТСЖ "БРИГ"</t>
  </si>
  <si>
    <t>ТОВАРИЩЕСТВО СОБСТВЕННИКОВ ЖИЛЬЯ "БРИГ"</t>
  </si>
  <si>
    <t>68.20,81.22,81.29.9</t>
  </si>
  <si>
    <t>ЧАЙЦЫНА ОКСАНА ВАСИЛЬЕВНА</t>
  </si>
  <si>
    <t>428005,  ЧУВАШСКАЯ РЕСПУБЛИКА - ЧУВАШИЯ, Г. ЧЕБОКСАРЫ, УЛ. ГУЗОВСКОГО, Д.13, К.А</t>
  </si>
  <si>
    <t>+79061307225,+79026613727,+78352484488</t>
  </si>
  <si>
    <t>УФК ПО ЧУВАШСКОЙ РЕСПУБЛИКЕ</t>
  </si>
  <si>
    <t>УПРАВЛЕНИЕ ФЕДЕРАЛЬНОГО КАЗНАЧЕЙСТВА ПО ЧУВАШСКОЙ РЕСПУБЛИКЕ</t>
  </si>
  <si>
    <t>1993-08-27</t>
  </si>
  <si>
    <t>АНАНЬЕВА ОЛИМПИАДА НИКОЛАЕВНА</t>
  </si>
  <si>
    <t>428018,  ЧУВАШСКАЯ РЕСПУБЛИКА - ЧУВАШИЯ, Г. ЧЕБОКСАРЫ, УЛ. НИЖЕГОРОДСКАЯ, Д.2, К.1</t>
  </si>
  <si>
    <t>+78352392101,+78352583105,+78352392290,+78352392250,+78352621215,+78352392173,+78352392274,+78352392102,+78352392273,+78352621046,+78352392170</t>
  </si>
  <si>
    <t>kasna@cap.ru,ufk15@roskazna.ru</t>
  </si>
  <si>
    <t>БУ "ЧУВАШСКИЙ НАЦИОНАЛЬНЫЙ МУЗЕЙ" МИНКУЛЬТУРЫ ЧУВАШИИ</t>
  </si>
  <si>
    <t>БЮДЖЕТНОЕ УЧРЕЖДЕНИЕ ЧУВАШСКОЙ РЕСПУБЛИКИ "ЧУВАШСКИЙ НАЦИОНАЛЬНЫЙ МУЗЕЙ" МИНИСТЕРСТВА КУЛЬТУРЫ, ПО ДЕЛАМ НАЦИОНАЛЬНОСТЕЙ И АРХИВНОГО ДЕЛА ЧУВАШСКОЙ РЕСПУБЛИКИ</t>
  </si>
  <si>
    <t>1997-04-23</t>
  </si>
  <si>
    <t>91.02</t>
  </si>
  <si>
    <t>Деятельность музеев</t>
  </si>
  <si>
    <t>18.12,18.20,32.99.8,47.11,47.78.3,47.89,47.91,58.14,58.19,59.11.9,59.13,59.14,59.20.1,63.11.1,63.99.1,68.20,72.20,74.20,79.11,79.12,79.90,79.90.1,79.90.2,79.90.22,79.90.3,82.19,82.30,85.41.2,85.41.9,90.01,90.03,90.04,90.04.3,93.29.3,93.29.9,96.09</t>
  </si>
  <si>
    <t>МЕНЬШИКОВА ИРИНА ПЕТРОВНА</t>
  </si>
  <si>
    <t>428032,  ЧУВАШСКАЯ РЕСПУБЛИКА - ЧУВАШИЯ, Г. ЧЕБОКСАРЫ, ПЛ. КРАСНАЯ, Д.5/2</t>
  </si>
  <si>
    <t>+78352624124,+78352622278,+79279993404</t>
  </si>
  <si>
    <t>www.chnmuseum.ru,chnmuseum.ru</t>
  </si>
  <si>
    <t>chnm@rchuv.ru,chnm10@mail.ru,chnm@cap.ru,chnm1@cap.ru,chnm1@mail.ru,chnm3@cap.ru,chnm@chebnet.com</t>
  </si>
  <si>
    <t>УМВД РОССИИ ПО Г. ЧЕБОКСАРЫ</t>
  </si>
  <si>
    <t>УПРАВЛЕНИЕ МИНИСТЕРСТВА ВНУТРЕННИХ ДЕЛ РОССИЙСКОЙ ФЕДЕРАЦИИ ПО ГОРОДУ ЧЕБОКСАРЫ</t>
  </si>
  <si>
    <t>1998-01-21</t>
  </si>
  <si>
    <t>ТЕМНОВ АЛЕКСАНДР АЛЕКСАНДРОВИЧ</t>
  </si>
  <si>
    <t>428003,  ЧУВАШСКАЯ РЕСПУБЛИКА - ЧУВАШИЯ, Г ЧЕБОКСАРЫ, УЛ ШЕВЧЕНКО, Д. 23</t>
  </si>
  <si>
    <t>+78352243838,+78352624309,+78352242023,+78352242034,+78352242019,+78352233838,+78352242041,+78352620274,+78352624303,+78352624308,+78352625051,+78352242045,+78352242037,+78252624309,+78352692265</t>
  </si>
  <si>
    <t>rjhgjhfnbd123@mail.ru,rjhgjhfnbd123@mai.ru,kjhgjhfnbd123@mail.ru,jhgjhfnbd123@mail.ru,rjhgjfhfnbd123@mail.ru,rjhgjhjnbd123@mail.ru,rjhgjhfnbd@mail.ru,rohgjhfnbd123@mail.ru</t>
  </si>
  <si>
    <t>ПРОКУРАТУРА ЧУВАШСКОЙ РЕСПУБЛИКИ</t>
  </si>
  <si>
    <t>1992-01-17</t>
  </si>
  <si>
    <t>84.23.33</t>
  </si>
  <si>
    <t>Деятельность прокуратур городов и районов</t>
  </si>
  <si>
    <t>84.23.32,84.23.32</t>
  </si>
  <si>
    <t>ГИМАТОВ ЭДУАРД РАФИКОВИЧ</t>
  </si>
  <si>
    <t>ПРОКУРОР ЧУВАШСКОЙ РЕСПУБЛИКИ</t>
  </si>
  <si>
    <t>428000,  ЧУВАШСКАЯ РЕСПУБЛИКА - ЧУВАШИЯ, Г. ЧЕБОКСАРЫ, УЛ. К.МАРКСА, Д.48</t>
  </si>
  <si>
    <t>+78352620158,+78352392053,+78352392072,+78352620547,+78352625383,+78352392044,+78352392027,+78352620549,+78352620159,+78382625383,+78352392070,+78352392077,+78352392092,+78362392053,+78352392059,+78352623457,+78352623103,+78352392074,+78352392140,+78352392049,+78352392035,+78352392090,+78352392041,+78352392040,+78352392004,+78352392065,+78352625386,+78352392030,+78352392075,+78352623583,+78353821265,+78353821263,+78352389635</t>
  </si>
  <si>
    <t>prok10-1@21.mailop.ru,prok10@21.mailop.ru,prok11@21.mailop.ru,prok10-1@21.mailop.ru.ru,prok110-1@21.mailop.ru,prok10-1@cap.ru,prokur@cap.ru,proc10@cap.ru,prok10@cap.ru,prokuror@cbx.ru,proruror@cbx.ru,oleemp@rambler.ru</t>
  </si>
  <si>
    <t>АДМИНИСТРАЦИЯ Г. ЧЕБОКСАРЫ</t>
  </si>
  <si>
    <t>АДМИНИСТРАЦИЯ ГОРОДА ЧЕБОКСАРЫ ЧУВАШСКОЙ РЕСПУБЛИКИ</t>
  </si>
  <si>
    <t>2002-02-15</t>
  </si>
  <si>
    <t>84.11.35</t>
  </si>
  <si>
    <t>Деятельность органов местного самоуправления городских округов</t>
  </si>
  <si>
    <t>ТРОФИМОВ СТАНИСЛАВ ОЛЕГОВИЧ</t>
  </si>
  <si>
    <t>ГЛАВА ГОРОДА ЧЕБОКСАРЫ</t>
  </si>
  <si>
    <t>428032,  ЧУВАШСКАЯ РЕСПУБЛИКА - ЧУВАШИЯ, Г. ЧЕБОКСАРЫ, УЛ. К.МАРКСА, Д.36</t>
  </si>
  <si>
    <t>+78352235007,+78352235000,+78352628537,+78352620728,+78352624050,+78352235051,+78352623576,+78352235031,+78352235050,+78352235061,+78352235070,+78352235136,+78352632494</t>
  </si>
  <si>
    <t>чебоксары.рф</t>
  </si>
  <si>
    <t>gcheb_buh1@cap.ru,gcheb_buh@cap.ru,gcheb_rukapp@cap.ru,glava@gcheb.cap.ru,gcheb@cap.ru,rukapp@gcheb.cap.ru,hoz@gcheb.cap.ru</t>
  </si>
  <si>
    <t>МКУ "УПРАВЛЕНИЕ ЖКХ И БЛАГОУСТРОЙСТВА" Г.ЧЕБОКСАРЫ</t>
  </si>
  <si>
    <t>МУНИЦИПАЛЬНОЕ КАЗЕННОЕ УЧРЕЖДЕНИЕ "УПРАВЛЕНИЕ ЖИЛИЩНО-КОММУНАЛЬНОГО ХОЗЯЙСТВА И БЛАГОУСТРОЙСТВА" ГОРОДА ЧЕБОКСАРЫ</t>
  </si>
  <si>
    <t>81.29.9</t>
  </si>
  <si>
    <t>Деятельность по чистке и уборке прочая, не включенная в другие группировки</t>
  </si>
  <si>
    <t>37.00,52.21.22,52.21.23,74.90.5</t>
  </si>
  <si>
    <t>ЛЬВОВ КОНСТАНТИН АНАТОЛЬЕВИЧ</t>
  </si>
  <si>
    <t>428032,  ЧУВАШСКАЯ РЕСПУБЛИКА - ЧУВАШИЯ, Г. ЧЕБОКСАРЫ, Б-Р КУПЦА ЕФРЕМОВА, Д.16</t>
  </si>
  <si>
    <t>+78352620139,+78352622900,+78352234260,+79176564406,+77352234260,+78352234258,+78352234259,+78352234279</t>
  </si>
  <si>
    <t>gcheb_gkhb6@cap.ru,cheb_gkhb6@cap.ru,gcheb_gkhb20@cap.ru,gkhb@gcheb.cap.ru,gkhb_urist@gcheb.ru,gkhb_urist@gched.cap.ru,khb_urist@gcheb.cap.ru,gkhb_urist@ghceb.cap.ru,gkhb_economy@gcheb.cap.ru,gkhb_urist@gcheb.cap.ru</t>
  </si>
  <si>
    <t>ГОСТЕХНАДЗОР ЧУВАШИИ</t>
  </si>
  <si>
    <t>ГОСУДАРСТВЕННАЯ ИНСПЕКЦИЯ ПО НАДЗОРУ ЗА ТЕХНИЧЕСКИМ СОСТОЯНИЕМ САМОХОДНЫХ МАШИН И ДРУГИХ ВИДОВ ТЕХНИКИ ЧУВАШСКОЙ РЕСПУБЛИКИ</t>
  </si>
  <si>
    <t>2006-06-28</t>
  </si>
  <si>
    <t>84.11.22</t>
  </si>
  <si>
    <t>Деятельность органов государственной власти субъектов Российской Федерации по осуществлению своих полномочий в городах и районах</t>
  </si>
  <si>
    <t>84.11.21,84.11.21</t>
  </si>
  <si>
    <t>ДИМИТРИЕВ ВЛАДИМИР ПАВЛОВИЧ</t>
  </si>
  <si>
    <t>НАЧАЛЬНИК ИНСПЕКЦИИ</t>
  </si>
  <si>
    <t>428000,  ЧУВАШСКАЯ РЕСПУБЛИКА - ЧУВАШИЯ, Г ЧЕБОКСАРЫ, УЛ ЛЕНИНГРАДСКАЯ, Д. 33</t>
  </si>
  <si>
    <t>+78352625080,+78352620890,+78352642248,+78352457243,+78352623378,+78352642127,+78352428000,+78352622127,+78352690890</t>
  </si>
  <si>
    <t>gtn5@cap.ru,gtn4@cap.ru,gtn2@mail.ru</t>
  </si>
  <si>
    <t>СУ СК РОССИИ ПО ЧУВАШСКОЙ РЕСПУБЛИКЕ</t>
  </si>
  <si>
    <t>СЛЕДСТВЕННОЕ УПРАВЛЕНИЕ СЛЕДСТВЕННОГО КОМИТЕТА РОССИЙСКОЙ ФЕДЕРАЦИИ ПО ЧУВАШСКОЙ РЕСПУБЛИКЕ</t>
  </si>
  <si>
    <t>2011-01-15</t>
  </si>
  <si>
    <t>84.23.52</t>
  </si>
  <si>
    <t>Деятельность Главного военного следственного управления, главных следственных управлений и следственных управлений Следственного комитета Российской Федерации по субъектам Российской Федерации (в том числе подразделений указанных управлений по административным округам) и приравненных к ним специализированных (в том числе военных) следственных управлений и следственных отделов Следственного комитета Российской Федерации</t>
  </si>
  <si>
    <t>84.2</t>
  </si>
  <si>
    <t>ПОЛТИНИН АЛЕКСАНДР ВЛАДИМИРОВИЧ</t>
  </si>
  <si>
    <t>428003, ЧУВАШСКАЯ РЕСПУБЛИКА - ЧУВАШИЯ, Г.О. ГОРОД ЧЕБОКСАРЫ, Г. ЧЕБОКСАРЫ, Б-Р ПРЕЗИДЕНТСКИЙ, Д. 6</t>
  </si>
  <si>
    <t>+78352620085,+78352621061,+78352628989,+78252620085,+78352620429,+78352450681,+78352450739,+78352580760,+78353580760</t>
  </si>
  <si>
    <t>omto@21.sledcom.ru,su-karpov@mail.ru,su-ksarpov@mail.ru</t>
  </si>
  <si>
    <t>АО "ЧУВАШХЛЕБОПРОДУКТ"</t>
  </si>
  <si>
    <t>АКЦИОНЕРНОЕ ОБЩЕСТВО "ЧУВАШХЛЕБОПРОДУКТ"</t>
  </si>
  <si>
    <t>2011-09-01</t>
  </si>
  <si>
    <t>10.61.2</t>
  </si>
  <si>
    <t>Производство муки из зерновых культур</t>
  </si>
  <si>
    <t>10.61.3,10.71.1,46.21,47.11,49.41.2,52.10.3,10.61,10.61.2,10.71,10.71.1,10.72,10.8,10.84,10.9,11.07,46.1,46.2,46.3,46.75.1,46.9,47.1,47.11,47.2,47.9,47.91,47.91.2,49.41,52.10,52.21,56.10,56.29,64.92,64.99.3,68.20.2,71.1,71.12.5,71.12.6,74.20,74.30,77.3,77.39,82.92,96.04</t>
  </si>
  <si>
    <t>ЧУРБАНОВ ВЛАДИМИР ВАСИЛЬЕВИЧ</t>
  </si>
  <si>
    <t>428022,  ЧУВАШСКАЯ РЕСПУБЛИКА - ЧУВАШИЯ, Г ЧЕБОКСАРЫ, ПР-Д СОЛЯНОЕ, Д. 1А</t>
  </si>
  <si>
    <t>+78352634333,+78352630877,+79373944018,+78835634333,+78352635294,+78352632225,+78352213464,+78352635393,+78353347571,+78352634433,+78352631295,+78352633649,+78352662151,+78352631034,+78352634263,+78352630435,+78352631094,+78352644333,+78835263433,+78353725359,+78354421988,+76310340000,+78353347328,+79063857464,+79196501470,+78352633343,+79063805745,+78352390877,+78835263087,+78353128166,+78352664333,+78352635383,+78353424481,+78353347813,+78352635108,+78353725618,+78353120462,+78354421842,+78353650418,+78352639452,+78353424507,+78352665294,+78353123955</t>
  </si>
  <si>
    <t>www.e-disclosure.ru/portal/company.aspx?id=30236</t>
  </si>
  <si>
    <t>ot.optp_chhp@mail.ru,elevator@chhp.ru,ot.optp_chpp@mail.ru,ur.otdel_chhp@mail.ru,etp_chhp@mail.ru,ot.optp_chhp@mail.rг,ot.optp_chhp@mаil.ru,admin@chhp.ru,chhp@cbx.ru,ot_chhp@mail.ru,zayvki223_chhp@mail.ru,kelev1@rambler.ru,vur_hleb@cbx.ru,urm_elevator@cbx.ru,ot.optp)chhp@mail.ru,turlem_hpp@mail.ru,kelev1@mail.ru,elevator_21@mail.ru,raz@rostorg.info,op.optp_chhp@mail.ru,ot.optp@mail.ru,chhp@cbx.ru,,fku.kp8.ufsin@mail.ru,ur.otdel_chhp@mail.ru.,elevator@mail.ru,market_71@bk.ru.,elevatorteh@mail.ru,elevatorteh@mail.ru.,еlevatorteh@mail.ru,market_71@bk.ru,feoelevator@mail.ru,eand1@rambler.ru</t>
  </si>
  <si>
    <t>343</t>
  </si>
  <si>
    <t>ГУП ЧУВАШСКОЙ РЕСПУБЛИКИ "ФАРМАЦИЯ" МИНЗДРАВА ЧУВАШИИ</t>
  </si>
  <si>
    <t>ГОСУДАРСТВЕННОЕ УНИТАРНОЕ ПРЕДПРИЯТИЕ ЧУВАШСКОЙ РЕСПУБЛИКИ "ФАРМАЦИЯ" МИНИСТЕРСТВА ЗДРАВООХРАНЕНИЯ ЧУВАШСКОЙ РЕСПУБЛИКИ</t>
  </si>
  <si>
    <t>1994-05-18</t>
  </si>
  <si>
    <t>47.73</t>
  </si>
  <si>
    <t>Торговля розничная лекарственными средствами в специализированных магазинах (аптеках)</t>
  </si>
  <si>
    <t>46.18.1,46.46,47.74,47.75,47.78.21,49.41.1,52.10,52.29,56.30,77.29.9,86.21,91.01,91.02</t>
  </si>
  <si>
    <t>СТЕПАНОВ ИГОРЬ ВЛАДИМИРОВИЧ</t>
  </si>
  <si>
    <t>428018,  ЧУВАШСКАЯ РЕСПУБЛИКА - ЧУВАШИЯ, Г. ЧЕБОКСАРЫ, УЛ. БОНДАРЕВА, Д.13</t>
  </si>
  <si>
    <t>+78352587849,+78352580031,+78352580045,+79278599191,+78352580051,+78352580043,+79877351740,+79276655149,+79030651969,+78352581700,+79674704891,+79196628487,+78352289808,+78352289968,+78352289980,+79063891589,+78352580118,+79278618989,+79674704954,+79196569758,+79877350488,+78352289966,+77835580045,+79053445078,+79278521231,+79033223773,+79278585614,+79030652252,+78352580009,+78352625449,+78352580739,+78352289016,+78352450058,+78352451624,+78352227141,+78352589966,+78835223541,+79876698052,+78352289975,+78352580011,+78352584500,+78352580203,+78352520031,+78353952453,+78345580031,+78354221132,+78353622415,+78354021798,+78353349513,+78353426696</t>
  </si>
  <si>
    <t>www.chuv-farmaciya.med.cap.ru/</t>
  </si>
  <si>
    <t>kancfarm@yandex.ru,kdrfarm@yandex.ru,farm21@farm21.org,zam@farm21.org,hoz2@farm21.org,zam1@farm21.org,opt2@farm21.org,rozn2@farm21.org,prof1@farm21.org,fin4@farm21.org,olp1@farm21.org,asu1@farm21.org,o1p1@farm21.org,baza1@farm21.org,asu5@farm21.org,asu3@farm21.org,rozn5@farm21.org,stepan.8421@yandex.ru,buh15@farm21.org,opt1@farm21.org,tbfarm@yandex.ru,opt3@farm21.org,profit-mark@mail.ru,zam2baz@farm21.org,fin1@farm21.org,pozn1@farm21.org,pravo1@farm21.org,asu6@farm21.org,hoz1@farm21.org,zakup7@yandex.ru,rozn1@farm21.org,farmmost@yandex.ru,farmbasa@mail.ru,asu2@farm21.org,markuprf@yandex.ru,sancho37@mail.ru,fin3@farm21.ru,sthfarm@ya.ru,arm21@farm21.org,opt8@farm21.org,farm21@ferm21.org,farm21@farm21.org.ru,farm21@farm21.orq,farmacea8@yandex.ru,alatar136@mail.ru,sekretab@yandex.ru,kontrolbaza@yandex.ru,gupfarm21@yandex.ru,disaster@buh.ru,office@aptekaf.ru</t>
  </si>
  <si>
    <t>АО "СЗ "ТУС"</t>
  </si>
  <si>
    <t>АКЦИОНЕРНОЕ ОБЩЕСТВО "СПЕЦИАЛИЗИРОВАННЫЙ ЗАСТРОЙЩИК "ТУС"</t>
  </si>
  <si>
    <t>2001-07-12</t>
  </si>
  <si>
    <t>23.32</t>
  </si>
  <si>
    <t>Производство кирпича, черепицы и прочих строительных изделий из обожженной глины</t>
  </si>
  <si>
    <t>41.20.1,46.73.6,68.20.29,71.12.2,77.32,08.1,08.11,08.11,08.11.2,08.12,23.20,23.31,23.32,31.01,41.20,42.11,46.73,47.52,49.41,52.24,68.10,68.10.1,68.31</t>
  </si>
  <si>
    <t>УГАСЛОВ НИКОЛАЙ ФЕДОРОВИЧ</t>
  </si>
  <si>
    <t>428034,  ЧУВАШСКАЯ РЕСПУБЛИКА - ЧУВАШИЯ, Г ЧЕБОКСАРЫ, УЛ МИЧМАНА ПАВЛОВА, Д. 39, ПОМЕЩ. 7</t>
  </si>
  <si>
    <t>+79871205209,+78352434506,+78352434556,+78352434504,+78353022220,+78352324575,+78352434493,+78352454506,+78352694820</t>
  </si>
  <si>
    <t>sktus.ru</t>
  </si>
  <si>
    <t>info@sktus.ru,matveeva-jv@sktus.ru,emelyanova.aleksandra947@mail.ru,info@ktus.ru,emelyanova-am@sktus.ru,denis-niko-96@mail.ru,-emelyanova.aleksandra947@mail.ru</t>
  </si>
  <si>
    <t>АО "ВУРНАРСКИЙ МЯСОКОМБИНАТ"</t>
  </si>
  <si>
    <t>АКЦИОНЕРНОЕ ОБЩЕСТВО "ВУРНАРСКИЙ МЯСОКОМБИНАТ"</t>
  </si>
  <si>
    <t>1996-07-05</t>
  </si>
  <si>
    <t>01.11.1,01.19.1,01.41.12,01.46.11,10.11.1,46.90,56.29.2,68.20.29,01.50,01.6,01.70,10.1,10.11,10.11.1,10.11.2,10.11.3,10.11.4,10.11.5,10.11.6,10.13.1,10.13.2,10.13.3,10.13.4,10.13.5,10.13.6,10.13.7,10.41.1,10.71,10.91.1,46.2,46.3,46.7,47.22,47.24,47.25,47.26,56.29,68.20.2,77.39.1,77.39.27</t>
  </si>
  <si>
    <t>Аливанов Николай Владимирович</t>
  </si>
  <si>
    <t>429220,  ЧУВАШСКАЯ РЕСПУБЛИКА - ЧУВАШИЯ, Р-Н ВУРНАРСКИЙ, ПГТ ВУРНАРЫ, УЛ. К.МАРКСА, Д.54</t>
  </si>
  <si>
    <t>+78353725164,+78352622539,+78353721164,+78353725539,+78353725162,+73537622539</t>
  </si>
  <si>
    <t>www.e-disclosure.ru/portal/company.aspx?id=11441</t>
  </si>
  <si>
    <t>vur_vmk21@mail.ru</t>
  </si>
  <si>
    <t>266</t>
  </si>
  <si>
    <t>ООО "ХЕВЕЛ"</t>
  </si>
  <si>
    <t>ОБЩЕСТВО С ОГРАНИЧЕННОЙ ОТВЕТСТВЕННОСТЬЮ "ХЕВЕЛ"</t>
  </si>
  <si>
    <t>2009-06-26</t>
  </si>
  <si>
    <t>27.90.9</t>
  </si>
  <si>
    <t>Производство электрического оборудования прочего, не включенного в другие группировки</t>
  </si>
  <si>
    <t>20.11,23.11,23.12,26.11,32.12.1,38.32.51,41.2,41.20,43.21,46.73.5,46.75,46.9,52.10,52.10.21,52.10.22,52.10.9,71.2,71.20.8,77.11,77.3,77.39,77.39.29</t>
  </si>
  <si>
    <t>ЯИЧНИКОВ АНДРЕЙ АНАТОЛЬЕВИЧ</t>
  </si>
  <si>
    <t>429965,  ЧУВАШСКАЯ РЕСПУБЛИКА - ЧУВАШИЯ, Г НОВОЧЕБОКСАРСК, ПР-Д ШОРШЕЛЬСКИЙ, ВЛД. 12</t>
  </si>
  <si>
    <t>+74956623545,+74956623546,+78352765028,+78352765000,+79170765005,+79170765028,+79170782579,+74953632031,+74953636247,+79170781086,+78362765000,+74956623538,+74956623548,+78352749273,+79170781083,+78352765005</t>
  </si>
  <si>
    <t>www.hevelsolar.com</t>
  </si>
  <si>
    <t>info@hevelsolar.com,o.volkova@hevelsolar.com+78352765028</t>
  </si>
  <si>
    <t>ООО "СТАЛТА"</t>
  </si>
  <si>
    <t>ЗАВОД СТАЛЬНОЙ ТАРЫ ОБЩЕСТВО С ОГРАНИЧЕННОЙ ОТВЕТСТВЕННОСТЬЮ "СТАЛТА"</t>
  </si>
  <si>
    <t>2007-06-19</t>
  </si>
  <si>
    <t>25.91</t>
  </si>
  <si>
    <t>Производство металлических бочек и аналогичных емкостей</t>
  </si>
  <si>
    <t>25.29,25.61,25.62,25.9,25.92,46.9,49.41,52.10,52.21,52.24,68.2</t>
  </si>
  <si>
    <t>БРУСНИЦЫНА ОЛЬГА ВЯЧЕСЛАВОВНА</t>
  </si>
  <si>
    <t>428903,  ЧУВАШСКАЯ РЕСПУБЛИКА - ЧУВАШИЯ, Р-Н ЧЕБОКСАРСКИЙ, Д. СЯТРАКАСЫ (ЛАПСАРСКОГО С/П), УЛ. ПРИДОРОЖНАЯ, Д.5</t>
  </si>
  <si>
    <t>+78352230789,+79176556699,+79176797331,+78352230780,+78352230788,+78352507110,+79176500902,+79176230789,+73432299578,+78352230787,+78352507115</t>
  </si>
  <si>
    <t>stalta.ru</t>
  </si>
  <si>
    <t>bykovanv@stalta.ru,ovb@stalta.ru,12345@mail.ru,logist@stalta.ru,info@stalta.ru,sheiman_diana@mail.ru</t>
  </si>
  <si>
    <t>56</t>
  </si>
  <si>
    <t>ООО "ДЕВЕЛЕЙ"</t>
  </si>
  <si>
    <t>ОБЩЕСТВО С ОГРАНИЧЕННОЙ ОТВЕТСТВЕННОСТЬЮ "ДЕВЕЛЕЙ"</t>
  </si>
  <si>
    <t>2011-05-27</t>
  </si>
  <si>
    <t>10.84</t>
  </si>
  <si>
    <t>Производство приправ и пряностей</t>
  </si>
  <si>
    <t>46.90,10.84,68.20.2,68.31.12,68.31.22,68.31.32,68.31.42,70.22</t>
  </si>
  <si>
    <t>САДЫКОВ МИНРАФИК МИНХАЛИМОВИЧ</t>
  </si>
  <si>
    <t>428003,  ЧУВАШСКАЯ РЕСПУБЛИКА - ЧУВАШИЯ, Г ЧЕБОКСАРЫ, ПР-КТ ЛЕНИНА, Д. 7, ПОМЕЩ. 6</t>
  </si>
  <si>
    <t>+78352624482,+79373781024,+78353347870,+79176628590,+74999186285,+79373989990,+78353347881</t>
  </si>
  <si>
    <t>develey.ru</t>
  </si>
  <si>
    <t>info@develey.ru</t>
  </si>
  <si>
    <t>131</t>
  </si>
  <si>
    <t>ООО "ЧЛВЗ"</t>
  </si>
  <si>
    <t>ОБЩЕСТВО С ОГРАНИЧЕННОЙ ОТВЕТСТВЕННОСТЬЮ "ЧЕБОКСАРСКИЙ ЛИКЕРО-ВОДОЧНЫЙ ЗАВОД"</t>
  </si>
  <si>
    <t>2016-10-24</t>
  </si>
  <si>
    <t>11.01.1,11.01.2,11.01.3,11.01.4,46.34.21,47.25</t>
  </si>
  <si>
    <t>МЕШКОВ ОЛЕГ ВАДИМОВИЧ</t>
  </si>
  <si>
    <t>428018,  ЧУВАШСКАЯ РЕСПУБЛИКА - ЧУВАШИЯ, Г. ЧЕБОКСАРЫ, УЛ. КОНСТАНТИНА ИВАНОВА, Д. 63</t>
  </si>
  <si>
    <t>+78352584457,+78352580234,+78352583931,+78352580062,+78352448377,+79674702650</t>
  </si>
  <si>
    <t>158</t>
  </si>
  <si>
    <t>ЗАО "ЧЕБОКСАРСКОЕ ПРЕДПРИЯТИЕ "СЕСПЕЛЬ"</t>
  </si>
  <si>
    <t>ЗАКРЫТОЕ АКЦИОНЕРНОЕ ОБЩЕСТВО "ЧЕБОКСАРСКОЕ ПРЕДПРИЯТИЕ "СЕСПЕЛЬ"</t>
  </si>
  <si>
    <t>1991-12-04</t>
  </si>
  <si>
    <t>29.20.4</t>
  </si>
  <si>
    <t>Производство прицепов и полуприцепов</t>
  </si>
  <si>
    <t>46.90,24.20,24.51,24.52,24.53,24.54,25.11,25.29,25.50,25.61,25.62,25.73,25.91,25.94,25.99,27.11,27.90,28.12,28.13,28.14,28.15,28.22,28.29,28.30,28.30.7,28.41,28.49,28.92,29.20,29.31,29.32,32.99,33.11,33.12,33.14,33.20,41.20,43.99,45.1,45.20,45.3,49.3,49.4,52.10,52.21,52.29,62.09,63.11,64.99,68.10,68.20,71.20.1,71.20.3,71.20.9,72.19,77.11,77.39.11</t>
  </si>
  <si>
    <t>БАКШАЕВ ВЛАДИМИР АЛЕКСАНДРОВИЧ</t>
  </si>
  <si>
    <t>428021,  ЧУВАШСКАЯ РЕСПУБЛИКА - ЧУВАШИЯ, Г. ЧЕБОКСАРЫ, УЛ. ЛЕНИНГРАДСКАЯ, Д.36, ПОМЕЩЕНИЕ 5</t>
  </si>
  <si>
    <t>+78352225722,+78352625271,+78352622638,+78352224733,+73433890748,+78352624888,+78352628210,+78352628195,+79033586976,+73433394275,+73512599090,+73912969179,+74957191396,+73586976800,+74333942758,+70000000083,+78835222572,+72883526226,+73888352624,+78888835262,+75271883526,+72821088352,+76281958903,+79278668785</t>
  </si>
  <si>
    <t>www.sespel-auto.ru</t>
  </si>
  <si>
    <t>zaosespel@yandex.ru,info@sespel-auto.ru</t>
  </si>
  <si>
    <t>701</t>
  </si>
  <si>
    <t>ООО "ИЗВА"</t>
  </si>
  <si>
    <t>ОБЩЕСТВО С ОГРАНИЧЕННОЙ ОТВЕТСТВЕННОСТЬЮ "ИШЛЕЙСКИЙ ЗАВОД ВЫСОКОВОЛЬТНОЙ АППАРАТУРЫ"</t>
  </si>
  <si>
    <t>1998-09-21</t>
  </si>
  <si>
    <t>25.62,33.14,36.00.2,46.90,49.41.3,68.20.29,77.39.29,25.61,27.12,36.00,46.69.9,46.90,49.39.13,49.41,52.10,52.29,68.20,71.11.1,77.39</t>
  </si>
  <si>
    <t>НИКУЛИН РОМАН АЛЕКСАНДРОВИЧ</t>
  </si>
  <si>
    <t>429520,  ЧУВАШСКАЯ РЕСПУБЛИКА - ЧУВАШИЯ, Р-Н ЧЕБОКСАРСКИЙ, С. ИШЛЕИ, УЛ. СОВЕТСКАЯ, Д.53</t>
  </si>
  <si>
    <t>+78354025649,+78354025406,+78354025533,+78352395103,+79196666352,+78354025385,+78354025662,+78354025691,+78354025474,+78354025437,+76918835239,+75103883540,+72547488354,+70255338835,+74025437883,+75402566288,+73540254068,+78835402538,+75883540256,+74988354025,+78354025436,+78352507373,+79023284878,+78354025528</t>
  </si>
  <si>
    <t>www.izva.ru</t>
  </si>
  <si>
    <t>izva@cbx.ru,izva@izva.ru,izva@mail.ru,ok@izva.ru,urp.cheaz@bk.ru</t>
  </si>
  <si>
    <t>288</t>
  </si>
  <si>
    <t>АО "ВОДОКАНАЛ"</t>
  </si>
  <si>
    <t>АКЦИОНЕРНОЕ ОБЩЕСТВО "ВОДОКАНАЛ"</t>
  </si>
  <si>
    <t>2007-04-02</t>
  </si>
  <si>
    <t>37.00</t>
  </si>
  <si>
    <t>Сбор и обработка сточных вод</t>
  </si>
  <si>
    <t>36.00.2,36.00,37.00</t>
  </si>
  <si>
    <t>ВАСИЛЬЕВ ВЛАДИМИР СЕРГЕЕВИЧ</t>
  </si>
  <si>
    <t>428024,  ЧУВАШСКАЯ РЕСПУБЛИКА - ЧУВАШИЯ, Г. ЧЕБОКСАРЫ, ПР-Д МЯСОКОМБИНАТСКИЙ, Д.12</t>
  </si>
  <si>
    <t>+78352203534,+78352202770,+78352566787,+78352201921,+78352203150,+78352204407,+78352203112,+78352566560,+78352202841,+78352205961,+78352202691,+78352201305,+78352202903,+78352204800,+79196765044,+78352566179,+78352662179,+78352634050,+78352286787,+78352202901,+78352203622,+78352566539,+78352635151,+78352586787,+78352516539,+78352566360,+78352566050,+78352510360,+78352516523,+78352515639,+78352546539,+78352516514,+78352634786,+78352516593,+78352516532,+78352516530,+78352516531,+78352204414,+78352566959,+78352204411,+78352204412,+78352566330,+78352235279,+78352590901,+78352202529,+78352204413,+78352536539,+78352202714,+78352566949,+79053465172</t>
  </si>
  <si>
    <t>www.e-disclosure.ru/portal/company.aspx?id=11934,vodo-kanal.ru</t>
  </si>
  <si>
    <t>info.chvod@yandex.ru,grigorev.vodo-kanal@yandex.ru,nataliya.kalikina@mail.ru,laa21@mail.ru,miheev@chvod.ru,medvedev@chvod.ru,omtsch@mail.ru,anisim4100@rambler.ru,alekseeva.chvod@yandex.ru,vodokanal4e@mail.ru,parfenovea69@mail.ru,laa21@list.ru,eco_vodokanal@mail.ru,praheev@chvod.ru,dronik19@mail.ru,ist@chvod.ru,ilkv@chvod.ru,gmehchvod@yandex.ru,y.ae@yandex.ru,lodeyshikov@chvod.ru,info@chvod.ru,shchepel@gmail.com,kugatkin_vova@mail.ru,chvod4@yandex.ru,chvod1@yandex.ru,info.chvod4@yandex.ru,info.chvod@yandex.ru,,rostok@cbx.ru,chvod4@yandex.ru,,info@chvod.ru,,finance4@cap.ru,,innfo.chvod@yandex.ru,gcheb_zu7@inbox.ru,chvod@yandex.ru,cvod1@yandex.ru,cvod@yandex.ru,nfo.chvod@yandex.ru,info.chvod@eandex.ru,chvodl@yandex.ru,info/chvod@yandex.ru,1@mail.ru,info-ctvod@yandex.ru,info.chvod@yndex.ru,chvd1@yandex.ru,omts@chvod.ru,eco@chvod.ru,adm@chteplo.ru,chovd@yandex.ru,chvod4@eandexc.ru,chvold1@yandex.ru</t>
  </si>
  <si>
    <t>910</t>
  </si>
  <si>
    <t>ООО "КЕРАМИКА"</t>
  </si>
  <si>
    <t>ОБЩЕСТВО С ОГРАНИЧЕННОЙ ОТВЕТСТВЕННОСТЬЮ "КЕРАМИКА"</t>
  </si>
  <si>
    <t>2006-10-02</t>
  </si>
  <si>
    <t>23.42</t>
  </si>
  <si>
    <t>Производство керамических санитарно-технических изделий</t>
  </si>
  <si>
    <t>22.23.1,28.14,46.73.3,46.90,68.20.29,82.99,18.1,23.42,23.49,41.20,46.90,49.4,68.31.1,68.31.2,68.31.3,68.31.4,70.22,79.11,82.99</t>
  </si>
  <si>
    <t>ОБЩЕСТВО С ОГРАНИЧЕННОЙ ОТВЕТСТВЕННОСТЬЮ "УПРАВЛЯЮЩАЯ КОМПАНИЯ "АЛФИГРУПП"</t>
  </si>
  <si>
    <t>428020,  ЧУВАШСКАЯ РЕСПУБЛИКА - ЧУВАШИЯ, Г. ЧЕБОКСАРЫ, ПР-Д БАЗОВЫЙ, Д.21, К.А</t>
  </si>
  <si>
    <t>+78352227810,+78352200084,+78352227806,+78352754102,+78352730081,+78352397810,+74959896593,+74959563330,+74952340797,+78352731394,+74959896591</t>
  </si>
  <si>
    <t>www.santek.ru</t>
  </si>
  <si>
    <t>svetlana.ivanova@santek.ru,michail.novoselov@santek.ru</t>
  </si>
  <si>
    <t>АО "ДОРЭКС"</t>
  </si>
  <si>
    <t>АКЦИОНЕРНОЕ ОБЩЕСТВО "ДОРЭКС"</t>
  </si>
  <si>
    <t>2007-04-05</t>
  </si>
  <si>
    <t>81.29.2</t>
  </si>
  <si>
    <t>Подметание улиц и уборка снега</t>
  </si>
  <si>
    <t>45.20,45.32,52.2,52.21.22,86.90.9</t>
  </si>
  <si>
    <t>ТИМОФЕЕВ АЛЕКСАНДР ВАЛЕНТИНОВИЧ</t>
  </si>
  <si>
    <t>428022,  ЧУВАШСКАЯ РЕСПУБЛИКА - ЧУВАШИЯ, Г. ЧЕБОКСАРЫ, Ш. МАРПОСАДСКОЕ, Д.13, К.1</t>
  </si>
  <si>
    <t>+78352632849,+78352632570,+78352237865,+78352631641,+78352362570,+79379561213,+79370172991,+78356632570,+78352630857,+78325632570,+78352635270,+78352630874,+78352237863,+78352631452,+78352212390,+78352000000,+78312222222,+78352634290</t>
  </si>
  <si>
    <t>www.e-disclosure.ru/portal/company.aspx?id=13135</t>
  </si>
  <si>
    <t>doreks@bk.ru,doreks@mail.ru,doreks@dk.ru,doreks@bk.u,ivm-u@mail.ru</t>
  </si>
  <si>
    <t>333</t>
  </si>
  <si>
    <t>ООО НПП "ЭКРА"</t>
  </si>
  <si>
    <t>ОБЩЕСТВО С ОГРАНИЧЕННОЙ ОТВЕТСТВЕННОСТЬЮ НАУЧНО-ПРОИЗВОДСТВЕННОЕ ПРЕДПРИЯТИЕ "ЭКРА"</t>
  </si>
  <si>
    <t>1998-12-28</t>
  </si>
  <si>
    <t>33.20,46.90,18.1,18.2,25.61,25.62,26.11,26.20,26.5,27.12,45.1,45.20,46.90,47.19,49.4,52.24,58,62.01,62.02,64.99,68.10,68.10.1,68.20,71.1,71.12.5,71.12.6,71.2,71.20,72.1,72.19,73.11,73.20,74.20,74.30,77.11,77.12,82.92,85.23,85.42,85.42</t>
  </si>
  <si>
    <t>ДОНИ КОНСТАНТИН НИКОЛАЕВИЧ</t>
  </si>
  <si>
    <t>428020,  ЧУВАШСКАЯ РЕСПУБЛИКА - ЧУВАШИЯ, Г. ЧЕБОКСАРЫ, ПР-КТ И.Я.ЯКОВЛЕВА, Д. 3, ПОМЕЩ. 541</t>
  </si>
  <si>
    <t>+78352220110,+78352210110,+78352570035,+78352204361,+78352570076,+78352200368,+79176220130,+78352550368,+78352220125,+78352220130,+73432871897,+79176797245,+72201301071,+79176502127,+73832299679,+79196600859,+78352554361,+74956404056</t>
  </si>
  <si>
    <t>www.ekra.ru</t>
  </si>
  <si>
    <t>ekra@ekra.ru,,averkieva_iy@ekra.ru,otm@ekra.ru,ekra@ekra.ru,vv@ekra.ru,goloschukina_ea@ekra.ru,resume@ekra.ru,ekra@mail.ru,ivanov_na@ektra.ru,shepelev_vv@ekra.ru,kozlov_aa@ekra.ru,efremov_da@ekra.ru,null@null.ru</t>
  </si>
  <si>
    <t>ООО "ГОФМАКЛЕР"</t>
  </si>
  <si>
    <t>ОБЩЕСТВО С ОГРАНИЧЕННОЙ ОТВЕТСТВЕННОСТЬЮ "ГОФМАКЛЕР"</t>
  </si>
  <si>
    <t>1999-08-31</t>
  </si>
  <si>
    <t>66.12</t>
  </si>
  <si>
    <t>Деятельность брокерская по сделкам с ценными бумагами и товарами</t>
  </si>
  <si>
    <t>64.91,64.99,66.11,66.19,68.31.5,70.22</t>
  </si>
  <si>
    <t>АНДРЕЕВА ТАТЬЯНА НИКОЛАЕВНА</t>
  </si>
  <si>
    <t>428000,  ЧУВАШСКАЯ РЕСПУБЛИКА - ЧУВАШИЯ, Г ЧЕБОКСАРЫ, УЛ ЛЕНИНГРАДСКАЯ, ЗД. 36, ПОМЕЩ. 3</t>
  </si>
  <si>
    <t>+78352220220,+78352220221,+78352628282,+78352622285,+78352428000,+78352623095,+78352786603,+78352413861</t>
  </si>
  <si>
    <t>www.gofmakler.ru</t>
  </si>
  <si>
    <t>АО "СЗ "ИСКО-Ч"</t>
  </si>
  <si>
    <t>АКЦИОНЕРНОЕ ОБЩЕСТВО "СПЕЦИАЛИЗИРОВАННЫЙ ЗАСТРОЙЩИК "ИНВЕСТИЦИОННО-СТРОИТЕЛЬНАЯ КОМПАНИЯ - "ЧЕСТР-ГРУПП"</t>
  </si>
  <si>
    <t>1999-01-28</t>
  </si>
  <si>
    <t>41.20.1</t>
  </si>
  <si>
    <t>Жилищное строительство</t>
  </si>
  <si>
    <t>23.61.2,23.63,23.64,36.00.1,41.20.9,43.21,43.99.9,46.71.9,49.41.2,68.20.29,77.32,23.61,23.63,23.64,23.65,41.20,43.21,43.29,43.31,43.32,43.33,43.34,43.39,43.91,43.99,46.73,46.90,49.41,68.10,68.10.1,68.20,68.31,71.1,71.12.5,71.12.6,77.39.11</t>
  </si>
  <si>
    <t>ЛЕОНТЬЕВА АННА АНАТОЛЬЕВНА</t>
  </si>
  <si>
    <t>428003,  ЧУВАШСКАЯ РЕСПУБЛИКА - ЧУВАШИЯ, Г. ЧЕБОКСАРЫ, УЛ. ПЕТРОВА, Д. 6, ОФИС 3</t>
  </si>
  <si>
    <t>+78352667120,+78352560537,+78352670511,+78352562105,+78352222555,+78352214087,+78352562106,+78352667121,+78352308251,+78352527112,+78352530000,+78352535603,+78352564087,+78352212105</t>
  </si>
  <si>
    <t>disclosure.1prime.ru/portal/default.aspx?emid=2126003691,chestr-grupp.ru</t>
  </si>
  <si>
    <t>danilov@chestr-grupp.ru,office@chestr-grupp.ru,admin@chestr-grupp.ru</t>
  </si>
  <si>
    <t>145</t>
  </si>
  <si>
    <t>ГУП ЧУВАШСКОЙ РЕСПУБЛИКИ "ЧТУ" МИНТРАНСА ЧУВАШИИ</t>
  </si>
  <si>
    <t>ГОСУДАРСТВЕННОЕ УНИТАРНОЕ ПРЕДПРИЯТИЕ ЧУВАШСКОЙ РЕСПУБЛИКИ "ЧУВАШСКОЕ ТРАНСПОРТНОЕ УПРАВЛЕНИЕ" МИНИСТЕРСТВА ТРАНСПОРТА И ДОРОЖНОГО ХОЗЯЙСТВА ЧУВАШСКОЙ РЕСПУБЛИКИ</t>
  </si>
  <si>
    <t>2000-12-18</t>
  </si>
  <si>
    <t>46.77,52.21.29,49.31,49.31.22,49.39.1,49.39.3,49.41</t>
  </si>
  <si>
    <t>МОРЕПЛАВЦЕВ ЕВГЕНИЙ ЮРЬЕВИЧ</t>
  </si>
  <si>
    <t>428003,  ЧУВАШСКАЯ РЕСПУБЛИКА - ЧУВАШИЯ, Г. ЧЕБОКСАРЫ, УЛ. ЭНГЕЛЬСА, Д.27</t>
  </si>
  <si>
    <t>+78352563761,+78352550858,+74951375666,+78352550859,+79033580928,+78352562448,+78352550038,+78352212761,+78352213761,+79033584438,+79523105012,+78352212448,+78752550858,+78352550900,+78352550558,+78352555664,+78352550818</t>
  </si>
  <si>
    <t>чту21.рф</t>
  </si>
  <si>
    <t>chtu@rchuv.ru,contract_chtu@rchuv.ru,chtroll@chebnet.com,omts.chtu@yandex.ru,1@atol.ru,chtrol@chebnet.com,сhtroll@chebnet.com,ctroll@chebnet.com,chtroll@chebnrt.com,chtroll@cebnet.com,chtoll@chebnet.com,chtroii@chebnet.com,chtrol@chbnet.com,chtroll@chebnet.ru</t>
  </si>
  <si>
    <t>ООО "АВТОРЕГИОН"</t>
  </si>
  <si>
    <t>ОБЩЕСТВО С ОГРАНИЧЕННОЙ ОТВЕТСТВЕННОСТЬЮ "АВТОРЕГИОН"</t>
  </si>
  <si>
    <t>2004-12-27</t>
  </si>
  <si>
    <t>45.11.2</t>
  </si>
  <si>
    <t>Торговля розничная легковыми автомобилями и легкими автотранспортными средствами в специализированных магазинах</t>
  </si>
  <si>
    <t>41.20,42.99,45.11,45.11.1,45.11.3,45.11.31,45.11.39,45.11.4,45.11.41,45.11.49,45.19,45.19.1,45.19.2,45.19.3,45.19.31,45.19.39,45.19.4,45.19.41,45.19.49,45.20,45.20.1,45.20.2,45.31.1,45.32,45.40,45.40.1,45.40.2,45.40.3,45.40.5,46.90,47.24,47.25.2,47.29,47.30,47.91.2</t>
  </si>
  <si>
    <t>ОБЩЕСТВО С ОГРАНИЧЕННОЙ ОТВЕТСТВЕННОСТЬЮ "АЛЬЯНС-АВТО"</t>
  </si>
  <si>
    <t>428903,  ЧУВАШСКАЯ РЕСПУБЛИКА - ЧУВАШИЯ, Г. ЧЕБОКСАРЫ, Ш. КАНАШСКОЕ, Д. 7, ПОМЕЩ. 4</t>
  </si>
  <si>
    <t>+79176604957,+78352321777,+79278492636,+79276691200,+79196503010,+78352321110,+79877350822,+78352367007,+78362451197</t>
  </si>
  <si>
    <t>d.egorov@alyans-auto.ru,info@info-avtoregion.ru,aleksandr.lushnikov@lada-avtoregion.ru,a.ivanov@alyans-auto.ru,info@lada-avtoregion.ru,corp@alyans-auto.ru,service@lada-avtoregion.ru,anton.kim@lada-avtoregion.ru,a.ivanov@almotors.ru,s.holimenko@lada-avtoregion.ru,rodionova@avtoregion21.ru,mail@avtoregion21.ru,a.obrubov@avtoregion21.ru,o.leontyeva@avtoregion21.ru</t>
  </si>
  <si>
    <t>57</t>
  </si>
  <si>
    <t>ОАО "ПТИЦЕФАБРИКА "МОРГАУШСКАЯ"</t>
  </si>
  <si>
    <t>ОТКРЫТОЕ АКЦИОНЕРНОЕ ОБЩЕСТВО "ПТИЦЕФАБРИКА "МОРГАУШСКАЯ"</t>
  </si>
  <si>
    <t>2009-12-23</t>
  </si>
  <si>
    <t>01.47.2</t>
  </si>
  <si>
    <t>Производство яиц сельскохозяйственной птицы</t>
  </si>
  <si>
    <t>10.12.2,10.12.4,10.89.9,46.90,56.29.2,01.11,01.13,01.25,01.30,01.47.2,01.49,01.50,10.13,46.21,46.32,46.32.3,46.38,46.39,47.22,47.24,47.25,47.29,47.71,49.4,56.10,56.10.1,56.10.3,86.90</t>
  </si>
  <si>
    <t>АЛЕКСЕЕВ ЮРИЙ НИКОЛАЕВИЧ</t>
  </si>
  <si>
    <t>429541,  ЧУВАШСКАЯ РЕСПУБЛИКА - ЧУВАШИЯ, Р-Н МОРГАУШСКИЙ, Д. КОРАККАСЫ, УЛ. НОВАЯ, Д.66</t>
  </si>
  <si>
    <t>+78354121393,+78354165303,+78354165248,+79061361357,+79053431590,+79196626657,+79875782448,+79196526657</t>
  </si>
  <si>
    <t>www.e-disclosure.ru/portal/company.aspx?id=25235,ptf21.ru</t>
  </si>
  <si>
    <t>info@ptf21.ru,morgau-ptits@cbx.ru</t>
  </si>
  <si>
    <t>ООО "ВОДДОРСТРОЙ"</t>
  </si>
  <si>
    <t>ОБЩЕСТВО С ОГРАНИЧЕННОЙ ОТВЕТСТВЕННОСТЬЮ "ВОДДОРСТРОЙ"</t>
  </si>
  <si>
    <t>1999-03-15</t>
  </si>
  <si>
    <t>42.11</t>
  </si>
  <si>
    <t>Строительство автомобильных дорог и автомагистралей</t>
  </si>
  <si>
    <t>01.1,01.11,01.11.1,01.11.2,01.13.1,01.13.3,01.19.1,01.2,01.4,01.41,01.42,01.46,01.5,01.61,23.61,23.63,23.70.1,23.70.3,23.9,23.99.2,23.99.3,25.1,42.12,42.13,42.21,42.22.1,42.22.2,42.91.2,42.91.4,43.12.3,43.22,43.29,43.31,43.33,43.34.1,43.91,43.99,43.99.3,43.99.4,43.99.5,43.99.6,43.99.7,46.73,46.90,47.11,47.25,49.41.3,52.21.22,52.21.23,64.92,64.92.2,70.22,71.11.1,71.20.3,71.20.6,77.32</t>
  </si>
  <si>
    <t>ЕВДОКИМОВ ЛЕОНИД ВИТАЛЬЕВИЧ</t>
  </si>
  <si>
    <t>429914,  ЧУВАШСКАЯ РЕСПУБЛИКА - ЧУВАШИЯ, Р-Н ЦИВИЛЬСКИЙ, С. ЧУРАЧИКИ, УЛ. МЕЛИОРАТОРОВ, Д.17</t>
  </si>
  <si>
    <t>+78354523291,+78354560070,+78354560211,+78354523670,+78354560291,+79603144411,+79033222283,+79053461834,+78835452121,+79603145220,+78354521210,+78353021068,+78353021985,+78353560211,+78353023291</t>
  </si>
  <si>
    <t>vdsr1@yandex.ru,vdsri@yandex.ru,vdrsi@yandex.ru,sao-cb@krarm.cap.ru,vdsr@yandex.ru,visr1@yandex.ru</t>
  </si>
  <si>
    <t>478</t>
  </si>
  <si>
    <t>АО "СЗ "ЖБК-1"</t>
  </si>
  <si>
    <t>АКЦИОНЕРНОЕ ОБЩЕСТВО "СПЕЦИАЛИЗИРОВАННЫЙ ЗАСТРОЙЩИК "ЖЕЛЕЗОБЕТОННЫЕ КОНСТРУКЦИИ №1"</t>
  </si>
  <si>
    <t>2004-03-03</t>
  </si>
  <si>
    <t>23.61.2,23.63,23.64,49.41.2,16.10,16.10.9,16.23.1,16.23.2,23.61,23.63,25.11,41.20,42.21,42.21,42.22.1,42.22.2,42.99,43.11,43.12.1,43.12.3,43.21,43.22,43.29,43.31,43.32,43.33,43.34.1,43.34.2,43.39,43.91,43.99,43.99.1,43.99.4,43.99.5,43.99.6,43.99.7,52.10.21,68.10,68.10.1,68.10.11,68.10.12,68.10.21,68.10.22,68.10.23,71.11.1,71.12.2,71.12.45,71.12.5,71.12.6</t>
  </si>
  <si>
    <t>КОРОЛЕВ АЛЕКСАНДР ВАСИЛЬЕВИЧ</t>
  </si>
  <si>
    <t>428903,  ЧУВАШСКАЯ РЕСПУБЛИКА - ЧУВАШИЯ, Г. ЧЕБОКСАРЫ, ПР-Д ЛАПСАРСКИЙ, Д.19</t>
  </si>
  <si>
    <t>+78352566610,+78352507688,+78352641989,+78352641589,+78352260688,+78352733845,+78352507681,+78352450496</t>
  </si>
  <si>
    <t>www.e-disclosure.ru/portal/company.aspx?id=4006,оаожбк1.рф</t>
  </si>
  <si>
    <t>gbk-1-21@yandex.ru,mmv258@mail.ru,gbk-1-dir@yandex.ru,elitstroi2010@mail.ru</t>
  </si>
  <si>
    <t>154</t>
  </si>
  <si>
    <t>ООО "СЗ"ОТДЕЛФИНСТРОЙ И ПАРТНЕРЫ"</t>
  </si>
  <si>
    <t>ОБЩЕСТВО С ОГРАНИЧЕННОЙ ОТВЕТСТВЕННОСТЬЮ "СПЕЦИАЛИЗИРОВАННЫЙ ЗАСТРОЙЩИК "ОТДЕЛФИНСТРОЙ И ПАРТНЕРЫ"</t>
  </si>
  <si>
    <t>2012-01-12</t>
  </si>
  <si>
    <t>41.20,46.73,46.90,68.10,68.20,68.31,71.1,71.12.1</t>
  </si>
  <si>
    <t>ЧЕРКУНОВ АЛЕКСАНДР СЕРГЕЕВИЧ</t>
  </si>
  <si>
    <t>428015,  ЧУВАШСКАЯ РЕСПУБЛИКА - ЧУВАШИЯ, Г. ЧЕБОКСАРЫ, ПР-КТ МОСКОВСКИЙ, Д.17, К.1, ПОМЕЩЕНИЕ 10</t>
  </si>
  <si>
    <t>+78352580134,+78352376020,+78352439293</t>
  </si>
  <si>
    <t>ООО "ТК "МАКСИМА"</t>
  </si>
  <si>
    <t>ОБЩЕСТВО С ОГРАНИЧЕННОЙ ОТВЕТСТВЕННОСТЬЮ "ТОРГОВАЯ КОМПАНИЯ "МАКСИМА"</t>
  </si>
  <si>
    <t>2013-03-15</t>
  </si>
  <si>
    <t>46.17,49.41.2,52.10.9,52.29,77.12,46.17,46.17.1,46.17.2,46.17.21,46.3,46.34,46.34.1,46.39,46.39.1,46.39.2,46.90,47.11.2,47.19,47.2,47.25.1,47.25.12,47.29.3,47.9,49.4,49.41,49.41.1,52.10,52.29,73.11,73.20,73.20.1,82.99</t>
  </si>
  <si>
    <t>МАРЯХИН СЕРГЕЙ АЛЕКСАНДРОВИЧ</t>
  </si>
  <si>
    <t>429960,  ЧУВАШСКАЯ РЕСПУБЛИКА - ЧУВАШИЯ, Г. НОВОЧЕБОКСАРСК, УЛ. ПРОМЫШЛЕННАЯ, Д. 73, К. 1, КОМ. 404А</t>
  </si>
  <si>
    <t>+79626013550,+78352367206,+79626013579,+79093005971,+79626367200,+79626367206,+79626367208,+79626367205,+78352367200,+78352446414</t>
  </si>
  <si>
    <t>nikolatvagp@yandex.ru</t>
  </si>
  <si>
    <t>181</t>
  </si>
  <si>
    <t>АО "ЧЭМЗ"</t>
  </si>
  <si>
    <t>АКЦИОНЕРНОЕ ОБЩЕСТВО "ЧЕБОКСАРСКИЙ ЭЛЕКТРОМЕХАНИЧЕСКИЙ ЗАВОД"</t>
  </si>
  <si>
    <t>1995-05-24</t>
  </si>
  <si>
    <t>25.11,25.12,25.61,25.62,25.99,28.29.1,35.13,35.30.4,35.30.5,41.2,43.12,43.2,46.69,46.90,49.3,62.01,62.02,62.09,70.22,71.11.1</t>
  </si>
  <si>
    <t>Авдонина Ирина Юрьевна</t>
  </si>
  <si>
    <t>429525,  ЧУВАШСКАЯ РЕСПУБЛИКА - ЧУВАШИЯ, Р-Н ЧЕБОКСАРСКИЙ, СТ. ИШЛЕИ, УЛ. ПРОМЫШЛЕННАЯ, Д.6А</t>
  </si>
  <si>
    <t>+78354020148,+79276675283,+79278492266,+79023287818,+78352630900,+78352420148,+78354020159</t>
  </si>
  <si>
    <t>www.chemz.ru</t>
  </si>
  <si>
    <t>zavod@chemz.ru</t>
  </si>
  <si>
    <t>237</t>
  </si>
  <si>
    <t>АО "ЧУВАШСКАЯ ЭНЕРГОСБЫТОВАЯ КОМПАНИЯ"</t>
  </si>
  <si>
    <t>АКЦИОНЕРНОЕ ОБЩЕСТВО "ЧУВАШСКАЯ ЭНЕРГОСБЫТОВАЯ КОМПАНИЯ"</t>
  </si>
  <si>
    <t>2005-01-01</t>
  </si>
  <si>
    <t>66.19.61,68.32.1,82.99,18.12,35.14,41.20,42.21,42.22,43.21,45.20.5,46.69.7,47.54,53.20.39,64.9,66.19,66.19.61,66.19.62,66.22,68.20.2,68.32,68.32.1,71.11,71.11.1,71.12,71.20.4,71.20.9,74.90.6,77.39.11,96.09.9</t>
  </si>
  <si>
    <t>ОБЩЕСТВО С ОГРАНИЧЕННОЙ ОТВЕТСТВЕННОСТЬЮ "ТРАНСЭНЕРГОПРОМ"</t>
  </si>
  <si>
    <t>428020,  ЧУВАШСКАЯ РЕСПУБЛИКА - ЧУВАШИЯ, Г. ЧЕБОКСАРЫ, УЛ. ФЕДОРА ГЛАДКОВА, Д.13, К.А</t>
  </si>
  <si>
    <t>+78352368004,+78352560538,+74951034572,+79032742115,+79876315198,+78352737293,+79626592662,+78354521792,+79057914121,+78352459577,+78352635151,+78352456046,+78352399146,+78354722520,+78352399196,+78352399111,+78354723871,+78354723872,+78835321518,+78353629939,+78352378004,+78353621518,+78353120857,+78352771616,+78352399102,+73853122823,+78352622464,+78352243506,+78352312282,+78352232502,+78353250297,+78353261400,+78354722103,+78353620415,+78352399115,+78352399106,+78352744400,+78353651488,+78353650415,+78354521399,+78353362727,+78352771600,+78353321867,+78352456061,+78353123630,+78352563030,+78352368003,+78354521050,+78354122520,+78354027515</t>
  </si>
  <si>
    <t>ch-sk.ru,www.ch-sk.ru</t>
  </si>
  <si>
    <t>zolotov@transenprom.ru,matushina@transenprom.ru,dolinsky@transenprom.ru,priem@ch-sk.ru,konyaeva@transenprom.ru,civ_teh@ch-sk.ru,otd_cheb@ensb.cbx.ru,esa@ch-sk.ru,tender@e-nergoprom.ru,otd_iadrin@ensb.cbx.ru,otd_shumerla@ensd.cbx.ru,otd_iadrin@ensd.cbx.ru,otd_shumerla@ensb.cbx.ru,otd_alat@ensb.cbx.ru,otd_novcheb@ensb.cbx.ru,sab@ch-sk.ru,otd_batir@ensb.cbx.ru,сiv_teh@ch-sk.ru,otd_jadrin@ensb.cbx.ru,cheb_mmy@ch-sk.ru,otd_yadrin@ensb.cbx.ru,cha_saraba@mail.ru,old_cheb@ensd.cbx.ru,info.chvod@yandex.ru,123123@mail.ru,otd_iadrin@ensb.sbx.ru,otd_civil@ensb.cbx.ru,otd_kanash@ensb.sbx.ru,otd_alat@ensd.cbx.ru,otd_iadrin@ensb.sbz.ru,otd_iadtin@ensb.cbx.ru,old_shumerla@ensb.cbx.ru,otd_kanash@ensb.cbx.ru,otd_iadrin@ensb.cbx.ry,td_kanash@cnsb.cbx.ru,otd_shumerla@yandex.ru,rostelecom@rt.ru,cheb_soi@ch-sk.ru,gcheb_zu7@cap.ru,otd_novcheb@ensd.cbx.ru,otd_nocheb@ensb.cbx.ru,otd_kanash@ensd.cbx.ru,kanash.451@mail.ru,nchk-ul@ch-sk.ru,otd_batyr@ensb.cbx.ru,otd_novocheb@ensb.cbx.ru,ond_novcheb@ensb.cbx.ru,cheb__mmy@ch-sk.ru,otd_novched@ensd.cbx.ru,matveeva.1964@mail.ru</t>
  </si>
  <si>
    <t>ООО "ЧЕБОМИЛК"</t>
  </si>
  <si>
    <t>ОБЩЕСТВО С ОГРАНИЧЕННОЙ ОТВЕТСТВЕННОСТЬЮ "ЧЕБОМИЛК"</t>
  </si>
  <si>
    <t>2015-09-14</t>
  </si>
  <si>
    <t>01.41.12</t>
  </si>
  <si>
    <t>Разведение племенного молочного крупного рогатого скота</t>
  </si>
  <si>
    <t>01.11.1,10.41.26,01.11,01.11.3,01.13,01.2,01.25,01.30,01.41,01.43.1,01.45.1,01.46,01.47,01.49,01.50,10.11,10.12,10.13,10.41,10.51,10.61,10.91,20.15.8,46.21.19,68.20,74.90,74.90.4,79.90,79.90.2,82.99</t>
  </si>
  <si>
    <t>АНУЧИН СЕРГЕЙ АЛЕКСЕЕВИЧ</t>
  </si>
  <si>
    <t>УПРАВЛЯЮЩИЙ - ИНДИВИДУАЛЬНЫЙ ПРЕДПРИНИМАТЕЛЬ</t>
  </si>
  <si>
    <t>429509,  ЧУВАШСКАЯ РЕСПУБЛИКА - ЧУВАШИЯ, Р-Н ЧЕБОКСАРСКИЙ, П. НОВОЕ АТЛАШЕВО, УЛ. ПРОМЫШЛЕННАЯ, Д. 1 "Б"</t>
  </si>
  <si>
    <t>+78352238500,+79276676065</t>
  </si>
  <si>
    <t>284</t>
  </si>
  <si>
    <t>АО "ВНИИР ГИДРОЭЛЕКТРОАВТОМАТИКА"</t>
  </si>
  <si>
    <t>АКЦИОНЕРНОЕ ОБЩЕСТВО "ВНИИР ГИДРОЭЛЕКТРОАВТОМАТИКА"</t>
  </si>
  <si>
    <t>2008-03-04</t>
  </si>
  <si>
    <t>35.11</t>
  </si>
  <si>
    <t>Производство электроэнергии</t>
  </si>
  <si>
    <t>27.12,27.90,43.21,43.29,43.99.1,46.69,46.90,62.02,62.09,68.20,71.1,71.12.5,71.12.6,71.20,72.19,74.30,82.92,82.99</t>
  </si>
  <si>
    <t>ФОМИЧЕВ ДМИТРИЙ СЕРГЕЕВИЧ</t>
  </si>
  <si>
    <t>428027,  ЧУВАШСКАЯ РЕСПУБЛИКА - ЧУВАШИЯ, Г ЧЕБОКСАРЫ, ПР-КТ И.Я.ЯКОВЛЕВА, Д. 4</t>
  </si>
  <si>
    <t>+74957354259,+74957354244,+74956714244,+79854607443,+79152402806,+74837354267,+78352390000,+74597354244,+74597354259</t>
  </si>
  <si>
    <t>www.vniirhydro.ru</t>
  </si>
  <si>
    <t>tender.vniirhydro@abselectro.com,ddyakov@abselectro.com,vniir@vniir.ru,info@vniirhidro.ru,nsemin@abselectro.com,aalmazov@abselectro.com,info@abselectro.com,vkiba@abselectro.com,yupekhotinskiy@abselectro.com,notar_muz@rambler.ru,info@abselectro.com,,info@vniirhydro.ru,mtischenko@vniir.ru</t>
  </si>
  <si>
    <t>АО "АБС ЗЭИМ АВТОМАТИЗАЦИЯ"</t>
  </si>
  <si>
    <t>АКЦИОНЕРНОЕ ОБЩЕСТВО "АБС ЗЭИМ АВТОМАТИЗАЦИЯ"</t>
  </si>
  <si>
    <t>1992-08-12</t>
  </si>
  <si>
    <t>26.51.7</t>
  </si>
  <si>
    <t>Производство приборов и аппаратуры для автоматического регулирования или управления</t>
  </si>
  <si>
    <t>24.53,25.61,25.62,26.51.6,26.51.8,28.14,28.25.1,33.12,33.13,35.30,43.2,43.99.5,46.90,49.4,56.29,62.09,63.11.1,68.20.2,70.22,71.11.1,71.12.1,71.12.12,71.12.13,71.12.45,71.20.1,72.19,73.20.1</t>
  </si>
  <si>
    <t>СУШКО ЮРИЙ ВЛАДИСЛАВОВИЧ</t>
  </si>
  <si>
    <t>428003,  ЧУВАШСКАЯ РЕСПУБЛИКА - ЧУВАШИЯ, Г ЧЕБОКСАРЫ, ПР-КТ И.Я.ЯКОВЛЕВА, Д. 1</t>
  </si>
  <si>
    <t>+78352305120,+78352302120,+78352622586,+78352305184,+74957354244,+78352305137,+78352305285,+78352305235,+78352305135,+78352305103,+78352305220,+78352305111,+78352305175,+71136546545,+78352305221,+78352305141,+78352305211,+78352201549,+78352305148</t>
  </si>
  <si>
    <t>www.zeim.ru,www.e-disclosure.ru/portal/company.aspx?id=2829,,www.abselectro.com</t>
  </si>
  <si>
    <t>adm@zeim.ru,adm@zeim.chuvashia.su,om@zeim.chuvashia.su,,sales@zeim.ru,224@vniir.ru,amorozov@zeim.ru,adn@zeim.ru,tivanova@zeim.ru,43254@zeim.ru,budarina@zeim.ru,avtimofeev@zeim.ru</t>
  </si>
  <si>
    <t>886</t>
  </si>
  <si>
    <t>АО "ЧЭАЗ"</t>
  </si>
  <si>
    <t>АКЦИОНЕРНОЕ ОБЩЕСТВО "ЧЕБОКСАРСКИЙ ЭЛЕКТРОАППАРАТНЫЙ ЗАВОД"</t>
  </si>
  <si>
    <t>2000-01-12</t>
  </si>
  <si>
    <t>25.30.22,26.11,26.12,27.11,30.30,33.14,33.20,35.30.4,39.00,41.20,43.21,46.69.5,47.11,49.3,49.4,56.10,56.10.1,56.10.3,56.29,58.13,61.10.1,61.10.4,64.99.11,66.12.3,71.1,71.12.5,71.12.6,71.12.8,72.19,74.90.9,85.42,86.90,86.90.4,90.04,93.11,93.19,93.29.2</t>
  </si>
  <si>
    <t>ГОРЕЛОВ АЛЕКСАНДР ЮВЕНАЛЬЕВИЧ</t>
  </si>
  <si>
    <t>428020,  ЧУВАШСКАЯ РЕСПУБЛИКА - ЧУВАШИЯ, Г. ЧЕБОКСАРЫ, ПР-КТ И.Я.ЯКОВЛЕВА, Д.5</t>
  </si>
  <si>
    <t>+78352620461,+78352395609,+78352395675,+78352395649,+78352395690,+78352395793,+78352395600,+78352395623,+78352395279,+78352395042,+78352395262,+70883523956,+79088352395,+78835239560,+73523956758,+75239564988,+72395623883,+73956098835,+79527988352,+75262883523,+70428835239,+78352395835,+78352395969,+78352395934,+73952395957,+78352395957,+78352627267,+78352623245,+78352395006,+78352395272,+73852395743,+78352395902,+78352395656,+78123317926,+78835262726,+78352395913,+78352395928,+78123203020,+78352395645,+78352395019,+78352395874,+78352621272,+78352395753,+78352395234,+78352624262,+78352395264,+78532620461,+78352395745,+78352212810,+70959953100</t>
  </si>
  <si>
    <t>www.cheaz.ru</t>
  </si>
  <si>
    <t>z.egorova@cheaz.ru,cheas@mail.ru,cheaz@chtts.ru,cheaz@cheaz.ru,&lt;cheaz@cheaz.ru&gt;,cheaz@chaez.ru,cheaz@chtaz.ru,hr@cheaz.ru,chear@chear.ru,a.markov@cheaz.ru,r.ilyina@cheaz.ru,a.kulikov@cheaz.ru</t>
  </si>
  <si>
    <t>АО "СЗ "ИНКОСТ"</t>
  </si>
  <si>
    <t>АКЦИОНЕРНОЕ ОБЩЕСТВО "СПЕЦИАЛИЗИРОВАННЫЙ ЗАСТРОЙЩИК "ИНКОСТ"</t>
  </si>
  <si>
    <t>1991-07-17</t>
  </si>
  <si>
    <t>16.23.1,22.23.1,23.12.5,23.63,23.64,25.11,28.22.3,41.20.1,46.36,46.42,46.69.3,46.71.2,46.73.2,46.73.6,46.77,49.41.2,56.29.2,68.20.29,70.22,16.10,16.10.3,16.10.9,16.23.1,28.22,28.22.9,28.94.2,33.12,33.12,41.2,41.20,42.21,42.22.1,43.11,43.12.3,43.21,43.3,43.31,43.32,43.33,43.34.1,43.34.2,43.39,43.91,43.99,43.99,43.99.1,43.99.4,43.99.5,43.99.6,43.99.7</t>
  </si>
  <si>
    <t>СКОСЫРСКИЙ ВЛАДИМИР ИВАНОВИЧ</t>
  </si>
  <si>
    <t>428022,  ЧУВАШСКАЯ РЕСПУБЛИКА - ЧУВАШИЯ, Г. ЧЕБОКСАРЫ, Ш. МАРПОСАДСКОЕ, Д.38</t>
  </si>
  <si>
    <t>+79033221387,+78352640320,+78352640343,+78352662290,+78352307991,+78352640338,+78352640323,+78352640329,+78352502335,+78352237415</t>
  </si>
  <si>
    <t>www.e-disclosure.ru/portal/company.aspx?id=12986,новыйгородчебоксары.рф</t>
  </si>
  <si>
    <t>v.i.skosyrskiy@incost.su,incost_ok@mail.ru,skotv@mail.ru,377418@mail.ru</t>
  </si>
  <si>
    <t>211</t>
  </si>
  <si>
    <t>АО "КАФ"</t>
  </si>
  <si>
    <t>АКЦИОНЕРНОЕ ОБЩЕСТВО "КОМБИНАТ АВТОМОБИЛЬНЫХ ФУРГОНОВ"</t>
  </si>
  <si>
    <t>1992-10-05</t>
  </si>
  <si>
    <t>29.10</t>
  </si>
  <si>
    <t>Производство автотранспортных средств</t>
  </si>
  <si>
    <t>28.22,29.10.31,29.10.5,29.20,29.20.2,29.20.4,29.20.5,29.32,35.30,45.19,45.20,49.3,49.4,56.29,64.99,68.20.2,71.20,72.19,77.39.29</t>
  </si>
  <si>
    <t>ЗИМЕНКОВ АЛЕКСЕЙ АЛЕКСАНДРОВИЧ</t>
  </si>
  <si>
    <t>429120,  ЧУВАШСКАЯ РЕСПУБЛИКА - ЧУВАШИЯ, Г. ШУМЕРЛЯ, УЛ. ЛЕНИНА, Д. 21А</t>
  </si>
  <si>
    <t>+78353655500,+78353622393,+78353652240,+78353655797,+78353652393,+78335622393,+78353624574,+78353655740,+78353655763,+78353655204,+78353655791</t>
  </si>
  <si>
    <t>chernova@shumerkaf.ru,,www.disclosure.ru/issuer/2125000440,shumerkaf.ru</t>
  </si>
  <si>
    <t>marketing@shumerkaf.ru,priem@shumerkaf.ru,kaf@chtts.ru,af@chtts.ru,marketing@shumerkafl.ru,gryadinskiy@shumerkaf.ru,kuf@chtts.ru,kaf@chtts.ru,,chernova@shumerkaf.ru,kaf153@mail.ru</t>
  </si>
  <si>
    <t>АО "МАРПОСАДКАБЕЛЬ"</t>
  </si>
  <si>
    <t>АКЦИОНЕРНОЕ ОБЩЕСТВО "МАРПОСАДКАБЕЛЬ"</t>
  </si>
  <si>
    <t>2004-04-26</t>
  </si>
  <si>
    <t>27.32</t>
  </si>
  <si>
    <t>Производство прочих проводов и кабелей для электронного и электрического оборудования</t>
  </si>
  <si>
    <t>27.90,33.14,33.20,35.14,46.69.5,46.72.2,46.73,46.76.3,46.90,49.4</t>
  </si>
  <si>
    <t>КОЧЕИХИН ЮРИЙ ЕВГЕНЬЕВИЧ</t>
  </si>
  <si>
    <t>429570,  ЧУВАШСКАЯ РЕСПУБЛИКА - ЧУВАШИЯ, Г. МАРИИНСКИЙ ПОСАД, Р-Н МАРИИНСКО-ПОСАДСКИЙ, УЛ. НИКОЛАЕВА, Д.93</t>
  </si>
  <si>
    <t>+74621242055,+74993462124,+78354221314,+78354222141,+79037921052,+79037922135,+79037990700,+79278468239,+79278468325,+79373723434,+79276678211,+78005552124,+79379564412</t>
  </si>
  <si>
    <t>priem.mpkabel@mail.ru</t>
  </si>
  <si>
    <t>207</t>
  </si>
  <si>
    <t>АО "ЧЕБОКСАРСКИЙ РЕЧНОЙ ПОРТ"</t>
  </si>
  <si>
    <t>АКЦИОНЕРНОЕ ОБЩЕСТВО "ЧЕБОКСАРСКИЙ РЕЧНОЙ ПОРТ"</t>
  </si>
  <si>
    <t>1993-06-28</t>
  </si>
  <si>
    <t>52.24.2</t>
  </si>
  <si>
    <t>Транспортная обработка прочих грузов</t>
  </si>
  <si>
    <t>08.12.1,23.63,23.70.1,46.73.6,50.30.1,50.40.1,52.22.29,68.20.29,08.12,23.63,23.70.1,30.11,33.15,38.11,38.12,42.21,42.22.2,43.99,46.73.6,47.79.3,49.41,50.30,50.30.2,50.40,50.40.2,52.10.9,52.22,52.22.2,52.24.1,52.24.2,52.29,68.20.2,71.1,77.11,77.12,77.32,77.34,77.39,79.11,79.90.2,79.90.3</t>
  </si>
  <si>
    <t>ШАЙКИН ВАНИФАТИЙ ВАСИЛЬЕВИЧ</t>
  </si>
  <si>
    <t>428032,  ЧУВАШСКАЯ РЕСПУБЛИКА - ЧУВАШИЯ, Г. ЧЕБОКСАРЫ, ПЛ. РЕЧНИКОВ, Д.5</t>
  </si>
  <si>
    <t>+78352581400,+78352580025,+78352580057,+78352587295,+78352111111,+78352420106,+78352587290,+78352582911</t>
  </si>
  <si>
    <t>chport.ru</t>
  </si>
  <si>
    <t>chport@cbx.ru,kom.port@mail.ru,grem@chport.ru,flot2014@yandex.ru,12345@mail.ru,chport94@mail.ru,null@mail.ru,chport@cbx.ru,,mail@chport.ru,schilova.t@yandex.ru,mail@chport.ru.,mail@cport.ru,mail@chort.ru,chport@bk.ru</t>
  </si>
  <si>
    <t>329</t>
  </si>
  <si>
    <t>АО "ГАЗПРОМ ГАЗОРАСПРЕДЕЛЕНИЕ ЧЕБОКСАРЫ"</t>
  </si>
  <si>
    <t>АКЦИОНЕРНОЕ ОБЩЕСТВО "ГАЗПРОМ ГАЗОРАСПРЕДЕЛЕНИЕ ЧЕБОКСАРЫ"</t>
  </si>
  <si>
    <t>2003-08-14</t>
  </si>
  <si>
    <t>35.22</t>
  </si>
  <si>
    <t>Распределение газообразного топлива по газораспределительным сетям</t>
  </si>
  <si>
    <t>43.22,46.73.3,47.52,56.10.1,56.30,68.20.29,71.12.11,71.12.62,85.42.9,35.22,35.23,35.30.14,35.30.4,42.21,43.21,43.22,43.29,46.71,47.19,47.52.5,52.21.24,56.10.1,56.29,56.30,68.20.1,68.20.2,71.12,71.12.1,71.12.4,71.12.62,85.42,86.90.9</t>
  </si>
  <si>
    <t>БУСЫГИН АЛЕКСАНДР АЛЕКСАНДРОВИЧ</t>
  </si>
  <si>
    <t>428024,  ЧУВАШСКАЯ РЕСПУБЛИКА - ЧУВАШИЯ, Г. ЧЕБОКСАРЫ, ПР-КТ И.Я.ЯКОВЛЕВА, Д.19, К.А</t>
  </si>
  <si>
    <t>+78352540182,+78352564439,+78352511796,+78352540794,+78835254018,+78352540173,+78352564462,+78352564431,+78352513390,+78352564482,+78352540618,+78352513556,+78352540179,+78352513625,+78352511343,+78352289348,+78352564495,+78352640182,+78352288175,+78352289451,+78353726411,+78353321770,+78353422432,+78352560618,+78353622539,+78352564437,+78352510012,+78352540191,+78352376703,+78352378915,+78352510854,+79278561300,+78353621285,+78354423138,+78353725829,+78353321455,+78353321698,+78352511827,+78352540672,+78352564468,+78352510492,+78352540123,+78352540482,+78352511756,+78352406157,+78352738315,+78354521771,+79091256805,+78352564432,+78352546639</t>
  </si>
  <si>
    <t>www.e-disclosure.ru/portal/company.aspx?id=6828,chsetgaz.ru</t>
  </si>
  <si>
    <t>info@chsetgaz.ru,svv@chsetgaz.ru,shav@chsetgaz.ru,mun@chsetgaz.ru,pechurin@chsetgaz.ru,nav@chsetgaz.ru,sve@chsetgaz.ru,lal@chsetgaz.ru,shumrgi@chsetgaz.ru,zotovnn@chsetgaz.ru,mordvinov@chsetgaz.ru,mea@chsetgaz.ru,sovl@chsetgaz.ru,main@chsetgaz.ru,denisenkonn@chsetgaz.ru,iti@chsetgaz.ru,ivanovaan@chsetgaz.ru,pav@chsetgaz.ru,samohvalov@chsetgaz.ru,vinogradov@chsetgaz.ru,kiv@chsetgaz.ru,glebova@chsetgaz.ru,yakovlevrv@chsetgaz.ru,gazset@chtts.ru,shds@chsetgaz.ru,gerasimovdf@chsetgaz.ru,f_vur@setgaz.ru,chebvli@chsetgaz.ru,111@111.11,chrg@chrg.ru,dimitrievvi@chsetgaz.ru,osd@chsetgaz.ru,aea@chsetgaz.ru,zhva@chsetgaz.ru,surovano@chsetgaz.ru,eoi@chsetgaz.ru.ru,f_koz@chsetgaz.ru,asv@chsetgaz.ru,sovl@chsetgaz.ru.ru,surovano@chsetgaz.ru.ru,l@chsetgaz.ru.ru,ssv@chsetgaz.ru,sov@chsetgaz.ru,f_sh@chsetgaz.ru,chebgaz@chtts.ru,mtp@chsetgaz.ru,kanashgaz@ctts.ru,vurnarygaz@chtts.ru,shumgaz@chtts.ru,sanvolgasetgaz@mail.ru</t>
  </si>
  <si>
    <t>1449</t>
  </si>
  <si>
    <t>ООО "АЛАТЫРСКАЯ БУМАЖНАЯ ФАБРИКА"</t>
  </si>
  <si>
    <t>ОБЩЕСТВО С ОГРАНИЧЕННОЙ ОТВЕТСТВЕННОСТЬЮ "АЛАТЫРСКАЯ БУМАЖНАЯ ФАБРИКА"</t>
  </si>
  <si>
    <t>2002-03-19</t>
  </si>
  <si>
    <t>17.12</t>
  </si>
  <si>
    <t>Производство бумаги и картона</t>
  </si>
  <si>
    <t>17.21,17.29,35.30.14,47.11,49.41.2,56.29.2,17.12,17.21,35.30.14,37.00,46.76.1,46.90</t>
  </si>
  <si>
    <t>ГУСАРОВ АЛЕКСЕЙ ВЛАДИМИРОВИЧ</t>
  </si>
  <si>
    <t>429826,  ЧУВАШСКАЯ РЕСПУБЛИКА - ЧУВАШИЯ, Г. АЛАТЫРЬ, УЛ. ЯРОСЛАВСКАЯ, Д.19</t>
  </si>
  <si>
    <t>+78353150123,+79176619483,+79033597871,+78965841376,+78353128560,+78353161189,+78353128223,+78353128566,+78353150189</t>
  </si>
  <si>
    <t>alatyrbumaga.ru</t>
  </si>
  <si>
    <t>ooo-abf@rambler.ru</t>
  </si>
  <si>
    <t>425</t>
  </si>
  <si>
    <t>ООО "СЗ "СК "СТАРАТЕЛЬ"</t>
  </si>
  <si>
    <t>ОБЩЕСТВО С ОГРАНИЧЕННОЙ ОТВЕТСТВЕННОСТЬЮ "СПЕЦИАЛИЗИРОВАННЫЙ ЗАСТРОЙЩИК "СТРОИТЕЛЬНАЯ КОМПАНИЯ "СТАРАТЕЛЬ"</t>
  </si>
  <si>
    <t>2002-06-11</t>
  </si>
  <si>
    <t>23.63,41.20.9,46.73.6,16.23,23.63,41.20,43.11,43.12.1,43.12.3,43.21,43.22,43.31,43.32,43.33,43.34,43.91,43.99.1,43.99.5,43.99.6</t>
  </si>
  <si>
    <t>ВЛАДИМИРОВ АНАТОЛИЙ ЮРЬЕВИЧ</t>
  </si>
  <si>
    <t>428903,  ЧУВАШСКАЯ РЕСПУБЛИКА - ЧУВАШИЯ, Г. ЧЕБОКСАРЫ, ПР-Д ЛАПСАРСКИЙ, Д.9, К.Б</t>
  </si>
  <si>
    <t>+78352504670,+78352529044,+78352529022,+79674701288,+78352564670</t>
  </si>
  <si>
    <t>www.yellow-pages.ru/staratel_cheb</t>
  </si>
  <si>
    <t>staratel_cheb@mail.ru</t>
  </si>
  <si>
    <t>АО "ЧУВАШВТОРМЕТ"</t>
  </si>
  <si>
    <t>АКЦИОНЕРНОЕ ОБЩЕСТВО "ЧУВАШВТОРМЕТ"</t>
  </si>
  <si>
    <t>1996-06-10</t>
  </si>
  <si>
    <t>38.32.3</t>
  </si>
  <si>
    <t>Заготовка, хранение, переработка и реализация лома и отходов черных металлов</t>
  </si>
  <si>
    <t>49.41.1,68.20.29,38.32.3,38.32.4,46.77,47.79.3,49.41</t>
  </si>
  <si>
    <t>ТРОФИМОВ ЕВГЕНИЙ АЛЕКСАНДРОВИЧ</t>
  </si>
  <si>
    <t>428011,  ЧУВАШСКАЯ РЕСПУБЛИКА - ЧУВАШИЯ, Г. ЧЕБОКСАРЫ, ПР-Д ГРЕМЯЧЕВСКИЙ, Д.5, К.А</t>
  </si>
  <si>
    <t>+78352625408,+78362417454,+73432632273,+73432632414,+78352630170,+78352281759</t>
  </si>
  <si>
    <t>danilova@chvtormet.ru,nalimov_af@rambler.ru,davidova@chvtormet.ru,danilova@chvormet.ru,secretar_respublika@uvchm.ru,danilova@chuvtormet.ru,danilova@chvtomet.ru,nailmov_ag@rambler.ru,vtormet@cbx.ru,nalimov-af@rambler.ru,anilova@chvtormet.ru,naiimov_af@rambler.ru</t>
  </si>
  <si>
    <t>ООО "АВРОРА"</t>
  </si>
  <si>
    <t>ОБЩЕСТВО С ОГРАНИЧЕННОЙ ОТВЕТСТВЕННОСТЬЮ "АВРОРА"</t>
  </si>
  <si>
    <t>2000-02-04</t>
  </si>
  <si>
    <t>46.34.2</t>
  </si>
  <si>
    <t>Торговля оптовая алкогольными напитками, включая пиво и пищевой этиловый спирт</t>
  </si>
  <si>
    <t>01.11,31.09,32.99.9,41.20,46.17,46.17.1,46.17.3,46.18,46.21.2,46.35,46.39.2,46.90,47.11,47.25.1,49.41,49.42,52.29,56.10,56.10.1,56.10.3,64.91,68.20.2,73.11,79.11,82.99,93.29</t>
  </si>
  <si>
    <t>ПОРЯДИН АЛЕКСЕЙ НИКОЛАЕВИЧ</t>
  </si>
  <si>
    <t>428903,  ЧУВАШСКАЯ РЕСПУБЛИКА - ЧУВАШИЯ, Г. ЧЕБОКСАРЫ, ПР-Д ИШЛЕЙСКИЙ, Д.13</t>
  </si>
  <si>
    <t>+78352361238,+78352662040,+78352485705,+78352507658,+78352507657,+78352507709,+79176576583,+79196576583,+78352507818,+79033222062,+78352363046,+78352506757,+78352807657,+78352482062,+78352507659</t>
  </si>
  <si>
    <t>meshkov.zakupki@yandex.ru,avrora21region@mail.ru,,avrora21region@mail.ru</t>
  </si>
  <si>
    <t>АО "ЧЕБОКСАРЫ-ЛАДА"</t>
  </si>
  <si>
    <t>АКЦИОНЕРНОЕ ОБЩЕСТВО "ЧЕБОКСАРЫ-ЛАДА"</t>
  </si>
  <si>
    <t>1993-09-30</t>
  </si>
  <si>
    <t>45.20.1,45.32.1,66.22,68.20.29,45.11,45.11.2,45.11.3,45.19.2,45.19.3,45.20,45.20.1,45.3,45.32.2,47.91,71.20.5</t>
  </si>
  <si>
    <t>Морозова Светлана Николаевна</t>
  </si>
  <si>
    <t>429950,  ЧУВАШСКАЯ РЕСПУБЛИКА - ЧУВАШИЯ, Г. НОВОЧЕБОКСАРСК, УЛ. ВОСТОЧНАЯ, Д.6</t>
  </si>
  <si>
    <t>+78352763010,+77008887900,+78007005232,+78003331019,+78352423810,+78352588510,+78352721921,+78352721922,+78352721927,+78352721941,+78352721942,+78352759076,+78352763001,+77008369066,+78352758817,+78352733339,+78352773339,+78352729076,+78532763010,+78532759076,+79278568282,+78352777713,+79278420066,+78352777021</t>
  </si>
  <si>
    <t>www.e-disclosure.ru/portal/company.aspx?id=13936,lada-cheboksary.ru,www.lada-cheboksary.ru,lada21.ru</t>
  </si>
  <si>
    <t>y.ivanov@lada-cheboksary.ru,kadry@lada-cheboksary.ru,office@lada21.ru,i.sharipov@lada21.ru,i.saripov@lada21.ru,isharipov@lada21.ru</t>
  </si>
  <si>
    <t>138</t>
  </si>
  <si>
    <t>ООО "НПП "ДИНАМИКА"</t>
  </si>
  <si>
    <t>ОБЩЕСТВО С ОГРАНИЧЕННОЙ ОТВЕТСТВЕННОСТЬЮ "НАУЧНО - ПРОИЗВОДСТВЕННОЕ ПРЕДПРИЯТИЕ "ДИНАМИКА"</t>
  </si>
  <si>
    <t>1990-09-21</t>
  </si>
  <si>
    <t>26.51.4</t>
  </si>
  <si>
    <t>Производство приборов и аппаратуры для измерения электрических величин или ионизирующих излучений</t>
  </si>
  <si>
    <t>46.51,26.51.4,26.51.6,33.13,46.51,46.69.5,46.69.7,58.11.1,58.11.2,58.12.1,58.12.2,58.14.1,58.14.2,62.01,62.02.3,62.02.9,62.03.13,72.19,73.20.1</t>
  </si>
  <si>
    <t>ХОХЛОВА ИРИНА ИЛЬИНИЧНА</t>
  </si>
  <si>
    <t>428015,  ЧУВАШСКАЯ РЕСПУБЛИКА - ЧУВАШИЯ, Г. ЧЕБОКСАРЫ, УЛ. АНИСИМОВА, Д.6</t>
  </si>
  <si>
    <t>+78352111111,+78353325200,+78352325300,+78352325200,+78352325500,+78352451339,+78352458126,+78352456035,+73952458126,+78352580713</t>
  </si>
  <si>
    <t>dinamics.chuvashja.com</t>
  </si>
  <si>
    <t>null@mail.ru,dynamics@com.ru,barashova-ng@dynamics.com,dynamic@chtts.ru,dynamics@chtts.ru,alexandrov-am@dynamics.com.ru,dinamics@chtts.ru,dinamiics@chtts.ru,elena@dynamics.com.ru</t>
  </si>
  <si>
    <t>ОАО "ТАРОУПАКОВКА"</t>
  </si>
  <si>
    <t>ОТКРЫТОЕ АКЦИОНЕРНОЕ ОБЩЕСТВО "ТАРОУПАКОВКА"</t>
  </si>
  <si>
    <t>1994-01-05</t>
  </si>
  <si>
    <t>18.12.9,68.20.29,17.12,17.21,18.12,46.76.1,49.41,68.20.2,77.39.2</t>
  </si>
  <si>
    <t>ТАЛАНОВ МИХАИЛ ОЛЕГОВИЧ</t>
  </si>
  <si>
    <t>428024,  ЧУВАШСКАЯ РЕСПУБЛИКА - ЧУВАШИЯ, Г. ЧЕБОКСАРЫ, ПР-КТ МИРА, Д. 3А</t>
  </si>
  <si>
    <t>+78352559779,+78352638779,+78352639471,+78352286206,+78352640737,+78352288265,+78352286204,+78352287842,+78352519779</t>
  </si>
  <si>
    <t>www.e-disclosure.ru/portal/company.aspx?id=11494,тароупаковка.рф</t>
  </si>
  <si>
    <t>nemcev.taroupakovka@mail.ru,taroupak@mail.ru,sale@taroupakovka.com,mtalanov@mail.ru,alexnik555@mail.ru,taroupakovka@mailru.com,info@taroupakovka.com</t>
  </si>
  <si>
    <t>231</t>
  </si>
  <si>
    <t>ПАО "ДОРИСС"</t>
  </si>
  <si>
    <t>ПУБЛИЧНОЕ АКЦИОНЕРНОЕ ОБЩЕСТВО ПО СТРОИТЕЛЬСТВУ ДОРОГ, ИНЖЕНЕРНЫХ СЕТЕЙ И СООРУЖЕНИЙ "ДОРИСС"</t>
  </si>
  <si>
    <t>1992-09-23</t>
  </si>
  <si>
    <t>35.12.1,46.73.6,23.61,23.63,23.99.3,25.11,33.12,41.20,41.20,42.11,42.21,42.99,43.12.3,43.31,43.32,43.33,43.34,43.91,43.99,43.99.4,46.73,47.41,47.43,47.52.7,47.54,49.4,62.01,62.02,70.22,71.12,82.99</t>
  </si>
  <si>
    <t>САФИНА ЛЮЦИЯ РАФАЭЛЬЕВНА</t>
  </si>
  <si>
    <t>428037,  ЧУВАШСКАЯ РЕСПУБЛИКА - ЧУВАШИЯ, Г. ЧЕБОКСАРЫ, ПР-Д КАБЕЛЬНЫЙ, Д.2</t>
  </si>
  <si>
    <t>+78352631060,+78352308246,+78352308560,+78352308040,+78352242979,+78352242959,+78352231060,+77354023407,+77354023237,+78352308261,+73106088352,+78835230856,+70883526310,+76087354023,+72378735402,+73407883522,+72429598835,+72242979883,+75230804088,+73523082468,+78352635534,+78352308254,+79373842616,+79050286286,+79051992657,+79023597733,+79053474440,+79278472497,+78352282188,+78362453130,+78352636323,+78352696686,+78352633455,+78352636341,+78352308528,+78352627360,+78352633535,+78352308125</t>
  </si>
  <si>
    <t>www.doriss.ru,,www.e-disclosure.ru/portal/company.aspx?id=5224,www.doriss.ru</t>
  </si>
  <si>
    <t>doriss.torgi@mail.ru,mail@doriss.ru,e-mail@doriss.ru,,doriss@mail.ru,abz@doriss.ru,mail@doiss.ru,doriss3@cbx.ru</t>
  </si>
  <si>
    <t>ООО "ЮНОНА-2"</t>
  </si>
  <si>
    <t>ОБЩЕСТВО С ОГРАНИЧЕННОЙ ОТВЕТСТВЕННОСТЬЮ "ЮНОНА-2"</t>
  </si>
  <si>
    <t>1998-10-20</t>
  </si>
  <si>
    <t>46.72</t>
  </si>
  <si>
    <t>Торговля оптовая металлами и металлическими рудами</t>
  </si>
  <si>
    <t>25.11,25.12,43.11,43.12.3,45.20.1,45.20.2,46.72.21,46.72.22,47.29,52.10,52.10.9,56.10,56.10.1,56.10.3,68.10,68.10.1,73.11,85.22,96.09</t>
  </si>
  <si>
    <t>ОБЩЕСТВО С ОГРАНИЧЕННОЙ ОТВЕТСТВЕННОСТЬЮ "УПРАВЛЯЮЩАЯ КОМПАНИЯ "ЮНОНА -2"</t>
  </si>
  <si>
    <t>428024,  ЧУВАШСКАЯ РЕСПУБЛИКА - ЧУВАШИЯ, Г. ЧЕБОКСАРЫ, ПР-КТ МИРА, Д. 48А, ПОМЕЩ. 12</t>
  </si>
  <si>
    <t>+78352531234,+78352308428,+78352512110,+78352673871,+78352571234,+78352272701,+78352533468,+78352531899,+78352532999</t>
  </si>
  <si>
    <t>mail@unona-2.com,yunona-2@mail.ru,junona-2@mail.ru,jinona-2@mail.ru,marina.tyumerova@mail.ru</t>
  </si>
  <si>
    <t>АО "АГРОФИРМА "ОЛЬДЕЕВСКАЯ"</t>
  </si>
  <si>
    <t>АКЦИОНЕРНОЕ ОБЩЕСТВО "АГРОФИРМА ОЛЬДЕЕВСКАЯ"</t>
  </si>
  <si>
    <t>1994-07-06</t>
  </si>
  <si>
    <t>01.13.1</t>
  </si>
  <si>
    <t>Выращивание овощей</t>
  </si>
  <si>
    <t>01.11.1,01.30,01.41.12,01.41.21,01.49.9,47.19,56.29.2,01.11.1,01.11.2,01.13.1,01.19.1,01.30,01.41,01.42,01.49,01.61,01.62,01.63,01.64,10.91,33.11,33.12,33.14,33.17,35.12.1,35.14,35.30,36.00.2,37.00,45.20,46.21.11,46.21.12,46.21.14,46.21.19,46.22,46.23,46.31,46.32.1,46.33.1,47.11,47.2,47.81,49.39,49.41,52.10.3,52.10.9,56.29</t>
  </si>
  <si>
    <t>БЕЛИКОВ АНДРЕЙ ВИКТОРОВИЧ</t>
  </si>
  <si>
    <t>429960,  ЧУВАШСКАЯ РЕСПУБЛИКА - ЧУВАШИЯ, Р-Н ЧЕБОКСАРСКИЙ, Д. ЮРАКОВО, УЛ. ВОСТОЧНАЯ, Д.10</t>
  </si>
  <si>
    <t>+78352733811,+79033580493,+78352759911,+78352759090</t>
  </si>
  <si>
    <t>oldeevo.ru</t>
  </si>
  <si>
    <t>anchernova432@gmail.com,oldeevskay@cbx.ru</t>
  </si>
  <si>
    <t>515</t>
  </si>
  <si>
    <t>АО "ЧУВАШЭНЕРГОСЕТЬРЕМОНТ"</t>
  </si>
  <si>
    <t>АКЦИОНЕРНОЕ ОБЩЕСТВО "ЧУВАШЭНЕРГОСЕТЬРЕМОНТ"</t>
  </si>
  <si>
    <t>2004-03-24</t>
  </si>
  <si>
    <t>35.12.2</t>
  </si>
  <si>
    <t>Технологическое присоединение к распределительным электросетям</t>
  </si>
  <si>
    <t>46.90,35.12,41.20,42.11,42.12,43.11,43.12.3,43.21,43.22,43.29,43.34.1,43.39,43.91,43.99,46.69.5,46.69.9</t>
  </si>
  <si>
    <t>ЛАВИН ИГОРЬ АРОНОВИЧ</t>
  </si>
  <si>
    <t>428003,  ЧУВАШСКАЯ РЕСПУБЛИКА - ЧУВАШИЯ, Г ЧЕБОКСАРЫ, УЛ ФЕДОРА ГЛАДКОВА, Д. 13</t>
  </si>
  <si>
    <t>+78352399206,+78352309716,+78352399575,+78352399596,+78352309704,+78352449904,+78352309706,+78352399535,+78352309761,+78352399573,+73549309736,+74955405395</t>
  </si>
  <si>
    <t>www.disclosure.ru/issuer/2116470312/index.shtml</t>
  </si>
  <si>
    <t>chsr@mail.ru</t>
  </si>
  <si>
    <t>ООО "ДИАЛ - АВТО"</t>
  </si>
  <si>
    <t>ОБЩЕСТВО С ОГРАНИЧЕННОЙ ОТВЕТСТВЕННОСТЬЮ "ДИАЛ - АВТО"</t>
  </si>
  <si>
    <t>45.20.1</t>
  </si>
  <si>
    <t>Техническое обслуживание и ремонт легковых автомобилей и легких грузовых автотранспортных средств</t>
  </si>
  <si>
    <t>45.11.1,45.11.2,41.20,41.20,42.99,45.11,45.11.1,45.11.2,45.11.3,45.11.31,45.11.39,45.11.4,45.11.4,45.11.41,45.11.49,45.19,45.19.1,45.19.2,45.19.3,45.19.31,45.19.39,45.19.4,45.19.41,45.19.49,45.20,45.20.1,45.20.2,45.20.2,45.3,45.31.1,45.32,45.40,45.40.1,45.40.2,45.40.3,45.40.5,46.90,47.24,47.25.2,47.29,47.30,47.91.2</t>
  </si>
  <si>
    <t>428022,  ЧУВАШСКАЯ РЕСПУБЛИКА - ЧУВАШИЯ, Г. ЧЕБОКСАРЫ, Ш. МАРПОСАДСКОЕ, Д.3, К.А</t>
  </si>
  <si>
    <t>+79176604957,+78352220120,+78352628628,+78352321011,+78352321110,+79276691200,+79876794379,+78835220120,+78352567035,+78352230312,+79278441327,+79176543514,+79176562575,+78352282282</t>
  </si>
  <si>
    <t>dialavto.ru</t>
  </si>
  <si>
    <t>d.egorov@alyans-auto.ru,zahvatova@dialavto.ru,info@lada-dialavto.ru,info@lada-dialavto.tu,corp@alyans-auto.ru,a.ivanov@almotors.ru,a.ivanov@alyans-auto.ru,'info@lada-dialavto.ru',info@lada-dialanavto.ru,olga.zahvatova@lada-dialavto.ru,mail@dialavto.ru,lebedeva@almotors.ru,lebedeva@almotos.ru,corp3@almotors.ru,mirsadullaev@yandex.ru,finance@almotors.ru,corp@almotors.ru,corp2@almotors.ru</t>
  </si>
  <si>
    <t>83</t>
  </si>
  <si>
    <t>ООО "АВТОФУРГОН"</t>
  </si>
  <si>
    <t>ОБЩЕСТВО С ОГРАНИЧЕННОЙ ОТВЕТСТВЕННОСТЬЮ "АВТОФУРГОН"</t>
  </si>
  <si>
    <t>2005-04-08</t>
  </si>
  <si>
    <t>29.10.5</t>
  </si>
  <si>
    <t>Производство автомобилей специального назначения</t>
  </si>
  <si>
    <t>45.19.1,23.61,23.63,28.99,29.10.3,29.10.5,29.20,42.99,47.52.71,49.39,49.41,52.29,68.10.22</t>
  </si>
  <si>
    <t>КОМАРОВ ИГОРЬ ВАЛЕРИЕВИЧ</t>
  </si>
  <si>
    <t>429430,  ЧУВАШСКАЯ РЕСПУБЛИКА - ЧУВАШИЯ, Г. КОЗЛОВКА, Р-Н КОЗЛОВСКИЙ, УЛ. КАРЛА МАРКСА, Д.1</t>
  </si>
  <si>
    <t>+78353421251,+78353421295,+79033572230,+79033588424,+79603099868,+78353421259,+78353422450,+78353421294,+78353425732,+79626003431,+74996388671,+78002508303,+79033587925,+79033221009</t>
  </si>
  <si>
    <t>a-furgon.ru</t>
  </si>
  <si>
    <t>avtofurgon@mail.ru,info@a-furgon.ru,avtofurgon@mai.ru,avtofurgon5@mail.ru,avtofurgonf@mail.ru,a-furgon@rambler.ru,a-furgon@rambler.ru,,avofurgon@mail.ru,furgon295@hotbox.ru</t>
  </si>
  <si>
    <t>ООО "ЭЛИНОКС"</t>
  </si>
  <si>
    <t>ОБЩЕСТВО С ОГРАНИЧЕННОЙ ОТВЕТСТВЕННОСТЬЮ "ЭЛИНОКС"</t>
  </si>
  <si>
    <t>2007-06-04</t>
  </si>
  <si>
    <t>27.90</t>
  </si>
  <si>
    <t>Производство прочего электрического оборудования</t>
  </si>
  <si>
    <t>16.10,16.10.9,16.23,16.24,17.21,25.99,28.25,28.93,31.01,35.13,35.30,36.00,46.6,46.73,46.90,47.11.3,47.9,56.29,68.20,77.39.1,77.39.2</t>
  </si>
  <si>
    <t>БЕЛКОВ ВЛАДИМИР ИВАНОВИЧ</t>
  </si>
  <si>
    <t>428020,  ЧУВАШСКАЯ РЕСПУБЛИКА - ЧУВАШИЯ, Г. ЧЕБОКСАРЫ, ПР-Д БАЗОВЫЙ, Д.17</t>
  </si>
  <si>
    <t>+78352289934,+78352289952,+78352289944,+78352289950,+78352560685,+79053401130,+79053455087,+79196618254,+78352226276,+78352286353,+78353425446</t>
  </si>
  <si>
    <t>www.elinox.ru</t>
  </si>
  <si>
    <t>doz@elinox.ru,2370438@mail.ru,elinokc@mail.ru</t>
  </si>
  <si>
    <t>326</t>
  </si>
  <si>
    <t>ООО "КОМПЛЕКТЭНЕРГО"</t>
  </si>
  <si>
    <t>ОБЩЕСТВО С ОГРАНИЧЕННОЙ ОТВЕТСТВЕННОСТЬЮ "КОМПЛЕКТЭНЕРГО"</t>
  </si>
  <si>
    <t>2005-02-25</t>
  </si>
  <si>
    <t>46.69.5</t>
  </si>
  <si>
    <t>Торговля оптовая производственным электротехническим оборудованием, машинами, аппаратурой и материалами</t>
  </si>
  <si>
    <t>27.12,41.2,43.21,46.69.5,46.69.9,46.90,49.4,52.24,52.29,62.0,62.01,62.02,62.02,64.9,68.10,68.10.1,68.20,70.22,71.11,71.12,71.20,72.19,73.11,73.20.1,74.90,77.11,77.39,85.23,85.42</t>
  </si>
  <si>
    <t>ОРЛОВ ИВАН ВИКТОРОВИЧ</t>
  </si>
  <si>
    <t>428003,  ЧУВАШСКАЯ РЕСПУБЛИКА - ЧУВАШИЯ, Г. ЧЕБОКСАРЫ, ПР-КТ И.Я.ЯКОВЛЕВА, ЗД. 3А, ПОМЕЩ. Б503</t>
  </si>
  <si>
    <t>+78352574090,+78352627640,+78352574065,+78352574085,+78352220020,+78352535110,+74956404056,+78352330750,+78352574665,+75740651142,+79170776320,+78352610035,+73526574065</t>
  </si>
  <si>
    <t>www.k-energo.com</t>
  </si>
  <si>
    <t>info@k-energo.com,info@kegroup.ru,info.k-energo@mail.ru,mail@mail.ru</t>
  </si>
  <si>
    <t>68</t>
  </si>
  <si>
    <t>ООО "ПИОНЕР-ЛИЗИНГ"</t>
  </si>
  <si>
    <t>ОБЩЕСТВО С ОГРАНИЧЕННОЙ ОТВЕТСТВЕННОСТЬЮ "ПИОНЕР-ЛИЗИНГ"</t>
  </si>
  <si>
    <t>2005-04-27</t>
  </si>
  <si>
    <t>46.11,46.12,46.13,46.14,46.15,46.16,46.17,46.18,46.19,62.01,62.02,62.02.1,62.02.4,62.03.13,62.09,63.11.1,64.91,64.99,64.99.11,64.99.4,73.20</t>
  </si>
  <si>
    <t>АРХИПОВ НИКОЛАЙ АЛЕКСЕЕВИЧ</t>
  </si>
  <si>
    <t>428001,  ЧУВАШСКАЯ РЕСПУБЛИКА - ЧУВАШИЯ, Г ЧЕБОКСАРЫ, ПР-КТ МАКСИМА ГОРЬКОГО, Д. 5, К. 2, ПОМЕЩ. 5</t>
  </si>
  <si>
    <t>+78352458989,+79876766662,+78352454560,+78352457711,+78352550207,+79033221702,+78003003939,+78352386899,+78353003939</t>
  </si>
  <si>
    <t>mail@pioneer-leasing.ru</t>
  </si>
  <si>
    <t>ООО "МАРИИНСКО-ПОСАДСКИЙ МАСЛОЗАВОД"</t>
  </si>
  <si>
    <t>ОБЩЕСТВО С ОГРАНИЧЕННОЙ ОТВЕТСТВЕННОСТЬЮ "МАРИИНСКО-ПОСАДСКИЙ МАСЛОЗАВОД"</t>
  </si>
  <si>
    <t>2008-12-02</t>
  </si>
  <si>
    <t>10.4</t>
  </si>
  <si>
    <t>Производство растительных и животных масел и жиров</t>
  </si>
  <si>
    <t>01.1,01.11.3,01.2,10.41.5,10.41.54,46.33,46.33.3,46.38,49.41,52.21.2,52.29,55.20</t>
  </si>
  <si>
    <t>МОРОЗОВ МАКСИМ ВИКТОРОВИЧ</t>
  </si>
  <si>
    <t>428003, ЧУВАШСКАЯ РЕСПУБЛИКА - ЧУВАШИЯ, Г.О. ГОРОД ЧЕБОКСАРЫ, Г ЧЕБОКСАРЫ, УЛ НИЖЕГОРОДСКАЯ, ЗД. 6, СТР. 2, ПОМЕЩ. 5А, ПОМЕЩ. 6.1</t>
  </si>
  <si>
    <t>+79279909575,+78354221685</t>
  </si>
  <si>
    <t>79</t>
  </si>
  <si>
    <t>ООО "ЗИТ"</t>
  </si>
  <si>
    <t>ОБЩЕСТВО С ОГРАНИЧЕННОЙ ОТВЕТСТВЕННОСТЬЮ "ЗАВОД ИННОВАЦИОННЫХ ТЕХНОЛОГИЙ"</t>
  </si>
  <si>
    <t>2010-02-26</t>
  </si>
  <si>
    <t>25.11,26.11,26.30,26.40,26.51,26.51.4,27.11,27.20,27.32,27.40,27.90,28.49,30.30.5,33.14,33.20,41.10,41.2,41.20,43.2,43.21,43.29,43.3,43.99.1,46.62,46.69.5,46.69.9,46.90,47.91.2,47.91.3,47.91.4,51.22.3,52.29,53.20.1,61.10.9,62.01,62.02,68.20.2,69,69.10,71.12.1,71.12.6,72.1,84.22</t>
  </si>
  <si>
    <t>ПАНКОВ ДМИТРИЙ СЕРГЕЕВИЧ</t>
  </si>
  <si>
    <t>429920,  ЧУВАШСКАЯ РЕСПУБЛИКА - ЧУВАШИЯ, Р-Н ЦИВИЛЬСКИЙ, П. МОЛОДЕЖНЫЙ, УЛ. ЗАВОДСКАЯ, ЗД. 19, К. 1</t>
  </si>
  <si>
    <t>+78354522704,+79278401210,+78003332358,+79520226160,+78352704704,+79003303050,+79050281365,+79170668350,+79276661699,+78354522740</t>
  </si>
  <si>
    <t>www.zit21.ru,zit21.ru</t>
  </si>
  <si>
    <t>career@zit21.ru,ai@zit21.ru</t>
  </si>
  <si>
    <t>318</t>
  </si>
  <si>
    <t>ООО "АВТОН"</t>
  </si>
  <si>
    <t>ОБЩЕСТВО С ОГРАНИЧЕННОЙ ОТВЕТСТВЕННОСТЬЮ "АВТОН"</t>
  </si>
  <si>
    <t>2009-03-20</t>
  </si>
  <si>
    <t>45.11.2,41.2,43.3,45.11,45.11.1,45.11.2,45.11.3,45.11.31,45.11.39,45.11.4,45.11.4,45.11.41,45.11.49,45.19,45.19.1,45.19.2,45.19.3,45.19.31,45.19.39,45.19.4,45.19.41,45.19.49,45.20,45.20.1,45.20.2,45.20.2,45.3,45.31.1,45.32,47.24,47.25.2,47.29,47.30,47.43,47.91.2</t>
  </si>
  <si>
    <t>+79176604957,+78352230077,+79876794379,+79276691200,+78352220120,+78423222100,+78352238000,+78352230066,+78362381111,+78352321110</t>
  </si>
  <si>
    <t>nissan21.ru</t>
  </si>
  <si>
    <t>d.egorov@alyans-auto.ru,a.ivanov@alyans-auto.ru,corp@alyans-auto.ru,reception@nissan21.ru,rop@almotors.ru,corp@alyans-autо.ru,a.ivanov@almotors.ru,a.ivanov@alyans-avto.ru,ruzankinai@mail.ru,1@1.ru,copr2@almotors.ru,sto@rissor21.ru,assist@nissan21.ru,avton@mail.ru,fleet@nissan21.ru</t>
  </si>
  <si>
    <t>ООО "ФРОСТО"</t>
  </si>
  <si>
    <t>ОБЩЕСТВО С ОГРАНИЧЕННОЙ ОТВЕТСТВЕННОСТЬЮ "ФРОСТО"</t>
  </si>
  <si>
    <t>2011-02-17</t>
  </si>
  <si>
    <t>16.10,16.10.9,16.23,16.24,28.25,28.29,28.93,35.13,35.30,46.6,46.73,46.90,47.9,56.29,71.12,72.19,77.39.1,77.39.2</t>
  </si>
  <si>
    <t>ГУЩИН ДМИТРИЙ ВАЛЕРЬЕВИЧ</t>
  </si>
  <si>
    <t>428003, ЧУВАШСКАЯ РЕСПУБЛИКА - ЧУВАШИЯ, Г.О. ГОРОД ЧЕБОКСАРЫ, Г ЧЕБОКСАРЫ, ПР-Д БАЗОВЫЙ, ЗД. 8Г</t>
  </si>
  <si>
    <t>+78352225034,+78352640467,+79112124725</t>
  </si>
  <si>
    <t>okfro@torgtech.ru</t>
  </si>
  <si>
    <t>260</t>
  </si>
  <si>
    <t>ООО "ГК "ЭСТЕТ"</t>
  </si>
  <si>
    <t>ОБЩЕСТВО С ОГРАНИЧЕННОЙ ОТВЕТСТВЕННОСТЬЮ "ГРУППА КОМПАНИЙ "ЭСТЕТ"</t>
  </si>
  <si>
    <t>2012-02-22</t>
  </si>
  <si>
    <t>16.23.1</t>
  </si>
  <si>
    <t>Производство деревянных строительных конструкций и столярных изделий</t>
  </si>
  <si>
    <t>23.12,23.19,25.62,31.01,31.02,31.09,43.32,46.73.6,47.5,47.9,68.20,69.10,69.20,70.22,73.11,73.12</t>
  </si>
  <si>
    <t>РОМАНОВ ВЛАДИМИР ВАЛЕРЬЕВИЧ</t>
  </si>
  <si>
    <t>428031,  ЧУВАШСКАЯ РЕСПУБЛИКА - ЧУВАШИЯ, Г. ЧЕБОКСАРЫ, УЛ. ЛЕНИНСКОГО КОМСОМОЛА, Д. 25, К. 2, ОФИС 13/1</t>
  </si>
  <si>
    <t>+78354022110,+74991124915,+79176787846,+74991124563,+78005505821,+73544522518,+78354522518,+78354522110,+79876717959,+78352748538</t>
  </si>
  <si>
    <t>чебоксарскаяфабрикадверей.рф</t>
  </si>
  <si>
    <t>hr@estetdveri.ru</t>
  </si>
  <si>
    <t>971</t>
  </si>
  <si>
    <t>ООО "ФК ГРАНД КАПИТАЛ ЧЕБОКСАРЫ"</t>
  </si>
  <si>
    <t>ОБЩЕСТВО С ОГРАНИЧЕННОЙ ОТВЕТСТВЕННОСТЬЮ "ФК ГРАНД КАПИТАЛ ЧЕБОКСАРЫ"</t>
  </si>
  <si>
    <t>2016-07-13</t>
  </si>
  <si>
    <t>21.20.1,46.46.1,46.46.2</t>
  </si>
  <si>
    <t>ЗИЛЬБЕРМАН ДМИТРИЙ ВЛАДИМИРОВИЧ</t>
  </si>
  <si>
    <t>428022,  ЧУВАШСКАЯ РЕСПУБЛИКА - ЧУВАШИЯ, Г. ЧЕБОКСАРЫ, ПР-Д СКЛАДСКОЙ, Д. 6, ПОМЕЩ. 13</t>
  </si>
  <si>
    <t>+79872268188,+79050969362,+79656024467,+78352367030</t>
  </si>
  <si>
    <t>tender.chb@grand-capital.pro,ooofkgrand@ya.ru,emiheikin@grand-capital.net</t>
  </si>
  <si>
    <t>ООО "СМАРТ ТРЕЙД ЭМ ПИ ТИ"</t>
  </si>
  <si>
    <t>ОБЩЕСТВО С ОГРАНИЧЕННОЙ ОТВЕТСТВЕННОСТЬЮ "СМАРТ ТРЕЙД ЭМ ПИ ТИ"</t>
  </si>
  <si>
    <t>2017-09-25</t>
  </si>
  <si>
    <t>46.44.2</t>
  </si>
  <si>
    <t>Торговля оптовая чистящими средствами</t>
  </si>
  <si>
    <t>46.17.1,46.17.2,46.17.21,46.17.23,46.18.1,46.33.3,46.34.1,46.34.23,46.36.2,46.36.4,46.37,46.38.2,46.38.23,46.45,52.24,73.11</t>
  </si>
  <si>
    <t>МУСТАФИН АРТУР РАФИКОВИЧ</t>
  </si>
  <si>
    <t>428003, ЧУВАШСКАЯ РЕСПУБЛИКА - ЧУВАШИЯ, Г.О. ГОРОД ЧЕБОКСАРЫ, Г ЧЕБОКСАРЫ, УЛ ФЕДОРА ГЛАДКОВА, Д. 15А, СТР. 1, ПОМЕЩ. 22 (ВТОРОЙ ЭТАЖ)</t>
  </si>
  <si>
    <t>+79172425574,+79170677881</t>
  </si>
  <si>
    <t>АО "ЗАВОД "ЭЛЕКТРОПРИБОР"</t>
  </si>
  <si>
    <t>АКЦИОНЕРНОЕ ОБЩЕСТВО "ЗАВОД "ЭЛЕКТРОПРИБОР"</t>
  </si>
  <si>
    <t>1996-06-04</t>
  </si>
  <si>
    <t>10.71.1,10.71.2,10.73.1,25.72,27.90.9,28.25.13,33.14,55.10,56.29.2,68.20.29,71.12.12,10.71,27.12,27.90,33.14,55.10,79.90</t>
  </si>
  <si>
    <t>АФАНАСЬЕВ АЛЕКСАНДР НИКОЛАЕВИЧ</t>
  </si>
  <si>
    <t>429822,  ЧУВАШСКАЯ РЕСПУБЛИКА - ЧУВАШИЯ, Г. АЛАТЫРЬ, ПЛ. ОКТЯБРЬСКОЙ РЕВОЛЮЦИИ, Д. 23</t>
  </si>
  <si>
    <t>+78353122467,+78353125559,+78352395741,+78353121268,+78353121776,+78353120077,+78353121761,+78353120591,+78353121926,+78353120597,+72007720004,+78352250591,+78353150558,+78353150591,+78353120357</t>
  </si>
  <si>
    <t>erzia-hotel.ru,www.elpri-rele.ru/,www.elpri.rosprom.org</t>
  </si>
  <si>
    <t>elpri-pochta@mail.ru,erzia-hotel@yandex.ru,elpi-pochta@mail.ru,elpri-pochta@rmail.ru,elpri-ko@mail.ru</t>
  </si>
  <si>
    <t>ООО "СИТИМАТИК ЧУВАШИЯ"</t>
  </si>
  <si>
    <t>ОБЩЕСТВО С ОГРАНИЧЕННОЙ ОТВЕТСТВЕННОСТЬЮ "СИТИМАТИК ЧУВАШИЯ"</t>
  </si>
  <si>
    <t>2014-02-04</t>
  </si>
  <si>
    <t>38.11</t>
  </si>
  <si>
    <t>Сбор неопасных отходов</t>
  </si>
  <si>
    <t>46.90,77.12,38.11,38.21,46.49.49,46.90,47.7,47.9,49.32,49.4,52.29,81.29.9</t>
  </si>
  <si>
    <t>ДЕМИН АНДРЕЙ МИХАЙЛОВИЧ</t>
  </si>
  <si>
    <t>ВРЕМЕННО ИСПОЛНЯЮЩИЙ ОБЯЗАННОСТИ ГЕНЕРАЛЬНОГО ДИРЕКТОРА</t>
  </si>
  <si>
    <t>428034,  ЧУВАШСКАЯ РЕСПУБЛИКА - ЧУВАШИЯ, Г ЧЕБОКСАРЫ, ПР-КТ МОСКОВСКИЙ, Д. 19, К. 11, ПОМЕЩ. 2</t>
  </si>
  <si>
    <t>+78352623377,+78352623347,+78325623377,+78253709227,+79033455882,+78352709227,+78352709858,+78352709717,+78352709058,+78352243552,+78352235279,+78352709117,+78352709277,+79373983047,+78353349270,+78352231153,+78835709227,+78352706609,+78352774920,+78652709227,+78352709297,+73532709227,+78352635368,+78354029523,+78937014719,+78352771484,+78352709027,+78352211201,+78352732729,+78352737457,+78352590012</t>
  </si>
  <si>
    <t>info21@citymatic.ru,aa.stepanov@citymatic.ru,zakupki@mvkecocenter.ru,4info@yandex.ru,7@mvkecocenter.ru,info@mvkecocenter.ru,dogovor@mvkekocentr.ru,dagovor@mvkecocenter.ru,ogovor@mvkecocenter.ru,rc@mvkecocenter.ru,dogovor@mvkecocenter.ru,dogovor@mvkecjcenter.ru,dogovor@mvkecocentr.ru,dogovor@mvk.ru,dogovor@mvcecocenter.ru,uzr_gcheb@cbx.ru,dogovop@mvkecocenter.ru,dogovor@mvkecjcent.ru,ds50-nowch@yandex.ru,1@mail.ru,dogovor@mvkecocenetr.ru,dogovor2@mvkecocenter.ru,dogovor@mvkececenter.ru,mailer@ftender.ru,newcheb@mvkecocenter.ru,dogovor@mkecocenter.ru,dogovor@mkvecocenter.ru,dogovor@mvkcoctnter.ru,dogovor@mail.ru,dogovor@mkecocentr.ru,umto21@list.ru,dlgovor@mvkecocenter.ru,dogovor@mvkekocenter.ru,dogovor@mvkecjctnter.ru,dogovor@mvkecoctnter.ru,doqovor@mvkecocenter.ru,lic18@mail.ru,dogovor@mvkecocentre.ru,dogovor@mvkcocenter.ru,info@mvkekocenter.ru,dogovor@mvkecentr.ru,info@tbo-21.net,dogovor@mvkecocente.ru,dogovor@mvktcocentr.ru,sizo1reg21@mail.ru,dogovor@mvkecenter.ru,unfo@mvkecocenter.ru,disp@mvkecocenter.ru,rostelekom@rostelekom.ru,dogovor@mvkacocenter.ru</t>
  </si>
  <si>
    <t>АО "ШЗСА"</t>
  </si>
  <si>
    <t>АКЦИОНЕРНОЕ ОБЩЕСТВО "ШУМЕРЛИНСКИЙ ЗАВОД СПЕЦИАЛИЗИРОВАННЫХ АВТОМОБИЛЕЙ"</t>
  </si>
  <si>
    <t>1996-07-01</t>
  </si>
  <si>
    <t>29.20.4,29.32.3,56.29.2,68.20.29,29.10,29.10.5,29.2,72.19</t>
  </si>
  <si>
    <t>ОБЩЕСТВО С ОГРАНИЧЕННОЙ ОТВЕТСТВЕННОСТЬЮ "КОРПОРАЦИЯ "ПРОЕКТ-ТЕХНИКА"</t>
  </si>
  <si>
    <t>429122,  ЧУВАШСКАЯ РЕСПУБЛИКА - ЧУВАШИЯ, Г. ШУМЕРЛЯ, УЛ. ЩЕРБАКОВА, Д.60, -, -</t>
  </si>
  <si>
    <t>+74957756290,+78353667001,+78353667200,+78353667343,+78353667258,+74956935538,+78353667028,+78353667225,+78353654042,+74855250066,+74855250077</t>
  </si>
  <si>
    <t>www.disclosure.ru/issuer/2125000458,www.shzsa.ru,specmobili.ru</t>
  </si>
  <si>
    <t>shzsa@pr-t.ru,,dfo3@mil.ru,sales@pr-t.ru,_@_.ru,afonina@pr-t.ru,milin@pr-t.ru,shzsa@pr-t.ru,belova@pr-t.ru,,null@null.ru,tender-shzsa@pr-t.ru,tender@pr-t.ru,info@shzsa.ru,info@pr-t.ru,petrenko@pr-t.ru</t>
  </si>
  <si>
    <t>ООО "ВУРНАРСКИЙ МЯСОКОМБИНАТ"</t>
  </si>
  <si>
    <t>ОБЩЕСТВО С ОГРАНИЧЕННОЙ ОТВЕТСТВЕННОСТЬЮ "ВУРНАРСКИЙ МЯСОКОМБИНАТ"</t>
  </si>
  <si>
    <t>2008-08-01</t>
  </si>
  <si>
    <t>10.11.1,10.11.3,10.11.4,10.11.5,10.13.1,10.13.3,10.13.4,10.13.7,10.71.1,10.73.1,46.90,56.10.1,56.29.2,01.11.2,01.29,01.42,01.61,03.22,10.1,10.11.1,10.11.2,10.11.3,10.11.5,10.13.1,10.13.2,10.13.3,10.13.4,10.13.5,10.13.6,10.13.7,10.71,10.72,10.8,10.85,10.89,10.89.1,10.89.5,10.89.6,10.89.7,10.89.8,10.89.9,46.24,47.22,47.23,47.24,47.25,47.26,47.29,47.73,47.74,47.75,56.10.1</t>
  </si>
  <si>
    <t>МИХАЙЛОВ ВИТАЛИЙ ВАДИМОВИЧ</t>
  </si>
  <si>
    <t>+78353721164,+78353725164,+78352621539,+78352633754,+78352491111,+78353726228,+78353727273,+78353727546,+78353621539,+78353727213,+78063834221,+78352725164,+78353325164,+78353725122,+78353725162,+78352441868,+78353725015,+78353725539,+79033581860</t>
  </si>
  <si>
    <t>вмк21.рф</t>
  </si>
  <si>
    <t>vur_vmk21@mail.ru,vmk_zakupki@mail.ru,aleik@cbx.ru,vmk-zakupki@mail.ru,vmk_zakaz@mail.ru,vur_vmk21@mail.ruru,vur_vmk21@mail.ruu</t>
  </si>
  <si>
    <t>340</t>
  </si>
  <si>
    <t>ООО "ЧЭТА"</t>
  </si>
  <si>
    <t>ОБЩЕСТВО С ОГРАНИЧЕННОЙ ОТВЕТСТВЕННОСТЬЮ "ЧЕБОКСАРСКАЯ ЭЛЕКТРОТЕХНИКА И АВТОМАТИКА"</t>
  </si>
  <si>
    <t>2001-08-29</t>
  </si>
  <si>
    <t>33.20,46.69.5,27.11,27.12,46.14,46.69.5,47.7,66.12.2,68.31,70.10.2,70.22,71.12.1,71.12.12,71.12.45,71.12.8,73.20</t>
  </si>
  <si>
    <t>КОЛБАСОВ АЛЕКСАНДР ВАСИЛЬЕВИЧ</t>
  </si>
  <si>
    <t>428022,  ЧУВАШСКАЯ РЕСПУБЛИКА - ЧУВАШИЯ, Г. ЧЕБОКСАРЫ, ПР-Д АВТОЗАПРАВОЧНЫЙ, Д.24</t>
  </si>
  <si>
    <t>+78352541713,+78352283416,+78352308005,+78352541787,+78352308125,+78352635148,+70783525417,+70783526306,+78352308331,+78352308151,+78352630625,+78352630019,+78352641787</t>
  </si>
  <si>
    <t>www.cheta.ru</t>
  </si>
  <si>
    <t>chetaco@cbx.ru</t>
  </si>
  <si>
    <t>486</t>
  </si>
  <si>
    <t>ООО "РЕЛЕМАТИКА"</t>
  </si>
  <si>
    <t>ОБЩЕСТВО С ОГРАНИЧЕННОЙ ОТВЕТСТВЕННОСТЬЮ "РЕЛЕМАТИКА"</t>
  </si>
  <si>
    <t>2001-03-30</t>
  </si>
  <si>
    <t>26.51,33.14,46.69.5,46.69.9,62.01,62.02,63.11,71.12,72.19,85.21,85.22</t>
  </si>
  <si>
    <t>СОЛОНИНА ИРИНА СЕРГЕЕВНА</t>
  </si>
  <si>
    <t>+78352574321,+74993808600,+78352240650,+78352574320,+78352240243,+78352626187,+77272917694,+77272922818,+77273250808,+78002501521,+78002502095,+78352574323,+79166072494,+78352614323,+78352614322,+72406502012,+72406502089,+74212264335</t>
  </si>
  <si>
    <t>ic-bresler.ru</t>
  </si>
  <si>
    <t>yakimova_on@relematika.ru,info@relematika.ru,market@relematika.ru,yandushkina_in@relematika.ru,hr@ic-bresler.ru,market@ic-bresler.ru,klyshko-ra@dvgk.rao-esv.ru,egorova_ev@ic-bresler.ru,a.n.bagauri@gmail.com,info@ic-bresler.ru,yandushkina_in@ic-bresler.ru</t>
  </si>
  <si>
    <t>АО "ЗАВОД "ЧУВАШКАБЕЛЬ"</t>
  </si>
  <si>
    <t>АКЦИОНЕРНОЕ ОБЩЕСТВО "ЧЕБОКСАРСКИЙ ЗАВОД КАБЕЛЬНЫХ ИЗДЕЛИЙ "ЧУВАШКАБЕЛЬ"</t>
  </si>
  <si>
    <t>18.12,22.29.2,32.12.1,32.12.2,33.14,33.20,35.13,35.30.3,36.00.2,38.1,38.2,49.41.1,49.41.2,56.29,61.10.1,71.20.3,71.20.8,72.19</t>
  </si>
  <si>
    <t>ВАСИЛЬЕВ ДМИТРИЙ ЮРЬЕВИЧ</t>
  </si>
  <si>
    <t>428003,  ЧУВАШСКАЯ РЕСПУБЛИКА - ЧУВАШИЯ, Г ЧЕБОКСАРЫ, ПР-Д КАБЕЛЬНЫЙ, Д. 7</t>
  </si>
  <si>
    <t>+78352631654,+78352631751,+78352525783,+78352540802,+78352546001,+78007070069,+78352523250,+73433119524,+78352419991,+78352231751,+78352523469,+78352526019,+78352300427,+78352300418,+78352300469,+78352640802</t>
  </si>
  <si>
    <t>www.chuvashcable.ru,,www.e-disclosure.ru/portal/company.aspx?id=3295,www.chuvashcable.ru</t>
  </si>
  <si>
    <t>chk@cable.chtts.ru,,gtv@cable.chtts.ru,,postmaster@cable.chtts.ru,chk@cable.chtts.ru,mag@ch-k.ru,pev@ch-k.ru,uuv@ch-k.ru,info@chuvashcable.ru,ipcab@cheboksary.chuvashia.ru,kmvv@ch-k.ru,avvl@ch-k.ru,asvv@ch-k.ru,kabel@ch-k.ru</t>
  </si>
  <si>
    <t>АО "ВНИИР-ПРОГРЕСС"</t>
  </si>
  <si>
    <t>АКЦИОНЕРНОЕ ОБЩЕСТВО "ВНИИР-ПРОГРЕСС"</t>
  </si>
  <si>
    <t>2011-10-14</t>
  </si>
  <si>
    <t>22.2,26.1,26.11,26.12,26.20,26.51,26.51.1,26.51.2,26.51.8,27.11,27.12,27.90,28.99,33.13,33.14,71.12.12,71.12.6,71.12.61,71.20,77.33</t>
  </si>
  <si>
    <t>КОСТИН ВЛАДИСЛАВ ВЯЧЕСЛАВОВИЧ</t>
  </si>
  <si>
    <t>+78352390031,+78352390028,+78352390001,+78352390023,+78352390029,+78352390030,+78352390000,+74957354244,+78352390002,+73852390023,+74957354259,+78123275193,+78123275197,+78123275194,+78352560916,+78352390022</t>
  </si>
  <si>
    <t>www.e-disclosure.ru/portal/company.aspx?id=30679,www.abselelectro.com</t>
  </si>
  <si>
    <t>masterlitvinenko@yandex.ru,account@vniir.spb.ru,-@-.ru,office@vniir.spb.ru,vniir@vniir.ru,atish@vniir.spb.ru,offise@vniir.spb.ru,progress@vniir.ru</t>
  </si>
  <si>
    <t>АО "ЧУВАШТОРГТЕХНИКА"</t>
  </si>
  <si>
    <t>АКЦИОНЕРНОЕ ОБЩЕСТВО "ЧУВАШТОРГТЕХНИКА"</t>
  </si>
  <si>
    <t>1996-06-24</t>
  </si>
  <si>
    <t>33.12,46.90,47.78.9,49.4,52.29</t>
  </si>
  <si>
    <t>ХАЙРУТДИНОВ НАИЛЬ ГАЯЗДИНОВИЧ</t>
  </si>
  <si>
    <t>428020,  ЧУВАШСКАЯ РЕСПУБЛИКА - ЧУВАШИЯ, Г. ЧЕБОКСАРЫ, ПР-Д БАЗОВЫЙ, Д.28</t>
  </si>
  <si>
    <t>+78352210605,+78352210600,+78352560600,+78353522099,+79063832998,+78353522779</t>
  </si>
  <si>
    <t>torgtechabat.narod.ru/about.html,,www.torgtech.ru</t>
  </si>
  <si>
    <t>priem@torgtech.ru,,priem@torgtech.ru,market@abat.ru</t>
  </si>
  <si>
    <t>353</t>
  </si>
  <si>
    <t>АО "АККОНД"</t>
  </si>
  <si>
    <t>АКЦИОНЕРНОЕ ОБЩЕСТВО "АККОНД"</t>
  </si>
  <si>
    <t>10.82.2</t>
  </si>
  <si>
    <t>Производство шоколада и сахаристых кондитерских изделий</t>
  </si>
  <si>
    <t>10.72.31,10.72.33,10.72.34,10.72.35,46.90,49.41.2,56.29.2,68.20.29,10.71,10.71.1,10.72,10.82,41.20,46.36,46.36.3,47.11,47.24,47.24.2,47.24.21,47.24.22,47.25,47.9,49.4,56.29,64.99.11</t>
  </si>
  <si>
    <t>ИВАНОВ ВАЛЕРИЙ НИКОЛАЕВИЧ</t>
  </si>
  <si>
    <t>428022,  ЧУВАШСКАЯ РЕСПУБЛИКА - ЧУВАШИЯ, Г. ЧЕБОКСАРЫ, ПР-Д СКЛАДСКОЙ, Д. 16</t>
  </si>
  <si>
    <t>+78352633252,+78352631556,+78352630212,+78352230211,+78352631671,+78352632719,+78352630113,+78352632317,+78352633558,+78352626548,+78352630282,+72317883526,+73355888352,+76265488835,+72630212883,+75263028288,+73526315568,+78835223021,+71883526301,+71388352631,+76718835263,+78352633237,+78352200244,+78352231671,+79176706555,+78352550244</t>
  </si>
  <si>
    <t>www.e-disclosure.ru/portal/company.aspx?id=4091,akkond.ru</t>
  </si>
  <si>
    <t>akkond@chtts.ru,kadry@akkond.com+78352550244,smolencev@akkond.com,germanov@akkond.com</t>
  </si>
  <si>
    <t>2728</t>
  </si>
  <si>
    <t>ООО "АККОНД-ТОРГ"</t>
  </si>
  <si>
    <t>ОБЩЕСТВО С ОГРАНИЧЕННОЙ ОТВЕТСТВЕННОСТЬЮ "АККОНД-ТОРГ"</t>
  </si>
  <si>
    <t>2005-12-01</t>
  </si>
  <si>
    <t>47.24</t>
  </si>
  <si>
    <t>Торговля розничная хлебом и хлебобулочными изделиями и кондитерскими изделиями в специализированных магазинах</t>
  </si>
  <si>
    <t>46.36,46.36.3,46.38,47.11,47.24,47.24.2,47.24.21,47.24.22,47.25,47.26,47.29,47.29.33,47.29.35,49.4,56.10,56.29,68.20</t>
  </si>
  <si>
    <t>ВАСИЛЬЕВА ЕЛЕНА ВЛАДИМИРОВНА</t>
  </si>
  <si>
    <t>428022,  ЧУВАШСКАЯ РЕСПУБЛИКА - ЧУВАШИЯ, Г. ЧЕБОКСАРЫ, ПР-Д СКЛАДСКОЙ, Д.17</t>
  </si>
  <si>
    <t>+78352633237,+78352635491,+78352230212,+78352737534,+79603146450,+79876778888,+78352230215,+78352632140,+78352200244,+78352230207</t>
  </si>
  <si>
    <t>atkadry@akkond.com</t>
  </si>
  <si>
    <t>241</t>
  </si>
  <si>
    <t>ООО "НИП"</t>
  </si>
  <si>
    <t>ОБЩЕСТВО С ОГРАНИЧЕННОЙ ОТВЕТСТВЕННОСТЬЮ "НИП"</t>
  </si>
  <si>
    <t>2012-03-06</t>
  </si>
  <si>
    <t>42.22</t>
  </si>
  <si>
    <t>Строительство коммунальных объектов для обеспечения электроэнергией и телекоммуникациями</t>
  </si>
  <si>
    <t>25.11,26.51.7,27.12,33.14,33.20,35.11,35.12,41.20,42.22.2,43.12,43.2,43.21,43.29,43.3,43.39,43.91,43.99,45.20,46.69.5,46.90,47.52.7,52.10,52.21,52.21.24,52.24,71.1,71.12,71.12.12,71.12.6,74.20,82.92</t>
  </si>
  <si>
    <t>АЛЕКСЕЕВ АНДРЕЙ ВАСИЛЬЕВИЧ</t>
  </si>
  <si>
    <t>428000,  ЧУВАШСКАЯ РЕСПУБЛИКА - ЧУВАШИЯ, Г ЧЕБОКСАРЫ, УЛ АФАНАСЬЕВА, Д. 8, ОФИС 112</t>
  </si>
  <si>
    <t>+79051976144</t>
  </si>
  <si>
    <t>alekseevav81@mail.ru,sas@nipdoc.ru,buh@nipdoc.ru</t>
  </si>
  <si>
    <t>ООО "ЭЛТЕРА"</t>
  </si>
  <si>
    <t>ОБЩЕСТВО С ОГРАНИЧЕННОЙ ОТВЕТСТВЕННОСТЬЮ "ЭЛТЕРА"</t>
  </si>
  <si>
    <t>2015-06-04</t>
  </si>
  <si>
    <t>26.51,27.12,27.90,31.01,41.20,42.91.2,43.11,43.12.3,43.21,43.31,43.33,43.34,43.39,43.91,43.99,43.99.1,46.65,71.11,71.12</t>
  </si>
  <si>
    <t>ДОМЕНТЬЕВ ДМИТРИЙ АЛЕКСАНДРОВИЧ</t>
  </si>
  <si>
    <t>428008, ЧУВАШСКАЯ РЕСПУБЛИКА - ЧУВАШИЯ, Г.О. ГОРОД ЧЕБОКСАРЫ, Г. ЧЕБОКСАРЫ, УЛ. ТЕКСТИЛЬЩИКОВ, ЗД. 8, ПОМЕЩ. 378</t>
  </si>
  <si>
    <t>+78352238563,+79876635328</t>
  </si>
  <si>
    <t>tender@eltera.pro,info@eltera.pro,nfo@eltera.pro,oks@eltera.pro,info@eltera.ru,kog@eltera.pro,shdb@eltera.pro,kea@eltera.pro,iar@eltera.pro</t>
  </si>
  <si>
    <t>378</t>
  </si>
  <si>
    <t>ООО "ТД "ДОРИСС-СНАБ"</t>
  </si>
  <si>
    <t>ОБЩЕСТВО С ОГРАНИЧЕННОЙ ОТВЕТСТВЕННОСТЬЮ "ТОРГОВЫЙ ДОМ "ДОРИСС-СНАБ"</t>
  </si>
  <si>
    <t>2013-02-01</t>
  </si>
  <si>
    <t>33.12,43.99,45.1,45.20,45.3,45.40,46.12,46.13,46.14,46.15,46.16,46.41,46.41.2,46.42,46.43,46.44,46.45,46.46,46.49,46.63,46.69.2,46.69.3,46.69.9,46.71,46.72,46.74,46.75,46.76,46.77,46.90,47.30,49.4,52.21.2,52.24,52.29,69.10,69.20,73.11,77.32,77.39.1,82.99</t>
  </si>
  <si>
    <t>СЕМАГИНА ЛИДИЯ ВАСИЛЬЕВНА</t>
  </si>
  <si>
    <t>428037,  ЧУВАШСКАЯ РЕСПУБЛИКА - ЧУВАШИЯ, Г. ЧЕБОКСАРЫ, ПР-Д КАБЕЛЬНЫЙ, Д.2А</t>
  </si>
  <si>
    <t>+78352308852</t>
  </si>
  <si>
    <t>ООО "ТД "АККОНД"</t>
  </si>
  <si>
    <t>ОБЩЕСТВО С ОГРАНИЧЕННОЙ ОТВЕТСТВЕННОСТЬЮ "ТОРГОВЫЙ ДОМ "АККОНД"</t>
  </si>
  <si>
    <t>2014-02-11</t>
  </si>
  <si>
    <t>46.36</t>
  </si>
  <si>
    <t>Торговля оптовая сахаром, шоколадом и сахаристыми кондитерскими изделиями</t>
  </si>
  <si>
    <t>46.33.1,46.33.3,46.36,46.36.3,46.38.26,47.24,47.24.2,47.24.21,47.24.22,47.29.1,47.29.11,47.29.21,47.29.22,47.29.33</t>
  </si>
  <si>
    <t>428003,  ЧУВАШСКАЯ РЕСПУБЛИКА - ЧУВАШИЯ, Г. ЧЕБОКСАРЫ, ПР-Д ХОЗЯЙСТВЕННЫЙ, Д.11А</t>
  </si>
  <si>
    <t>+78352631556,+78352633657,+79603004407,+78352620264</t>
  </si>
  <si>
    <t>sergeimairaslov@gmail.com,tender1@akkond.com,tender@akkond.com,smolencev@akkond.com,vasilev@akkond.com</t>
  </si>
  <si>
    <t>45</t>
  </si>
  <si>
    <t>ООО "ЧХЗ №1"</t>
  </si>
  <si>
    <t>ОБЩЕСТВО С ОГРАНИЧЕННОЙ ОТВЕТСТВЕННОСТЬЮ "ЧЕБОКСАРСКИЙ ХЛЕБОЗАВОД №1"</t>
  </si>
  <si>
    <t>2014-11-20</t>
  </si>
  <si>
    <t>10.71.1</t>
  </si>
  <si>
    <t>Производство хлеба и хлебобулочных изделий недлительного хранения</t>
  </si>
  <si>
    <t>10.71.2,10.71.3,10.72.1,10.72.31,10.72.32,10.72.35,10.82.2,10.89.9,46.90,47.11,68.20.21,10.61.3,10.71,10.71.1,10.72,10.82.2,10.85,35.30.14,46.33.3,46.36.1,46.38,46.49,47.24.1,47.24.21,47.24.22,47.25.1,47.29,49.41.1,49.41.3,68.20.2,73.11</t>
  </si>
  <si>
    <t>БАДАЕВА ЕЛЕНА ИГНАТЬЕВНА</t>
  </si>
  <si>
    <t>428038,  ЧУВАШСКАЯ РЕСПУБЛИКА - ЧУВАШИЯ, Г. ЧЕБОКСАРЫ, УЛ. ЭНТУЗИАСТОВ, Д.40</t>
  </si>
  <si>
    <t>+79061316395,+78352314395,+72126000500,+78352314282,+78352207282,+78352340029,+78352207395,+78352314899,+78352330929</t>
  </si>
  <si>
    <t>info@hz1.su,nfo@hz1.su,info@oao-hleb.ru,info@oao-hleВ.ru</t>
  </si>
  <si>
    <t>789</t>
  </si>
  <si>
    <t>ООО "АВТОДОР"</t>
  </si>
  <si>
    <t>ОБЩЕСТВО С ОГРАНИЧЕННОЙ ОТВЕТСТВЕННОСТЬЮ "АВТОДОР"</t>
  </si>
  <si>
    <t>2017-02-21</t>
  </si>
  <si>
    <t>23.61,23.63,23.64,23.99.2,23.99.3,25.11,33.11,33.12,42.13,42.22,42.91,42.99,46.73,47.52.7,49.41,49.42,71.12,77.12</t>
  </si>
  <si>
    <t>КУЗНЕЦОВ СЕРГЕЙ НИКОЛАЕВИЧ</t>
  </si>
  <si>
    <t>428022, ЧУВАШСКАЯ РЕСПУБЛИКА - ЧУВАШИЯ, Г.О. ГОРОД ЧЕБОКСАРЫ, Г ЧЕБОКСАРЫ, УЛ КАЛИНИНА, Д. 105/2, ОФИС 4</t>
  </si>
  <si>
    <t>+78422581040,+78352230433,+79373733025,+78352230431</t>
  </si>
  <si>
    <t>oooavtodor21@gmail.com,oooavtodor21@mail.ru,oooavtodor21@gmail.ru,avtodor21@yandex.ru,elitstroi2010@mail.ru</t>
  </si>
  <si>
    <t>177</t>
  </si>
  <si>
    <t>АО "ЛАМА"</t>
  </si>
  <si>
    <t>АКЦИОНЕРНОЕ ОБЩЕСТВО "ЛАМА"</t>
  </si>
  <si>
    <t>1994-01-18</t>
  </si>
  <si>
    <t>28.92</t>
  </si>
  <si>
    <t>Производство машин и оборудования для добычи полезных ископаемых и строительства</t>
  </si>
  <si>
    <t>22.19.3,46.69.9,46.71.2,47.30,22.19,22.29,25.50,25.62,25.93,25.94,28.92,33.12,41.20,43.91,45.1,46.61,46.62,46.63,46.71.2,46.72.21,46.90,47.11,47.19,47.22,47.23,47.24,47.25.2,47.26,47.29,47.30,47.61,47.7,47.71,47.73,47.74,47.75,55.10,56.10.1,64.99.12,68.10.23,68.31.11,68.31.12,68.31.21,68.31.22,68.31.31,68.31.32,68.31.41,68.31.42,96.09</t>
  </si>
  <si>
    <t>МИЛЛИНА ВЕРА НИКОЛАЕВНА
МИЛЛИН НИКОЛАЙ АЛЕКСАНДРОВИЧ</t>
  </si>
  <si>
    <t>212905820566
212400118757</t>
  </si>
  <si>
    <t>428024,  ЧУВАШСКАЯ РЕСПУБЛИКА - ЧУВАШИЯ, Г. ЧЕБОКСАРЫ, ПР-Д ГАРАЖНЫЙ, Д.13</t>
  </si>
  <si>
    <t>+78352259252,+78352222222,+78352287472,+79276683376,+78352287482,+78353021372,+78352568252,+78352554417,+78352287400,+78352383376,+78352528252</t>
  </si>
  <si>
    <t>zaolama.ru</t>
  </si>
  <si>
    <t>lama@mail.ru,lama@cbx.ru,lama@yandec.ru,s.rubcov@zaolama.ru</t>
  </si>
  <si>
    <t>214</t>
  </si>
  <si>
    <t>АО "ВНИИР"</t>
  </si>
  <si>
    <t>АКЦИОНЕРНОЕ ОБЩЕСТВО "ВСЕРОССИЙСКИЙ НАУЧНО-ИССЛЕДОВАТЕЛЬСКИЙ, ПРОЕКТНО-КОНСТРУКТОРСКИЙ И ТЕХНОЛОГИЧЕСКИЙ ИНСТИТУТ РЕЛЕСТРОЕНИЯ С ОПЫТНЫМ ПРОИЗВОДСТВОМ"</t>
  </si>
  <si>
    <t>27.12,27.9,46.52,46.90,68.20,71.12.12,71.2</t>
  </si>
  <si>
    <t>АНТОНОВ СЕРГЕЙ АНАТОЛЬЕВИЧ</t>
  </si>
  <si>
    <t>428027, ЧУВАШСКАЯ РЕСПУБЛИКА - ЧУВАШИЯ, Г.О. ГОРОД ЧЕБОКСАРЫ, Г ЧЕБОКСАРЫ, ПР-КТ И.Я.ЯКОВЛЕВА, Д. 4</t>
  </si>
  <si>
    <t>+78352390000,+78352210916,+78352390001,+74957354259,+79161365182,+74957354244,+78352610255,+78123275194,+74957534244,+78352580402,+78352390003,+78352560916,+78352390034,+73733910068,+74952306244,+74952306259,+70952306244,+70952306249</t>
  </si>
  <si>
    <t>www.vniir.ru/,www.vniir.ru,</t>
  </si>
  <si>
    <t>vniir@vniir.ru,masterlitvinenko@yandex.ru,mail@vniir.ru,vniir@chtts.ru,vniir@mail.ru,2128001516_781302001@eo.tensor.ru,mtishenko@abselectro.com,account@vniir.spb.ru,&lt;mtishenko@abselectro.com&gt;,ilo@vniir.ru,www.vniir@chtts.ru,nmaksimov@abselectro.com,afilippov@abselektro.com,privod@vniir.ru,atokarev@vniir.spb.ru,office@vniir.spb.ru,vniir@nail.ru,mtischenko@vniir.ru,null@null.ru</t>
  </si>
  <si>
    <t>ООО "СУ - 29"</t>
  </si>
  <si>
    <t>ОБЩЕСТВО С ОГРАНИЧЕННОЙ ОТВЕТСТВЕННОСТЬЮ "СТРОИТЕЛЬНОЕ УПРАВЛЕНИЕ - 29"</t>
  </si>
  <si>
    <t>23.61,23.63,25.11,25.61,25.62,25.93,25.99.2,42.11,43.11,43.12.3,43.22,43.31,43.32,43.33,43.34,43.39,43.91,43.99,43.99.1,46.90,49.41,68.10,71.12,77.32</t>
  </si>
  <si>
    <t>ГЕРОЕВ АЛЕКСАНДР ВАЛЕРЬЕВИЧ</t>
  </si>
  <si>
    <t>428003,  ЧУВАШСКАЯ РЕСПУБЛИКА - ЧУВАШИЯ, Г. ЧЕБОКСАРЫ, УЛ. ПЕТРОВА, Д. 6, ОФИС 1/2</t>
  </si>
  <si>
    <t>+74996480000,+78352562171,+78352667120,+78352212654,+78352562654</t>
  </si>
  <si>
    <t>admin@chestr-grupp.ru</t>
  </si>
  <si>
    <t>ООО "КОСТИНСТРОЙ"</t>
  </si>
  <si>
    <t>ОБЩЕСТВО С ОГРАНИЧЕННОЙ ОТВЕТСТВЕННОСТЬЮ "КОСТИНСТРОЙ"</t>
  </si>
  <si>
    <t>2000-09-20</t>
  </si>
  <si>
    <t>45.31.1,45.32.1,46.13.1,46.13.2,46.15,46.15.2,46.18.99,46.19,46.61.2,46.63,46.69,46.73.3,46.73.4,46.73.5,46.73.6,46.74.1,46.75,46.76.1,46.90,47.30.1,47.52.1,47.52.6,47.75.3,47.91.2,82.99</t>
  </si>
  <si>
    <t>УГАСИН СЕРГЕЙ ПЕТРОВИЧ</t>
  </si>
  <si>
    <t>428003,  ЧУВАШСКАЯ РЕСПУБЛИКА - ЧУВАШИЯ, Г ЧЕБОКСАРЫ, ПР-Д БАЗОВЫЙ, Д. 3, ПОМЕЩ. 5</t>
  </si>
  <si>
    <t>+78352570733,+78352560712,+78352610733,+79278585150,+78352570731,+78352570732</t>
  </si>
  <si>
    <t>www.kst21.ru</t>
  </si>
  <si>
    <t>kst-21@mail.ru,kst@kst21.ru,grigoreva@kst21.ru,kst-21z@mail.ru</t>
  </si>
  <si>
    <t>81</t>
  </si>
  <si>
    <t>АО "ВОЛГА АЙС"</t>
  </si>
  <si>
    <t>АКЦИОНЕРНОЕ ОБЩЕСТВО "ВОЛГА АЙС"</t>
  </si>
  <si>
    <t>10.52</t>
  </si>
  <si>
    <t>Производство мороженого</t>
  </si>
  <si>
    <t>46.38,46.90,49.41.2,52.10.1,68.20.1,68.20.29,10.51.3,10.52,43.99,52.10.1,52.10.9,52.29</t>
  </si>
  <si>
    <t>Романов Антон Владиславович</t>
  </si>
  <si>
    <t>428024,  ЧУВАШСКАЯ РЕСПУБЛИКА - ЧУВАШИЯ, Г. ЧЕБОКСАРЫ, ПР-КТ МИРА, Д.3</t>
  </si>
  <si>
    <t>+78352642111,+78352368096,+78352367002,+78352368080,+78352367001,+78352287990,+78352288243,+78352288273,+78352512247,+78352638133,+78352363636,+78352642233</t>
  </si>
  <si>
    <t>www.volga-ice.ru,disclosure.1prime.ru/portal/default.aspx?emid=2127010300,</t>
  </si>
  <si>
    <t>icecream@cbx.ru,info@volga-ice.ru</t>
  </si>
  <si>
    <t>175</t>
  </si>
  <si>
    <t>ООО "СЗ "СФ "ИНВЕСТ-ЛАД"</t>
  </si>
  <si>
    <t>ОБЩЕСТВО С ОГРАНИЧЕННОЙ ОТВЕТСТВЕННОСТЬЮ "СПЕЦИАЛИЗИРОВАННЫЙ ЗАСТРОЙЩИК "СТРОИТЕЛЬНАЯ ФИРМА "ИНВЕСТ-ЛАД"</t>
  </si>
  <si>
    <t>1993-04-01</t>
  </si>
  <si>
    <t>16.23,42.21,42.22.2,43.11,43.12.3,43.21,43.22,43.31,43.32,43.33,43.34,43.91,43.99,43.99.7,47.25,71.1,71.12.5,71.12.6</t>
  </si>
  <si>
    <t>ГОРДЕЕВ ВАЛЕРИЙ НИКОЛАЕВИЧ</t>
  </si>
  <si>
    <t>429965,  ЧУВАШСКАЯ РЕСПУБЛИКА - ЧУВАШИЯ, Г НОВОЧЕБОКСАРСК, УЛ ПРОМЫШЛЕННАЯ, ВЛД. 73, ПОМЕЩ. 2</t>
  </si>
  <si>
    <t>+78352586666,+78352410000</t>
  </si>
  <si>
    <t>komplex@hotbox.ru</t>
  </si>
  <si>
    <t>121</t>
  </si>
  <si>
    <t>АО "СКБ СПА"</t>
  </si>
  <si>
    <t>АКЦИОНЕРНОЕ ОБЩЕСТВО "СПЕЦИАЛЬНОЕ КОНСТРУКТОРСКОЕ БЮРО СИСТЕМ ПРОМЫШЛЕННОЙ АВТОМАТИКИ"</t>
  </si>
  <si>
    <t>1996-06-26</t>
  </si>
  <si>
    <t>25.62,28.14,33.12,33.14,35.11,38.21,43.21,46.69.9,72.19,81.29,81.30</t>
  </si>
  <si>
    <t>СМИРНОВ ОЛЕГ КЛИМОВИЧ</t>
  </si>
  <si>
    <t>УПРАВЛЯЮЩИЙ ИНДИВИДУАЛЬНЫЙ ПРЕДПРИНИМАТЕЛЬ</t>
  </si>
  <si>
    <t>428028, ЧУВАШСКАЯ РЕСПУБЛИКА - ЧУВАШИЯ, Г.О. ГОРОД ЧЕБОКСАРЫ, Г ЧЕБОКСАРЫ, ПР-КТ ТРАКТОРОСТРОИТЕЛЕЙ, Д. 84, ПОМЕЩ. 6</t>
  </si>
  <si>
    <t>+78352457714,+78352458493,+78352458950,+78352450442,+78352440104,+79196525554,+78352224025,+78352695135,+78352454999</t>
  </si>
  <si>
    <t>disclosure.1prime.ru/portal/default.aspx?emid=2128000329,,www.skbspa.ru</t>
  </si>
  <si>
    <t>skbspa@chtts.ru,bav@skbspa.ru,admin@2skbspa.ru,admin@skbspa.ru,primeh21@gmail.com,ok@skbspa.ru,admin@skbspa.ru,,om@skbspa.ru</t>
  </si>
  <si>
    <t>ООО "НПП БРЕСЛЕР"</t>
  </si>
  <si>
    <t>ОБЩЕСТВО С ОГРАНИЧЕННОЙ ОТВЕТСТВЕННОСТЬЮ "НПП БРЕСЛЕР"</t>
  </si>
  <si>
    <t>2004-05-05</t>
  </si>
  <si>
    <t>26.20,26.51,41.2,46.69.5,46.69.9,62.01,62.02,63.11,68.20.2,71.1,71.12.5,71.12.6,71.2,72.19</t>
  </si>
  <si>
    <t>ЕФИМОВ МАКСИМ НИКОЛАЕВИЧ</t>
  </si>
  <si>
    <t>УПРАВЛЯЮЩИЙ-ИНДИВИДУАЛЬНЫЙ ПРЕДПРИНИМАТЕЛЬ</t>
  </si>
  <si>
    <t>428000, ЧУВАШСКАЯ РЕСПУБЛИКА - ЧУВАШИЯ, Г.О. ГОРОД ЧЕБОКСАРЫ, Г ЧЕБОКСАРЫ, Ш ЯДРИНСКОЕ, ЗД. 4Г</t>
  </si>
  <si>
    <t>+78352237755,+78352367333,+79033221000,+78352459191,+73955052923,+78352220201,+78252237755,+78452220813</t>
  </si>
  <si>
    <t>bresler.ru</t>
  </si>
  <si>
    <t>otm@bresler.ru,ens@bresler.ru,info@bresler.ru,dogovor@bresler.ru,cherkasova@irkutskkabel.ru</t>
  </si>
  <si>
    <t>238</t>
  </si>
  <si>
    <t>ЗАО "ЗИСО"</t>
  </si>
  <si>
    <t>ЗАКРЫТОЕ АКЦИОНЕРНОЕ ОБЩЕСТВО "ЗАВОД ИГРОВОГО СПОРТИВНОГО ОБОРУДОВАНИЯ"</t>
  </si>
  <si>
    <t>2004-07-23</t>
  </si>
  <si>
    <t>32.30</t>
  </si>
  <si>
    <t>Производство спортивных товаров</t>
  </si>
  <si>
    <t>25.11,31.01,31.09,46.49,68.20.29,16.23.1,25.62,25.72,31.0,32.30,32.4,41.20,41.20,42.99,43.39,46.18.99,46.49.43,46.90,47.64,52.29,56.29,64.91,70.22,72.19,93.29</t>
  </si>
  <si>
    <t>ВАСИЛЬЕВ РОМАН ГРИГОРЬЕВИЧ</t>
  </si>
  <si>
    <t>428037,  ЧУВАШСКАЯ РЕСПУБЛИКА - ЧУВАШИЯ, Г. ЧЕБОКСАРЫ, ПР-Д МОНТАЖНЫЙ, Д.6Б</t>
  </si>
  <si>
    <t>+78352308467,+78352308468,+78352627224,+74997887849,+79276683777,+74959757849,+78352222304,+78325222123,+78352266460,+78352223282,+78353223282,+78352266183,+74114531508,+78352222123,+74997077496,+78352223204,+78352223203,+78352627239,+78352223208,+74999099455</t>
  </si>
  <si>
    <t>www.romana.ru</t>
  </si>
  <si>
    <t>st2007@list.ru,oxana_moscow@romana.ru,,iso@romana.ru,papaparomana@gmail.com,ziso@romana.ru,romana@romana.r,romana@romana.ru,1304@romana.ru,2127332219@yandex.ru,1206@romana.ru,eshpyneva@romana.ru,nantonova@romana.ru,abatlenov@romana.ru</t>
  </si>
  <si>
    <t>393</t>
  </si>
  <si>
    <t>ООО "ФИРМА "ЮНОНА-2"</t>
  </si>
  <si>
    <t>ОБЩЕСТВО С ОГРАНИЧЕННОЙ ОТВЕТСТВЕННОСТЬЮ "ФИРМА "ЮНОНА-2"</t>
  </si>
  <si>
    <t>2003-12-01</t>
  </si>
  <si>
    <t>25.11,43.11,43.12.3,46.72.21,46.72.22,47.29,52.10,52.10.9,70.22,73.11,82.99</t>
  </si>
  <si>
    <t>+78352531234</t>
  </si>
  <si>
    <t>ООО "КС"</t>
  </si>
  <si>
    <t>ОБЩЕСТВО С ОГРАНИЧЕННОЙ ОТВЕТСТВЕННОСТЬЮ "КЕЙСОФТ"</t>
  </si>
  <si>
    <t>2003-12-24</t>
  </si>
  <si>
    <t>58.29,62.02,62.09,63.11,63.11.1,68.20</t>
  </si>
  <si>
    <t>МАТРОСОВ АЛЕКСЕЙ АЛЕКСАНДРОВИЧ</t>
  </si>
  <si>
    <t>428001,  ЧУВАШСКАЯ РЕСПУБЛИКА - ЧУВАШИЯ, Г. ЧЕБОКСАРЫ, ПР-КТ МАКСИМА ГОРЬКОГО, ЗД. 18Б, ПОМ/КАБ 7/23</t>
  </si>
  <si>
    <t>+78352700530,+78352323323,+78352571033,+79056882089,+78753323323,+78362323323,+78353700530,+78352572757,+79678753780,+73852700530,+78512323323</t>
  </si>
  <si>
    <t>info@keysoft.info,keysoft_post@mail.ru,ivantaeva@keysystems.ru,info@keysoft.ru,prv@keysystems.ru,adm@keysystems.ru,simagina@voscopran.ru,toptull@keysystems.ru,info@keysystems.ru,nfo@keysoft.info,averkieva@keysystems.ru,chernova@keysystems.ru,keysoft@mail.ru,anya@keysystems.ru,info@keysoft.info.ru,----@yandex.ru,нет@mail.ru,buhadmnr@mail.ru,semenov@keysystems.ru,al@keysystems.ru,k-soft@list.ru</t>
  </si>
  <si>
    <t>ОБЩЕСТВО С ОГРАНИЧЕННОЙ ОТВЕТСТВЕННОСТЬЮ "КЕЙСИСТЕМС"</t>
  </si>
  <si>
    <t>2003-10-09</t>
  </si>
  <si>
    <t>68.20.29,58.29,62.01,62.02,62.09,63.11,63.11.1,68.20,68.20.2,72.19,73.11,85.42.9,95.11</t>
  </si>
  <si>
    <t>428001,  ЧУВАШСКАЯ РЕСПУБЛИКА - ЧУВАШИЯ, Г. ЧЕБОКСАРЫ, ПР-КТ МАКСИМА ГОРЬКОГО, ЗД. 18Б, ПОМЕЩ. 8</t>
  </si>
  <si>
    <t>+73432977963,+78352323323,+78432311714,+78352571119,+79118323323,+78352510569,+78352572757,+78352552757,+78352572767,+78652323323,+73852323323,+78352571033,+73519498525,+73523233235,+79033459967,+78352322322,+79118562100,+74912215802,+78353323323,+78835323323,+74735331788,+78253323323,+78352323232,+78252323323,+78352232323,+78353571033,+78362323323,+78533233323,+73904724882,+74866575724,+78353572757,+78352570183,+78352527527,+78352872757,+74957870888,+78155254879,+78352000000,+78835572757,+73912459532,+70000612757,+78835257275,+78353612757,+78352612757,+70003380448</t>
  </si>
  <si>
    <t>keysystems.ru</t>
  </si>
  <si>
    <t>chernova@keysystems.ru,prv@keysystems.ru,info@keysystems.ru,,prv@keysystems.ru,,semenov@keysystems.ru,info@keysystems.ru,pv@keysystems.ru,finupr@magnitogorsk.ru,prv@keysistems.ru,fotrbg@mail.ru,b52@keysystems.ru,babaeva@keysystems.ru,ivantaeva@keysystems.ru,pry@keysystems.ru,al@keysystems.ru,oshevneva@keysystems.ru,dvg@keysystems.ru,pvr@keysystems.ru,gavriliva@keysystems.ru,info@kesystems.ru,anya@keysystems.ru,prv@mail.ru,stifonova@keysystems.ru,info@keysistems.ru,prv@keysystems.ru;,prv@kyesystems.ru,zkp@frs66.ru,prv@keysvstems.ru,vyazovskaya@keysystems.ru,prn@keysystems.ru,budget@mail.ru,000@mail.ru,svirina2008@yandex.ru,111@mail.ru,mixalowa@mail.ru,sultanova@technadzor.ru,0@0.ru,rsn-axo@mail.ru,sokolov@keysystems.ru,pr@keysystems.ru,svod@keysystems.ru,net339@ya.ru,keysystems@mail.ru,pvr@keysestems.ru,pro@keysystems.ru,uc@keysystems.ru,1@1.ru,keisistems@mail.ru,support@comready.ru,pru@keysystems.ru</t>
  </si>
  <si>
    <t>411</t>
  </si>
  <si>
    <t>ООО "АВТОСНАБ"</t>
  </si>
  <si>
    <t>ОБЩЕСТВО С ОГРАНИЧЕННОЙ ОТВЕТСТВЕННОСТЬЮ "АВТОСНАБ"</t>
  </si>
  <si>
    <t>2006-08-30</t>
  </si>
  <si>
    <t>45.3</t>
  </si>
  <si>
    <t>Торговля автомобильными деталями, узлами и принадлежностями</t>
  </si>
  <si>
    <t>45.2,46.4,46.73,46.9,47.7,47.9,49.4,52.10,52.29</t>
  </si>
  <si>
    <t>ЛУКОНИН АЛЕКСАНДР НИКОЛАЕВИЧ</t>
  </si>
  <si>
    <t>428003,  ЧУВАШСКАЯ РЕСПУБЛИКА - ЧУВАШИЯ, Г ЧЕБОКСАРЫ, УЛ ЯКИМОВСКАЯ, ЗД. 107, СТР. 12, ОФИС 1</t>
  </si>
  <si>
    <t>+79519970517,+78352240530,+78352240373,+78352280457,+78352322050,+78352280648,+78352280090,+79033589484,+78352655315,+78352280092,+78352240560,+78352250560,+78352302410,+79876659301,+78352428800,+78352449363</t>
  </si>
  <si>
    <t>snab-auto.ru</t>
  </si>
  <si>
    <t>tyrex@snab-auto.ru,zakup@snab-auto.ru,zakup@snab-avto.ru,zaкup@snab-auto.ru,zakup@snab-futo.ru,zakupki@snab-auto.ru,zakup@snad-auto.ru,snabauto@yandex.ru,zarup@snab-auto.ru</t>
  </si>
  <si>
    <t>ООО "КАНМАШ ДСО"</t>
  </si>
  <si>
    <t>ОБЩЕСТВО С ОГРАНИЧЕННОЙ ОТВЕТСТВЕННОСТЬЮ "КАНМАШ ДСО"</t>
  </si>
  <si>
    <t>2005-06-03</t>
  </si>
  <si>
    <t>27.12,28.15.2,33.12,33.14,33.20,43.21,71.12.12</t>
  </si>
  <si>
    <t>ВОЛКОВ ТИМУР ГЕННАДЬЕВИЧ</t>
  </si>
  <si>
    <t>428003,  ЧУВАШСКАЯ РЕСПУБЛИКА - ЧУВАШИЯ, Г ЧЕБОКСАРЫ, ПР-Д МОНТАЖНЫЙ, Д. 23, ПОМЕЩ. 5</t>
  </si>
  <si>
    <t>+78353325555,+78353322586,+78353321921,+78002507500,+78353322585,+78353324473,+79136788066,+79176788066,+74872385939,+78007773409</t>
  </si>
  <si>
    <t>elbp.ru</t>
  </si>
  <si>
    <t>dso@kanmash.ru,market2@kanmash.ru,saintsboy@mail.ru</t>
  </si>
  <si>
    <t>128</t>
  </si>
  <si>
    <t>ООО "ВСК"</t>
  </si>
  <si>
    <t>ОБЩЕСТВО С ОГРАНИЧЕННОЙ ОТВЕТСТВЕННОСТЬЮ "ВОЛГОСТАЛЬКОНСТРУКЦИЯ"</t>
  </si>
  <si>
    <t>2009-07-21</t>
  </si>
  <si>
    <t>43.99.5</t>
  </si>
  <si>
    <t>Работы по монтажу стальных строительных конструкций</t>
  </si>
  <si>
    <t>22.21.9,25.11,25.11,25.12,41.20,42.99,43.99.5,71.1,71.11.1,71.12.45,71.12.5,71.12.6</t>
  </si>
  <si>
    <t>ДЕЛЬМАН ОЛЕГ АЛЕКСАНДРОВИЧ</t>
  </si>
  <si>
    <t>428903,  ЧУВАШСКАЯ РЕСПУБЛИКА - ЧУВАШИЯ, Г. ЧЕБОКСАРЫ, ПР-Д ЛАПСАРСКИЙ, ДОМ 11А</t>
  </si>
  <si>
    <t>+78352228545,+78352529903,+78352228079,+78352655023,+78352640609,+78352640693,+78352640694,+78352655032,+79170789159,+79279947103,+78352624409,+73526552023</t>
  </si>
  <si>
    <t>prom@vskcheb.ru,vskcheb@yandex.ru</t>
  </si>
  <si>
    <t>ООО "ТЕХНОПАРК БРЕСЛЕР"</t>
  </si>
  <si>
    <t>ОБЩЕСТВО С ОГРАНИЧЕННОЙ ОТВЕТСТВЕННОСТЬЮ "ТЕХНОПАРК БРЕСЛЕР"</t>
  </si>
  <si>
    <t>33.14,33.19,33.20,43.21,43.29,46.52,46.69.5,46.69.9,56.10.1,56.21,56.29,56.29.2,56.30,68.10,68.31,68.32,69.10,69.20,69.20.3,70.22,72.20,77.11,77.33.1,77.33.2,77.39.29,81.21,81.22,82.11</t>
  </si>
  <si>
    <t>ПОЛИВЦЕВ АНДРЕЙ АЛЕКСАНДРОВИЧ</t>
  </si>
  <si>
    <t>428034,  ЧУВАШСКАЯ РЕСПУБЛИКА - ЧУВАШИЯ, Г ЧЕБОКСАРЫ, Ш ЯДРИНСКОЕ, Д. 4В, ПОМЕЩ. 28</t>
  </si>
  <si>
    <t>+79278605192</t>
  </si>
  <si>
    <t>ООО "ЭН-ФАРМ"</t>
  </si>
  <si>
    <t>ОБЩЕСТВО С ОГРАНИЧЕННОЙ ОТВЕТСТВЕННОСТЬЮ "ЭН-ФАРМ"</t>
  </si>
  <si>
    <t>2018-01-23</t>
  </si>
  <si>
    <t>46.46,69.10,69.20</t>
  </si>
  <si>
    <t>НИКОЛАЕВ ВЛАДИМИР ГЕОРГИЕВИЧ</t>
  </si>
  <si>
    <t>428037,  ЧУВАШСКАЯ РЕСПУБЛИКА - ЧУВАШИЯ, Г. ЧЕБОКСАРЫ, УЛ. ЛЕНИНСКОГО КОМСОМОЛА, Д. 29, ПОМ/ОФИС 5/2</t>
  </si>
  <si>
    <t>+79373937197,+79033585353,+78352445353</t>
  </si>
  <si>
    <t>enfarm@inbox.ru,ooo-enfarm@yandex.ru,n-pharm@mail.ru</t>
  </si>
  <si>
    <t>ООО "СЦ "КАНМАШ"</t>
  </si>
  <si>
    <t>ОБЩЕСТВО С ОГРАНИЧЕННОЙ ОТВЕТСТВЕННОСТЬЮ "СЕРВИСНЫЙ ЦЕНТР "КАНМАШ"</t>
  </si>
  <si>
    <t>2017-09-11</t>
  </si>
  <si>
    <t>27.12,28.15.2,28.22,28.30.3,33.12,33.13,33.14,33.19,33.20,43.21,43.22,43.29,43.31,43.32,43.33,43.34,43.91,43.99,46.14.9,46.61,46.63,49.41,49.41.2,49.41.3,49.42,71.12.12</t>
  </si>
  <si>
    <t>ЛАПШИН АНДРЕЙ ЮРИЕВИЧ</t>
  </si>
  <si>
    <t>429335,  ЧУВАШСКАЯ РЕСПУБЛИКА - ЧУВАШИЯ, Г. КАНАШ, УЛ. КРАСНОАРМЕЙСКАЯ, Д. 72</t>
  </si>
  <si>
    <t>+78353321921</t>
  </si>
  <si>
    <t>ООО "ФЛОРЕНЦИЯ"</t>
  </si>
  <si>
    <t>ОБЩЕСТВО С ОГРАНИЧЕННОЙ ОТВЕТСТВЕННОСТЬЮ "ФЛОРЕНЦИЯ"</t>
  </si>
  <si>
    <t>2015-10-29</t>
  </si>
  <si>
    <t>10.39</t>
  </si>
  <si>
    <t>Прочие виды переработки и консервирования фруктов и овощей</t>
  </si>
  <si>
    <t>01.13.1,01.13.6,01.63,16.23,31.01,41.20,43.32,43.99,46.13,46.17.1,46.17.21,46.18,46.18.9,46.18.91,46.22,46.31,46.31.11,46.31.2,46.36.3,46.36.4,46.38,46.38.2,46.38.29,46.41,46.41.2,46.62,46.76.1,46.90,47.19,47.21,47.24.1,47.24.21,47.51,47.82,47.89,47.91,49.31,49.32,49.41,49.41.1,49.41.2,49.41.3,49.42,52.10,52.10.1,52.10.9,52.21,52.21.2,52.24,52.29,53.20.3,56.29,69.20,69.20.2,70.10.1,70.10.2,70.22,77.32,77.33,77.39.1,77.39.27</t>
  </si>
  <si>
    <t>КУЗЬМИН ЕВГЕНИЙ СЕРГЕЕВИЧ</t>
  </si>
  <si>
    <t>429526, ЧУВАШСКАЯ РЕСПУБЛИКА - ЧУВАШИЯ, М.О. ЧЕБОКСАРСКИЙ, Д. МИКШИ-ЭНЗЕЙ, УЛ. ЛЕНИНА, ЗД. 96</t>
  </si>
  <si>
    <t>+78452351004</t>
  </si>
  <si>
    <t>ООО "АЛЬЯНС-АВТОКАРС"</t>
  </si>
  <si>
    <t>ОБЩЕСТВО С ОГРАНИЧЕННОЙ ОТВЕТСТВЕННОСТЬЮ "АЛЬЯНС-АВТОКАРС"</t>
  </si>
  <si>
    <t>2022-02-25</t>
  </si>
  <si>
    <t>16.10.1,16.10.2,16.10.3,45.11,45.11.1,45.11.3,45.11.31,45.11.39,45.11.4,45.11.41,45.11.49,45.19,45.19.1,45.19.2,45.19.3,45.19.31,45.19.39,45.19.4,45.19.41,45.19.49,45.20,45.20.1,45.20.2,45.31,45.31.1,45.31.2,45.32,45.32.1,45.32.2,45.32.21,45.32.22,45.32.29</t>
  </si>
  <si>
    <t>428030, ЧУВАШСКАЯ РЕСПУБЛИКА - ЧУВАШИЯ, М.О. ЧЕБОКСАРСКИЙ, Д. ПИХТУЛИНО, УЛ. АВТОМОБИЛИСТОВ, ЗД. 1, ПОМЕЩ. 5</t>
  </si>
  <si>
    <t>+79171285803</t>
  </si>
  <si>
    <t>ООО"ПК"ПРОМТРАКТОР"</t>
  </si>
  <si>
    <t>ОБЩЕСТВО С ОГРАНИЧЕННОЙ ОТВЕТСТВЕННОСТЬЮ"ПРОИЗВОДСТВЕННАЯ КОМПАНИЯ"ПРОМТРАКТОР"</t>
  </si>
  <si>
    <t>2006-09-04</t>
  </si>
  <si>
    <t>20.11,25.61,25.62,28.22.41,33.14,35.30.14,35.30.15,46.90,55.20,77.39.29,80.10.9,16.24,25.61,25.62,25.73,28.22,28.22.41,28.30.2,28.30.22,28.92,28.92.21,28.92.25,28.92.5,33.14,46.6,46.69,46.90,55.20,68.20,71.12.12,71.20,77.39.2,77.39.29,80.10,82.11,85.30,85.42</t>
  </si>
  <si>
    <t>АЛЕКСАНДРЫЧЕВА ТАТЬЯНА ВЛАДИМИРОВНА</t>
  </si>
  <si>
    <t>428028,  ЧУВАШСКАЯ РЕСПУБЛИКА - ЧУВАШИЯ, Г. ЧЕБОКСАРЫ, ПР-КТ ТРАКТОРОСТРОИТЕЛЕЙ, Д. 101, ЛИТЕРА/БЛОК 39Е/В КАБИНЕТ 411</t>
  </si>
  <si>
    <t>+78352304614,+78352304492,+78352304512,+78442746115,+78442746025</t>
  </si>
  <si>
    <t>vladimirpetrovich2018@mail.ru,prt@promtractor.ru,prt@tplants.com,gskb@vgtz.com</t>
  </si>
  <si>
    <t>2439</t>
  </si>
  <si>
    <t>ООО "ЧЕТРА"</t>
  </si>
  <si>
    <t>ОБЩЕСТВО С ОГРАНИЧЕННОЙ ОТВЕТСТВЕННОСТЬЮ "ЧЕТРА"</t>
  </si>
  <si>
    <t>2006-09-27</t>
  </si>
  <si>
    <t>82.30.1,29.31,29.32,33.12,45.11,45.31,46.14,46.18.99,46.3,46.4,46.6,46.61,46.63,46.69,46.7,46.71,46.72,46.73,46.74,46.90,52.29,64.91,68.1,68.20,73.11,77.11,77.33,77.39.11,82.99</t>
  </si>
  <si>
    <t>ОБЩЕСТВО С ОГРАНИЧЕННОЙ ОТВЕТСТВЕННОСТЬЮ "КОНЦЕРН "ТРАКТОРНЫЕ ЗАВОДЫ"</t>
  </si>
  <si>
    <t>428003,  ЧУВАШСКАЯ РЕСПУБЛИКА - ЧУВАШИЯ, Г ЧЕБОКСАРЫ, ПР-КТ МИРА, Д. 1, КАБИНЕТ 217</t>
  </si>
  <si>
    <t>+78352388488,+78352387455,+78001001331,+78352282283,+78352304015,+78352304614,+78352282360,+78352304821,+73874553171,+78352309260</t>
  </si>
  <si>
    <t>chetra@tplants.com,aa.panina@tplants.com</t>
  </si>
  <si>
    <t>ООО "РЕАЛ"</t>
  </si>
  <si>
    <t>ОБЩЕСТВО С ОГРАНИЧЕННОЙ ОТВЕТСТВЕННОСТЬЮ "РЕАЛ"</t>
  </si>
  <si>
    <t>2007-10-11</t>
  </si>
  <si>
    <t>46.44.1,46.47.2,46.69.5,46.90,47.52.7,47.52.72,47.59.4,49.4,52.29,77.32,77.39</t>
  </si>
  <si>
    <t>КРАСИЛЬНИКОВ АЛЕКСАНДР ВЯЧЕСЛАВОВИЧ</t>
  </si>
  <si>
    <t>428037,  ЧУВАШСКАЯ РЕСПУБЛИКА - ЧУВАШИЯ, Г ЧЕБОКСАРЫ, УЛ А.В.АСЛАМАСА, Д. 1, К. 2, ПОМЕЩ. 1</t>
  </si>
  <si>
    <t>+78352438191,+78352403136</t>
  </si>
  <si>
    <t>ООО "РИ-ГРУПП"</t>
  </si>
  <si>
    <t>ОБЩЕСТВО С ОГРАНИЧЕННОЙ ОТВЕТСТВЕННОСТЬЮ "РИ-ГРУПП"</t>
  </si>
  <si>
    <t>2010-12-15</t>
  </si>
  <si>
    <t>46.69.2</t>
  </si>
  <si>
    <t>Торговля оптовая эксплуатационными материалами и принадлежностями машин</t>
  </si>
  <si>
    <t>25.73,25.9,28.2,28.41,28.9,33.11,33.12,33.13,33.14,33.19,33.20,41.20,45.11.1,45.11.2,45.11.3,45.11.4,45.19.1,45.19.2,45.19.3,45.19.4,45.31.1,45.32,46.13,46.3,46.34,46.4,46.42,46.43,46.46,46.46.2,46.49,46.49.49,46.71,46.74,46.75,46.76,47.2,47.78,49.4,49.41.3,68.20.2,70.21.1,77.11,77.3</t>
  </si>
  <si>
    <t>КУЗНЕЦОВ ЭДУАРД ИВАНОВИЧ</t>
  </si>
  <si>
    <t>428033,  ЧУВАШСКАЯ РЕСПУБЛИКА - ЧУВАШИЯ, Г ЧЕБОКСАРЫ, УЛ АКАДЕМИКА А.Н.КРЫЛОВА, Д. 5, К. 1, ОФИС 6/1</t>
  </si>
  <si>
    <t>+78552253810,+78552382646,+79172823752,+78435900223,+78432931983,+79274556251,+78435900203,+78552594210,+78352382646,+79503103224</t>
  </si>
  <si>
    <t>trade@ri-group.org,trade@r-i-group.ru,info@mail.ru,ahazieva@r-i-group.ru,info@r-i-group.ru,vsivakov@r-i-group.ru,kazan@r-i-group.ru,opttorg.info@mail.ru,info@r-i-group.ru,,chelny@r-i-group.ru</t>
  </si>
  <si>
    <t>64</t>
  </si>
  <si>
    <t>ООО "НПП "БРЕСЛЕР"</t>
  </si>
  <si>
    <t>ОБЩЕСТВО С ОГРАНИЧЕННОЙ ОТВЕТСТВЕННОСТЬЮ "НАУЧНО-ПРОИЗВОДСТВЕННОЕ ПРЕДПРИЯТИЕ "БРЕСЛЕР"</t>
  </si>
  <si>
    <t>1992-03-13</t>
  </si>
  <si>
    <t>26.51,27.11.13,41.20,46.69.5,46.69.9,62.01,62.02,63.11,68.20.2,71.11,71.12,71.20,72.19</t>
  </si>
  <si>
    <t>428034,  ЧУВАШСКАЯ РЕСПУБЛИКА - ЧУВАШИЯ, Г. ЧЕБОКСАРЫ, Ш. ЯДРИНСКОЕ, Д. 4, КОРПУС В</t>
  </si>
  <si>
    <t>+78352367333,+78352428600</t>
  </si>
  <si>
    <t>info@bresler.ru</t>
  </si>
  <si>
    <t>ООО "ТРУД"</t>
  </si>
  <si>
    <t>ОБЩЕСТВО С ОГРАНИЧЕННОЙ ОТВЕТСТВЕННОСТЬЮ "ТРУД"</t>
  </si>
  <si>
    <t>2000-09-25</t>
  </si>
  <si>
    <t>20.13,28.99,46.90,52.10,77.39</t>
  </si>
  <si>
    <t>БУРЫГИН ОЛЕГ ПАВЛОВИЧ</t>
  </si>
  <si>
    <t>429400,  ЧУВАШСКАЯ РЕСПУБЛИКА - ЧУВАШИЯ, Р-Н УРМАРСКИЙ, ПГТ УРМАРЫ, УЛ. ЛЕНИНА, Д.75</t>
  </si>
  <si>
    <t>+74995539167,+74995339167,+78756456543,+74942348051,+79159055553,+79104571740,+79051516439</t>
  </si>
  <si>
    <t>tender_trud@mail.ru,1973@mail.ru,12345@mail.ru,oootrud@mail.ru,aurat-vv@mail.ru</t>
  </si>
  <si>
    <t>ООО "АСПЕКТ"</t>
  </si>
  <si>
    <t>ОБЩЕСТВО С ОГРАНИЧЕННОЙ ОТВЕТСТВЕННОСТЬЮ "АСПЕКТ"</t>
  </si>
  <si>
    <t>2004-08-26</t>
  </si>
  <si>
    <t>46.71.9,49.41.2,52.10.9,68.20.29,77.11,16.23,31.09,41.20,43.21,43.22,43.29,45.1,45.20,45.3,46.1,46.19,46.34.1,46.34.23,46.39,46.49,46.90,47.19,47.7,56.10,56.10.1,56.10.3,58.19,64.92,68.20,70.22,73.11,73.20,77.3,77.39.27,82.99</t>
  </si>
  <si>
    <t>ИШУТКИН ПЕТР ВАЛЕНТИНОВИЧ</t>
  </si>
  <si>
    <t>429965, ЧУВАШСКАЯ РЕСПУБЛИКА - ЧУВАШИЯ, Г.О. ГОРОД НОВОЧЕБОКСАРСК, Г. НОВОЧЕБОКСАРСК, УЛ. ПРОМЫШЛЕННАЯ, ЗД. 27, ОФИС 211</t>
  </si>
  <si>
    <t>+78352226022,+78352481433,+78353322531</t>
  </si>
  <si>
    <t>pivo21.ru</t>
  </si>
  <si>
    <t>487730@mail.ru</t>
  </si>
  <si>
    <t>165</t>
  </si>
  <si>
    <t>ООО "АГРОМАШСНАБ"</t>
  </si>
  <si>
    <t>ОБЩЕСТВО С ОГРАНИЧЕННОЙ ОТВЕТСТВЕННОСТЬЮ "АГРОМАШСНАБ"</t>
  </si>
  <si>
    <t>46.61</t>
  </si>
  <si>
    <t>Торговля оптовая машинами, оборудованием и инструментами для сельского хозяйства</t>
  </si>
  <si>
    <t>33.12,33.12,46.61,46.90,47.9</t>
  </si>
  <si>
    <t>Жирнов Владимир Николаевич</t>
  </si>
  <si>
    <t>428903,  ЧУВАШСКАЯ РЕСПУБЛИКА - ЧУВАШИЯ, Г ЧЕБОКСАРЫ, ПР-Д ЛАПСАРСКИЙ, Д. 45, ОФИС 2</t>
  </si>
  <si>
    <t>+79278516858,+78352406765,+78352631863,+78352406705</t>
  </si>
  <si>
    <t>www.ams21.ru</t>
  </si>
  <si>
    <t>agromashsnab21@mail.ru,agromashnab21@mail.ru,a406765@mail.ru,agromashsnab@mail.ru,631863@mail.ru</t>
  </si>
  <si>
    <t>ООО "АЛЬЯНС-МОТОРС"</t>
  </si>
  <si>
    <t>ОБЩЕСТВО С ОГРАНИЧЕННОЙ ОТВЕТСТВЕННОСТЬЮ "АЛЬЯНС-МОТОРС"</t>
  </si>
  <si>
    <t>2005-12-12</t>
  </si>
  <si>
    <t>45.20.1,45.32.1,43.3,45.11,45.11.1,45.11.2,45.11.3,45.11.31,45.11.39,45.11.4,45.11.41,45.11.49,45.19,45.19.1,45.19.2,45.19.3,45.19.31,45.19.39,45.19.4,45.19.41,45.19.49,45.2,47.24,47.25.2,47.29,47.91.2,49.3,77.11</t>
  </si>
  <si>
    <t>428022,  ЧУВАШСКАЯ РЕСПУБЛИКА - ЧУВАШИЯ, Г. ЧЕБОКСАРЫ, Ш. МАРПОСАДСКОЕ, Д.3, "А"</t>
  </si>
  <si>
    <t>+78352320120,+78352321110,+78352282000,+78352628628,+79176604957,+79876794379,+79196503010</t>
  </si>
  <si>
    <t>almotors.ru</t>
  </si>
  <si>
    <t>d.egorov@alyans-auto.ru,stu-01@mail.ru,ceo@almotors.ru,a.ivanov@alyans-auto.ru,a.ivanov@almotors.ru,corp2@almotors.ru,rop@almotors.ru,corp3@almotors.ru,copr3@almotors.ru,dialavto@yandex.ru,corp@almotors.ru</t>
  </si>
  <si>
    <t>ООО "СПД "БИРС"</t>
  </si>
  <si>
    <t>ОБЩЕСТВО С ОГРАНИЧЕННОЙ ОТВЕТСТВЕННОСТЬЮ "СПД "БИРС"</t>
  </si>
  <si>
    <t>2010-11-24</t>
  </si>
  <si>
    <t>28.14</t>
  </si>
  <si>
    <t>Производство арматуры трубопроводной (арматуры)</t>
  </si>
  <si>
    <t>27.90,28.29,28.99,46.69,47.5,49.3,49.31.2,49.32,49.4,49.41.3,52.29,68.2,72.19</t>
  </si>
  <si>
    <t>СИРОТКИН ВАДИМ ЛЕОНИДОВИЧ</t>
  </si>
  <si>
    <t>428028,  ЧУВАШСКАЯ РЕСПУБЛИКА - ЧУВАШИЯ, Г. ЧЕБОКСАРЫ, ПР-КТ ТРАКТОРОСТРОИТЕЛЕЙ, Д. 84, ПОМЕЩ. 1</t>
  </si>
  <si>
    <t>+78002341194,+78352709706,+78352709006,+79176595753,+78352526382,+78352526381,+78352526380,+79276673216</t>
  </si>
  <si>
    <t>spdbirs.ru</t>
  </si>
  <si>
    <t>birs.matveeva@gmail.com,noax_birs@mail.ru,adm@spdbirs.ru,adm_birs@cbx.ru</t>
  </si>
  <si>
    <t>ООО "СЕРВИС-ЧЕТРА"</t>
  </si>
  <si>
    <t>ОБЩЕСТВО С ОГРАНИЧЕННОЙ ОТВЕТСТВЕННОСТЬЮ "СЕРВИС-ЧЕТРА"</t>
  </si>
  <si>
    <t>2008-12-10</t>
  </si>
  <si>
    <t>46.69</t>
  </si>
  <si>
    <t>Торговля оптовая прочими машинами и оборудованием</t>
  </si>
  <si>
    <t>29.32,45.20,45.31,46.61,46.63,46.90,85.42</t>
  </si>
  <si>
    <t>428028,  ЧУВАШСКАЯ РЕСПУБЛИКА - ЧУВАШИЯ, Г. ЧЕБОКСАРЫ, ПР-КТ ТРАКТОРОСТРОИТЕЛЕЙ, Д.107</t>
  </si>
  <si>
    <t>+78352304712,+78352636741,+79241603233,+79142424215,+78001001331,+78352634756,+78352307378</t>
  </si>
  <si>
    <t>service-im.ru</t>
  </si>
  <si>
    <t>stepanov.en@tplants.com,ns.udenko@tplants.ru</t>
  </si>
  <si>
    <t>249</t>
  </si>
  <si>
    <t>ООО "РЕМТЕХСЕРВИС"</t>
  </si>
  <si>
    <t>ОБЩЕСТВО С ОГРАНИЧЕННОЙ ОТВЕТСТВЕННОСТЬЮ "РЕМТЕХСЕРВИС"</t>
  </si>
  <si>
    <t>2010-09-22</t>
  </si>
  <si>
    <t>24.51</t>
  </si>
  <si>
    <t>Литье чугуна</t>
  </si>
  <si>
    <t>16.23,25.99,28.30.8,38.32.2,38.32.3,38.32.4,46.90,49.4,71.1,71.12.5,71.12.6</t>
  </si>
  <si>
    <t>ОЛИЗЬКО ДМИТРИЙ ВЛАДИМИРОВИЧ</t>
  </si>
  <si>
    <t>428903,  ЧУВАШСКАЯ РЕСПУБЛИКА - ЧУВАШИЯ, Г. ЧЕБОКСАРЫ, ПР-Д ЛАПСАРСКИЙ, Д.9, К.А</t>
  </si>
  <si>
    <t>+78352203709,+78352504929,+78352677182,+78352504928</t>
  </si>
  <si>
    <t>liinz@yandex.ru</t>
  </si>
  <si>
    <t>117</t>
  </si>
  <si>
    <t>ООО "ТД "ЦЕРЕРА-МЕБЕЛЬ"</t>
  </si>
  <si>
    <t>ОБЩЕСТВО С ОГРАНИЧЕННОЙ ОТВЕТСТВЕННОСТЬЮ "ТОРГОВЫЙ ДОМ "ЦЕРЕРА-МЕБЕЛЬ"</t>
  </si>
  <si>
    <t>2010-02-27</t>
  </si>
  <si>
    <t>46.1,46.47.1,46.65,46.90</t>
  </si>
  <si>
    <t>КАПУСТИН АЛЕКСЕЙ ГЕННАДЬЕВИЧ</t>
  </si>
  <si>
    <t>428003,  ЧУВАШСКАЯ РЕСПУБЛИКА - ЧУВАШИЯ, Г. ЧЕБОКСАРЫ, УЛ. ЭНГЕЛЬСА, Д.42</t>
  </si>
  <si>
    <t>+79196772350,+78352551879,+78352709220,+79176504444,+78352555567,+79196504444</t>
  </si>
  <si>
    <t>alex@cerera-mebel.ru,office@cerera-mebel.ru,tanya@cerera-mebel.ru,iri350@yandex.ru,dtinukov@rambler.ru</t>
  </si>
  <si>
    <t>ООО "СПЕЦВАГОНДЕТАЛЬ"</t>
  </si>
  <si>
    <t>ОБЩЕСТВО С ОГРАНИЧЕННОЙ ОТВЕТСТВЕННОСТЬЮ "СПЕЦВАГОНДЕТАЛЬ"</t>
  </si>
  <si>
    <t>2009-09-15</t>
  </si>
  <si>
    <t>30.20.4</t>
  </si>
  <si>
    <t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</t>
  </si>
  <si>
    <t>24.10.1,24.10.9,24.51,24.52,24.53,24.54,25.1,25.12,25.9,38.32.2,38.32.3,38.32.4,46.1,46.12.2,46.12.22,46.90</t>
  </si>
  <si>
    <t>СЕРГЕЕВ АЛЕКСАНДР ВЯЧЕСЛАВОВИЧ</t>
  </si>
  <si>
    <t>428010,  ЧУВАШСКАЯ РЕСПУБЛИКА - ЧУВАШИЯ, Г ЧЕБОКСАРЫ, УЛ БОГДАНА ХМЕЛЬНИЦКОГО, ЗД. 3В</t>
  </si>
  <si>
    <t>+79063860650,+78353347632,+79278668151,+78353347547,+78353347560,+79379577151,+79033577172</t>
  </si>
  <si>
    <t>svd21.ru</t>
  </si>
  <si>
    <t>ООО "ЗВЕЗДА 21"</t>
  </si>
  <si>
    <t>ОБЩЕСТВО С ОГРАНИЧЕННОЙ ОТВЕТСТВЕННОСТЬЮ "ЗВЕЗДА 21"</t>
  </si>
  <si>
    <t>2011-06-17</t>
  </si>
  <si>
    <t>46.34.23</t>
  </si>
  <si>
    <t>Торговля оптовая пивом</t>
  </si>
  <si>
    <t>46.1,46.3,46.4,47.11.2,47.19,47.25.1,47.25.12,49.3,49.41,52.10,52.24,52.29,73.11</t>
  </si>
  <si>
    <t>ДРЯМИН АЛЕКСАНДР ВИКТОРОВИЧ</t>
  </si>
  <si>
    <t>429965,  ЧУВАШСКАЯ РЕСПУБЛИКА - ЧУВАШИЯ, Г НОВОЧЕБОКСАРСК, УЛ ПРОМЫШЛЕННАЯ, Д. 73, К. 1, КОМ. 408</t>
  </si>
  <si>
    <t>+78352733131,+78352367202</t>
  </si>
  <si>
    <t>natalia.yakovleva@forpost21.ru</t>
  </si>
  <si>
    <t>48</t>
  </si>
  <si>
    <t>ООО "РЕЙН МОТОРС"</t>
  </si>
  <si>
    <t>ОБЩЕСТВО С ОГРАНИЧЕННОЙ ОТВЕТСТВЕННОСТЬЮ "РЕЙН МОТОРС"</t>
  </si>
  <si>
    <t>2013-09-25</t>
  </si>
  <si>
    <t>16.10.1,16.10.2,16.10.3,45.11,45.11.1,45.11.3,45.11.31,45.11.39,45.11.4,45.11.41,45.11.49,45.19,45.19.1,45.19.2,45.19.3,45.19.31,45.19.39,45.19.4,45.19.41,45.19.49,45.20,45.20.1,45.20.2,45.3</t>
  </si>
  <si>
    <t>+73207771602,+78352321000</t>
  </si>
  <si>
    <t>ООО "РИШЕ"</t>
  </si>
  <si>
    <t>ОБЩЕСТВО С ОГРАНИЧЕННОЙ ОТВЕТСТВЕННОСТЬЮ "РИШЕ"</t>
  </si>
  <si>
    <t>20.42</t>
  </si>
  <si>
    <t>Производство парфюмерных и косметических средств</t>
  </si>
  <si>
    <t>46.45,46.45.1,46.45.2,46.90,47.29.35,47.75,47.75.1,47.75.2,47.91,47.91.1,47.91.3,47.91.4,47.99,52.21.24</t>
  </si>
  <si>
    <t>ВОСТРЕЙКИН ДМИТРИЙ НИКОЛАЕВИЧ</t>
  </si>
  <si>
    <t>428903, ЧУВАШСКАЯ РЕСПУБЛИКА - ЧУВАШИЯ, Г.О. ГОРОД ЧЕБОКСАРЫ, Г ЧЕБОКСАРЫ, ПР-КТ И.Я.ЯКОВЛЕВА, Д. 15</t>
  </si>
  <si>
    <t>+79033589218</t>
  </si>
  <si>
    <t>richecosmetics.ru</t>
  </si>
  <si>
    <t>169</t>
  </si>
  <si>
    <t>ООО ТД "СМАРТ - ВТОРМЕТ"</t>
  </si>
  <si>
    <t>ОБЩЕСТВО С ОГРАНИЧЕННОЙ ОТВЕТСТВЕННОСТЬЮ ТОРГОВЫЙ ДОМ "СМАРТ - ВТОРМЕТ"</t>
  </si>
  <si>
    <t>2015-10-13</t>
  </si>
  <si>
    <t>46.77</t>
  </si>
  <si>
    <t>Торговля оптовая отходами и ломом</t>
  </si>
  <si>
    <t>38.32.3,38.32.4,46.21,46.21.11,46.21.12,46.21.13,46.21.14,46.21.19,46.22,46.23,46.24,49.41,49.41.1,49.41.2,49.41.3,49.42,50.40,50.40.1,50.40.3</t>
  </si>
  <si>
    <t>ОВЧИННИКОВ АРТЕМ АНАТОЛЬЕВИЧ</t>
  </si>
  <si>
    <t>428903,  ЧУВАШСКАЯ РЕСПУБЛИКА - ЧУВАШИЯ, Г. ЧЕБОКСАРЫ, ПР-Д ИШЛЕЙСКИЙ, Д. 4</t>
  </si>
  <si>
    <t>+79196717000,+79276671653</t>
  </si>
  <si>
    <t>ООО "ЧГМЗ"</t>
  </si>
  <si>
    <t>ОБЩЕСТВО С ОГРАНИЧЕННОЙ ОТВЕТСТВЕННОСТЬЮ "ЧЕБОКСАРСКИЙ ГОРОДСКОЙ МОЛОЧНЫЙ ЗАВОД"</t>
  </si>
  <si>
    <t>2016-12-09</t>
  </si>
  <si>
    <t>10.51.1</t>
  </si>
  <si>
    <t>Производство питьевого молока и питьевых сливок</t>
  </si>
  <si>
    <t>10.51,10.51.2,10.51.3,10.51.9,46.33.1,46.33.3,47.29.1,47.29.21</t>
  </si>
  <si>
    <t>ГИРЮК АЛЕКСЕЙ ВАЛЕРИЕВИЧ</t>
  </si>
  <si>
    <t>428024,  ЧУВАШСКАЯ РЕСПУБЛИКА - ЧУВАШИЯ, Г ЧЕБОКСАРЫ, ПР-Д МЯСОКОМБИНАТСКИЙ, ЗД. 6</t>
  </si>
  <si>
    <t>+78452621353</t>
  </si>
  <si>
    <t>ООО "МОДУЛЬ"</t>
  </si>
  <si>
    <t>ОБЩЕСТВО С ОГРАНИЧЕННОЙ ОТВЕТСТВЕННОСТЬЮ "МОДУЛЬ"</t>
  </si>
  <si>
    <t>2013-07-22</t>
  </si>
  <si>
    <t>42.11,42.91,42.99,43.11,43.12.3,43.13,43.21,43.22,43.29,43.31,43.32,43.33,43.34,43.39,43.91,43.99,43.99.1,46.73,71.1,71.12.5,71.12.6,73.11,73.12,77.11,77.32,77.39.1</t>
  </si>
  <si>
    <t>РАКИПОВ ИРЕК РЕСТЕМОВИЧ</t>
  </si>
  <si>
    <t>428000,  ЧУВАШСКАЯ РЕСПУБЛИКА - ЧУВАШИЯ, Г ЧЕБОКСАРЫ, УЛ ЛЕНИНГРАДСКАЯ, ЗД. 36, ОФИС 612</t>
  </si>
  <si>
    <t>+78352585200,+78352271430,+79033224150,+78352241430</t>
  </si>
  <si>
    <t>i.rakipov@mail.ru,modul-build@yandex.ru,raut-jur@yandex.ru</t>
  </si>
  <si>
    <t>ООО "ЭЛЕККОМ ЛОГИСТИК"</t>
  </si>
  <si>
    <t>ОБЩЕСТВО С ОГРАНИЧЕННОЙ ОТВЕТСТВЕННОСТЬЮ "ЭЛЕККОМ ЛОГИСТИК"</t>
  </si>
  <si>
    <t>2014-02-18</t>
  </si>
  <si>
    <t>25.11,46.69.5,25.11,25.50,25.61,25.99.2,27.12,28.99.49,33.12,33.20,46.43,46.69.5,46.90,47.9,52.29,71.12.14,71.20,77.39.11,82.99</t>
  </si>
  <si>
    <t>ФИЛИППОВ СТАНИСЛАВ БОРИСОВИЧ</t>
  </si>
  <si>
    <t>428003, ЧУВАШСКАЯ РЕСПУБЛИКА - ЧУВАШИЯ, Г.О. ГОРОД ЧЕБОКСАРЫ, Г. ЧЕБОКСАРЫ, ПР-КТ И.Я.ЯКОВЛЕВА, ЗД. 3, ЭТАЖ 8</t>
  </si>
  <si>
    <t>+78352573700,+78352573710,+78352212007,+78352533710,+78352571030,+78462037650,+78352222781,+78352220380,+78352572090,+78312352208,+72203802100,+79270081619</t>
  </si>
  <si>
    <t>krivyashov@wolmag.ru,suleimanov_eu@elekkom.ru,shveigert_ev@elekkom.ru,573710@mail.ru,kuznetcov_ds@elekkom.ru,info@elekkom.ru,sales@elekkom.ru,kudryashova_ia@elekkom.ru</t>
  </si>
  <si>
    <t>445</t>
  </si>
  <si>
    <t>ООО "БАТЫРЪ"</t>
  </si>
  <si>
    <t>ОБЩЕСТВО С ОГРАНИЧЕННОЙ ОТВЕТСТВЕННОСТЬЮ "БАТЫРЪ"</t>
  </si>
  <si>
    <t>2019-05-13</t>
  </si>
  <si>
    <t>46.23,46.33,47.22,47.29,47.91,49.41,52.10.1,52.24,68.20</t>
  </si>
  <si>
    <t>АЛЕКСЕЕВ ВАСИЛИЙ ВЛАДИМИРОВИЧ</t>
  </si>
  <si>
    <t>429371, ЧУВАШСКАЯ РЕСПУБЛИКА - ЧУВАШИЯ, М.О. БАТЫРЕВСКИЙ, Д. ЯНШИХОВО, УЛ. МОЛОДЕЖНАЯ, ЗД. 1А, ОФИС 1</t>
  </si>
  <si>
    <t>+79278400613</t>
  </si>
  <si>
    <t>ООО "РАДУГА"</t>
  </si>
  <si>
    <t>ОБЩЕСТВО С ОГРАНИЧЕННОЙ ОТВЕТСТВЕННОСТЬЮ "РАДУГА"</t>
  </si>
  <si>
    <t>2019-11-28</t>
  </si>
  <si>
    <t>23.20,23.61,41.20,42.11,42.12,42.13,42.21,42.22,42.99,43.11,43.12,43.21,43.22,43.29,43.31,43.32,43.33,43.34,43.39,43.91,43.99,46.52,46.52.2,46.73,46.73.6,46.76.1,46.90,49.41,49.42,52.29,68.31,77.11,77.12,77.32,81.29,81.30,82.99</t>
  </si>
  <si>
    <t>БАГДАСАРЯН КАРЕН ЕРЕМОВИЧ</t>
  </si>
  <si>
    <t>428003, ЧУВАШСКАЯ РЕСПУБЛИКА - ЧУВАШИЯ, Г.О. ГОРОД ЧЕБОКСАРЫ, Г ЧЕБОКСАРЫ, УЛ ГЕРЦЕНА, Д. 2, ПОМЕЩ. 7</t>
  </si>
  <si>
    <t>+79063882555</t>
  </si>
  <si>
    <t>karabr1975@gmail.com,radyga_21@mail.ru</t>
  </si>
  <si>
    <t>ООО "ЦЕФЕЙ"</t>
  </si>
  <si>
    <t>ОБЩЕСТВО С ОГРАНИЧЕННОЙ ОТВЕТСТВЕННОСТЬЮ "ЦЕФЕЙ"</t>
  </si>
  <si>
    <t>2015-07-15</t>
  </si>
  <si>
    <t>47.29,47.74,47.75,47.78,70.22,73.11,73.20.1,82.99</t>
  </si>
  <si>
    <t>ВОЛКОВА ВЕРОНИКА ВИТАЛЬЕВНА</t>
  </si>
  <si>
    <t>428001,  ЧУВАШСКАЯ РЕСПУБЛИКА - ЧУВАШИЯ, Г. ЧЕБОКСАРЫ, ПР-КТ МАКСИМА ГОРЬКОГО, Д. 10, ОФИС 3</t>
  </si>
  <si>
    <t>+78462609626</t>
  </si>
  <si>
    <t>219</t>
  </si>
  <si>
    <t>ООО "ТД СТРОЙ-СНАБ"</t>
  </si>
  <si>
    <t>ОБЩЕСТВО С ОГРАНИЧЕННОЙ ОТВЕТСТВЕННОСТЬЮ "ТД СТРОЙ-СНАБ"</t>
  </si>
  <si>
    <t>2017-09-21</t>
  </si>
  <si>
    <t>20.16,22.21,25.99,46.49.49,46.62,46.63,46.69,46.73,46.73.6,46.74,46.90,49.41.3,64.99,64.99.4,66.19,68.20,70.22,77.32,77.39</t>
  </si>
  <si>
    <t>АЛЕКСЕЕВ ИВАН ВЛАДИМИРОВИЧ</t>
  </si>
  <si>
    <t>428003,  ЧУВАШСКАЯ РЕСПУБЛИКА - ЧУВАШИЯ, Г ЧЕБОКСАРЫ, ПР-Д КАБЕЛЬНЫЙ, Д. 1, ПОМЕЩ. 4</t>
  </si>
  <si>
    <t>+79068809214</t>
  </si>
  <si>
    <t>ООО ТК "НОВОЧЕБОКСАРСКИЙ"</t>
  </si>
  <si>
    <t>ОБЩЕСТВО С ОГРАНИЧЕННОЙ ОТВЕТСТВЕННОСТЬЮ ТЕПЛИЧНЫЙ КОМПЛЕКС "НОВОЧЕБОКСАРСКИЙ"</t>
  </si>
  <si>
    <t>2017-03-01</t>
  </si>
  <si>
    <t>01.13.12,01.13.9,01.19.21,01.30,01.61,10.39,35.11.1,46.31.1,47.21.1,49.41.1,56.29.2,64.99.11</t>
  </si>
  <si>
    <t>ЧИРКОВ АЛЕКСЕЙ ВЛАДИСЛАВОВИЧ</t>
  </si>
  <si>
    <t>429965, ЧУВАШСКАЯ РЕСПУБЛИКА - ЧУВАШИЯ, М.О. ЧЕБОКСАРСКИЙ, Д. КОДЕРКАСЫ, ТЕР. ТЕПЛИЧНЫЙ КОМПЛЕКС НОВОЧЕБОКСАРСКИЙ, Д. 1</t>
  </si>
  <si>
    <t>+78352237202</t>
  </si>
  <si>
    <t>e2259565@yandex.ru</t>
  </si>
  <si>
    <t>430</t>
  </si>
  <si>
    <t>ООО "РХТ"</t>
  </si>
  <si>
    <t>ОБЩЕСТВО С ОГРАНИЧЕННОЙ ОТВЕТСТВЕННОСТЬЮ "РУСХИМТРЕЙД"</t>
  </si>
  <si>
    <t>2015-02-24</t>
  </si>
  <si>
    <t>46.12.3</t>
  </si>
  <si>
    <t>СМОЛИНА ЮЛИЯ ВЯЧЕСЛАВОВНА</t>
  </si>
  <si>
    <t>429965,  ЧУВАШСКАЯ РЕСПУБЛИКА - ЧУВАШИЯ, Г НОВОЧЕБОКСАРСК, УЛ ПРОМЫШЛЕННАЯ, Д. 101</t>
  </si>
  <si>
    <t>+74956385557</t>
  </si>
  <si>
    <t>ООО "СМУ-115"</t>
  </si>
  <si>
    <t>ОБЩЕСТВО С ОГРАНИЧЕННОЙ ОТВЕТСТВЕННОСТЬЮ "СМУ-115"</t>
  </si>
  <si>
    <t>2015-01-13</t>
  </si>
  <si>
    <t>46.73.6,41.10,41.20,42.11,42.13,42.22.3,42.91,42.99,42.99,43.21,43.22,43.29,43.31,43.33,43.34,43.34.1,43.34.2,43.39,43.91,43.99,43.99,43.99.1,43.99.4,43.99.5,43.99.6,43.99.7,43.99.9,45.1,45.20,45.3,46.63,46.69,46.69.1,46.69.3,46.73.6,46.90,47.11,47.19,47.52.7,47.71,47.79,49.41,49.41.1,49.41.2,49.41.3,49.42,52.21,66.12,66.12.2,68.10,68.10.1,68.10.11,68.10.12,68.10.21,68.10.23,69.10,69.20,70.22,71.1,71.11,71.12,71.12.1,71.12.41,71.12.43,71.12.45,71.12.5,71.12.6,71.12.9,71.20,71.20.3,71.20.62,71.20.9,77.11,77.39.11,77.39.2,78.10</t>
  </si>
  <si>
    <t>БАРИНОВ АНДРЕЙ МИХАЙЛОВИЧ</t>
  </si>
  <si>
    <t>428034,  ЧУВАШСКАЯ РЕСПУБЛИКА - ЧУВАШИЯ, Г ЧЕБОКСАРЫ, ПР-КТ МОСКОВСКИЙ, Д. 17, К. 1, ПОМЕЩ. 34</t>
  </si>
  <si>
    <t>+74993808600,+74996480000,+79674701707,+78352451379,+78352439107,+78352272115,+79033586943,+78352270515,+78352271115</t>
  </si>
  <si>
    <t>ambarinov@mail.ru,smu-115@yandex.ru</t>
  </si>
  <si>
    <t>76</t>
  </si>
  <si>
    <t>ООО "СУ - ИНКОСТ"</t>
  </si>
  <si>
    <t>ОБЩЕСТВО С ОГРАНИЧЕННОЙ ОТВЕТСТВЕННОСТЬЮ "СТРОИТЕЛЬНОЕ УПРАВЛЕНИЕ - ИНКОСТ"</t>
  </si>
  <si>
    <t>2006-12-01</t>
  </si>
  <si>
    <t>16.10.1,16.10.2,16.10.3,16.10.9,16.23.1,16.23.2,41.2,41.20,41.20,42.11,42.12,42.21,42.21,42.21,42.22.1,42.22.2,42.22.3,42.99,42.99,43.11,43.12.1,43.12.3,43.12.4,43.13,43.21,43.22,43.29,43.31,43.32,43.33,43.34.1,43.34.2,43.39,43.91,43.99,43.99.1,43.99.2,43.99.3,43.99.4,43.99.5,43.99.7,71.11.1</t>
  </si>
  <si>
    <t>ЛУКИН АЛЕКСЕЙ ВИТАЛЬЕВИЧ</t>
  </si>
  <si>
    <t>+78352640328,+78352640343,+79083004544,+78352661330,+78352307991</t>
  </si>
  <si>
    <t>a.o.yurkin@incost.su</t>
  </si>
  <si>
    <t>174</t>
  </si>
  <si>
    <t>ЗАО "ХЛЕБОКОМБИНАТ ПЕТРОВСКИЙ"</t>
  </si>
  <si>
    <t>ЗАКРЫТОЕ АКЦИОНЕРНОЕ ОБЩЕСТВО "ХЛЕБОКОМБИНАТ ПЕТРОВСКИЙ"</t>
  </si>
  <si>
    <t>1996-04-24</t>
  </si>
  <si>
    <t>10.71.3,10.72.1,10.71,10.71.1,10.72,11.07.1,11.07.2,46.36.3,46.36.4,46.38.29,47.24,47.29.3,47.81,52.29,56.29</t>
  </si>
  <si>
    <t>ВОЛКОВ КОНСТАНТИН ЯКОВЛЕВИЧ</t>
  </si>
  <si>
    <t>428020,  ЧУВАШСКАЯ РЕСПУБЛИКА - ЧУВАШИЯ, Г. ЧЕБОКСАРЫ, УЛ. ПЕТРОВА, Д.4</t>
  </si>
  <si>
    <t>+78352622578,+78352633878,+78352552480,+78352554159,+78352570549,+78352623878,+78352554355,+78352204123,+78352551001,+78352560033,+78352552623,+75256003388,+73526225788,+78835255248,+70883525541,+75988352570,+75498835262,+73878883525,+75435588352,+72041238835,+72551001883,+78352480906</t>
  </si>
  <si>
    <t>www.e-disclosure.ru/portal/company.aspx?id=3371</t>
  </si>
  <si>
    <t>hleb@chhk.orionet.ru,rus-vkus@yandex.ru</t>
  </si>
  <si>
    <t>407</t>
  </si>
  <si>
    <t>ООО "ТПК "ИНКОМЦЕНТР"</t>
  </si>
  <si>
    <t>ОБЩЕСТВО С ОГРАНИЧЕННОЙ ОТВЕТСТВЕННОСТЬЮ "ТОРГОВО-ПРОМЫШЛЕННАЯ КОМПАНИЯ "ИНКОМЦЕНТР"</t>
  </si>
  <si>
    <t>1999-06-29</t>
  </si>
  <si>
    <t>52.10.9,46.44,46.49,46.73,46.74,47.19,47.52,47.7,49.41,52.10,52.10.9,52.21.19,52.21.29,52.24,52.29,68.20</t>
  </si>
  <si>
    <t>АНДРЕЕВ АЛЕКСЕЙ МИХАЙЛОВИЧ</t>
  </si>
  <si>
    <t>428003,  ЧУВАШСКАЯ РЕСПУБЛИКА - ЧУВАШИЯ, Г ЧЕБОКСАРЫ, УЛ ЭНГЕЛЬСА, Д. 31А, ПОМЕЩ. 3</t>
  </si>
  <si>
    <t>+78352572727,+78352626128,+78352572929,+78352700800,+78352573040,+79176626128,+79176671269,+78007707840,+79371140937,+79373770841</t>
  </si>
  <si>
    <t>www.inkom21.ru,inkom-car.ru</t>
  </si>
  <si>
    <t>eltorg@ink.ru,aam@inkom.center,paa@inkomcenter.com,info-rudolf@mail.ru</t>
  </si>
  <si>
    <t>ООО "ВИКА-ДВИНА"</t>
  </si>
  <si>
    <t>ОБЩЕСТВО С ОГРАНИЧЕННОЙ ОТВЕТСТВЕННОСТЬЮ "ВИКА-ДВИНА"</t>
  </si>
  <si>
    <t>2001-12-05</t>
  </si>
  <si>
    <t>25.12,25.99.2,31.01,82.92</t>
  </si>
  <si>
    <t>ИВАНОВ ДМИТРИЙ ВЛАДИМИРОВИЧ</t>
  </si>
  <si>
    <t>+78352205567,+78352571813,+78352623779,+78352551879,+78352552845,+78352239293,+78352555562,+78122524577,+74957837210,+78352555557,+78352555510,+79196506666,+74956496781,+78352555567,+79176673916,+79176601031,+78612430550,+78622555567,+78612451234</t>
  </si>
  <si>
    <t>www.cerera.info</t>
  </si>
  <si>
    <t>vika-dvina@mail.ru,spb1@cerera-mebel.ru,vica-dvina@mail.ru,office@cerera-mabel.ru,ofice@cerera-mebel.ru,office@cererra-mebel.ru,office@cerena-mebel.ru,office@cereramebel.ru,0@meil.ru,tanya@cerera-mebel.ru,cerera@cerera.info,anna@cerera-mebel.ru,offise@cerera-mebel.ru,vica-dvina-mos@mail.ru,office@cerera-mebel.ru,mihail@cerera-mebel.ru,morozov@cerera-mebel.ru,office@cerera-model.ru,vica-dvina-krd@mail.ru</t>
  </si>
  <si>
    <t>144</t>
  </si>
  <si>
    <t>ОАО "БУКЕТ ЧУВАШИИ"</t>
  </si>
  <si>
    <t>ОТКРЫТОЕ АКЦИОНЕРНОЕ ОБЩЕСТВО "ЧЕБОКСАРСКАЯ ПИВОВАРЕННАЯ ФИРМА "БУКЕТ ЧУВАШИИ"</t>
  </si>
  <si>
    <t>1993-01-20</t>
  </si>
  <si>
    <t>11.05</t>
  </si>
  <si>
    <t>Производство пива</t>
  </si>
  <si>
    <t>11.06,11.07.11,11.07.13,11.07.2,20.11,46.21,46.90,56.29.2,01.11,10.61,11.01.1,11.05,11.06,11.07,41.20,45.3,46.12.1,46.21,46.34,46.61,46.69.2,46.71,46.75.1,47.25,47.29,49.3,49.32,49.4,56.10,56.10.1,56.10.3,56.29,56.29,56.30,66.12.3,70.22,73.20</t>
  </si>
  <si>
    <t>КРУГЛОВ ДМИТРИЙ ПАВЛОВИЧ</t>
  </si>
  <si>
    <t>428022,  ЧУВАШСКАЯ РЕСПУБЛИКА - ЧУВАШИЯ, Г. ЧЕБОКСАРЫ, ПР-Д СОЛЯНОЕ, Д.7</t>
  </si>
  <si>
    <t>+78352635318,+78352633614,+78352630805,+78352230750,+78352230757,+78352630854,+79876230750,+78352632322,+78352632104,+78352635670,+78352630743,+78352230751,+78352635408,+79876778888,+78352230705,+78352230805</t>
  </si>
  <si>
    <t>www.buketbeer.ru,disclosure.skrin.ru/disclosure/2127009390,</t>
  </si>
  <si>
    <t>buket@cbx.ru,buket@chtts.ru,,buket@chtts.ru,dkruglov@buketbeer.ru,arimanov@buketbeer.ru,tmikhailova@buketbeer.ru</t>
  </si>
  <si>
    <t>598</t>
  </si>
  <si>
    <t>ООО "СТРОИТЕЛЬНЫЙ ДВОР"</t>
  </si>
  <si>
    <t>ОБЩЕСТВО С ОГРАНИЧЕННОЙ ОТВЕТСТВЕННОСТЬЮ "СТРОИТЕЛЬНЫЙ ДВОР"</t>
  </si>
  <si>
    <t>2002-01-14</t>
  </si>
  <si>
    <t>49.41.2,16.10,16.21,16.23,16.29,46.47,46.73,46.73.6,46.74,46.90,47.19,47.52.7,49.41,68.20</t>
  </si>
  <si>
    <t>САЛЬКОВ ДМИТРИЙ ЮРЬЕВИЧ</t>
  </si>
  <si>
    <t>428022,  ЧУВАШСКАЯ РЕСПУБЛИКА - ЧУВАШИЯ, Г ЧЕБОКСАРЫ, ПР-Д ХОЗЯЙСТВЕННЫЙ, Д. 11А, ПОМЕЩ. 7</t>
  </si>
  <si>
    <t>+78352636450,+79278413841,+78352637198,+78352280541,+78352280215,+79603728282,+78352755325,+78352222515,+79026630212,+79176595115,+73719889026,+78927841384,+71883522225,+71588352280,+72158835228,+70541883526,+76302128917,+76595115896,+70372828288,+73526364508,+78352739144,+78352220280</t>
  </si>
  <si>
    <t>stroydvor21.ru</t>
  </si>
  <si>
    <t>stdvor21v@mail.ru,stroydvor21@list.ru,lyavushkin@stroydvor21.ru,dvor21stroy@bk.ru,stdvor21@mail.ru,salkov.d@yandex.ru,stroydvorcneb@yandex.ru,stroydvor-21@mail.ru,stroydvorcheb@yandex.ru</t>
  </si>
  <si>
    <t>109</t>
  </si>
  <si>
    <t>ОАО "ЯДРИНМОЛОКО"</t>
  </si>
  <si>
    <t>ОТКРЫТОЕ АКЦИОНЕРНОЕ ОБЩЕСТВО "ЯДРИНМОЛОКО"</t>
  </si>
  <si>
    <t>1993-06-30</t>
  </si>
  <si>
    <t>43.99.9,46.33,46.90,10.42,10.51,43.99,46.21,46.33,46.38,46.90</t>
  </si>
  <si>
    <t>ТОКСУБАЕВ СЕРГЕЙ БОРИСОВИЧ</t>
  </si>
  <si>
    <t>429060,  ЧУВАШСКАЯ РЕСПУБЛИКА - ЧУВАШИЯ, Г. ЯДРИН, Р-Н ЯДРИНСКИЙ, УЛ. 50 ЛЕТ ОКТЯБРЯ, Д.105</t>
  </si>
  <si>
    <t>+79176522357,+79662494956,+78354723808,+79623210476,+78352483624,+78354723084,+79033587128,+78354722372,+79176534620,+78352364831,+78354722357,+78354722893,+78354723842,+78354723085,+78352308580,+79276692847,+79196512454,+78352441912</t>
  </si>
  <si>
    <t>www.e-disclosure.ru/portal/company.aspx?id=9185</t>
  </si>
  <si>
    <t>toksubaev@yamilk.ru,polyakov@yamilk.ru,info@yamilk.ru,torg@yamilk.ru,cheb@yamilk.ru</t>
  </si>
  <si>
    <t>426</t>
  </si>
  <si>
    <t>АО "ПМК-8"</t>
  </si>
  <si>
    <t>АКЦИОНЕРНОЕ ОБЩЕСТВО "ПЕРЕДВИЖНАЯ МЕХАНИЗИРОВАННАЯ КОЛОННА № 8"</t>
  </si>
  <si>
    <t>1996-06-22</t>
  </si>
  <si>
    <t>41.20.9</t>
  </si>
  <si>
    <t>Прочие виды строительства жилых и нежилых зданий</t>
  </si>
  <si>
    <t>36.00.2,46.73.6,22.23,23.61,35.30.1,36.00,41.20,42.11,42.12,42.21,42.21,42.22.1,42.22.2,42.91,42.99,43.11,43.12.3,43.13,43.21,43.22,43.29,43.31,43.32,43.33,43.34,43.39,43.91,43.99,43.99,43.99.1,43.99.7,47.52.7,68.10,68.10.1,71.1,71.12.5,71.12.6,86.90.9</t>
  </si>
  <si>
    <t>ИЖЕЛЕЕВ ВИТАЛИЙ НИКОЛАЕВИЧ</t>
  </si>
  <si>
    <t>429900,  ЧУВАШСКАЯ РЕСПУБЛИКА - ЧУВАШИЯ, Г. ЦИВИЛЬСК, Р-Н ЦИВИЛЬСКИЙ, УЛ. ПАВЛА ИВАНОВА, Д.8</t>
  </si>
  <si>
    <t>+78354521427,+78354521984,+78354521213,+78354521472,+78354521429,+78254521427,+78354521422,+78354522471,+78352286873,+78534521427,+78354521363</t>
  </si>
  <si>
    <t>www.e-disclosure.ru/portal/company.aspx?id=12796</t>
  </si>
  <si>
    <t>pmk-8@yandex.ru,1@mail.ru,pmk8@yandex.ru,www@www.ru,otd_civil@ensb.cbx.ru,pmk-8_21@mail.ru,inter@cbx.ru,pmk8@mail.ru,pmk-8@ya.ru,pmk-8@eandex.ru,s-bogat@zivil.cap.ru</t>
  </si>
  <si>
    <t>139</t>
  </si>
  <si>
    <t>АО "КААЗ"</t>
  </si>
  <si>
    <t>АКЦИОНЕРНОЕ ОБЩЕСТВО "КАНАШСКИЙ АВТОАГРЕГАТНЫЙ ЗАВОД"</t>
  </si>
  <si>
    <t>1993-09-20</t>
  </si>
  <si>
    <t>29.32.3</t>
  </si>
  <si>
    <t>Производство частей и принадлежностей для автотранспортных средств, не включенных в другие группировки</t>
  </si>
  <si>
    <t>45.32.29,46.77,68.20.29,29.32,35.14,45.3,46.90,47.11,49.39,49.41,55.90,56.29.2,64.99</t>
  </si>
  <si>
    <t>429333,  ЧУВАШСКАЯ РЕСПУБЛИКА - ЧУВАШИЯ, Г. КАНАШ, УЛ. ФРУНЗЕ, Д.6</t>
  </si>
  <si>
    <t>+78353343939,+78353343363,+78312990999,+78353343936,+78353343789,+79876648485,+78353343369,+78312990990</t>
  </si>
  <si>
    <t>www.e-disclosure.ru/portal/company.aspx?id=13453,,www.kaaz.gaz.ru/financial-information/</t>
  </si>
  <si>
    <t>tatyanaap@kaaz.ru,,info1@kaaz.ru,okadr@kaaz.ru,ukgg@gaz.ru</t>
  </si>
  <si>
    <t>ПАО "ХИМПРОМ"</t>
  </si>
  <si>
    <t>ПУБЛИЧНОЕ АКЦИОНЕРНОЕ ОБЩЕСТВО "ХИМПРОМ"</t>
  </si>
  <si>
    <t>1994-06-30</t>
  </si>
  <si>
    <t>20.14.7</t>
  </si>
  <si>
    <t>Производство прочих химических органических основных веществ</t>
  </si>
  <si>
    <t>20.11,20.13,20.14.1,20.14.2,20.14.3,20.14.4,20.14.5,20.16,20.20,20.30.1,20.41.2,20.59.4,20.59.5,23.52.1,30.20.9,33.12,33.17,35.12,35.22,37.00,38.1,38.2,42.21,46.90,49.20,49.41.1,52.10.9,71.12.61,71.20.1,80.10,81.29.9,85.30,85.41,95.22.1</t>
  </si>
  <si>
    <t>ОБЩЕСТВО С ОГРАНИЧЕННОЙ ОТВЕТСТВЕННОСТЬЮ "ГРУППА ОРГСИНТЕЗ"</t>
  </si>
  <si>
    <t>+78352740288,+78352740124,+78352740273,+78352738723,+78352735055,+78352740670,+78352735358,+78352735995,+78352735555,+78352735010,+78352735545,+78352735278,+78352735908,+78352735685,+78352735872,+78352735374,+78352735320,+74956385557,+78432958696,+78352735721,+78353740273,+78352730573,+78352735224,+78352783625,+74959805900,+78352735345,+78352735817,+78352735172,+78352735892,+78352735390,+78352735669,+78352735251,+78352735914,+78352735839,+78352735598,+78352449029,+78352735090,+78352735228,+78352735729</t>
  </si>
  <si>
    <t>www.e-disclosure.ru/portal/company.aspx?id=5727,,www.himprom.com</t>
  </si>
  <si>
    <t>adm_tp@himprom.com,eco@himprom.com,himprom@chtss.ru,123654@kzn.ru,himprom@himprom.com,,promsanlab@himprom.com,i.vsl@himprom.com,himprom@himprom.com,d.tmf@himprom.com,pu-arenda@himprom.com,735285@himprom.com,himprom@chts.ru,ximprom@ctts.ru,himprom@chtts.ru,y.bsn@groupsyntez.ru,ponomarevanv@himprom.com,lisova@himprom.com,alexander.v.osipov@tplusgroup.ru,zavulova@himprom.com,chlorine@himprom.com,zavualova@himprom.com,himprom@chtss.ru,,himprom@mail.ru,kurkina@himprom.com,sbyt_tek@himprom.com,remont@himprom.com,himhrom@chtts.ru</t>
  </si>
  <si>
    <t>СППК "БАТЫРЪ"</t>
  </si>
  <si>
    <t>СЕЛЬСКОХОЗЯЙСТВЕННЫЙ ПОТРЕБИТЕЛЬСКИЙ ПЕРЕРАБАТЫВАЮЩИЙ  КООПЕРАТИВ "БАТЫРЪ"</t>
  </si>
  <si>
    <t>2019-04-04</t>
  </si>
  <si>
    <t>10.11</t>
  </si>
  <si>
    <t>Переработка и консервирование мяса</t>
  </si>
  <si>
    <t>01.11,01.13,01.41,01.43,01.45,01.46,01.47,01.50,10.12,10.13,10.51,10.51.3,10.51.9,46.21,46.23,46.31,46.32,46.33,47.29,68.20.2</t>
  </si>
  <si>
    <t>429371, ЧУВАШСКАЯ РЕСПУБЛИКА - ЧУВАШИЯ, М.О. БАТЫРЕВСКИЙ, Д. ЯНШИХОВО, УЛ. МОЛОДЕЖНАЯ, ЗД. 1А, ОФИС 3</t>
  </si>
  <si>
    <t>АО "ЭЛАРА"</t>
  </si>
  <si>
    <t>АКЦИОНЕРНОЕ ОБЩЕСТВО "НАУЧНО-ПРОИЗВОДСТВЕННЫЙ КОМПЛЕКС "ЭЛАРА" ИМЕНИ Г.А. ИЛЬЕНКО"</t>
  </si>
  <si>
    <t>1992-05-13</t>
  </si>
  <si>
    <t>26.51.1</t>
  </si>
  <si>
    <t>Производство навигационных, метеорологических, геодезических, геофизических и аналогичного типа приборов, аппаратуры и инструментов</t>
  </si>
  <si>
    <t>26.11,26.30,26.51.2,27.51,45.1,45.20,49.3,49.4,50.30,50.40,51.21,72.19</t>
  </si>
  <si>
    <t>УГЛОВ АНДРЕЙ АЛЕКСАНДРОВИЧ</t>
  </si>
  <si>
    <t>428017,  ЧУВАШСКАЯ РЕСПУБЛИКА - ЧУВАШИЯ, Г. ЧЕБОКСАРЫ, ПР-КТ МОСКОВСКИЙ, Д.40</t>
  </si>
  <si>
    <t>+78352221756,+78352221295,+78352221360,+78352221348,+78352221204,+78352221830,+78352221559,+78352221155,+78352221015,+78352221003,+78352221472,+79033582649,+79196625044,+78352221631,+78352221713,+78352221263,+78352221465,+78352221308,+78352221123,+78352221700,+78352221411,+78352221298,+78352221783,+78352221482,+78352221065,+78352451048,+78352453650,+78352221456,+78352221785,+78352221403</t>
  </si>
  <si>
    <t>www.elara.ru</t>
  </si>
  <si>
    <t>audit@elara.ru,market-prom@elara.ru,elara@chtts.ru,yanenkova.omrap@elara.ru,elara@elara.ru,dsharapov@elara.ru,s@elara.ru,cs@elara.ru,elmodul@elara.ra,sns1@elara.ru,audit@elara.ru,,elara@chtts.ru,,market-prom@elera.ru,pp@elara.ru,sns@elara.ru</t>
  </si>
  <si>
    <t>ООО "ЖБК № 9"</t>
  </si>
  <si>
    <t>ОБЩЕСТВО С ОГРАНИЧЕННОЙ ОТВЕТСТВЕННОСТЬЮ "ЖЕЛЕЗОБЕТОННЫЕ КОНСТРУКЦИИ № 9"</t>
  </si>
  <si>
    <t>2001-10-10</t>
  </si>
  <si>
    <t>23.61.2</t>
  </si>
  <si>
    <t>Производство сборных строительных конструкций из бетона, цемента и искусственного камня</t>
  </si>
  <si>
    <t>23.61.1,23.63,23.64,46.73.6,46.77,49.41.2,68.20.29,23.61,23.63,25.11,46.73.6,49.3,49.4,49.41,52.10,52.24,68.10,68.20,71.20.3,77.32</t>
  </si>
  <si>
    <t>ЦАПУЛИН АЛЕКСАНДР ВЛАДИМИРОВИЧ</t>
  </si>
  <si>
    <t>428037,  ЧУВАШСКАЯ РЕСПУБЛИКА - ЧУВАШИЯ, Г. ЧЕБОКСАРЫ, ПР-Д КАБЕЛЬНЫЙ, Д.5</t>
  </si>
  <si>
    <t>+78352631095,+78352630890,+78352308801,+78352662444,+78352308819,+78352230890,+78352662245</t>
  </si>
  <si>
    <t>www.jbk9.ru,jbk9.ru</t>
  </si>
  <si>
    <t>jbk9@mail.ru,662444@jbk9.ru,smichlaeva-li@mail.ru,sales@jbk9.ru</t>
  </si>
  <si>
    <t>438</t>
  </si>
  <si>
    <t>ЗАО "АГРО-ИНВЕСТ"</t>
  </si>
  <si>
    <t>ЗАКРЫТОЕ АКЦИОНЕРНОЕ ОБЩЕСТВО "АГРО-ИНВЕСТ"</t>
  </si>
  <si>
    <t>1997-10-20</t>
  </si>
  <si>
    <t>22.19.3,33.12,52.24.2,68.20.29,77.12,16.23,22.19,33.12,41.20,45.3,46.36,46.61,46.69.2,46.73,46.90,49.4,56.10.1,68.20,69.10,70.22,77.12,77.39.27</t>
  </si>
  <si>
    <t>+78352662040,+78352507859,+78352507657,+78352245090,+73257061034,+79662490207,+78352490207,+78352655076,+78352625076,+78352507806,+78352507875,+78352230606,+78352507818,+79278470322,+78352507858,+78352482062</t>
  </si>
  <si>
    <t>agro-inwest.ru</t>
  </si>
  <si>
    <t>stepanov21@list.ru,agroinvest21@mail.ru;,agro_invest@mail.ru,agroinvest21@mail.ru,agroinvest@mail.ru,stepanov21@mail.ru,meshkov.zakupki@yandex.ru</t>
  </si>
  <si>
    <t>ООО "А - МОСТ"</t>
  </si>
  <si>
    <t>ОБЩЕСТВО С ОГРАНИЧЕННОЙ ОТВЕТСТВЕННОСТЬЮ "АВТОБАН - МОСТ"</t>
  </si>
  <si>
    <t>1993-03-17</t>
  </si>
  <si>
    <t>42.13</t>
  </si>
  <si>
    <t>Строительство мостов и тоннелей</t>
  </si>
  <si>
    <t>46.73.6,16.10,16.10.9,16.23,23.61,23.63,25.11,25.29,41.10,41.20,42.11,42.11,42.11,42.12,42.13,42.21,42.21,42.22,42.22.1,42.22.2,42.91,42.99,43.11,43.12.3,43.21,43.31,43.91,43.99,45.1,45.20,45.3,47.21,47.22,47.30,47.52,52.21.22,52.21.23,71.12</t>
  </si>
  <si>
    <t>ПАУКОВ АЛЕКСАНДР ВИКТОРОВИЧ</t>
  </si>
  <si>
    <t>428024,  ЧУВАШСКАЯ РЕСПУБЛИКА - ЧУВАШИЯ, Г ЧЕБОКСАРЫ, ПР-КТ И.Я.ЯКОВЛЕВА, ЗД. 2А, ПОМЕЩ. 6/ЭТАЖ I,II</t>
  </si>
  <si>
    <t>+78352540746,+78352238820,+78352507668,+78352662215,+78352540518,+78352640746,+78352540638,+78352507667,+78352640518</t>
  </si>
  <si>
    <t>k.pushkareva@avtoban.ru</t>
  </si>
  <si>
    <t>1126</t>
  </si>
  <si>
    <t>ООО НПО "ИНТЕРКОМП"</t>
  </si>
  <si>
    <t>ОБЩЕСТВО С ОГРАНИЧЕННОЙ ОТВЕТСТВЕННОСТЬЮ "НАУЧНО-ПРОИЗВОДСТВЕННОЕ ОБЪЕДИНЕНИЕ "ИНТЕРКОМП"</t>
  </si>
  <si>
    <t>1999-01-18</t>
  </si>
  <si>
    <t>43.99,46.90,47.11,52.29,55.90,56.10,56.10.1,56.10.3,68.31.12,68.31.22,68.31.32,68.31.42,82.99,93.19,93.29.9</t>
  </si>
  <si>
    <t>КУДРЯШОВ ВАЛЕРИЙ ФЕДОРОВИЧ</t>
  </si>
  <si>
    <t>143007, МОСКОВСКАЯ ОБЛАСТЬ, Г.О. ОДИНЦОВСКИЙ, Г ОДИНЦОВО, УЛ МОЛОДЕЖНАЯ, Д. 46, ОФИС 313</t>
  </si>
  <si>
    <t>+70952347693,+74955996443,+78844951999</t>
  </si>
  <si>
    <t>intercomp1999@mail.ru</t>
  </si>
  <si>
    <t>ООО "КОМПАНИЯ МИР"</t>
  </si>
  <si>
    <t>ОБЩЕСТВО С ОГРАНИЧЕННОЙ ОТВЕТСТВЕННОСТЬЮ "КОМПАНИЯ МИР"</t>
  </si>
  <si>
    <t>2000-05-23</t>
  </si>
  <si>
    <t>ГОРБУНОВ ВИКТОР АНАТОЛЬЕВИЧ</t>
  </si>
  <si>
    <t>141601,  МОСКОВСКАЯ ОБЛАСТЬ, Г КЛИН, УЛ ЛЕНИНГРАДСКАЯ, Д. 2/11, ОФИС 22</t>
  </si>
  <si>
    <t>+74962431821</t>
  </si>
  <si>
    <t>ООО "ФАБРИКА-ПРАЧЕЧНАЯ"</t>
  </si>
  <si>
    <t>ОБЩЕСТВО С ОГРАНИЧЕННОЙ ОТВЕТСТВЕННОСТЬЮ "ФАБРИКА-ПРАЧЕЧНАЯ"</t>
  </si>
  <si>
    <t>2005-02-08</t>
  </si>
  <si>
    <t>96.01</t>
  </si>
  <si>
    <t>Стирка и химическая чистка текстильных и меховых изделий</t>
  </si>
  <si>
    <t>68.20.2,81.22,95.23,95.29,96.0,96.04</t>
  </si>
  <si>
    <t>ПОРОШКИНА ОЛЬГА ПЕТРОВНА</t>
  </si>
  <si>
    <t>142200,  МОСКОВСКАЯ ОБЛАСТЬ, Г. СЕРПУХОВ, УЛ. ВОДОНАПОРНАЯ, Д. 36А, ЭТАЖ 1, ОФИС 1</t>
  </si>
  <si>
    <t>+74967721476,+79261449812,+74967721147,+74951245786,+74967721446,+74967721746,+74951547895,+74967214768,+74697721476,+74967721776,+74952488838</t>
  </si>
  <si>
    <t>stirkaug.ru</t>
  </si>
  <si>
    <t>fabrikaprach1@yandex.ru,fabrikaprach@yandex.ru,ossenn862@bk.ru,osenn@bk.ru,senn862@bk.ru,osenn862@mail.ru,osenn862@bk.ru,ossen862@bk.ru,***@mail.ru,fabrikaprahehnaz@mail.ru,fabrikaprahehnay@vail.ru,fgjuy@mail.ri,null@null.ru,fabrika-prah@rambler.ru,pr@rgs.ru</t>
  </si>
  <si>
    <t>ООО "ЭЙРЕНА"</t>
  </si>
  <si>
    <t>ОБЩЕСТВО С ОГРАНИЧЕННОЙ ОТВЕТСТВЕННОСТЬЮ "ЭЙРЕНА"</t>
  </si>
  <si>
    <t>1998-02-18</t>
  </si>
  <si>
    <t>46.90,47.19,47.9,55.10,55.90,56.10,56.10.1,56.10.3,56.30,62.02,63.91,68.20.2,68.32,69.10,70.10.1,70.10.2,70.22,73.11,73.20,74.30,78.10,79.11,82.19,84.11,84.11.8,85.13,85.14,85.21,85.23,85.42,87,88,96.02,96.09</t>
  </si>
  <si>
    <t>СТЕПАНОВИЧ НИНА МИХАЙЛОВНА</t>
  </si>
  <si>
    <t>143406, МОСКОВСКАЯ ОБЛАСТЬ, Г.О. КРАСНОГОРСК, Г КРАСНОГОРСК, УЛ ЖЕЛЕЗНОДОРОЖНАЯ, Д. 26, ПОМЕЩ. III, КОМ. 2</t>
  </si>
  <si>
    <t>+74955449087,+74985682723,+79015342363,+74955448087</t>
  </si>
  <si>
    <t>натали-стиль.рф</t>
  </si>
  <si>
    <t>ООО "ФЕРМА"</t>
  </si>
  <si>
    <t>ОБЩЕСТВО С ОГРАНИЧЕННОЙ ОТВЕТСТВЕННОСТЬЮ "ФЕРМА"</t>
  </si>
  <si>
    <t>2005-03-30</t>
  </si>
  <si>
    <t>46.11.1</t>
  </si>
  <si>
    <t>Деятельность агентов по оптовой торговле живыми животными</t>
  </si>
  <si>
    <t>20.13,20.14,20.41,20.42,46.11.3,46.12,46.32.1,46.38.1,46.44.2,46.45,46.75,47.99.1,68.20,69.20</t>
  </si>
  <si>
    <t>Маресьева Татьяна Николаевна</t>
  </si>
  <si>
    <t>141800, МОСКОВСКАЯ ОБЛАСТЬ, М.О. ДМИТРОВСКИЙ, Г ДМИТРОВ, МКР ИМ А.МАРКОВА, Д. 4, КВ. 150</t>
  </si>
  <si>
    <t>+79262366823,+74962243242</t>
  </si>
  <si>
    <t>ООО"ДОМ МЕБЕЛИ"</t>
  </si>
  <si>
    <t>ОБЩЕСТВО С ОГРАНИЧЕННОЙ ОТВЕТСТВЕННОСТЬЮ "ДОМ МЕБЕЛИ"</t>
  </si>
  <si>
    <t>47.59.1</t>
  </si>
  <si>
    <t>Торговля розничная мебелью в специализированных магазинах</t>
  </si>
  <si>
    <t>01.61,68.10.22,68.20</t>
  </si>
  <si>
    <t>НЕБОЖАНОВА ГАЛИНА ИВАНОВНА</t>
  </si>
  <si>
    <t>141008,  МОСКОВСКАЯ ОБЛАСТЬ, Г. МЫТИЩИ, Г.О. МЫТИЩИ, УЛ. МИРА, Д.33</t>
  </si>
  <si>
    <t>+74955820181</t>
  </si>
  <si>
    <t>ООО "ТПК"ЛОБНЯ"</t>
  </si>
  <si>
    <t>ОБЩЕСТВО С ОГРАНИЧЕННОЙ ОТВЕТСТВЕННОСТЬЮ "ТОРГОВО-ПРОМЫШЛЕННАЯ КОМПАНИЯ"ЛОБНЯ"</t>
  </si>
  <si>
    <t>68.31,68.32</t>
  </si>
  <si>
    <t>ШИБИЛКИН ЕВГЕНИЙ НИКОЛАЕВИЧ
ХУДОБЧЕНОК ОЛЬГА НИКОЛАЕВНА</t>
  </si>
  <si>
    <t>330100895634
502500224711</t>
  </si>
  <si>
    <t>ГЕНЕРАЛЬНЫЙ ДИРЕКТОР
КОММЕРЧЕСКИЙ ДИРЕКТОР</t>
  </si>
  <si>
    <t>141730,  МОСКОВСКАЯ ОБЛАСТЬ, Г. ЛОБНЯ, УЛ. КАТЮШКИ, Д. 53Б, ОФИС 4</t>
  </si>
  <si>
    <t>+70955090900,+74955090900,+74955090901</t>
  </si>
  <si>
    <t>ООО "ТЕЛЕКОМ-УСЛУГИ"</t>
  </si>
  <si>
    <t>ОБЩЕСТВО С ОГРАНИЧЕННОЙ ОТВЕТСТВЕННОСТЬЮ "ТЕЛЕКОМ-УСЛУГИ"</t>
  </si>
  <si>
    <t>2005-04-14</t>
  </si>
  <si>
    <t>62.02,62.09,63.11,63.11.1,81.22,81.29.9,82.99,95.11</t>
  </si>
  <si>
    <t>ФИЛИППОВ ВАЛЕНТИН ЛЕОНИДОВИЧ</t>
  </si>
  <si>
    <t>142600,  МОСКОВСКАЯ ОБЛАСТЬ, Г. ОРЕХОВО-ЗУЕВО, УЛ. ЕГОРЬЕВСКАЯ, Д.17</t>
  </si>
  <si>
    <t>+79266115773,+74964290011,+74964169160,+70964150101,+74964290390,+79688687706,+74964290695,+74964150101,+74964290290,+74964169299,+79151120379,+74964290195</t>
  </si>
  <si>
    <t>teleusl.ru</t>
  </si>
  <si>
    <t>777@smartintel.ru,anna.shitenko@mail.ru,staso-2@inbox.ru,billing@smartintel.ru,info@smartintel.ru</t>
  </si>
  <si>
    <t>ООО "МЕДИКАЛСАЙНС"</t>
  </si>
  <si>
    <t>ОБЩЕСТВО С ОГРАНИЧЕННОЙ ОТВЕТСТВЕННОСТЬЮ "МЕДИКАЛСАЙНС"</t>
  </si>
  <si>
    <t>2016-04-04</t>
  </si>
  <si>
    <t>21.10,21.20,21.20.1,21.20.2,26.60.1,32.50,33.13,46.18.1,46.46.1,46.46.2,46.90,47.73,47.74,47.75,47.75.1,47.75.2,52.24,71.20.3,71.20.8,71.20.9,72.19</t>
  </si>
  <si>
    <t>ХАБАРОВА РОЗА ИМРАНОВНА</t>
  </si>
  <si>
    <t>117587,  Г.МОСКВА, УЛ. СУМСКАЯ, Д. 6, К. 1, КВ. 8</t>
  </si>
  <si>
    <t>+79262848028</t>
  </si>
  <si>
    <t>ООО "КОМПАНИЯ "ВЕЛФАР"</t>
  </si>
  <si>
    <t>ОБЩЕСТВО С ОГРАНИЧЕННОЙ ОТВЕТСТВЕННОСТЬЮ "КОМПАНИЯ "ВЕЛФАР"</t>
  </si>
  <si>
    <t>2003-04-16</t>
  </si>
  <si>
    <t>62.01,62.02,62.09,63.11.1,68.10.22,69.10,70.22,77.33.2,77.39.1,77.39.29</t>
  </si>
  <si>
    <t>АЛИЕВ МАТЛАБ АЗИЗ ОГЛЫ</t>
  </si>
  <si>
    <t>115035,  Г.МОСКВА, НАБ. КОСМОДАМИАНСКАЯ, Д. 4/22, КОРП Б, ЭТАЖ 1 ПОМ VIII КОМ 9 ОФ 61</t>
  </si>
  <si>
    <t>+74955554433</t>
  </si>
  <si>
    <t>ООО "ДОРСЕРВИС"</t>
  </si>
  <si>
    <t>ОБЩЕСТВО С ОГРАНИЧЕННОЙ ОТВЕТСТВЕННОСТЬЮ "ДОРСЕРВИС"</t>
  </si>
  <si>
    <t>2002-11-18</t>
  </si>
  <si>
    <t>41.2,41.20,42.11,42.12,42.21,42.99,43.11,43.12.1,43.12.3,43.22,43.29,43.3,43.31,43.32,43.33,43.34.1,43.34.2,43.91,43.99.1,43.99.2,43.99.3,43.99.4,43.99.5,43.99.6,49.4,52.21.22,52.21.24,71.11</t>
  </si>
  <si>
    <t>БИЛЬКО СЕРГЕЙ ВЯЧЕСЛАВОВИЧ</t>
  </si>
  <si>
    <t>143432, МОСКОВСКАЯ ОБЛАСТЬ, Г.О. КРАСНОГОРСК, ПГТ. НАХАБИНО, УЛ ПАРКОВАЯ, Д. 25, ЭТАЖ 1, ПОМЕЩ. 10</t>
  </si>
  <si>
    <t>+74955636330,+70955636330,+74955612887,+74955663760,+74955646014</t>
  </si>
  <si>
    <t>nadin-s10@mail.ru</t>
  </si>
  <si>
    <t>ООО "ЭСТДОМ"</t>
  </si>
  <si>
    <t>ОБЩЕСТВО С ОГРАНИЧЕННОЙ ОТВЕТСТВЕННОСТЬЮ "ЭСТДОМ"</t>
  </si>
  <si>
    <t>2005-06-16</t>
  </si>
  <si>
    <t>42.99,43.21,43.22,43.29,43.31,43.32,43.33,43.34,43.39,43.91,43.99,43.99.1,46.73,47.52.7,47.59.4</t>
  </si>
  <si>
    <t>ЯАНИМЕТС АЙВАР</t>
  </si>
  <si>
    <t>143005,  МОСКОВСКАЯ ОБЛАСТЬ, Г. ОДИНЦОВО, УЛ. ГОВОРОВА, Д.28, 1</t>
  </si>
  <si>
    <t>+74986001861,+74959690744</t>
  </si>
  <si>
    <t>ООО "ВЕБИС ГРУП"</t>
  </si>
  <si>
    <t>ОБЩЕСТВО С ОГРАНИЧЕННОЙ ОТВЕТСТВЕННОСТЬЮ "ВЕБИС ГРУП"</t>
  </si>
  <si>
    <t>2005-08-18</t>
  </si>
  <si>
    <t>46.17.1,46.19,46.37,46.39,46.90,47.29.35,47.91.2,47.91.3,47.91.4,62.09,63.1,68.20,68.20.2,72.19,73.11,73.20,82.99</t>
  </si>
  <si>
    <t>ПОПОВ ГРИГОРИЙ ВАЛЕНТИНОВИЧ</t>
  </si>
  <si>
    <t>141980,  МОСКОВСКАЯ ОБЛАСТЬ, Г ДУБНА, УЛ УНИВЕРСИТЕТСКАЯ, Д. 19, СТР. 1</t>
  </si>
  <si>
    <t>+74957654571,+70957654571</t>
  </si>
  <si>
    <t>ООО "КАРТ ЭЛЬ"</t>
  </si>
  <si>
    <t>ОБЩЕСТВО С ОГРАНИЧЕННОЙ ОТВЕТСТВЕННОСТЬЮ "КАРТ ЭЛЬ"</t>
  </si>
  <si>
    <t>2015-06-18</t>
  </si>
  <si>
    <t>47.11,47.19,47.21,47.22,47.23,47.24,47.25.12,47.25.2,47.26,47.29,47.9,47.99,53.20.3,56.10.1,56.10.3,56.29,56.30</t>
  </si>
  <si>
    <t>ШУСТРОВ ИЛЬЯ АРКАДЬЕВИЧ</t>
  </si>
  <si>
    <t>141300,  МОСКОВСКАЯ ОБЛАСТЬ, Г. СЕРГИЕВ ПОСАД, Р-Н СЕРГИЕВО-ПОСАДСКИЙ, УЛ. РЫБНАЯ 1-Я, Д. 9/26, ПОМЕЩ. 3</t>
  </si>
  <si>
    <t>+79262223314</t>
  </si>
  <si>
    <t>ООО "ЦЕНТР КРАСОТЫ И ЗДОРОВЬЯ "ВЕРСАЛЬ"</t>
  </si>
  <si>
    <t>ОБЩЕСТВО С ОГРАНИЧЕННОЙ ОТВЕТСТВЕННОСТЬЮ "ЦЕНТР КРАСОТЫ И ЗДОРОВЬЯ "ВЕРСАЛЬ"</t>
  </si>
  <si>
    <t>2005-10-04</t>
  </si>
  <si>
    <t>46.45,46.46,47.73,47.74,47.75,52.21.24,68.10,68.20,86.10,86.23,86.90.9,93.11,96.02,96.04,96.09</t>
  </si>
  <si>
    <t>МОРОГА ДЭНУЦ ФЕДОРОВИЧ</t>
  </si>
  <si>
    <t>140180,  МОСКОВСКАЯ ОБЛАСТЬ, Г. ЖУКОВСКИЙ, УЛ. ЖУКОВСКОГО, Д. 9, ПОМЕЩ. 8</t>
  </si>
  <si>
    <t>+79104595828,+79268790838,+79031563937</t>
  </si>
  <si>
    <t>ООО "СОЗИДАТЕЛЬ - XXI"</t>
  </si>
  <si>
    <t>ОБЩЕСТВО С ОГРАНИЧЕННОЙ ОТВЕТСТВЕННОСТЬЮ "СОЗИДАТЕЛЬ - XXI"</t>
  </si>
  <si>
    <t>МУРАВИН ВЛАДИМИР ГЕННАДЬЕВИЧ</t>
  </si>
  <si>
    <t>119435,  Г.МОСКВА, ПЕР. БОЛЬШОЙ САВВИНСКИЙ, Д.10А</t>
  </si>
  <si>
    <t>+70955042856</t>
  </si>
  <si>
    <t>ООО"МСП-ТРАНЗИТ"</t>
  </si>
  <si>
    <t>ОБЩЕСТВО С ОГРАНИЧЕННОЙ ОТВЕТСТВЕННОСТЬЮ "МСП-ТРАНЗИТ"</t>
  </si>
  <si>
    <t>1999-04-20</t>
  </si>
  <si>
    <t>77.11,77.12</t>
  </si>
  <si>
    <t>ФОЛОМКИН АНДРЕЙ ВИКТОРОВИЧ</t>
  </si>
  <si>
    <t>141007,  МОСКОВСКАЯ ОБЛАСТЬ, Г МЫТИЩИ, Ш ЯРОСЛАВСКОЕ, Д. 111</t>
  </si>
  <si>
    <t>+74952216229,+74955861103</t>
  </si>
  <si>
    <t>5867727@mail.ru</t>
  </si>
  <si>
    <t>ООО "СТАЛЬ-СТРОЙ"</t>
  </si>
  <si>
    <t>ОБЩЕСТВО  С ОГРАНИЧЕННОЙ ОТВЕТСТВЕННОСТЬЮ "СТАЛЬ-СТРОЙ"</t>
  </si>
  <si>
    <t>2005-08-26</t>
  </si>
  <si>
    <t>25.12</t>
  </si>
  <si>
    <t>Производство металлических дверей и окон</t>
  </si>
  <si>
    <t>23.70,25.11,25.50,25.61,25.99,33.11,33.19,49.41.2,95.29</t>
  </si>
  <si>
    <t>Дьяченко Владислав Владимирович</t>
  </si>
  <si>
    <t>141607, МОСКОВСКАЯ ОБЛАСТЬ, Г.О. КЛИН, Г КЛИН, Ш ВОЛОКОЛАМСКОЕ, Д. 44/28, ПОМЕЩ. 1</t>
  </si>
  <si>
    <t>+74959702562,+74957642625,+74956490701</t>
  </si>
  <si>
    <t>ООО "ИНТАЙН"</t>
  </si>
  <si>
    <t>ОБЩЕСТВО С ОГРАНИЧЕННОЙ ОТВЕТСТВЕННОСТЬЮ "ИНТАЙН"</t>
  </si>
  <si>
    <t>47.1,47.2,47.5,47.73,47.74,47.75,47.79,47.9,68.20.2,68.3,68.31,68.31.1,68.31.12,68.31.2,68.31.22,68.31.3,68.31.32,68.31.4,68.31.42</t>
  </si>
  <si>
    <t>СДОБНИКОВА НАДЕЖДА НИКОЛАЕВНА</t>
  </si>
  <si>
    <t>123060,  Г.МОСКВА, УЛ. НАРОДНОГО ОПОЛЧЕНИЯ, Д.49, К.1</t>
  </si>
  <si>
    <t>+74951940235,+74951941004</t>
  </si>
  <si>
    <t>ООО "РЕСТ ОЗ"</t>
  </si>
  <si>
    <t>ОБЩЕСТВО С ОГРАНИЧЕННОЙ ОТВЕТСТВЕННОСТЬЮ "РЕСТ ОЗ"</t>
  </si>
  <si>
    <t>2011-02-04</t>
  </si>
  <si>
    <t>56.1</t>
  </si>
  <si>
    <t>46.17,46.34,46.38,46.76,46.90,47.11,47.21,47.24,47.8,47.9,52.10,52.24,56.10,56.10.1,56.10.3,56.29,56.30,73.20.1,82.99</t>
  </si>
  <si>
    <t>СИЛЬВА ВЕГАС АЛЕКСАНДЕР ХОСЕ</t>
  </si>
  <si>
    <t>111024,  Г.МОСКВА, УЛ ДУШИНСКАЯ, Д. 7, СТР. 1</t>
  </si>
  <si>
    <t>+74956325193</t>
  </si>
  <si>
    <t>ООО "ЖЕРМИНАЛЬ"</t>
  </si>
  <si>
    <t>ОБЩЕСТВО С ОГРАНИЧЕННОЙ ОТВЕТСТВЕННОСТЬЮ "ЖЕРМИНАЛЬ"</t>
  </si>
  <si>
    <t>2001-01-12</t>
  </si>
  <si>
    <t>20.41,20.41.3,22.22,41.20,46.45.1,46.45.2,46.90,47.19,47.72.1,47.72.2,47.91,47.99,49.41,49.41.2,52.10,52.29,68.10,68.20,74.20,74.30,82.92,82.99</t>
  </si>
  <si>
    <t>КАРПОВ НИКОЛАЙ ВЛАДИМИРОВИЧ</t>
  </si>
  <si>
    <t>140030, МОСКОВСКАЯ ОБЛАСТЬ, Г.О. ЛЮБЕРЦЫ, ПГТ. МАЛАХОВКА, Ш ЕГОРЬЕВСКОЕ, Д. 1, ЛИТЕРА Б, ПОМЕЩ. 20</t>
  </si>
  <si>
    <t>+74955578969,+79670162097,+74959738968,+79287795455,+79166970248,+74985578969</t>
  </si>
  <si>
    <t>www.jerminal.su</t>
  </si>
  <si>
    <t>jerminal@rambler.ru,jerminal1@yandex.ru,jerminall@yandex.ru,ummv@bk.ru</t>
  </si>
  <si>
    <t>ООО "ДЕНТА ПРАЙМ"</t>
  </si>
  <si>
    <t>ОБЩЕСТВО С ОГРАНИЧЕННОЙ ОТВЕТСТВЕННОСТЬЮ "ДЕНТА ПРАЙМ"</t>
  </si>
  <si>
    <t>2005-04-16</t>
  </si>
  <si>
    <t>86.23</t>
  </si>
  <si>
    <t>Стоматологическая практика</t>
  </si>
  <si>
    <t>86.21,86.90.9,86.90.9,86.90.9,86.90.9</t>
  </si>
  <si>
    <t>МАЛЬСАГОВ ОМАР МАГОМЕТ-БАШИРОВИЧ</t>
  </si>
  <si>
    <t>143006, МОСКОВСКАЯ ОБЛАСТЬ, Г.О. ОДИНЦОВСКИЙ, Г ОДИНЦОВО, УЛ ВЕРХНЕ-ПРОЛЕТАРСКАЯ, Д. 3, К. 2, ПОМЕЩ. 1</t>
  </si>
  <si>
    <t>+74955171688,+74955094233,+74955101430,+79268335467</t>
  </si>
  <si>
    <t>ООО "ФАРТ"</t>
  </si>
  <si>
    <t>ОБЩЕСТВО С ОГРАНИЧЕННОЙ ОТВЕТСТВЕННОСТЬЮ "ФАРТ"</t>
  </si>
  <si>
    <t>2007-04-18</t>
  </si>
  <si>
    <t>47.11,47.19,47.21,47.22,47.23,47.24,47.25,47.26,47.29,56.29,56.30</t>
  </si>
  <si>
    <t>БИРЮЛИН ИЛЬЯ ЭДУАРДОВИЧ</t>
  </si>
  <si>
    <t>141700,  МОСКОВСКАЯ ОБЛАСТЬ, Г. ДОЛГОПРУДНЫЙ, Ш. ЛИХАЧЕВСКОЕ, Д. 14, КОРП. 1, ПОМ. 15</t>
  </si>
  <si>
    <t>+74986854016</t>
  </si>
  <si>
    <t>ООО "ДАНТИСТ24"</t>
  </si>
  <si>
    <t>ОБЩЕСТВО С ОГРАНИЧЕННОЙ ОТВЕТСТВЕННОСТЬЮ "ДАНТИСТ24"</t>
  </si>
  <si>
    <t>20.5,26.60.1,47.73,47.74,86.90.9</t>
  </si>
  <si>
    <t>МАГОМЕДОВ ХАДЖИМУРАД ИБРАГИМОВИЧ</t>
  </si>
  <si>
    <t>123022,  Г.МОСКВА, УЛ. СЕРГЕЯ МАКЕЕВА, Д.8</t>
  </si>
  <si>
    <t>+79269388877</t>
  </si>
  <si>
    <t>ООО "ЭВЕРЕСТ"</t>
  </si>
  <si>
    <t>ОБЩЕСТВО С ОГРАНИЧЕННОЙ ОТВЕТСТВЕННОСТЬЮ "ЭВЕРЕСТ"</t>
  </si>
  <si>
    <t>2005-02-24</t>
  </si>
  <si>
    <t>43.11</t>
  </si>
  <si>
    <t>Разборка и снос зданий</t>
  </si>
  <si>
    <t>01.61,41.20,42.11,42.12,42.99,43.12.3,43.39,43.91,43.99.7,47.1,47.19,47.29,47.29.3,47.5,47.52.7,47.65,47.7,47.71,47.71.1,47.71.5,47.72,47.72.1,47.75,47.75.1,47.75.2,47.76.1,47.78.3,47.78.4,47.78.9,47.79,47.8,47.9,47.99,68.3,69,70.22,71.11</t>
  </si>
  <si>
    <t>САРКСЯН АЛЬБЕРТ ШАОИ</t>
  </si>
  <si>
    <t>140181,  МОСКОВСКАЯ ОБЛАСТЬ, Г ЖУКОВСКИЙ, УЛ ПРАВОЛИНЕЙНАЯ, Д. 33, ОФИС 317</t>
  </si>
  <si>
    <t>+79168859150</t>
  </si>
  <si>
    <t>ООО "КВИКХЕНДС"</t>
  </si>
  <si>
    <t>ОБЩЕСТВО С ОГРАНИЧЕННОЙ ОТВЕТСТВЕННОСТЬЮ "КВИКХЕНДС"</t>
  </si>
  <si>
    <t>2017-08-22</t>
  </si>
  <si>
    <t>82.20</t>
  </si>
  <si>
    <t>Деятельность центров обработки телефонных вызовов</t>
  </si>
  <si>
    <t>52.10,52.10.9,63.99.1,82.92,82.99</t>
  </si>
  <si>
    <t>ДРУЖИНА ЕВГЕНИЯ ВАЛЕРЬЕВНА</t>
  </si>
  <si>
    <t>140400,  МОСКОВСКАЯ ОБЛАСТЬ, Г. КОЛОМНА, УЛ. ПУШКИНА, Д. 3А, ЭТАЖ/ОФИС 3/31</t>
  </si>
  <si>
    <t>+79263570992</t>
  </si>
  <si>
    <t>ООО "ВИКТОРИЯ+"</t>
  </si>
  <si>
    <t>ОБЩЕСТВО С ОГРАНИЧЕННОЙ ОТВЕТСТВЕННОСТЬЮ "ВИКТОРИЯ+"</t>
  </si>
  <si>
    <t>2005-03-22</t>
  </si>
  <si>
    <t>41.20,45.20,45.3,46.16,47.51,52.29</t>
  </si>
  <si>
    <t>РОЖКОВ ГЕННАДИЙ ЮРЬЕВИЧ</t>
  </si>
  <si>
    <t>140108,  МОСКОВСКАЯ ОБЛАСТЬ, Г РАМЕНСКОЕ, УЛ ГУРЬЕВА, Д. 27</t>
  </si>
  <si>
    <t>+74964631149</t>
  </si>
  <si>
    <t>ООО "ЗАРЯ - МЕБЕЛЬ"</t>
  </si>
  <si>
    <t>ОБЩЕСТВО С ОГРАНИЧЕННОЙ ОТВЕТСТВЕННОСТЬЮ "ЗАРЯ - МЕБЕЛЬ"</t>
  </si>
  <si>
    <t>2005-12-26</t>
  </si>
  <si>
    <t>31.0</t>
  </si>
  <si>
    <t>Производство мебели</t>
  </si>
  <si>
    <t>16.10,16.10.3,16.10.9,16.21,16.21.22,16.23,16.23.2,16.24,31.01,31.01,31.02,31.09,46.47.1,46.65,47.59,47.59.1,47.59.1,47.59.4,47.99,49.41.1,49.41.2,49.41.3,52.21.2,52.24.2</t>
  </si>
  <si>
    <t>КИРИН ВИКТОР ВИКТОРОВИЧ</t>
  </si>
  <si>
    <t>143922, МОСКОВСКАЯ ОБЛАСТЬ, Г.О. БАЛАШИХА, Г БАЛАШИХА, ТЕР. САДОВОДЧЕСКОГО НЕКОММЕРЧЕСКОГО ТОВАРИЩЕСТВА КУПОЛ-2, Д. 154</t>
  </si>
  <si>
    <t>+74955242055,+74951093077</t>
  </si>
  <si>
    <t>ООО "САВАР"</t>
  </si>
  <si>
    <t>ОБЩЕСТВО С ОГРАНИЧЕННОЙ ОТВЕТСТВЕННОСТЬЮ "САВАР"</t>
  </si>
  <si>
    <t>1996-05-21</t>
  </si>
  <si>
    <t>46.16,47.19,47.51,47.71.4,47.72,52.29,68.10,69.20</t>
  </si>
  <si>
    <t>ЧАЙКОВСКАЯ ОЛЬГА ВАСИЛЬЕВНА</t>
  </si>
  <si>
    <t>141031,  МОСКОВСКАЯ ОБЛАСТЬ, Г МЫТИЩИ, П ВЕШКИ, Д. 24А, ЭТ/КОМ 2/15</t>
  </si>
  <si>
    <t>+74959080455,+74957439421</t>
  </si>
  <si>
    <t>ООО "АВТОБУССЕРВИС"</t>
  </si>
  <si>
    <t>ОБЩЕСТВО С ОГРАНИЧЕННОЙ ОТВЕТСТВЕННОСТЬЮ "АВТОБУССЕРВИС"</t>
  </si>
  <si>
    <t>2005-05-02</t>
  </si>
  <si>
    <t>45.20</t>
  </si>
  <si>
    <t>Техническое обслуживание и ремонт автотранспортных средств</t>
  </si>
  <si>
    <t>25.62,45.31.1,45.31.2,45.32,46.90,70.22,82.99</t>
  </si>
  <si>
    <t>МАРАЛИН ОЛЕГ ГЕННАДЬЕВИЧ</t>
  </si>
  <si>
    <t>142672,  МОСКОВСКАЯ ОБЛАСТЬ, Г. ЛИКИНО-ДУЛЁВО, Г. ОРЕХОВО-ЗУЕВО, УЛ. СОВЕТСКАЯ, Д. 41, ОФИС 5</t>
  </si>
  <si>
    <t>+74964145892,+70964145892</t>
  </si>
  <si>
    <t>www.avtobusservis.narod.ru</t>
  </si>
  <si>
    <t>ООО "ВАЙД-КАМПАНИ"</t>
  </si>
  <si>
    <t>ОБЩЕСТВО С ОГРАНИЧЕННОЙ ОТВЕТСТВЕННОСТЬЮ "ВАЙД-КАМПАНИ"</t>
  </si>
  <si>
    <t>46.18,46.18.1,46.18.9,46.46,46.46.2,46.49.4,68.20.2,73.20.1,82.99</t>
  </si>
  <si>
    <t>ШУЛЫК ОЛЬГА ЮРЬЕВНА</t>
  </si>
  <si>
    <t>141018,  МОСКОВСКАЯ ОБЛАСТЬ, Г. МЫТИЩИ, Г.О. МЫТИЩИ, ПР-КТ НОВОМЫТИЩИНСКИЙ, Д.5, К.1А,1Б</t>
  </si>
  <si>
    <t>+74959330375,+74965861723,+70955861723</t>
  </si>
  <si>
    <t>widecompany.ru</t>
  </si>
  <si>
    <t>ООО "ФАКТ"</t>
  </si>
  <si>
    <t>ОБЩЕСТВО С ОГРАНИЧЕННОЙ ОТВЕТСТВЕННОСТЬЮ "ФАКТ"</t>
  </si>
  <si>
    <t>2010-10-06</t>
  </si>
  <si>
    <t>63.91</t>
  </si>
  <si>
    <t>Деятельность информационных агентств</t>
  </si>
  <si>
    <t>46.18.2,58.13,58.14,58.19,62.09,73.11,73.20.2,82.99</t>
  </si>
  <si>
    <t>САФРОНОВА АЛЁНА ВЛАДИМИРОВНА</t>
  </si>
  <si>
    <t>105094, Г.МОСКВА, ВН.ТЕР.Г. МУНИЦИПАЛЬНЫЙ ОКРУГ БАСМАННЫЙ, УЛ ГОСПИТАЛЬНЫЙ ВАЛ, Д. 5, К. 16, ПОМЕЩ. 1Н</t>
  </si>
  <si>
    <t>+79048210062,+73812310521,+73812270101</t>
  </si>
  <si>
    <t>ООО "ЛАБОРАТОРИЯ КОНСТАНТА"</t>
  </si>
  <si>
    <t>ОБЩЕСТВО С ОГРАНИЧЕННОЙ ОТВЕТСТВЕННОСТЬЮ "ЛАБОРАТОРИЯ КОНСТАНТА"</t>
  </si>
  <si>
    <t>2009-02-03</t>
  </si>
  <si>
    <t>21.1</t>
  </si>
  <si>
    <t>Производство фармацевтических субстанций</t>
  </si>
  <si>
    <t>20.5,46.46,46.75,47.73,47.74,47.75,47.78,71.2,72.1,86</t>
  </si>
  <si>
    <t>МАЛАШЕНКО ОЛЬГА СЕРГЕЕВНА</t>
  </si>
  <si>
    <t>125373,  Г.МОСКВА, Б-Р ЯНА РАЙНИСА, Д. 43, К. 1, ПОМ II КОМ 4 ЭТ 2 ОФИС 3/2А</t>
  </si>
  <si>
    <t>+79852571968,+79269005877</t>
  </si>
  <si>
    <t>lab.constanta@gmail.com,lkonstanta@inbox.ru</t>
  </si>
  <si>
    <t>ООО "РУСПАК"</t>
  </si>
  <si>
    <t>ОБЩЕСТВО С ОГРАНИЧЕННОЙ ОТВЕТСТВЕННОСТЬЮ "РУСПАК"</t>
  </si>
  <si>
    <t>1999-12-20</t>
  </si>
  <si>
    <t>БЕЛЯЧЕВСКАЯ ГАЛИНА ЮРЬЕВНА</t>
  </si>
  <si>
    <t>143403,  МОСКОВСКАЯ ОБЛАСТЬ, Г. КРАСНОГОРСК, УЛ. НАРОДНОГО ОПОЛЧЕНИЯ, Д.1А</t>
  </si>
  <si>
    <t>+74955638418</t>
  </si>
  <si>
    <t>iva-notary@mail.ru</t>
  </si>
  <si>
    <t>ООО "МАГАЗИН "МАЛЬВИНА"</t>
  </si>
  <si>
    <t>ОБЩЕСТВО С ОГРАНИЧЕННОЙ ОТВЕТСТВЕННОСТЬЮ "МАГАЗИН "МАЛЬВИНА"</t>
  </si>
  <si>
    <t>1998-12-31</t>
  </si>
  <si>
    <t>46.90,56.10,56.10.1,56.10.21,56.21,56.29,56.30,68.20,93.29</t>
  </si>
  <si>
    <t>БОНДАРЧУК ДЕНИС ЮРЬЕВИЧ</t>
  </si>
  <si>
    <t>142432,  МОСКОВСКАЯ ОБЛАСТЬ, Г ЧЕРНОГОЛОВКА, УЛ ПЕРВАЯ, Д. 7</t>
  </si>
  <si>
    <t>+74965249960,+74965224129,+74957029569,+70957029569,+74967029569</t>
  </si>
  <si>
    <t>lvaverina@mail.ru</t>
  </si>
  <si>
    <t>ООО "ДЭМА"</t>
  </si>
  <si>
    <t>ОБЩЕСТВО С ОГРАНИЧЕННОЙ ОТВЕТСТВЕННОСТЬЮ "ДЭМА"</t>
  </si>
  <si>
    <t>2005-11-09</t>
  </si>
  <si>
    <t>86.90</t>
  </si>
  <si>
    <t>Деятельность в области медицины прочая</t>
  </si>
  <si>
    <t>32.30,47.64,47.73,47.74,47.75,49.3,49.4,77.21,77.29.9,77.39.26,79.11,79.90.1,79.90.2,86.21,86.23,86.90.9,96.04</t>
  </si>
  <si>
    <t>140180,  МОСКОВСКАЯ ОБЛАСТЬ, Г. ЖУКОВСКИЙ, УЛ. ЛЕСНАЯ, Д.4А, ОФ. 2 КОМН. 3</t>
  </si>
  <si>
    <t>+79031563937</t>
  </si>
  <si>
    <t>ООО  "ЛОДЕС"</t>
  </si>
  <si>
    <t>ОБЩЕСТВО С ОГРАНИЧЕННОЙ ОТВЕТСТВЕННОСТЬЮ "ЛОДЕС"</t>
  </si>
  <si>
    <t>2000-06-09</t>
  </si>
  <si>
    <t>БЕМАЛИ РОСТАМ ФЕРЕЗОВИЧ</t>
  </si>
  <si>
    <t>121059, Г.МОСКВА, ВН.ТЕР.Г. МУНИЦИПАЛЬНЫЙ ОКРУГ ДОРОГОМИЛОВО, НАБ БЕРЕЖКОВСКАЯ, Д. 20, СТР. 65, ПОМЕЩ. 1, КОМ. 1</t>
  </si>
  <si>
    <t>+74959481823,+74959485983,+70959481823</t>
  </si>
  <si>
    <t>ООО "ВЕЧЕРНИЙ ДМИТРОВ"</t>
  </si>
  <si>
    <t>ОБЩЕСТВО С ОГРАНИЧЕННОЙ ОТВЕТСТВЕННОСТЬЮ "ВЕЧЕРНИЙ ДМИТРОВ"</t>
  </si>
  <si>
    <t>2005-09-05</t>
  </si>
  <si>
    <t>61.10.5</t>
  </si>
  <si>
    <t>Деятельность по трансляции телерадиоканалов по сетям кабельного телерадиовещания</t>
  </si>
  <si>
    <t>42.21,42.22.2,43.21,59.11,60.10,60.20,61.20.4,73.11,95.12</t>
  </si>
  <si>
    <t>СТАРОДУБОВ ОЛЕГ ЮРЬЕВИЧ</t>
  </si>
  <si>
    <t>141800,  МОСКОВСКАЯ ОБЛАСТЬ, Г ДМИТРОВ, МКР ИМ А.МАРКОВА, Д. 8А</t>
  </si>
  <si>
    <t>+74962242374,+74969939936,+74959939936</t>
  </si>
  <si>
    <t>tvdmitrov@mail.ru,dmitrovtv@mail.ru</t>
  </si>
  <si>
    <t>ООО  "ИНФОФОРУМ.РФ"</t>
  </si>
  <si>
    <t>ОБЩЕСТВО С ОГРАНИЧЕННОЙ ОТВЕТСТВЕННОСТЬЮ "ИНФОФОРУМ.РФ"</t>
  </si>
  <si>
    <t>82.30</t>
  </si>
  <si>
    <t>Деятельность по организации конференций и выставок</t>
  </si>
  <si>
    <t>18.1,58,60.10,60.20,62.0,62.02,62.09,63.1,63.11.1,69,71.2,72.1,72.2,73.1,82.99,85.22,85.42</t>
  </si>
  <si>
    <t>ЖУКОВ АЛЕКСАНДР ВЛАДИМИРОВИЧ</t>
  </si>
  <si>
    <t>125080,  Г.МОСКВА, Ш. ВОЛОКОЛАМСКОЕ, Д. 1, СТР. 1, ЭТ 2 ПОМ № III КОМ № 50А</t>
  </si>
  <si>
    <t>+74952801051,+74956096785,+74996788093</t>
  </si>
  <si>
    <t>info@nifoforum.ru,partner@infoforum.ru,mtuci@mtuci.ru,com@infoforum.ru,info@infoforum.ru</t>
  </si>
  <si>
    <t>ООО "ВИЗАВИ"</t>
  </si>
  <si>
    <t>ОБЩЕСТВО С ОГРАНИЧЕННОЙ ОТВЕТСТВЕННОСТЬЮ "ВИЗАВИ"</t>
  </si>
  <si>
    <t>2002-09-13</t>
  </si>
  <si>
    <t>46.46,46.49,47.75,47.78.9,74.20,74.30,79.1,82.19,82.92,82.99</t>
  </si>
  <si>
    <t>БАБИКОВ АЛЕКСАНДР СЕРГЕЕВИЧ</t>
  </si>
  <si>
    <t>140002,  МОСКОВСКАЯ ОБЛАСТЬ, Г. ЛЮБЕРЦЫ, ПР-КТ ОКТЯБРЬСКИЙ, Д. 8, К. 1, ПОМЕЩ. II, КОМНАТА 1, ЭТАЖ 1</t>
  </si>
  <si>
    <t>+74955598590,+74955004443,+79263195097</t>
  </si>
  <si>
    <t>ООО "АГРОСТРОЙКОМПЛЕКС"</t>
  </si>
  <si>
    <t>ОБЩЕСТВО С ОГРАНИЧЕННОЙ ОТВЕТСТВЕННОСТЬЮ "АГРОСТРОЙКОМПЛЕКС"</t>
  </si>
  <si>
    <t>1999-12-06</t>
  </si>
  <si>
    <t>Глухова Ирина Николаевна</t>
  </si>
  <si>
    <t>143405,  МОСКОВСКАЯ ОБЛАСТЬ, Г КРАСНОГОРСК, Д ГОЛЬЕВО, УЛ ЦЕНТРАЛЬНАЯ, ВЛД. 6А</t>
  </si>
  <si>
    <t>+74954420435,+74959371210,+74955029616,+74996788129</t>
  </si>
  <si>
    <t>askprofil.ru</t>
  </si>
  <si>
    <t>ООО "ДОМ"</t>
  </si>
  <si>
    <t>ОБЩЕСТВО С ОГРАНИЧЕННОЙ ОТВЕТСТВЕННОСТЬЮ "ДОМ"</t>
  </si>
  <si>
    <t>1994-11-18</t>
  </si>
  <si>
    <t>46.49,47.52,47.7,47.9,52.10,52.29,68.10,68.10.1,68.20,68.31,68.32,69.10,69.20</t>
  </si>
  <si>
    <t>НЕКРАСОВ ОЛЕГ БОРИСОВИЧ</t>
  </si>
  <si>
    <t>141076,  МОСКОВСКАЯ ОБЛАСТЬ, Г. КОРОЛЁВ, УЛ. КАЛИНИНГРАДСКАЯ, Д.19</t>
  </si>
  <si>
    <t>+70955131592,+70955120281,+74955676536,+74959897350,+74955131592,+74955120281</t>
  </si>
  <si>
    <t>skobyanaya-lavka.ru</t>
  </si>
  <si>
    <t>ООО "МК "АРТ - ЦЕНТР ПЛЮС"</t>
  </si>
  <si>
    <t>ОБЩЕСТВО С ОГРАНИЧЕННОЙ ОТВЕТСТВЕННОСТЬЮ "МНОГОПРОФИЛЬНАЯ КОМПАНИЯ "АРТ - ЦЕНТР ПЛЮС"</t>
  </si>
  <si>
    <t>2009-03-10</t>
  </si>
  <si>
    <t>18.11,58.11.1,58.13,59.20,63.11,63.11.1,63.99,70.22,72.19,79.11,79.90.3,82.30,85.41.9,90.01,90.03</t>
  </si>
  <si>
    <t>ЛАЩЕНКО ЕЛЕНА ВИЛЕНОВНА</t>
  </si>
  <si>
    <t>111141, Г.МОСКВА, ВН.ТЕР.Г. МУНИЦИПАЛЬНЫЙ ОКРУГ ПЕРОВО, УЛ ПЛЕХАНОВА, Д. 7, ПОМЕЩ. 1/1</t>
  </si>
  <si>
    <t>+74957300175,+74959894154,+74959892395</t>
  </si>
  <si>
    <t>info@art-center.ru</t>
  </si>
  <si>
    <t>ООО "АНТЕЙ-98"</t>
  </si>
  <si>
    <t>ОБЩЕСТВО С ОГРАНИЧЕННОЙ ОТВЕТСТВЕННОСТЬЮ "АНТЕЙ-98"</t>
  </si>
  <si>
    <t>1998-12-30</t>
  </si>
  <si>
    <t>16.23,16.29.1,42.99,43.39,52.10,52.29,68.2,68.20.2</t>
  </si>
  <si>
    <t>РОМАНЮК АЛЕКСАНДР НАЗАРЕТОВИЧ</t>
  </si>
  <si>
    <t>141032,  МОСКОВСКАЯ ОБЛАСТЬ, Г МЫТИЩИ, Д ХОВРИНО, УЛ ОСТАШКОВСКАЯ, СТР. 31</t>
  </si>
  <si>
    <t>+74955833543</t>
  </si>
  <si>
    <t>ООО "ТРЕАЛ"</t>
  </si>
  <si>
    <t>ОБЩЕСТВО С ОГРАНИЧЕННОЙ ОТВЕТСТВЕННОСТЬЮ "ТРЕАЛ"</t>
  </si>
  <si>
    <t>2005-02-18</t>
  </si>
  <si>
    <t>41.2,43.11,43.12,43.12.3,43.21,43.22,43.29,43.3,43.31,43.32,43.33,43.34.1,43.34.2,64.99,64.99.3,68.1,68.2,68.3,68.31</t>
  </si>
  <si>
    <t>МАКСИМОВ БОРИС АНАТОЛЬЕВИЧ</t>
  </si>
  <si>
    <t>141044,  МОСКОВСКАЯ ОБЛАСТЬ, Г МЫТИЩИ, Д ГРИБКИ, УЛ АНГАРСКАЯ, ВЛД. 8, СТР. 1, КОМ. 11</t>
  </si>
  <si>
    <t>+74955792180,+74955792174</t>
  </si>
  <si>
    <t>ООО "ПЯТЬ ЗВЕЗД"</t>
  </si>
  <si>
    <t>ОБЩЕСТВО С ОГРАНИЧЕННОЙ ОТВЕТСТВЕННОСТЬЮ "ПЯТЬ ЗВЕЗД"</t>
  </si>
  <si>
    <t>2009-03-16</t>
  </si>
  <si>
    <t>85.41.91</t>
  </si>
  <si>
    <t>Деятельность по организации отдыха детей и их оздоровления</t>
  </si>
  <si>
    <t>47.63.1,47.63.2,55.20,55.30,79.1,79.11,79.90.1,79.90.2,79.90.3,85.41,85.41.9,86.90.4,93.1,93.11,93.2,93.29,93.29.2,93.29.9</t>
  </si>
  <si>
    <t>ГОЛИЦЫНА ЕКАТЕРИНА БОРИСОВНА</t>
  </si>
  <si>
    <t>111399,  Г.МОСКВА, ПР-КТ ФЕДЕРАТИВНЫЙ, Д. 16, К. 1, КВ. 86</t>
  </si>
  <si>
    <t>+74954299190</t>
  </si>
  <si>
    <t>a-zvezd.ru</t>
  </si>
  <si>
    <t>ООО ФИРМА "ГАЛАС"</t>
  </si>
  <si>
    <t>ОБЩЕСТВО С ОГРАНИЧЕННОЙ ОТВЕТСТВЕННОСТЬЮ ФИРМА "ГАЛАС"</t>
  </si>
  <si>
    <t>1999-12-30</t>
  </si>
  <si>
    <t>08.12</t>
  </si>
  <si>
    <t>Разработка гравийных и песчаных карьеров, добыча глины и каолина</t>
  </si>
  <si>
    <t>46.73,47.52.7,77.34</t>
  </si>
  <si>
    <t>БАТУРКИН АЛЕКСЕЙ АНАТОЛЬЕВИЧ</t>
  </si>
  <si>
    <t>140400,  МОСКОВСКАЯ ОБЛАСТЬ, Г. КОЛОМНА, ПЕР. ВОДОВОЗНЫЙ, Д.10, -, -</t>
  </si>
  <si>
    <t>+74966186417,+74966164785</t>
  </si>
  <si>
    <t>ООО "СВ ГРАУНД"</t>
  </si>
  <si>
    <t>ОБЩЕСТВО С ОГРАНИЧЕННОЙ ОТВЕТСТВЕННОСТЬЮ "СВ ГРАУНД"</t>
  </si>
  <si>
    <t>2009-04-03</t>
  </si>
  <si>
    <t>18.1</t>
  </si>
  <si>
    <t>Деятельность полиграфическая и предоставление услуг в этой области</t>
  </si>
  <si>
    <t>46.1,46.4,46.9,47.5,58,69,72.1,73.1,74.20,74.30,82.92</t>
  </si>
  <si>
    <t>ПАВЛОВСКАЯ ОЛЬГА НИКОЛАЕВНА</t>
  </si>
  <si>
    <t>127474,  Г.МОСКВА, УЛ. ДУБНИНСКАЯ, Д.45, К.1, 305</t>
  </si>
  <si>
    <t>+79163951637,+74991989279,+74956460450</t>
  </si>
  <si>
    <t>6460450@graund.ru,6460450@mail.ru,giacintsv@mail.ru</t>
  </si>
  <si>
    <t>ООО "ПЛ"</t>
  </si>
  <si>
    <t>ОБЩЕСТВО С ОГРАНИЧЕННОЙ ОТВЕТСТВЕННОСТЬЮ "ПЛ"</t>
  </si>
  <si>
    <t>1999-08-16</t>
  </si>
  <si>
    <t>46.17.1,46.17.2,46.17.21,46.17.22,46.17.23,46.17.3,47.25,47.25.1,47.78.9,56.10,56.10.1,56.10.3,56.30,92.1,93.29.2,93.29.9</t>
  </si>
  <si>
    <t>ПОЛЯКОВ ИВАН СЕМЁНОВИЧ</t>
  </si>
  <si>
    <t>141075,  МОСКОВСКАЯ ОБЛАСТЬ, Г. КОРОЛЁВ, УЛ. ИСАЕВА, Д.6А</t>
  </si>
  <si>
    <t>+79629797593</t>
  </si>
  <si>
    <t>ООО "ПОДКОВА-ТЦ"</t>
  </si>
  <si>
    <t>ОБЩЕСТВО С ОГРАНИЧЕННОЙ ОТВЕТСТВЕННОСТЬЮ "ПОДКОВА-ТЦ"</t>
  </si>
  <si>
    <t>2005-05-26</t>
  </si>
  <si>
    <t>56.10,56.21,64.20,64.91,68.10,68.10.1,68.31.1,68.32,81.10</t>
  </si>
  <si>
    <t>КЛОЧКОВА ЛЮДМИЛА ВАСИЛЬЕВНА</t>
  </si>
  <si>
    <t>143408,  МОСКОВСКАЯ ОБЛАСТЬ, Г. КРАСНОГОРСК, УЛ. КАРБЫШЕВА, Д.17, К.А</t>
  </si>
  <si>
    <t>+79295808903,+74955640502,+74955660832,+74955641502</t>
  </si>
  <si>
    <t>ООО "СТУДИЯ Д"</t>
  </si>
  <si>
    <t>ОБЩЕСТВО С ОГРАНИЧЕННОЙ ОТВЕТСТВЕННОСТЬЮ "СТУДИЯ ДЕНТ"</t>
  </si>
  <si>
    <t>2002-12-27</t>
  </si>
  <si>
    <t>46.90,47.19,52.10,86.21,86.90.9,96.04,96.09</t>
  </si>
  <si>
    <t>ВОРОБЬЕВА ЮЛИЯ СЕРГЕЕВНА</t>
  </si>
  <si>
    <t>142400,  МОСКОВСКАЯ ОБЛАСТЬ, Г. НОГИНСК, УЛ. ЛЕБЕДЕВОЙ, Д.10</t>
  </si>
  <si>
    <t>+79637725832,+74965112555,+74965143232,+79057273232,+78255143232</t>
  </si>
  <si>
    <t>ООО "КРАСЛАЙН"</t>
  </si>
  <si>
    <t>ОБЩЕСТВО С ОГРАНИЧЕННОЙ ОТВЕТСТВЕННОСТЬЮ "КРАСЛАЙН"</t>
  </si>
  <si>
    <t>2005-11-21</t>
  </si>
  <si>
    <t>49.31.2</t>
  </si>
  <si>
    <t>Регулярные перевозки пассажиров прочим сухопутным транспортом в городском и пригородном сообщении</t>
  </si>
  <si>
    <t>45.20,45.20.1,45.20.2,45.3,46.4,46.71,47.30,49.31.21,49.31.21,49.39.11,49.39.12,49.41.1,49.41.2,52.2,71.20.5,77.11,77.3</t>
  </si>
  <si>
    <t>ОБЩЕСТВО С ОГРАНИЧЕННОЙ ОТВЕТСТВЕННОСТЬЮ "УПРАВЛЯЮЩАЯ КОМПАНИЯ АВТОЛАЙН-ТРАНСЛАЙТ"</t>
  </si>
  <si>
    <t>143405, МОСКОВСКАЯ ОБЛАСТЬ, Г.О. КРАСНОГОРСК, Г КРАСНОГОРСК, УЛ ВОКЗАЛЬНАЯ, Д. 39А</t>
  </si>
  <si>
    <t>+74959874709,+74957862324,+74957862323,+74996810639</t>
  </si>
  <si>
    <t>l.zorina@avtoline.ru,filatova_sv@list.ru</t>
  </si>
  <si>
    <t>ООО "СУВЕНИР - ДИЗАЙН"</t>
  </si>
  <si>
    <t>ОБЩЕСТВО С ОГРАНИЧЕННОЙ ОТВЕТСТВЕННОСТЬЮ "СУВЕНИР - ДИЗАЙН"</t>
  </si>
  <si>
    <t>2009-03-24</t>
  </si>
  <si>
    <t>73.11</t>
  </si>
  <si>
    <t>Деятельность рекламных агентств</t>
  </si>
  <si>
    <t>14.13,14.19,14.31.1,18.1,18.14,46.18.99,46.41,46.42,46.42.1,46.42.14,46.49,46.90,47.78,47.99,58.11,58.19,63.91,71.11,74.10,74.20,74.30,82.19,82.92,82.99,90.03</t>
  </si>
  <si>
    <t>МЕЖАНСКАЯ ИННА ВИКТОРОВНА</t>
  </si>
  <si>
    <t>127287,  Г.МОСКВА, УЛ. 2-Я ХУТОРСКАЯ, Д. 38А, СТР. 23, ЭТАЖ 1 ПОМ III КОМН 8</t>
  </si>
  <si>
    <t>+74959379080,+74957487929,+79035729487,+79161327851,+74959335441,+74959335451,+74959335411</t>
  </si>
  <si>
    <t>imezhanskaua@souvenir-design.ru,lkabikova@souvenir-design.ru,info@centre-souvenir.ru,info@souvenir-design.ru,tat-s-d@yandex.ru,innacs@mail.ru,,gnebogatova@mcfr.ru,,null@null.ru,innacs@mail.ru</t>
  </si>
  <si>
    <t>ООО "РУСЬ-57"</t>
  </si>
  <si>
    <t>ОБЩЕСТВО С ОГРАНИЧЕННОЙ ОТВЕТСТВЕННОСТЬЮ "РУСЬ-57"</t>
  </si>
  <si>
    <t>2000-03-09</t>
  </si>
  <si>
    <t>ЮФЕРЕВ МАКСИМ ВИТАЛЬЕВИЧ</t>
  </si>
  <si>
    <t>143500,  МОСКОВСКАЯ ОБЛАСТЬ, Г ИСТРА, Д ДАВЫДОВСКОЕ, СТР. 6</t>
  </si>
  <si>
    <t>+74951395592,+79161568420,+70951395592</t>
  </si>
  <si>
    <t>ООО "ЦЕНТАВР"</t>
  </si>
  <si>
    <t>ОБЩЕСТВО С ОГРАНИЧЕННОЙ ОТВЕТСТВЕННОСТЬЮ "ЦЕНТАВР"</t>
  </si>
  <si>
    <t>1998-01-19</t>
  </si>
  <si>
    <t>46.15,46.47,46.49,46.90,47.19,47.52.71,47.59,49.41.3,68.10,68.20,68.31.12,68.31.22,68.31.32,68.31.42,77.11,77.3</t>
  </si>
  <si>
    <t>ЛАЗУКИН ВЛАДИМИР ДМИТРИЕВИЧ</t>
  </si>
  <si>
    <t>143532, МОСКОВСКАЯ ОБЛАСТЬ, М.О. ИСТРА, Г ДЕДОВСК, УЛ КОМСОМОЛЬСКАЯ, Д. 1</t>
  </si>
  <si>
    <t>+74955664979,+74959926612,+74959951345</t>
  </si>
  <si>
    <t>centavr@bk.ru</t>
  </si>
  <si>
    <t>ООО "СИСТЕМНЫЕ КОМПОНЕНТЫ"</t>
  </si>
  <si>
    <t>ОБЩЕСТВО С ОГРАНИЧЕННОЙ ОТВЕТСТВЕННОСТЬЮ "СИСТЕМНЫЕ КОМПОНЕНТЫ"</t>
  </si>
  <si>
    <t>2009-01-19</t>
  </si>
  <si>
    <t>18.2,26.20,43.21,46.52,46.66,61.10,62.0,62.01,62.02,62.09,63.11,63.11.1,71.20,95.11</t>
  </si>
  <si>
    <t>ПЕТРОВ АНДРЕЙ ВЛАДИМИРОВИЧ</t>
  </si>
  <si>
    <t>109548, Г.МОСКВА, ВН.ТЕР.Г. МУНИЦИПАЛЬНЫЙ ОКРУГ ПЕЧАТНИКИ, УЛ ШОССЕЙНАЯ, Д. 1, К. 1</t>
  </si>
  <si>
    <t>+79255050787,+74997223708,+74957223665,+74957223708,+74997223665,+74957723708,+74955050787</t>
  </si>
  <si>
    <t>avp@syscomnet.ru,info@syscomnet.ru</t>
  </si>
  <si>
    <t>ООО "ВАРИАН-Т"</t>
  </si>
  <si>
    <t>ОБЩЕСТВО С ОГРАНИЧЕННОЙ ОТВЕТСТВЕННОСТЬЮ "ВАРИАН-Т"</t>
  </si>
  <si>
    <t>32.50,46.46,46.49,46.90,47.73,47.74,52.10,52.29,70.22,73.11,73.20.1,77.39.26,82.99</t>
  </si>
  <si>
    <t>ХАМИДОВ РУСТАМ НУСРАТУЛЛАЕВИЧ</t>
  </si>
  <si>
    <t>119330, Г.МОСКВА, ВН.ТЕР.Г. МУНИЦИПАЛЬНЫЙ ОКРУГ РАМЕНКИ, УЛ МОСФИЛЬМОВСКАЯ, Д. 27, ПОМЕЩ. 1/П</t>
  </si>
  <si>
    <t>+79151542629,+74956476199,+74952476199,+74956476191,+74954425098,+74954425078</t>
  </si>
  <si>
    <t>kalif@inbox.ru,technomed07@gmail.com,medinter7@gmail.com</t>
  </si>
  <si>
    <t>ООО "КОМПАНИЯ АРТ-ПРАЗДНИК"</t>
  </si>
  <si>
    <t>ОБЩЕСТВО С ОГРАНИЧЕННОЙ ОТВЕТСТВЕННОСТЬЮ "КОМПАНИЯ АРТ-ПРАЗДНИК"</t>
  </si>
  <si>
    <t>2009-01-23</t>
  </si>
  <si>
    <t>63.91,90.01,93.2,93.29.9</t>
  </si>
  <si>
    <t>СЕРЕБРЯНСКАЯ ЮЛИЯ ВИКТОРОВНА</t>
  </si>
  <si>
    <t>111123,  Г.МОСКВА, Ш. ЭНТУЗИАСТОВ, Д. 56, СТР. 32, ЭТ 1 ПОМ 143</t>
  </si>
  <si>
    <t>+74957885047,+74957495788,+79032235529,+77495788504</t>
  </si>
  <si>
    <t>art-prazdnik.ten@yandex.ru,art-prazdnick@yandex.ru,null@null.ru</t>
  </si>
  <si>
    <t>ООО "ФАРМ-СИТИ"</t>
  </si>
  <si>
    <t>ОБЩЕСТВО С ОГРАНИЧЕННОЙ ОТВЕТСТВЕННОСТЬЮ "ФАРМ-СИТИ"</t>
  </si>
  <si>
    <t>2005-10-17</t>
  </si>
  <si>
    <t>47.73,47.74,47.74,47.75,47.75</t>
  </si>
  <si>
    <t>ФАДЕЕВА ИРИНА ГЕННАДЬЕВНА</t>
  </si>
  <si>
    <t>141930,  МОСКОВСКАЯ ОБЛАСТЬ, Г. ТАЛДОМ, РП. ВЕРБИЛКИ, УЛ. ЗАБЫРИНА, Д.11</t>
  </si>
  <si>
    <t>+79152345533,+79165666075,+74962037788</t>
  </si>
  <si>
    <t>ООО "КРК"</t>
  </si>
  <si>
    <t>ОБЩЕСТВО С ОГРАНИЧЕННОЙ ОТВЕТСТВЕННОСТЬЮ "КИНОКОМПАНИЯ РАДУГА КИНО"</t>
  </si>
  <si>
    <t>2009-04-02</t>
  </si>
  <si>
    <t>59.14</t>
  </si>
  <si>
    <t>Деятельность в области демонстрации кинофильмов</t>
  </si>
  <si>
    <t>41.20,42.99,43.2,43.99.7,47.25.1,47.25.2,47.9,56.1,56.3,59.13,60.10,60.20,73.1,74.20,93.29.9</t>
  </si>
  <si>
    <t>РУДОВСКИЙ ДМИТРИЙ ОЛЕГОВИЧ</t>
  </si>
  <si>
    <t>115432,  Г.МОСКВА, ПР-КТ АНДРОПОВА, Д. 8, ЭТАЖ 3, ПОМЕЩЕНИЕ 82</t>
  </si>
  <si>
    <t>+79096539367,+74959333628</t>
  </si>
  <si>
    <t>t-karjana@mail.ru</t>
  </si>
  <si>
    <t>ООО "РЕГИОНАЛЬНЫЙ ЦЕНТР "ФОР ЛАЙФ"</t>
  </si>
  <si>
    <t>ОБЩЕСТВО С ОГРАНИЧЕННОЙ ОТВЕТСТВЕННОСТЬЮ "РЕГИОНАЛЬНЫЙ ЦЕНТР "ФОР ЛАЙФ"</t>
  </si>
  <si>
    <t>2009-04-06</t>
  </si>
  <si>
    <t>47.29</t>
  </si>
  <si>
    <t>Торговля розничная прочими пищевыми продуктами в специализированных магазинах</t>
  </si>
  <si>
    <t>46.18,46.38,47.11,47.19,47.61,47.75,58.13,58.19,82.99,85.42.9</t>
  </si>
  <si>
    <t>РЫЛЁВА ЕЛЕНА ЕВГЕНЬЕВНА</t>
  </si>
  <si>
    <t>129085, Г.МОСКВА, ВН.ТЕР.Г. МУНИЦИПАЛЬНЫЙ ОКРУГ ОСТАНКИНСКИЙ, ПР-КТ МИРА, Д. 95, СТР. 1, ПОМЕЩ. 1/1</t>
  </si>
  <si>
    <t>+79162611433</t>
  </si>
  <si>
    <t>ООО "ТЕХНОПРОМ-РАМЕНСКОЕ"</t>
  </si>
  <si>
    <t>ОБЩЕСТВО С ОГРАНИЧЕННОЙ ОТВЕТСТВЕННОСТЬЮ "ТЕХНОПРОМ-РАМЕНСКОЕ"</t>
  </si>
  <si>
    <t>2005-08-08</t>
  </si>
  <si>
    <t>01.62,41.20,41.20,42.11,42.99,43.99.7,45.1,45.20,46.73,52.10,52.24,52.29,56.10,56.10.1,56.10.3,68.20.2,68.31,71.11.1,73.11,73.20,93.19</t>
  </si>
  <si>
    <t>КАЛИНИЧЕВ АЛЕКСАНДР ВЛАДИМИРОВИЧ</t>
  </si>
  <si>
    <t>140125, МОСКОВСКАЯ ОБЛАСТЬ, М.О. РАМЕНСКИЙ, С МИХАЙЛОВСКАЯ СЛОБОДА, УЛ СТАРОРЯЗАНСКАЯ, Д. 15, К. 2, ОФИС 24</t>
  </si>
  <si>
    <t>+74955507000,+74952216962,+74955806328</t>
  </si>
  <si>
    <t>ООО "ПРЕДПРИЯТИЕ "АКС"</t>
  </si>
  <si>
    <t>ОБЩЕСТВО С ОГРАНИЧЕННОЙ ОТВЕТСТВЕННОСТЬЮ "ПРЕДПРИЯТИЕ "АКС"</t>
  </si>
  <si>
    <t>1999-09-28</t>
  </si>
  <si>
    <t>68.10.1</t>
  </si>
  <si>
    <t>Подготовка к продаже собственного недвижимого имущества</t>
  </si>
  <si>
    <t>41.20,46.15,46.18,52.24,62.01,62.02,62.09,63.11,63.11.1,64.99,66.11.5,66.19.4,68.10,68.20,68.31,68.32,69.10,70.22,71.12.45,73.11,73.20,74.30,82.19,82.99,85.42.9,95.21</t>
  </si>
  <si>
    <t>ГЕРАСЬКОВ ВАДИМ ВЛАДИСЛАВОВИЧ</t>
  </si>
  <si>
    <t>МОСКОВСКАЯ ОБЛАСТЬ, Г.О. МЫТИЩИ, Г МЫТИЩИ, УЛ КОМАРОВА, СТР. 14А/8</t>
  </si>
  <si>
    <t>+74955869463,+70955869463</t>
  </si>
  <si>
    <t>ООО "ЭЛЕКТРА-2002"</t>
  </si>
  <si>
    <t>ОБЩЕСТВО С ОГРАНИЧЕННОЙ ОТВЕТСТВЕННОСТЬЮ "ЭЛЕКТРА-2002"</t>
  </si>
  <si>
    <t>2002-12-30</t>
  </si>
  <si>
    <t>33.14,33.20,41.20,43.21,43.22,43.29,43.31,43.32,43.33,43.34,52.29,71.20,81.10</t>
  </si>
  <si>
    <t>БУТОР АЛЕКСАНДР МИХАЙЛОВИЧ
БУТОР МИХАИЛ АЛЕКСАНДРОВИЧ</t>
  </si>
  <si>
    <t>502938145206
502905193807</t>
  </si>
  <si>
    <t>ИСПОЛНИТЕЛЬНЫЙ ДИРЕКТОР
ГЕНЕРАЛЬНЫЙ ДИРЕКТОР</t>
  </si>
  <si>
    <t>141004, МОСКОВСКАЯ ОБЛАСТЬ, Г.О. МЫТИЩИ, Г МЫТИЩИ, УЛ СИЛИКАТНАЯ, Д. 26Д</t>
  </si>
  <si>
    <t>+79037909451,+74957882079,+74955863231,+79853823117,+74597882079,+74951234567,+74957909451</t>
  </si>
  <si>
    <t>7882079@mail.ru,electra2002@mail.ru,elektra2002@mail.ru,v.prisyzhnyy@bk.ru,elektra-m@mail.ru,elektra2020@mail.ru,butoram@mail.ru,butor@mail.ru,lektra2002@mail.ru</t>
  </si>
  <si>
    <t>ООО "МАСТЕР НИВА"</t>
  </si>
  <si>
    <t>ОБЩЕСТВО С ОГРАНИЧЕННОЙ ОТВЕТСТВЕННОСТЬЮ "МАСТЕР НИВА"</t>
  </si>
  <si>
    <t>2009-03-23</t>
  </si>
  <si>
    <t>45.20.1,45.20.2,45.3,45.31.1,45.31.2,46.12.1,46.90,68.20,68.20.2,74.20,74.30,82.92</t>
  </si>
  <si>
    <t>ЧИГИР ВИТАЛИЙ ВИКТОРОВИЧ</t>
  </si>
  <si>
    <t>117556,  Г.МОСКВА, Ш. ВАРШАВСКОЕ, Д. 95А, ЭТАЖ 1 ПОМЕЩ 8</t>
  </si>
  <si>
    <t>+74956492101</t>
  </si>
  <si>
    <t>ООО "КОМПЛЕКТ-СЕРВИС"</t>
  </si>
  <si>
    <t>ОБЩЕСТВО С ОГРАНИЧЕННОЙ ОТВЕТСТВЕННОСТЬЮ "КОМПЛЕКТ-СЕРВИС"</t>
  </si>
  <si>
    <t>01.41</t>
  </si>
  <si>
    <t>Разведение молочного крупного рогатого скота, производство сырого молока</t>
  </si>
  <si>
    <t>01.19,01.45,01.49,01.50,10.11,10.51,13.99.9,25.62,35.30,46.32,46.32.3,46.33,46.41.1,46.90,47.29,47.51.1,47.78.3,47.8,47.9,55.10,56.10,56.10.1,56.29,56.30,66.19,68.31.12,68.31.22,68.31.32,68.31.42,72.19,81.29.9,91.04.3,93.21,93.29.1,93.29.9</t>
  </si>
  <si>
    <t>КОВШУТИН ВЛАДИМИР ВИКТОРОВИЧ</t>
  </si>
  <si>
    <t>142541, МОСКОВСКАЯ ОБЛАСТЬ, Г.О. ПАВЛОВО-ПОСАДСКИЙ, ПГТ. БОЛЬШИЕ ДВОРЫ, УЛ МАЯКОВСКОГО, Д. 126А, ОФИС 1</t>
  </si>
  <si>
    <t>+74964379090,+74964379061</t>
  </si>
  <si>
    <t>zadvorki.com</t>
  </si>
  <si>
    <t>pimenova.marina17@inbox.ru,komplekt-servis2025@yandex.ru,chactlivaypodkova@yanex.ru,bd812@mail.ru,bdmuseum@mail.ru,k-sooo@yandex.ru,k-ooo@yandex.ru</t>
  </si>
  <si>
    <t>ООО"ПЕТРОЛСТЕЙШЕН"</t>
  </si>
  <si>
    <t>ОБЩЕСТВО С ОГРАНИЧЕННОЙ ОТВЕТСТВЕННОСТЬЮ "ПЕТРОЛСТЕЙШЕН"</t>
  </si>
  <si>
    <t>38.32.4,41.20,43.29,45.20.1,45.20.2,45.32,46.71.2,47.19</t>
  </si>
  <si>
    <t>Селиверстова Надежда Викторовна</t>
  </si>
  <si>
    <t>142455,  МОСКОВСКАЯ ОБЛАСТЬ, Г. ЭЛЕКТРОУГЛИ, Р-Н НОГИНСКИЙ, УЛ. ЦЕНТРАЛЬНАЯ, Д.112</t>
  </si>
  <si>
    <t>+74965192099,+74965131306</t>
  </si>
  <si>
    <t>ООО "МОСКВИЧ-ТРЕЙД ЛТД"</t>
  </si>
  <si>
    <t>ОБЩЕСТВО С ОГРАНИЧЕННОЙ ОТВЕТСТВЕННОСТЬЮ "МОСКВИЧ-ТРЕЙД ЛТД"</t>
  </si>
  <si>
    <t>2005-02-03</t>
  </si>
  <si>
    <t>41.20,43.11,43.12.3,43.21,43.22,43.29,43.31,43.32,43.33,43.34,43.39,43.91,43.99,43.99.1,45.1,45.3,45.40,47.78.9,47.79,47.9,49.4,49.41.2,49.41.3,52.29,64.92,64.99,68.31.12,68.31.22,68.31.32,68.31.42,77.11,77.32,77.39.1,77.39.2</t>
  </si>
  <si>
    <t>Онищенко Маргарита Геннадьевна</t>
  </si>
  <si>
    <t>141080,  МОСКОВСКАЯ ОБЛАСТЬ, Г. КОРОЛЁВ, ПР-КТ КОСМОНАВТОВ, Д. 47/16, ПОМЕЩ. 633</t>
  </si>
  <si>
    <t>+74955168041</t>
  </si>
  <si>
    <t>ООО "ТРИТОН"</t>
  </si>
  <si>
    <t>ОБЩЕСТВО С ОГРАНИЧЕННОЙ ОТВЕТСТВЕННОСТЬЮ "ТРИТОН"</t>
  </si>
  <si>
    <t>2009-03-25</t>
  </si>
  <si>
    <t>43.29,43.39,43.99,56.10,56.10.1,56.30,63.11,63.11.1,68.31.2,68.31.3,70.10.1,70.22,73.11,79.11,82.19</t>
  </si>
  <si>
    <t>ШИНГАРОВ ШИХАЛИ ШИНГАРОВИЧ</t>
  </si>
  <si>
    <t>107014,  Г.МОСКВА, УЛ. ГАСТЕЛЛО, Д. 2, ЭТ 2 ПОМ 9</t>
  </si>
  <si>
    <t>+74952257656</t>
  </si>
  <si>
    <t>y.goryacheva@lexintel.ru</t>
  </si>
  <si>
    <t>ООО "ГАЛЕРЕЯ + АЛЕКС"</t>
  </si>
  <si>
    <t>ОБЩЕСТВО С ОГРАНИЧЕННОЙ ОТВЕТСТВЕННОСТЬЮ "ГАЛЕРЕЯ + АЛЕКС"</t>
  </si>
  <si>
    <t>2009-02-09</t>
  </si>
  <si>
    <t>56.10.1,56.10.3,56.30,68.10,68.10.1,68.10.12,68.10.22,68.10.23,68.31,68.32.2,70.22,73.20</t>
  </si>
  <si>
    <t>ОБЩЕСТВО С ОГРАНИЧЕННОЙ ОТВЕТСТВЕННОСТЬЮ "БРИКСТОН"</t>
  </si>
  <si>
    <t>119034,  Г.МОСКВА, Б-Р ЗУБОВСКИЙ, Д. 17, СТР. 1</t>
  </si>
  <si>
    <t>+74959165616</t>
  </si>
  <si>
    <t>v.medvedev@shoko.ru</t>
  </si>
  <si>
    <t>ООО "ВЕГА НЭТ"</t>
  </si>
  <si>
    <t>ОБЩЕСТВО С ОГРАНИЧЕННОЙ ОТВЕТСТВЕННОСТЬЮ "ВЕГА НЭТ"</t>
  </si>
  <si>
    <t>2001-06-20</t>
  </si>
  <si>
    <t>42.22,42.22.1,42.22.2,43.12.3,43.21,43.29,46.51,47.41,49.4,52.29,60.10,60.20,61.10.2,61.10.3,61.10.5,61.10.6,61.20,61.90,62.02,62.02.9,62.09,63.11,63.12,68.10,68.20.2</t>
  </si>
  <si>
    <t>БАЗАНОВ СТАНИСЛАВ ИВАНОВИЧ</t>
  </si>
  <si>
    <t>141606,  МОСКОВСКАЯ ОБЛАСТЬ, Г. КЛИН, УЛ. МИРА, Д.3, ОФИС 323</t>
  </si>
  <si>
    <t>+79851159176,+74962479215,+74962479212,+74962479210,+79055006121,+74962451411,+74962431310,+74962426668</t>
  </si>
  <si>
    <t>www.veganet.ru</t>
  </si>
  <si>
    <t>bazanovmo@veganet.ru,buhn@mail.ru,info@veganet.ru,net@mail.ru</t>
  </si>
  <si>
    <t>25</t>
  </si>
  <si>
    <t>ООО "АГРОТЕХСЕРВИС"</t>
  </si>
  <si>
    <t>ОБЩЕСТВО С ОГРАНИЧЕННОЙ ОТВЕТСТВЕННОСТЬЮ "АГРОТЕХСЕРВИС"</t>
  </si>
  <si>
    <t>2005-04-12</t>
  </si>
  <si>
    <t>71.12.1</t>
  </si>
  <si>
    <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</si>
  <si>
    <t>42.91.2,42.91.3,42.99,43.99.3,46.90,69.20.2,71.12.2,74.90.4,85.42.9</t>
  </si>
  <si>
    <t>МАЗУРЯН ОЛЬГА СЕРГЕЕВНА</t>
  </si>
  <si>
    <t>141075,  МОСКОВСКАЯ ОБЛАСТЬ, Г. КОРОЛЁВ, УЛ. ИСАЕВА, Д. 6А, ПОМЕЩ. 1</t>
  </si>
  <si>
    <t>+70957774000,+74955041540,+79162008007</t>
  </si>
  <si>
    <t>ООО "ИНВЕСТСТРОЙСЕРВИС"</t>
  </si>
  <si>
    <t>ОБЩЕСТВО С ОГРАНИЧЕННОЙ ОТВЕТСТВЕННОСТЬЮ "ИНВЕСТСТРОЙСЕРВИС"</t>
  </si>
  <si>
    <t>2005-10-25</t>
  </si>
  <si>
    <t>41.20,43.3,45.2,52.21.24,68.2,68.32,81.29.9,82.99</t>
  </si>
  <si>
    <t>ГАРЯЕВ ВАДИМ АХАТОВИЧ</t>
  </si>
  <si>
    <t>143005,  МОСКОВСКАЯ ОБЛАСТЬ, Г. ОДИНЦОВО, УЛ. ГОВОРОВА, Д. 24, ПОМ/ЭТ/КОМ II/3/6</t>
  </si>
  <si>
    <t>+74955908074</t>
  </si>
  <si>
    <t>ООО "ГРАВИТЕЛ"</t>
  </si>
  <si>
    <t>ОБЩЕСТВО С ОГРАНИЧЕННОЙ ОТВЕТСТВЕННОСТЬЮ "ГРАВИТЕЛ"</t>
  </si>
  <si>
    <t>2009-02-13</t>
  </si>
  <si>
    <t>53.1,53.20.3,61.1,61.10,62.02,62.03,62.09,63.91,72.19,82.99</t>
  </si>
  <si>
    <t>ЖИСЛИН ИВАН БОРИСОВИЧ</t>
  </si>
  <si>
    <t>115114, Г.МОСКВА, ВН.ТЕР.Г. МУНИЦИПАЛЬНЫЙ ОКРУГ ЗАМОСКВОРЕЧЬЕ, УЛ КОЖЕВНИЧЕСКАЯ, Д. 7, СТР. 1, ПОМЕЩ. II, КОМ. 36</t>
  </si>
  <si>
    <t>+74956467000</t>
  </si>
  <si>
    <t>iz@gravitel.ru,vniikr-konkurs@mail.ru</t>
  </si>
  <si>
    <t>ООО "ДОМ МОДЫ"</t>
  </si>
  <si>
    <t>ОБЩЕСТВО С ОГРАНИЧЕННОЙ ОТВЕТСТВЕННОСТЬЮ "ДОМ МОДЫ"</t>
  </si>
  <si>
    <t>1992-01-28</t>
  </si>
  <si>
    <t>49.41.1</t>
  </si>
  <si>
    <t>Перевозка грузов специализированными автотранспортными средствами</t>
  </si>
  <si>
    <t>49.41.2,52.10.4,52.21.2,52.21.29,52.24,52.24.2,52.29,73.11,77.11,77.12</t>
  </si>
  <si>
    <t>КЕТРУШ АЛЛА СЕРГЕЕВНА</t>
  </si>
  <si>
    <t>140030,  МОСКОВСКАЯ ОБЛАСТЬ, Г ЛЮБЕРЦЫ, ПГТ. МАЛАХОВКА, УЛ ЛЕСОПИТОМНИК (ОВРАЖКИ МКР.), Д. 26, КОМ. 32</t>
  </si>
  <si>
    <t>+74955033418,+74955033433</t>
  </si>
  <si>
    <t>notarius_lubertsy@mail.ru</t>
  </si>
  <si>
    <t>ООО "КИНОФИНАНС"</t>
  </si>
  <si>
    <t>ОБЩЕСТВО С ОГРАНИЧЕННОЙ ОТВЕТСТВЕННОСТЬЮ "КИНОФИНАНС"</t>
  </si>
  <si>
    <t>2009-03-12</t>
  </si>
  <si>
    <t>Деятельность в области права и бухгалтерского учета</t>
  </si>
  <si>
    <t>59.1,59.11,59.13,59.14,60.10,60.20,69.20.2,70.22,93.29</t>
  </si>
  <si>
    <t>ВОЙНАЛОВИЧ ОКСАНА ЮРЬЕВНА</t>
  </si>
  <si>
    <t>101000,  Г.МОСКВА, Б-Р СРЕТЕНСКИЙ, Д. 6/1, СТР. 2, ЭТ 2 ПОМ III Ч.К. №31 ОФ.218А</t>
  </si>
  <si>
    <t>+74956237842,+79265681808,+79296040519</t>
  </si>
  <si>
    <t>kinofinance@mail.ru</t>
  </si>
  <si>
    <t>ООО "ЮЖНЫЙ ПАРК"</t>
  </si>
  <si>
    <t>ОБЩЕСТВО С ОГРАНИЧЕННОЙ ОТВЕТСТВЕННОСТЬЮ "ЮЖНЫЙ ПАРК"</t>
  </si>
  <si>
    <t>2009-01-13</t>
  </si>
  <si>
    <t>35.1,35.2,35.3,36.00,37.0,68.3,68.32.1,68.32.2,73.11,74.20,74.30,81.29.9,82.92</t>
  </si>
  <si>
    <t>ТОКАРЕНКО НАТАЛИЯ АНАТОЛЬЕВНА</t>
  </si>
  <si>
    <t>142134,  МОСКОВСКАЯ ОБЛАСТЬ, Г. ПОДОЛЬСК, УЛ. ПРОФСОЮЗНАЯ, Д. 4, ПОМЕЩ. 9</t>
  </si>
  <si>
    <t>+74957308411,+74967558409,+74957308412</t>
  </si>
  <si>
    <t>ООО "АГРОПРОМЭНЕРГО"</t>
  </si>
  <si>
    <t>ОБЩЕСТВО С ОГРАНИЧЕННОЙ ОТВЕТСТВЕННОСТЬЮ "АГРОПРОМЭНЕРГО"</t>
  </si>
  <si>
    <t>1992-09-04</t>
  </si>
  <si>
    <t>27.51,27.90,33.14,33.20,42.21,42.22.1,42.22.2,43.21,43.22,43.29,46.90,52.10,61.10.1,61.10.9,71.12,71.12.12,86.90.4</t>
  </si>
  <si>
    <t>КРАСНОРУЦКИЙ ПАВЕЛ ИВАНОВИЧ</t>
  </si>
  <si>
    <t>140015,  МОСКОВСКАЯ ОБЛАСТЬ, Г ЛЮБЕРЦЫ, УЛ ИНИЦИАТИВНАЯ, Д. 16</t>
  </si>
  <si>
    <t>+74955544584,+70955544584</t>
  </si>
  <si>
    <t>kiselevnot@mail.ru</t>
  </si>
  <si>
    <t>ООО "КУУЛ КОННЕКШНС"</t>
  </si>
  <si>
    <t>ОБЩЕСТВО С ОГРАНИЧЕННОЙ ОТВЕТСТВЕННОСТЬЮ "КУУЛ КОННЕКШНС"</t>
  </si>
  <si>
    <t>2009-03-03</t>
  </si>
  <si>
    <t>59.13</t>
  </si>
  <si>
    <t>Деятельность по распространению кинофильмов, видеофильмов и телевизионных программ</t>
  </si>
  <si>
    <t>18.1,18.2,33.13,46.1,46.4,46.43.2,46.43.3,46.6,46.9,47.1,47.5,47.63.1,47.63.2,47.9,52.10,52.24,52.29,58,59.11,59.14,62.09,63.11.1,63.91,68.1,68.2,68.3,69,73.1,73.20,74.20,74.30,77.39,77.39.24,82.19,82.92,93.1,93.2</t>
  </si>
  <si>
    <t>КОТОВА НАДЕЖДА ГЕННАДЬЕВНА</t>
  </si>
  <si>
    <t>121099, Г.МОСКВА, ВН.ТЕР.Г. МУНИЦИПАЛЬНЫЙ ОКРУГ АРБАТ, УЛ НОВЫЙ АРБАТ, Д. 30/9, ПОМЕЩ. 2Н</t>
  </si>
  <si>
    <t>+79166552373</t>
  </si>
  <si>
    <t>ООО "ИТ-ПРОФИЛЬ"</t>
  </si>
  <si>
    <t>ОБЩЕСТВО С ОГРАНИЧЕННОЙ ОТВЕТСТВЕННОСТЬЮ "ИТ-ПРОФИЛЬ"</t>
  </si>
  <si>
    <t>2009-02-12</t>
  </si>
  <si>
    <t>62.02,62.03.13,62.09,63.11,63.11.1,69.10,69.20,82.99,95.11</t>
  </si>
  <si>
    <t>КАЗАНЦЕВА ЕЛЕНА АНАТОЛЬЕВНА</t>
  </si>
  <si>
    <t>111020, Г.МОСКВА, ВН.ТЕР.Г. МУНИЦИПАЛЬНЫЙ ОКРУГ ЛЕФОРТОВО, УЛ 2-Я СИНИЧКИНА, Д. 9А, СТР. 4, ПОМЕЩ. 1Н/3</t>
  </si>
  <si>
    <t>+74956400205,+74958034053,+74955404482,+79151818465,+79671526245,+79104931342,+74952520246,+74991818465,+74951818465,+74959824011,+79151162471,+79154884482,+74956443207</t>
  </si>
  <si>
    <t>info@pro-file.ru,profil@mail.ru,tarakanova@pro-file.ru,itproff@yandex.ru,mnt_05@bk.ru,kazantseva@pro-file.ru,,kvetkin@pro-file.ru,krivobokov@pro-file.ru,info@hro-file.ru,info@profile.ru,1@yandex.ru,kazantseva@pro-file.ru</t>
  </si>
  <si>
    <t>ООО "АВТОТРАНССЕРВИС-1"</t>
  </si>
  <si>
    <t>ОБЩЕСТВО С ОГРАНИЧЕННОЙ ОТВЕТСТВЕННОСТЬЮ "АВТОТРАНССЕРВИС-1"</t>
  </si>
  <si>
    <t>2000-01-26</t>
  </si>
  <si>
    <t>49.31.21</t>
  </si>
  <si>
    <t>Регулярные перевозки пассажиров автобусами в городском и пригородном сообщении</t>
  </si>
  <si>
    <t>10.39,14.12,16.10.2,23.11,46.11,46.12,46.32,46.44,47.19,47.23,47.29,49.32,49.39.3,49.39.31,56.10.1</t>
  </si>
  <si>
    <t>ЮНУСОВ ЖАМОЛ ЮСУФОВИЧ</t>
  </si>
  <si>
    <t>140000,  МОСКОВСКАЯ ОБЛАСТЬ, Г. ЛЮБЕРЦЫ, УЛ. КРАСНАЯ, Д. 1, ЛИТЕР Б, ОФИС 101</t>
  </si>
  <si>
    <t>+79015469134,+74955570581,+79162131644</t>
  </si>
  <si>
    <t>avtotransservice@mail.ru</t>
  </si>
  <si>
    <t>ООО "БЛЕСК"</t>
  </si>
  <si>
    <t>ОБЩЕСТВО С ОГРАНИЧЕННОЙ ОТВЕТСТВЕННОСТЬЮ "БЛЕСК"</t>
  </si>
  <si>
    <t>1993-10-15</t>
  </si>
  <si>
    <t>КОЛОТОВА ОЛЬГА ВЛАДИМИРОВНА</t>
  </si>
  <si>
    <t>141601,  МОСКОВСКАЯ ОБЛАСТЬ, Г. КЛИН, ПР-Д БАННЫЙ, Д.2</t>
  </si>
  <si>
    <t>+74962421579,+74962425530,+78822421579</t>
  </si>
  <si>
    <t>ООО "САТОРИНД ТРЕЙД"</t>
  </si>
  <si>
    <t>ОБЩЕСТВО С ОГРАНИЧЕННОЙ ОТВЕТСТВЕННОСТЬЮ "САТОРИНД ТРЕЙД"</t>
  </si>
  <si>
    <t>2002-12-04</t>
  </si>
  <si>
    <t>47.51</t>
  </si>
  <si>
    <t>Торговля розничная текстильными изделиями в специализированных магазинах</t>
  </si>
  <si>
    <t>46.41,46.41.2,46.42,46.49,46.90,47.71,47.72,47.99</t>
  </si>
  <si>
    <t>ЗАЙЦЕВ ВЛАДИМИР БОРИСОВИЧ</t>
  </si>
  <si>
    <t>143401, МОСКОВСКАЯ ОБЛАСТЬ, Г.О. КРАСНОГОРСК, Г КРАСНОГОРСК, УЛ МЕЖДУНАРОДНАЯ, Д. 8, СЕКЦИЯ 35, ПОМЕЩ. 19</t>
  </si>
  <si>
    <t>+74957272493</t>
  </si>
  <si>
    <t>ООО "ПЦ ШАГ"</t>
  </si>
  <si>
    <t>ОБЩЕСТВО С ОГРАНИЧЕННОЙ ОТВЕТСТВЕННОСТЬЮ "ПЦ ШАГ"</t>
  </si>
  <si>
    <t>2009-02-24</t>
  </si>
  <si>
    <t>90.02</t>
  </si>
  <si>
    <t>Деятельность вспомогательная, связанная с исполнительскими искусствами</t>
  </si>
  <si>
    <t>16.29,17.29,18.12,22.29,25.61,25.62,25.99.2,31.01,31.09.2,32.40,32.99.6,59.1,59.20,62.01,73.11,74.10,77.29,77.40,78.30,79.90,82.30,90.01,93.29,93.29.3,93.29.9</t>
  </si>
  <si>
    <t>АНУРОВ ДМИТРИЙ АЛЕКСАНДРОВИЧ</t>
  </si>
  <si>
    <t>127276,  Г.МОСКВА, УЛ. МАЛАЯ БОТАНИЧЕСКАЯ, Д.24А, СТР.1</t>
  </si>
  <si>
    <t>+79031258418,+79852336743,+74952336743,+78952336743,+79032630121</t>
  </si>
  <si>
    <t>anurovdmitry@mail.ru,director@step-production.ru,kai2004@list.ru</t>
  </si>
  <si>
    <t>ООО "ВОДА В УДОВОЛЬСТВИЕ"</t>
  </si>
  <si>
    <t>ОБЩЕСТВО С ОГРАНИЧЕННОЙ ОТВЕТСТВЕННОСТЬЮ "ВОДА В УДОВОЛЬСТВИЕ"</t>
  </si>
  <si>
    <t>2002-05-23</t>
  </si>
  <si>
    <t>11.07</t>
  </si>
  <si>
    <t>Производство безалкогольных напитков; производство упакованных питьевых вод, включая минеральные воды.</t>
  </si>
  <si>
    <t>46.34.1,46.38,46.90,47.1,47.11,47.2,47.25,47.25.1,47.29,47.5,47.73,47.74,47.75,47.9,47.91,47.99,52.10,53.20.31,62.09,82.92</t>
  </si>
  <si>
    <t>ПОПОКИН СЕРГЕЙ ЛЕОНТЬЕВИЧ</t>
  </si>
  <si>
    <t>МОСКОВСКАЯ ОБЛАСТЬ, М.О. ИСТРА, Д КОРСАКОВО, КВ-Л 0060230, ЗД. 206</t>
  </si>
  <si>
    <t>+79268120677,+74957446457,+74959946262</t>
  </si>
  <si>
    <t>www.allovoda.ru</t>
  </si>
  <si>
    <t>allovoda@mail.ru,aaa@aaa.ru</t>
  </si>
  <si>
    <t>ООО "ЭРМИ"</t>
  </si>
  <si>
    <t>ОБЩЕСТВО С ОГРАНИЧЕННОЙ ОТВЕТСТВЕННОСТЬЮ "ЭРМИ"</t>
  </si>
  <si>
    <t>2009-02-10</t>
  </si>
  <si>
    <t>47.19,56.21,56.29,56.30,63.11,63.12,63.91,68.20,68.31,68.32,73.11,73.12,73.20,77.21,82.99,93.2,96.04</t>
  </si>
  <si>
    <t>БРЯНЦЕВ СЕРГЕЙ ПЕТРОВИЧ</t>
  </si>
  <si>
    <t>125080,  Г.МОСКВА, УЛ ПАНФИЛОВА, Д. 3Б, СТР. 2</t>
  </si>
  <si>
    <t>+74991582673,+74997408808</t>
  </si>
  <si>
    <t>mm1881@yandex.ru</t>
  </si>
  <si>
    <t>ООО "ВИРИДИМ"</t>
  </si>
  <si>
    <t>ОБЩЕСТВО С ОГРАНИЧЕННОЙ ОТВЕТСТВЕННОСТЬЮ "ВИРИДИМ"</t>
  </si>
  <si>
    <t>52.10,56.10.1,56.10.3,62.09,68.20</t>
  </si>
  <si>
    <t>БОРИСОВ ВИТАЛИЙ ЮРЬЕВИЧ</t>
  </si>
  <si>
    <t>141018,  МОСКОВСКАЯ ОБЛАСТЬ, Г. МЫТИЩИ, ПР-КТ НОВОМЫТИЩИНСКИЙ, Д. 31А, КАБИНЕТ 42</t>
  </si>
  <si>
    <t>+74955819129,+74955819122</t>
  </si>
  <si>
    <t>barmustang.ru</t>
  </si>
  <si>
    <t>ООО "АМ"</t>
  </si>
  <si>
    <t>ОБЩЕСТВО С ОГРАНИЧЕННОЙ ОТВЕТСТВЕННОСТЬЮ "АМ"</t>
  </si>
  <si>
    <t>18.1,46.3,46.90,47.7,56.29,56.3,64.1,64.9,68.1,68.2,68.3,69,73.1,73.20,77.11,77.3,77.39,78.30,82.99</t>
  </si>
  <si>
    <t>ЗИНОВЬЕВ АЛЕКСАНДР ВЛАДИМИРОВИЧ</t>
  </si>
  <si>
    <t>+79652135036</t>
  </si>
  <si>
    <t>ООО "ВИДЕН"</t>
  </si>
  <si>
    <t>ОБЩЕСТВО С ОГРАНИЧЕННОЙ ОТВЕТСТВЕННОСТЬЮ "ВИДЕН"</t>
  </si>
  <si>
    <t>28.49.4</t>
  </si>
  <si>
    <t>Производство делительных головок и прочих специальных приспособлений для станков</t>
  </si>
  <si>
    <t>25.1,25.5,25.61,25.62,25.7,25.9,38.32.2,38.32.3,38.32.4,38.32.5,41.2,45.2,71.12.12,73.1,73.20.1,82.99</t>
  </si>
  <si>
    <t>ДУБОВИЦКИЙ ВИКТОР ЮРЬЕВИЧ</t>
  </si>
  <si>
    <t>115419,  Г.МОСКВА, УЛ. ОРДЖОНИКИДЗЕ, Д. 11, СТР. 42, ЭТ 2 ПОМ IV КОМ 1</t>
  </si>
  <si>
    <t>+74957303060,+74997303060</t>
  </si>
  <si>
    <t>viden-m@mail.ru</t>
  </si>
  <si>
    <t>ООО "КАЙЗЕН КОНСАЛТИНГ"</t>
  </si>
  <si>
    <t>ОБЩЕСТВО С ОГРАНИЧЕННОЙ ОТВЕТСТВЕННОСТЬЮ "КАЙЗЕН КОНСАЛТИНГ"</t>
  </si>
  <si>
    <t>2009-02-11</t>
  </si>
  <si>
    <t>58.21,58.29,62.01,62.02,62.02.3,62.02.9,62.03,63.11,63.99.1,69,70.10.1,70.10.2,73.20.1,82.99,85.42.9</t>
  </si>
  <si>
    <t>ЮНИС СТАНИСЛАВ СУХЕЙЛЕВИЧ</t>
  </si>
  <si>
    <t>123458, Г.МОСКВА, ВН.ТЕР.Г. МУНИЦИПАЛЬНЫЙ ОКРУГ СТРОГИНО, УЛ ТВАРДОВСКОГО, Д. 12, К. 3, КВ. 432</t>
  </si>
  <si>
    <t>+74952210815,+74953936003,+74951236786</t>
  </si>
  <si>
    <t>mail@kaizen-consulting.ru</t>
  </si>
  <si>
    <t>ООО "ГИГАНТ"</t>
  </si>
  <si>
    <t>ОБЩЕСТВО С ОГРАНИЧЕННОЙ ОТВЕТСТВЕННОСТЬЮ "ГИГАНТ"</t>
  </si>
  <si>
    <t>1999-05-06</t>
  </si>
  <si>
    <t>41.20,43.11,43.12.3,43.2,43.3,43.91,43.99,46.13,46.73,60.10,60.20,61.10.9,68.20.2,68.31.1,68.31.2,68.31.3,68.31.4,68.31.5,71.12,86.90.9</t>
  </si>
  <si>
    <t>ФОМИН ЮРИЙ АНАТОЛЬЕВИЧ</t>
  </si>
  <si>
    <t>142400,  МОСКОВСКАЯ ОБЛАСТЬ, Г. НОГИНСК, УЛ. РАБОЧАЯ, Д.14 А</t>
  </si>
  <si>
    <t>+74965143439,+79637727437,+74965145957</t>
  </si>
  <si>
    <t>ООО ТК "ТИТАН"</t>
  </si>
  <si>
    <t>ОБЩЕСТВО С ОГРАНИЧЕННОЙ ОТВЕТСТВЕННОСТЬЮ "ТЕЛЕКОММУНИКАЦИОННАЯ КОМПАНИЯ "ТИТАН"</t>
  </si>
  <si>
    <t>2003-06-25</t>
  </si>
  <si>
    <t>46.4</t>
  </si>
  <si>
    <t>Торговля оптовая непродовольственными потребительскими товарами</t>
  </si>
  <si>
    <t>22.2,23.99,38.32.2,38.32.3,38.32.4,38.32.5,46.7,46.77,47.52.7,47.78,49.31,49.4,52.21.2,52.29,64.92.3</t>
  </si>
  <si>
    <t>РАТНИКОВ АЛЕКСАНДР ВЛАДИМИРОВИЧ</t>
  </si>
  <si>
    <t>142802,  МОСКОВСКАЯ ОБЛАСТЬ, Г. СТУПИНО, УЛ. ПРИСТАНЦИОННАЯ, Д. 25, КВ. 66</t>
  </si>
  <si>
    <t>+74966418438</t>
  </si>
  <si>
    <t>ООО "ССМУ 44"</t>
  </si>
  <si>
    <t>ОБЩЕСТВО С ОГРАНИЧЕННОЙ ОТВЕТСТВЕННОСТЬЮ "ССМУ 44"</t>
  </si>
  <si>
    <t>25.2,25.30.1,33.12,43.2,71.12.1,72.1</t>
  </si>
  <si>
    <t>ПОРЯДИН ВАСИЛИЙ ИВАНОВИЧ</t>
  </si>
  <si>
    <t>129626,  Г.МОСКВА, УЛ. ПАВЛА КОРЧАГИНА, Д.14</t>
  </si>
  <si>
    <t>+74952216544,+79267026076,+74956821680,+74992216544,+79031018084,+79036720987,+74956828244</t>
  </si>
  <si>
    <t>ssmu-44@mail.ru</t>
  </si>
  <si>
    <t>ООО "РЕАНИМАТОР"</t>
  </si>
  <si>
    <t>ОБЩЕСТВО С ОГРАНИЧЕННОЙ ОТВЕТСТВЕННОСТЬЮ "РЕАНИМАТОР"</t>
  </si>
  <si>
    <t>1999-05-26</t>
  </si>
  <si>
    <t>46.18.1,46.18.3,47.73,47.74,47.75,75.00,86.21,86.22,86.90,86.90.1,86.90.2,86.90.3,86.90.4,86.90.9</t>
  </si>
  <si>
    <t>ШЛОМИНА ТАТЬЯНА МИХАЙЛОВНА</t>
  </si>
  <si>
    <t>140008,  МОСКОВСКАЯ ОБЛАСТЬ, Г. ЛЮБЕРЦЫ, УЛ. 3-Е ПОЧТОВОЕ ОТДЕЛЕНИЕ, Д.90</t>
  </si>
  <si>
    <t>+74957449930,+74955519011,+70955576911</t>
  </si>
  <si>
    <t>reanimator07@inbox.ru</t>
  </si>
  <si>
    <t>ООО "МЕТОДОЛОГИЯ БИЗНЕСА"</t>
  </si>
  <si>
    <t>ОБЩЕСТВО С ОГРАНИЧЕННОЙ ОТВЕТСТВЕННОСТЬЮ "МЕТОДОЛОГИЯ БИЗНЕСА"</t>
  </si>
  <si>
    <t>2009-01-26</t>
  </si>
  <si>
    <t>Деятельность издательская</t>
  </si>
  <si>
    <t>18.1,58.14,73.1,85.42</t>
  </si>
  <si>
    <t>РАВКИН ДМИТРИЙ АЛЕКСАНДРОВИЧ</t>
  </si>
  <si>
    <t>125362, Г.МОСКВА, ВН.ТЕР.Г. МУНИЦИПАЛЬНЫЙ ОКРУГ ПОКРОВСКОЕ-СТРЕШНЕВО, УЛ ВИШНЁВАЯ, Д. 9, К. 1</t>
  </si>
  <si>
    <t>+74959408277,+74959212334,+79857212940</t>
  </si>
  <si>
    <t>maslova@bosfera.ru,beloborodova@bosfera.ru</t>
  </si>
  <si>
    <t>ООО САЛОН ФЛОРИСТИКИ И ДИЗАЙНА "МЁД"</t>
  </si>
  <si>
    <t>ОБЩЕСТВО С ОГРАНИЧЕННОЙ ОТВЕТСТВЕННОСТЬЮ САЛОН ФЛОРИСТИКИ И ДИЗАЙНА "МЁД"</t>
  </si>
  <si>
    <t>47.76</t>
  </si>
  <si>
    <t>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</t>
  </si>
  <si>
    <t>01.61,46.11.2,46.22,47.5,47.76.1,47.78,47.9,74.90,74.90.4,81.29.9,81.30</t>
  </si>
  <si>
    <t>АНДРОНОВ ФИЛИПП АЛЕКСАНДРОВИЧ</t>
  </si>
  <si>
    <t>129010,  Г.МОСКВА, УЛ. КАЛАНЧЕВСКАЯ, Д.45</t>
  </si>
  <si>
    <t>+79265197599,+74955180626</t>
  </si>
  <si>
    <t>med.su@mail.ru,boss@med-flowers.ru,salonfloris@yandex.ru,salonfloris@yandex.ru;,tenderypro5@gmail.com</t>
  </si>
  <si>
    <t>ООО "НЖТ"</t>
  </si>
  <si>
    <t>ОБЩЕСТВО С ОГРАНИЧЕННОЙ ОТВЕТСТВЕННОСТЬЮ "НЖТ"</t>
  </si>
  <si>
    <t>2009-03-17</t>
  </si>
  <si>
    <t>49.32</t>
  </si>
  <si>
    <t>Деятельность легкового такси и арендованных легковых автомобилей с водителем</t>
  </si>
  <si>
    <t>49.3,49.31,49.4,52.24,52.29,70.22,73.20</t>
  </si>
  <si>
    <t>СЕРПЕНСКИЙ ВАСИЛИЙ АЛЕКСАНДРОВИЧ</t>
  </si>
  <si>
    <t>111024,  Г.МОСКВА, УЛ. 4-Я КАБЕЛЬНАЯ, Д. 2, СТР. 1А</t>
  </si>
  <si>
    <t>+79057907788,+74957803311</t>
  </si>
  <si>
    <t>valentina.novikova@nyt.ru</t>
  </si>
  <si>
    <t>ООО "ДОКТОР ВЕРА"</t>
  </si>
  <si>
    <t>ОБЩЕСТВО С ОГРАНИЧЕННОЙ ОТВЕТСТВЕННОСТЬЮ "ДОКТОР ВЕРА"</t>
  </si>
  <si>
    <t>45.1,45.3,45.4,46.1,46.2,46.3,46.4,46.6,46.7,46.9,47.1,47.2,47.3,47.5,47.74,47.75,47.79,47.9,86</t>
  </si>
  <si>
    <t>ГАЛИКЯН ВЕРГИНЕ ОНИКОВНА</t>
  </si>
  <si>
    <t>109147, Г.МОСКВА, ВН.ТЕР.Г. МУНИЦИПАЛЬНЫЙ ОКРУГ ТАГАНСКИЙ, УЛ НИЖЕГОРОДСКАЯ, Д. 2, К. 1, ПОМЕЩ. 1, КОМ. 33</t>
  </si>
  <si>
    <t>+74957379323</t>
  </si>
  <si>
    <t>ООО "СТАНИЦА"</t>
  </si>
  <si>
    <t>ОБЩЕСТВО С ОГРАНИЧЕННОЙ ОТВЕТСТВЕННОСТЬЮ "СТАНИЦА"</t>
  </si>
  <si>
    <t>1999-06-30</t>
  </si>
  <si>
    <t>01.61,16.23.1,16.23.2,35.12,41.20,42.11,42.12,42.21,42.22.2,43.11,43.12.1,43.12.3,43.32,43.33,43.34.1,43.99.7,68.10.11,68.10.12,68.10.21,68.10.22,68.10.23,68.31.1,68.31.2,68.31.3,68.31.4,68.32.1,68.32.2,69.20.2,81.29</t>
  </si>
  <si>
    <t>ОВОДЕНКО ГРИГОРИЙ ЭМИЛЬЕВИЧ</t>
  </si>
  <si>
    <t>142101,  МОСКОВСКАЯ ОБЛАСТЬ, Г. ПОДОЛЬСК, УЛ. ПЛЕЩЕЕВСКАЯ, Д.26А</t>
  </si>
  <si>
    <t>+74967638851,+74967580258,+74967638810</t>
  </si>
  <si>
    <t>stcorp.ru</t>
  </si>
  <si>
    <t>АО "НК"</t>
  </si>
  <si>
    <t>АКЦИОНЕРНОЕ ОБЩЕСТВО "НК"</t>
  </si>
  <si>
    <t>81.29.1</t>
  </si>
  <si>
    <t>Дезинфекция, дезинсекция, дератизация зданий, промышленного оборудования</t>
  </si>
  <si>
    <t>01.70,33.20,41.10,41.20,42.11,42.12,42.13,42.21,42.22,43.11,43.12,43.21,43.22,43.29,43.31,43.32,43.33,43.34,43.39,43.91,43.99,45.20.2,45.20.3,45.31,45.32,45.40,46.38.22,46.46,46.73,46.73.1,49.20,49.41.1,49.41.2,68.31.32,68.31.5,68.32,70.21,70.22,71.11,71.12.1,75.00,77.32,77.39,81.21,81.22,81.29,82.11,82.19,82.99,94.99.21,96.03,96.09</t>
  </si>
  <si>
    <t>РОДИОНОВА ИРИНА ВИКТОРОВНА</t>
  </si>
  <si>
    <t>129281,  Г.МОСКВА, ПР-Д ОЛОНЕЦКИЙ, Д. 4, К. 2, ЭТ 5 П XII К 11Б ОФ 8</t>
  </si>
  <si>
    <t>+74992378912,+79998584156,+79998584165,+79647239273,+79998584103,+79999858416,+74998584165,+78495694383,+74995793123,+74959510761,+74956943838</t>
  </si>
  <si>
    <t>gals-nk.ru</t>
  </si>
  <si>
    <t>7777777@uo.yu,zaonk2012@ya.ru,zaonk2012@yandex.ru,zaonk@yandex.ru,df@mail.ru,nkzao@yandex.ru,elenaog0609@yandex.ru</t>
  </si>
  <si>
    <t>ООО "АТРИС-М"</t>
  </si>
  <si>
    <t>ОБЩЕСТВО С ОГРАНИЧЕННОЙ ОТВЕТСТВЕННОСТЬЮ "АТРИС-М"</t>
  </si>
  <si>
    <t>47.41</t>
  </si>
  <si>
    <t>Торговля розничная компьютерами, периферийными устройствами к ним и программным обеспечением в специализированных магазинах</t>
  </si>
  <si>
    <t>33.12,33.13,33.14,33.20,46.43.4,47.41.4,47.59.1,47.78.1,74.20</t>
  </si>
  <si>
    <t>АГАФОШИН ДЕНИС АНАТОЛЬЕВИЧ</t>
  </si>
  <si>
    <t>105082,  Г.МОСКВА, УЛ. БОЛЬШАЯ ПОЧТОВАЯ, Д.38, СТР.7</t>
  </si>
  <si>
    <t>+74956626765,+74596626765</t>
  </si>
  <si>
    <t>info@atris-med.ru,akazakov@atris-med.ru,sshumskiy@inkprinter.ru</t>
  </si>
  <si>
    <t>ООО "ДИЗАЙН СТРОЙ"</t>
  </si>
  <si>
    <t>ОБЩЕСТВО С ОГРАНИЧЕННОЙ ОТВЕТСТВЕННОСТЬЮ "ДИЗАЙН СТРОЙ"</t>
  </si>
  <si>
    <t>2002-12-24</t>
  </si>
  <si>
    <t>43.21,43.39,46.11,46.15,46.19,46.39,46.49,46.90,47.11,47.19,47.63.1,47.63.2,47.9,56.10,68.20.2,68.31.22,68.31.32,68.31.42,70.22,71.11,71.11.1,71.11.2,71.11.3,71.12,71.12.1,71.12.11,71.12.12,71.12.13,71.12.2,71.12.3,71.12.7,73.11,74.10,93.29,93.29.9</t>
  </si>
  <si>
    <t>НАЖАЛОВА ЕЛЕНА ЮРЬЕВНА</t>
  </si>
  <si>
    <t>140108,  МОСКОВСКАЯ ОБЛАСТЬ, Г РАМЕНСКОЕ, УЛ СОВЕТСКАЯ, Д. 14</t>
  </si>
  <si>
    <t>+74964632527,+74964635523,+79104183780,+79771000710,+79152133236,+74955068305,+70959591256</t>
  </si>
  <si>
    <t>ramkino.ru</t>
  </si>
  <si>
    <t>dizain@mail.ru,kinocinema@mail.ru</t>
  </si>
  <si>
    <t>ООО "СТЕК"</t>
  </si>
  <si>
    <t>ОБЩЕСТВО С ОГРАНИЧЕННОЙ ОТВЕТСТВЕННОСТЬЮ "СТЕК"</t>
  </si>
  <si>
    <t>2002-09-30</t>
  </si>
  <si>
    <t>46.18,46.19,47.11,47.19,47.7,47.9,52.21,52.29,96.09</t>
  </si>
  <si>
    <t>ИВАНОВ МИХАИЛ ВЛАДИМИРОВИЧ</t>
  </si>
  <si>
    <t>141292,  МОСКОВСКАЯ ОБЛАСТЬ, Г. КРАСНОАРМЕЙСК, Г. ПУШКИНО, ПР-КТ ИСПЫТАТЕЛЕЙ, Д.2</t>
  </si>
  <si>
    <t>+70957469261,+74956478916,+74957469261</t>
  </si>
  <si>
    <t>ООО "АДОНИС"</t>
  </si>
  <si>
    <t>ОБЩЕСТВО С ОГРАНИЧЕННОЙ ОТВЕТСТВЕННОСТЬЮ "АДОНИС"</t>
  </si>
  <si>
    <t>2009-03-18</t>
  </si>
  <si>
    <t>47.5,47.73,47.74,47.75,56.10.1,56.10.3,56.29,74.20,74.30,82.92</t>
  </si>
  <si>
    <t>ГАМСАХУРДИЯ МАЙЯ</t>
  </si>
  <si>
    <t>119313,  Г.МОСКВА, ПР-КТ ЛЕНИНСКИЙ, Д. 87, ЭТАЖ 1 ПОМ VII К 1-5</t>
  </si>
  <si>
    <t>+74991324088,+74956093185</t>
  </si>
  <si>
    <t>aseeva-np@rambler.ru</t>
  </si>
  <si>
    <t>ООО "НИТ"</t>
  </si>
  <si>
    <t>ОБЩЕСТВО С ОГРАНИЧЕННОЙ ОТВЕТСТВЕННОСТЬЮ "НОВЫЕ ИНТЕРНЕТ ТЕХНОЛОГИИ"</t>
  </si>
  <si>
    <t>46.51,47.91.2,47.91.3,47.91.4,62.09,63.11,69,69.20,69.20.2,70.10.1,70.10.2,71.2,73.1,73.20,74.20,74.30,82.19,82.92,82.99</t>
  </si>
  <si>
    <t>ЯРОШЕВИЧ АЛЕКСЕЙ ЛЕОНИДОВИЧ</t>
  </si>
  <si>
    <t>127473,  Г.МОСКВА, УЛ. СЕЛЕЗНЕВСКАЯ, Д. 11А, СТР. 2, ОФИС 415</t>
  </si>
  <si>
    <t>+79671124976,+74957771127,+74957902934,+78003331578</t>
  </si>
  <si>
    <t>46</t>
  </si>
  <si>
    <t>ООО "АКВА-2000"</t>
  </si>
  <si>
    <t>ОБЩЕСТВО С ОГРАНИЧЕННОЙ ОТВЕТСТВЕННОСТЬЮ  "АКВА-2000"</t>
  </si>
  <si>
    <t>1999-11-30</t>
  </si>
  <si>
    <t>46.34.1,47.2,47.25.2</t>
  </si>
  <si>
    <t>ФИЛИПОВ СЕРГЕЙ АЛЕКСАНДРОВИЧ</t>
  </si>
  <si>
    <t>141290,  МОСКОВСКАЯ ОБЛАСТЬ, Г. КРАСНОАРМЕЙСК, Г. ПУШКИНО, УЛ. СВЕРДЛОВА, Д. 1, ПОМЕЩ. 28</t>
  </si>
  <si>
    <t>+74965373697,+79859114949,+74955451304,+70965373697,+74955028911,+74955028919</t>
  </si>
  <si>
    <t>yana1949m@yandex.ru</t>
  </si>
  <si>
    <t>ООО "КЛАБ МЕНЕДЖМЕНТ"</t>
  </si>
  <si>
    <t>ОБЩЕСТВО С ОГРАНИЧЕННОЙ ОТВЕТСТВЕННОСТЬЮ "КЛАБ МЕНЕДЖМЕНТ"</t>
  </si>
  <si>
    <t>56.3,70.22</t>
  </si>
  <si>
    <t>ФЕДОРОВА ИЗАБЕЛЛА ВЛАДИСЛАВОВНА</t>
  </si>
  <si>
    <t>125993,  Г.МОСКВА, Б-Р ТВЕРСКОЙ, Д. 10, СТР. 1, ЭТАЖ 1 КОМН 1</t>
  </si>
  <si>
    <t>+74992301042,+79857671893,+74996120533,+79851664220,+74956699969</t>
  </si>
  <si>
    <t>rekaclub.ru</t>
  </si>
  <si>
    <t>cmrents@gmail.com</t>
  </si>
  <si>
    <t>ООО " ФАРМАМЕД-ПЛЮС "</t>
  </si>
  <si>
    <t>ОБЩЕСТВО С ОГРАНИЧЕННОЙ ОТВЕТСТВЕННОСТЬЮ "  ФАРМАМЕД-ПЛЮС "</t>
  </si>
  <si>
    <t>2002-12-07</t>
  </si>
  <si>
    <t>47.74,68.20.2</t>
  </si>
  <si>
    <t>СОКОЛОВА АННА ПАВЛОВНА</t>
  </si>
  <si>
    <t>140563,  МОСКОВСКАЯ ОБЛАСТЬ, Г. ОЗЁРЫ, Г. КОЛОМНА, УЛ. ЛЕНИНА, Д.115</t>
  </si>
  <si>
    <t>+74967041018,+70967041018,+74967044248,+79262375255</t>
  </si>
  <si>
    <t>ООО  "ТЕХНОЛОГИИ ЗАЩИТЫ"</t>
  </si>
  <si>
    <t>ОБЩЕСТВО С ОГРАНИЧЕННОЙ ОТВЕТСТВЕННОСТЬЮ "ТЕХНОЛОГИИ ЗАЩИТЫ"</t>
  </si>
  <si>
    <t>26.20,33.20,46.51,46.90,47.91.2,47.91.3,47.91.4,62.02,62.09,63.11,63.11.1,71.12.12,72.19,95.11</t>
  </si>
  <si>
    <t>ЛЮБКО АЛЕКСЕЙ АНАТОЛЬЕВИЧ</t>
  </si>
  <si>
    <t>124482,  Г.МОСКВА, Г. ЗЕЛЕНОГРАД, ПР-Д САВЁЛКИНСКИЙ, Д.4, ЭТ 13 ПОМ XXI КОМН 9</t>
  </si>
  <si>
    <t>+74957394171</t>
  </si>
  <si>
    <t>asaico@mail.ru</t>
  </si>
  <si>
    <t>ООО "С-ПРОДЖЕКТ"</t>
  </si>
  <si>
    <t>ОБЩЕСТВО С ОГРАНИЧЕННОЙ ОТВЕТСТВЕННОСТЬЮ "С-ПРОДЖЕКТ"</t>
  </si>
  <si>
    <t>2009-04-08</t>
  </si>
  <si>
    <t>18.1,18.2,41.2,43.12,43.2,43.3,43.99,46.1,46.3,46.4,46.6,47.5,47.9,49.3,52.10,52.2,52.24,52.29,58,62.0,62.02,62.09,66.1,69,71.12.3,71.12.4,71.12.5,71.12.6,73.1,74.20,74.30,78.1,82.92</t>
  </si>
  <si>
    <t>ШИПОВ ЕВГЕНИЙ ВЛАДИМИРОВИЧ</t>
  </si>
  <si>
    <t>115583,  Г.МОСКВА, УЛ. ВОРОНЕЖСКАЯ, Д.1/37, 231</t>
  </si>
  <si>
    <t>+79255420608,+74959713971</t>
  </si>
  <si>
    <t>9713971@mail.ru</t>
  </si>
  <si>
    <t>ООО "ИНСТИТУТ АКУПУНКТУРЫ"</t>
  </si>
  <si>
    <t>ОБЩЕСТВО С ОГРАНИЧЕННОЙ ОТВЕТСТВЕННОСТЬЮ "ИНСТИТУТ АКУПУНКТУРЫ"</t>
  </si>
  <si>
    <t>47.29.39,47.73,47.74,47.75,47.91,47.99,63.11,63.12,63.99.1,82.30,85.30,85.41,85.41.9,85.42,85.42.9,86.22,86.90,96.02,96.04</t>
  </si>
  <si>
    <t>ХЕСТАНОВА ТАМАРА ЗАУРОВНА</t>
  </si>
  <si>
    <t>127006, Г.МОСКВА, ВН.ТЕР.Г. МУНИЦИПАЛЬНЫЙ ОКРУГ ТВЕРСКОЙ, УЛ КРАСНОПРОЛЕТАРСКАЯ, Д. 9, К. 2, КОМНАТА/ЭТАЖ 2А/2</t>
  </si>
  <si>
    <t>+74957697985,+74955107444</t>
  </si>
  <si>
    <t>miso2006@mail.ru</t>
  </si>
  <si>
    <t>ООО "ОК ЛЕСНЫЕ ПОЛЯНЫ"</t>
  </si>
  <si>
    <t>ОБЩЕСТВО С ОГРАНИЧЕННОЙ ОТВЕТСТВЕННОСТЬЮ "ОК ЛЕСНЫЕ ПОЛЯНЫ"</t>
  </si>
  <si>
    <t>47.11,47.9,55.10,55.20,55.90,56.10,56.29,79.12,85.42,86.90,86.90.4,87.10,87.30,88.91,93.19,93.21,93.29,96.04,96.09</t>
  </si>
  <si>
    <t>БЕССОНОВА ЕЛЕНА АЛЕКСАНДРОВНА</t>
  </si>
  <si>
    <t>119146, Г.МОСКВА, ВН.ТЕР.Г. МУНИЦИПАЛЬНЫЙ ОКРУГ ХАМОВНИКИ, НАБ ФРУНЗЕНСКАЯ, Д. 14, ЭТАЖ 1-Й, ПОМЕЩ./КОМ. III/9</t>
  </si>
  <si>
    <t>+74992484536,+74955048841</t>
  </si>
  <si>
    <t>lespolyany.ru,www.my-camp.ru</t>
  </si>
  <si>
    <t>sales@lespolyany.ru,info@lespolyany.ru</t>
  </si>
  <si>
    <t>ООО "ЭС-БИ-ЭЙЧ-ИНФОРМ"</t>
  </si>
  <si>
    <t>ОБЩЕСТВО С ОГРАНИЧЕННОЙ ОТВЕТСТВЕННОСТЬЮ "ЭС-БИ-ЭЙЧ-ИНФОРМ"</t>
  </si>
  <si>
    <t>2009-03-05</t>
  </si>
  <si>
    <t>62.0,66.12.1,70.22,73.11,84.21</t>
  </si>
  <si>
    <t>ИВАНОВ ДМИТРИЙ ЮРЬЕВИЧ</t>
  </si>
  <si>
    <t>117587,  Г.МОСКВА, Ш ВАРШАВСКОЕ, Д. 125, СТР. 1, ЭТАЖ 3 ОФИС 311</t>
  </si>
  <si>
    <t>+74956400115</t>
  </si>
  <si>
    <t>maria@sbhouse.ru</t>
  </si>
  <si>
    <t>ООО "АПЭС"</t>
  </si>
  <si>
    <t>ОБЩЕСТВО С ОГРАНИЧЕННОЙ ОТВЕТСТВЕННОСТЬЮ "АТОМПРОЕКТЭНЕРГОСЕРВИС"</t>
  </si>
  <si>
    <t>18.1,35.11.1,35.11.2,35.11.3,35.11.4,35.30.4,35.30.5,41.2,41.20,42.11,42.12,42.13,42.21,42.22.1,42.22.2,42.22.3,42.91,42.99,43.11,43.12,43.12.3,43.13,43.2,43.21,43.22,43.29,43.3,43.31,43.32,43.33,43.34,43.34.1,43.34.2,43.39,43.91,43.99,43.99.1,43.99.2,43.99.3,43.99.4,43.99.5,43.99.6,43.99.7,43.99.9,46.1,47.1,47.5,53.20.1,53.20.21,53.20.22,58,61.10,62.01,62.09,63.11,63.11.1,70.22,71.1,71.11,71.11.1,71.12,71.12.1,71.12.12,71.12.13,71.12.3,71.12.4,71.12.41,71.12.43,71.12.44,71.12.45,71.12.5,71.12.51,71.12.52,71.12.53,71.12.54,71.12.55,71.12.6,71.12.61,71.12.62,71.12.63,71.12.9,71.20,71.20.5,71.20.6,71.20.8,71.20.9,72.19,72.20,73.11,80.10,80.20,80.30,84.2,84.21,84.24,84.25,84.25.1,84.25.9,95.11</t>
  </si>
  <si>
    <t>СТРОГАНОВ ВЛАДИМИР ВАСИЛЬЕВИЧ</t>
  </si>
  <si>
    <t>109382,  Г.МОСКВА, УЛ. ЛЮБЛИНСКАЯ, Д. 141, ЭТАЖ 2 ПIII К1,5 ОФ224</t>
  </si>
  <si>
    <t>+78012781242,+74996537825,+74999298145,+74995190445,+79164948443</t>
  </si>
  <si>
    <t>apes@apes.su,petra53@mail.ru</t>
  </si>
  <si>
    <t>ООО "ГЕС"</t>
  </si>
  <si>
    <t>ОБЩЕСТВО С ОГРАНИЧЕННОЙ ОТВЕТСТВЕННОСТЬЮ "ГЕС"</t>
  </si>
  <si>
    <t>1993-06-23</t>
  </si>
  <si>
    <t>33.20,41.20,42.11,42.12,42.13,42.21,42.22,42.91,42.99,43.11,43.12,43.21,43.22,43.29,43.31,43.32,43.33,43.34,43.39,43.91,66.21,68.31.5,68.31.51,68.31.52,68.32.3,69.10,69.20,70.22,71.11,71.12,71.20,74.10,74.90,74.90.2,74.90.21,74.90.22,74.90.23,74.90.24,74.90.25,74.90.26,82.99</t>
  </si>
  <si>
    <t>КИРИЧЕНКО СВЕТЛАНА АЛЬФРЕДОВНА</t>
  </si>
  <si>
    <t>108842, Г.МОСКВА, ВН.ТЕР.Г. ГОРОДСКОЙ ОКРУГ ТРОИЦК, Г ТРОИЦК, МКР В, Д. 49А</t>
  </si>
  <si>
    <t>+74951184379,+79256303522,+79266303552,+79256303552</t>
  </si>
  <si>
    <t>7319544@mail.ru,tender@gesconstruction.ru,eikirichenko@yandex.ru,info@gesconstruction.ru,ges1325@mail.ru,eikirichenko630@yandex.ru,tender@gesconstruction.ru;</t>
  </si>
  <si>
    <t>ООО "НОРМАТИВ"</t>
  </si>
  <si>
    <t>ОБЩЕСТВО С ОГРАНИЧЕННОЙ ОТВЕТСТВЕННОСТЬЮ "НОРМАТИВ"</t>
  </si>
  <si>
    <t>2009-02-27</t>
  </si>
  <si>
    <t>01.21,41.2,43.12,43.2,43.21,43.22,43.29,43.31,43.32,43.33,43.34,43.91,43.99,43.99.1,66.21,68.31.5,68.31.51,69.10,71.20.2,71.20.62,73.20.1,74.90,74.90.2,74.90.21,74.90.22,74.90.23,74.90.24,74.90.25,74.90.26,74.90.5,81.29.9,82.99,86.90.2,93.1</t>
  </si>
  <si>
    <t>БОЯРОВ ВАСИЛИЙ ВАСИЛЬЕВИЧ</t>
  </si>
  <si>
    <t>115419,  Г.МОСКВА, ПР-Д 2-Й РОЩИНСКИЙ, Д. 8, СТР. 5, ПОМЕЩ. IX</t>
  </si>
  <si>
    <t>+74992203034,+74991375843,+78495220303,+74952202034,+79037150258,+74952203034,+74957150258</t>
  </si>
  <si>
    <t>info@nocenka.ru,nomail@nomail.ru,iragibova@nocenka.ru,dshamparova@nocenka.ru,nocenka@bk.ru,nocenka@nocenka.ru,null@null.ru</t>
  </si>
  <si>
    <t>ООО "ЛАБОРАНТ-МЕД"</t>
  </si>
  <si>
    <t>ОБЩЕСТВО С ОГРАНИЧЕННОЙ ОТВЕТСТВЕННОСТЬЮ "ЛАБОРАНТ-МЕД"</t>
  </si>
  <si>
    <t>Деятельность агентов по оптовой торговле промышленными и техническими химическими веществами, удобрениями и агрохимикатами</t>
  </si>
  <si>
    <t>46.12.31,46.12.32,46.16.1,46.16.2,46.18.1,46.18.9,46.46,46.46.1,46.46.2,46.49,52.29</t>
  </si>
  <si>
    <t>Цыцерова Мария Борисовна</t>
  </si>
  <si>
    <t>115597,  Г.МОСКВА, УЛ. ЯСЕНЕВАЯ, Д. 44/42, КВ. 181</t>
  </si>
  <si>
    <t>+79852220314,+79250664453,+74952220314,+79253799483,+79250664353,+74956826726,+74952587465,+78925066445,+74952220353,+79452220314</t>
  </si>
  <si>
    <t>invitrogen@rambler.ru,laborant-med@yandex.ru,lzborant-med@yandex.ru,mashkova_s@mail.ru,laborant_med@yandex.ru,zakupki-rgmu@yandex.ru,van@mail.ru,aborant-med@yandex.ru</t>
  </si>
  <si>
    <t>ООО "СИСТЕМЫ И ТЕХНОЛОГИИ БЕЗОПАСНОСТИ "БАСТИОН"</t>
  </si>
  <si>
    <t>ОБЩЕСТВО С ОГРАНИЧЕННОЙ ОТВЕТСТВЕННОСТЬЮ "СИСТЕМЫ И ТЕХНОЛОГИИ БЕЗОПАСНОСТИ "БАСТИОН"</t>
  </si>
  <si>
    <t>43.21</t>
  </si>
  <si>
    <t>Производство электромонтажных работ</t>
  </si>
  <si>
    <t>35.12,41.20,43.22,43.29,43.99,43.99.1,46.13,46.18,46.43,46.69.5,46.73,63.91,64.99,70.22,71.11.1,71.12.45,73.20,95.22.1</t>
  </si>
  <si>
    <t>ГОРЕЛОВ АЛЕКСАНДР ПЕТРОВИЧ</t>
  </si>
  <si>
    <t>121351, Г.МОСКВА, ВН.ТЕР.Г. МУНИЦИПАЛЬНЫЙ ОКРУГ КУНЦЕВО, УЛ МОЛОДОГВАРДЕЙСКАЯ, Д. 59, ПОМЕЩ. I,ЭТАЖ 1,КОМНАТА 50</t>
  </si>
  <si>
    <t>+74952971101,+79032408778,+79037633262,+74955405395,+74997955778</t>
  </si>
  <si>
    <t>stb-bastion@mail.ru</t>
  </si>
  <si>
    <t>ООО "СОФТСЕРВИС"</t>
  </si>
  <si>
    <t>ОБЩЕСТВО С ОГРАНИЧЕННОЙ ОТВЕТСТВЕННОСТЬЮ "СОФТСЕРВИС"</t>
  </si>
  <si>
    <t>1996-08-13</t>
  </si>
  <si>
    <t>62.01,62.09,63.11,63.11.1,95.11</t>
  </si>
  <si>
    <t>ХОРИКОВ СЕРГЕЙ АЛЕКСЕЕВИЧ</t>
  </si>
  <si>
    <t>140120, МОСКОВСКАЯ ОБЛАСТЬ, М.О. РАМЕНСКИЙ, ПГТ. ИЛЬИНСКИЙ, УЛ 8 МАРТА, Д. 1, ЭТАЖ 3, КОМ. 32</t>
  </si>
  <si>
    <t>+74964613019</t>
  </si>
  <si>
    <t>ООО "ПРОМИНЖИНИРИНГ"</t>
  </si>
  <si>
    <t>ОБЩЕСТВО С ОГРАНИЧЕННОЙ ОТВЕТСТВЕННОСТЬЮ "ПРОМИНЖИНИРИНГ"</t>
  </si>
  <si>
    <t>2014-08-29</t>
  </si>
  <si>
    <t>22.21,22.22,22.23,22.29,24.10.9,24.33,46.49,52.10,64.99,68.31.1,68.31.12,68.31.2,68.31.22,68.31.3,68.31.32,68.31.4,68.31.42,68.31.5,68.32,68.32.2,73.11,81.22</t>
  </si>
  <si>
    <t>КАРАКОЙ ТАТЬЯНА ВИКТОРОВНА</t>
  </si>
  <si>
    <t>121357,  Г.МОСКВА, УЛ. ВЕРЕЙСКАЯ, Д. 27</t>
  </si>
  <si>
    <t>+74956637132</t>
  </si>
  <si>
    <t>1993-05-19</t>
  </si>
  <si>
    <t>95.11</t>
  </si>
  <si>
    <t>Ремонт компьютеров и периферийного компьютерного оборудования</t>
  </si>
  <si>
    <t>26.20,33.13,33.20,46.43,46.66,47.43,47.54,47.61,47.7,62.01,62.02,62.09,95.29</t>
  </si>
  <si>
    <t>КОЮДА КОНСТАНТИН ОЛЕГОВИЧ</t>
  </si>
  <si>
    <t>141207,  МОСКОВСКАЯ ОБЛАСТЬ, Г. ПУШКИНО, ПР-КТ МОСКОВСКИЙ, Д. 44, ПОМЕЩ. 4</t>
  </si>
  <si>
    <t>+79164964788,+79250766080,+74959934758,+74959934658,+74959934686,+74965351030,+74959935179</t>
  </si>
  <si>
    <t>www.aspekt.ru</t>
  </si>
  <si>
    <t>kouda@aspekt.tv,1@mail.ru,kkt@aspekt.tv,alex@aspekt.ru,info@aspekt.tv,alex@aspekt.tv,dmitriy@aspekt.tv,protas57@yandex.ru,alex@aspekt-center.ru</t>
  </si>
  <si>
    <t>ООО "АЛЬФА-ЛИФТ-СЕРВИС"</t>
  </si>
  <si>
    <t>ОБЩЕСТВО С ОГРАНИЧЕННОЙ ОТВЕТСТВЕННОСТЬЮ "АЛЬФА-ЛИФТ-СЕРВИС"</t>
  </si>
  <si>
    <t>18.12,28.22,28.22.1,41.20,43.11,43.12,43.12.3,43.13,43.21,43.22,43.29,43.31,43.32,43.32.1,43.32.2,43.32.3,43.33,43.34,43.39,43.91,43.99,43.99.1,46.63,46.69,46.73,46.74,71.11,71.12,71.12.6,74.90,82.99</t>
  </si>
  <si>
    <t>РЕУТСКАЯ ГАЛИНА СТЕПАНОВНА</t>
  </si>
  <si>
    <t>127427,  Г.МОСКВА, УЛ. КАШЁНКИН ЛУГ, Д. 6, К. 3, КВ. 173</t>
  </si>
  <si>
    <t>+79771310653,+79160103453,+74954155923</t>
  </si>
  <si>
    <t>info@allift.ru,tender@alfaik.ru,alfalik@bk.ru,alfaservis-lift@mail.ru</t>
  </si>
  <si>
    <t>ООО "КАРЕ-КЛУБ"</t>
  </si>
  <si>
    <t>ОБЩЕСТВО С ОГРАНИЧЕННОЙ ОТВЕТСТВЕННОСТЬЮ "КАРЕ-КЛУБ"</t>
  </si>
  <si>
    <t>2001-02-12</t>
  </si>
  <si>
    <t>46.39,47.11,47.19,47.25.1,47.91,47.91.2,47.99.1,55.10,56.10.1,56.10.21,56.10.22,56.10.23,56.10.24,56.10.3,56.21,56.29,56.29.1,56.29.2,56.29.3,56.29.4,56.30,73.20.1,90.01,90.04.1,92.1,93.29.9</t>
  </si>
  <si>
    <t>Глазырин Сергей Трофимович</t>
  </si>
  <si>
    <t>141506,  МОСКОВСКАЯ ОБЛАСТЬ, Г СОЛНЕЧНОГОРСК, УЛ ЛЕСНАЯ, Д. 13, ОФИС 11</t>
  </si>
  <si>
    <t>+74962642973,+74962647777</t>
  </si>
  <si>
    <t>ООО "БАРВИХА-СЕРВИС"</t>
  </si>
  <si>
    <t>ОБЩЕСТВО С ОГРАНИЧЕННОЙ ОТВЕТСТВЕННОСТЬЮ "БАРВИХА-СЕРВИС"</t>
  </si>
  <si>
    <t>2000-04-11</t>
  </si>
  <si>
    <t>41.2,41.20,42.99,43.12.3,43.2,43.91,43.99,43.99.5,43.99.6,45.20.1,45.20.2,46.1,46.49.49,46.73.3,47.52.5</t>
  </si>
  <si>
    <t>ДЕНИСОВ ВЛАДИМИР ВАЛЕНТИНОВИЧ</t>
  </si>
  <si>
    <t>143082,  МОСКОВСКАЯ ОБЛАСТЬ, Г ОДИНЦОВО, Д БАРВИХА, Д. 40, -----</t>
  </si>
  <si>
    <t>+74956358482,+79166739546,+70954188482,+70954181768,+74956351768</t>
  </si>
  <si>
    <t>vladimir.denisoff@gmail.com,7452178@mail.ru</t>
  </si>
  <si>
    <t>ООО "О/З ТТЦ "ГАРАНТ"</t>
  </si>
  <si>
    <t>ОБЩЕСТВО С ОГРАНИЧЕННОЙ ОТВЕТСТВЕННОСТЬЮ "ОРЕХОВО-ЗУЕВСКИЙ ТЕХНОТОРГОВЫЙ ЦЕНТР "ГАРАНТ"</t>
  </si>
  <si>
    <t>1993-02-17</t>
  </si>
  <si>
    <t>46.90,47.19,47.7,95.22.1</t>
  </si>
  <si>
    <t>ТУМАНОВ АЛЕКСАНДР АНДРЕЕВИЧ</t>
  </si>
  <si>
    <t>142603,  МОСКОВСКАЯ ОБЛАСТЬ, Г. ОРЕХОВО-ЗУЕВО, УЛ. ГАГАРИНА, Д.51</t>
  </si>
  <si>
    <t>+74964122255,+74964121836,+74964122146,+78824121836,+78824122146,+74964125125,+74964181530,+74964145359,+74964116785</t>
  </si>
  <si>
    <t>ООО "ПИКВАРИО МЕДИА"</t>
  </si>
  <si>
    <t>ОБЩЕСТВО С ОГРАНИЧЕННОЙ ОТВЕТСТВЕННОСТЬЮ "ПИКВАРИО МЕДИА"</t>
  </si>
  <si>
    <t>74.20</t>
  </si>
  <si>
    <t>Деятельность в области фотографии</t>
  </si>
  <si>
    <t>47.41,47.63.2,47.99.1,62.0,62.02,62.09,63.1,63.11,63.11.1,63.91,63.99.1,68.20.2,74.90.8,82.30,85.41,95.1</t>
  </si>
  <si>
    <t>Фомин Сергей Геннадьевич</t>
  </si>
  <si>
    <t>123056, Г.МОСКВА, ВН.ТЕР.Г. МУНИЦИПАЛЬНЫЙ ОКРУГ ПРЕСНЕНСКИЙ, УЛ ЗООЛОГИЧЕСКАЯ, Д. 26, СТР. 1, ПОМЕЩ. 1/1</t>
  </si>
  <si>
    <t>+74955179444,+79037750392,+74956235511,+79032387537,+74956254258</t>
  </si>
  <si>
    <t>accounts@russianlook.com</t>
  </si>
  <si>
    <t>ООО "ОЛИВЬЕ"</t>
  </si>
  <si>
    <t>ОБЩЕСТВО С ОГРАНИЧЕННОЙ ОТВЕТСТВЕННОСТЬЮ "ОЛИВЬЕ"</t>
  </si>
  <si>
    <t>2009-02-16</t>
  </si>
  <si>
    <t>93.29</t>
  </si>
  <si>
    <t>Деятельность по организации отдыха и развлечений прочая</t>
  </si>
  <si>
    <t>18.1,59.11,59.14,74.10,74.20,74.90,77.21,90.02,93.11,93.19,93.2,93.29.9,96.0,96.09</t>
  </si>
  <si>
    <t>КАБАНОВА ЕКАТЕРИНА ВЛАДИМИРОВНА</t>
  </si>
  <si>
    <t>119421,  Г.МОСКВА, УЛ. ОБРУЧЕВА, Д.20, 42</t>
  </si>
  <si>
    <t>+79265557401,+74959723007</t>
  </si>
  <si>
    <t>ООО "АЛЬТУС-МЕДСЕРВИС"</t>
  </si>
  <si>
    <t>ОБЩЕСТВО С ОГРАНИЧЕННОЙ ОТВЕТСТВЕННОСТЬЮ "АЛЬТУС-МЕДСЕРВИС"</t>
  </si>
  <si>
    <t>26.60.1,27.12,33.14,33.20,46.15.3,46.18.1,46.46.1,46.46.2,46.51,46.69.9,71.12.62,71.20,71.20.4,71.20.9</t>
  </si>
  <si>
    <t>БАРИНОВ ПАВЕЛ АНДРЕЕВИЧ</t>
  </si>
  <si>
    <t>125493,  Г.МОСКВА, УЛ. ФЛОТСКАЯ, Д. 7, Э 28 П 860 КОМ 3 ОФ 4</t>
  </si>
  <si>
    <t>+79037944307,+79261210211,+74954284447,+74954284446</t>
  </si>
  <si>
    <t>barinovp@list.ru,marytezikova@gmail.com,info@altus-med.ru,dmitry.savin@medicon.pro,alt-ms@yandex.ru,med@altus.ru,dolphin.ru87@gmail.com,modisolus@gmail.com</t>
  </si>
  <si>
    <t>ООО "ЭЛЕКТРОНИКА АЗЭТ"</t>
  </si>
  <si>
    <t>ОБЩЕСТВО С ОГРАНИЧЕННОЙ ОТВЕТСТВЕННОСТЬЮ "ЭЛЕКТРОНИКА АЗЭТ"</t>
  </si>
  <si>
    <t>1996-01-20</t>
  </si>
  <si>
    <t>86.10,86.22,86.23,86.90,88.91,88.99</t>
  </si>
  <si>
    <t>ДЕМЕНТЬЕВА СВЕТЛАНА ВИКТОРОВНА</t>
  </si>
  <si>
    <t>142500,  МОСКОВСКАЯ ОБЛАСТЬ, Г ПАВЛОВСКИЙ ПОСАД, УЛ ВОКЗАЛЬНАЯ, Д. 1</t>
  </si>
  <si>
    <t>+79057805732,+74964357598,+79161085181,+79163290193,+74964322546,+74964322540,+74964357296,+78244357296</t>
  </si>
  <si>
    <t>notarius.akimova@mail.ru</t>
  </si>
  <si>
    <t>ООО "ЛИГАЛ АРТ"</t>
  </si>
  <si>
    <t>ОБЩЕСТВО С ОГРАНИЧЕННОЙ ОТВЕТСТВЕННОСТЬЮ "ЛИГАЛ АРТ"</t>
  </si>
  <si>
    <t>2009-03-06</t>
  </si>
  <si>
    <t>БЫКОВ НИКИТА БОРИСОВИЧ</t>
  </si>
  <si>
    <t>115054, Г.МОСКВА, ВН.ТЕР.Г. МУНИЦИПАЛЬНЫЙ ОКРУГ ЗАМОСКВОРЕЧЬЕ, ПЕР БОЛЬШОЙ СТРОЧЕНОВСКИЙ, Д. 7, ПОМЕЩ. 11/12/5</t>
  </si>
  <si>
    <t>+79055066151,+74957673839,+79265991190</t>
  </si>
  <si>
    <t>miso2006@mail.ru,hanina21@mail.ru</t>
  </si>
  <si>
    <t>ООО "АГЕНТСТВО "БИЗНЕС-АКТИВ"</t>
  </si>
  <si>
    <t>ОБЩЕСТВО С ОГРАНИЧЕННОЙ ОТВЕТСТВЕННОСТЬЮ "АГЕНТСТВО "БИЗНЕС-АКТИВ"</t>
  </si>
  <si>
    <t>2009-03-31</t>
  </si>
  <si>
    <t>63.11.1,66.21,68.31.5,68.31.51,68.31.52,69,69.10,73.20.1,74.20,74.30,82.92,82.99,96.0,96.09</t>
  </si>
  <si>
    <t>САПРОНОВ ЮРИЙ АЛЕКСЕЕВИЧ</t>
  </si>
  <si>
    <t>129110, Г.МОСКВА, ВН.ТЕР.Г. МУНИЦИПАЛЬНЫЙ ОКРУГ МЕЩАНСКИЙ, ПЕР СЛЕСАРНЫЙ, Д. 3, ЭТАЖ 14, ОФИС 13</t>
  </si>
  <si>
    <t>+74956803264,+74956802245</t>
  </si>
  <si>
    <t>ООО "АРТ-ФАСАД"</t>
  </si>
  <si>
    <t>ОБЩЕСТВО С ОГРАНИЧЕННОЙ ОТВЕТСТВЕННОСТЬЮ "АРТ-ФАСАД"</t>
  </si>
  <si>
    <t>2009-02-25</t>
  </si>
  <si>
    <t>25.1</t>
  </si>
  <si>
    <t>Производство строительных металлических конструкций и изделий</t>
  </si>
  <si>
    <t>25.11,25.61,25.62,31.01,31.02,31.09,41.2,43.3,46.4,46.9,47.1,47.5,47.9</t>
  </si>
  <si>
    <t>ЧУГУНОВ ЕВГЕНИЙ АНАТОЛЬЕВИЧ</t>
  </si>
  <si>
    <t>124683,  Г.МОСКВА, Г ЗЕЛЕНОГРАД, К. 1824, ЭТАЖ 1 ПОМЕЩ.1Б КОМНАТА 4</t>
  </si>
  <si>
    <t>+74952230723</t>
  </si>
  <si>
    <t>ООО "ЗОРЬКА"</t>
  </si>
  <si>
    <t>ОБЩЕСТВО С ОГРАНИЧЕННОЙ ОТВЕТСТВЕННОСТЬЮ "ЗОРЬКА"</t>
  </si>
  <si>
    <t>2002-11-26</t>
  </si>
  <si>
    <t>45.20,46.3,46.4,47.30,47.8,47.9,52.21.24,52.29,56.1,56.29,56.3,95.2,95.22.1,95.23,96.02</t>
  </si>
  <si>
    <t>БЕЛИХОВА МАРИНА МАРАТОВНА</t>
  </si>
  <si>
    <t>140104,  МОСКОВСКАЯ ОБЛАСТЬ, Г РАМЕНСКОЕ, УЛ ОКТЯБРЬСКАЯ, Д. 1Б/2</t>
  </si>
  <si>
    <t>+74964643350</t>
  </si>
  <si>
    <t>ООО "ВИП СГИ"</t>
  </si>
  <si>
    <t>ОБЩЕСТВО С ОГРАНИЧЕННОЙ ОТВЕТСТВЕННОСТЬЮ "ВИП СГИ"</t>
  </si>
  <si>
    <t>43.2</t>
  </si>
  <si>
    <t>Производство электромонтажных, санитарно-технических и прочих строительно-монтажных работ</t>
  </si>
  <si>
    <t>01.61,68.3,68.32.1,68.32.2,73.11,73.20.1,77.29,88.10,96.09</t>
  </si>
  <si>
    <t>ВЛАСЕНКО МИХАИЛ АЛЕКСАНДРОВИЧ</t>
  </si>
  <si>
    <t>123376, Г.МОСКВА, ВН.ТЕР.Г. МУНИЦИПАЛЬНЫЙ ОКРУГ ПРЕСНЕНСКИЙ, ПЕР БОЛЬШОЙ ТРЁХГОРНЫЙ, Д. 4, СТР. 2</t>
  </si>
  <si>
    <t>+79169980947,+74957295453,+74957284946,+74957284947</t>
  </si>
  <si>
    <t>ООО "ЭКСДИБИАЙ"</t>
  </si>
  <si>
    <t>ОБЩЕСТВО С ОГРАНИЧЕННОЙ ОТВЕТСТВЕННОСТЬЮ "ЭКСДИБИАЙ"</t>
  </si>
  <si>
    <t>2009-01-30</t>
  </si>
  <si>
    <t>33.12,33.13,33.14,46.14.1,46.15.4,46.18.9,46.51,46.52,46.66,46.90,47.41,58.29,61.10.1,61.90,62.02,62.03,62.09,63.11,63.11.1,74.90.9,77.33,95.11,95.12</t>
  </si>
  <si>
    <t>Тозлиян Борис Израилович</t>
  </si>
  <si>
    <t>119602, Г.МОСКВА, ВН.ТЕР.Г. МУНИЦИПАЛЬНЫЙ ОКРУГ ТРОПАРЕВО-НИКУЛИНО, УЛ АКАДЕМИКА АНОХИНА, Д. 38, К. 1, ЭТАЖ 1 ПОМЕЩ. II КОМ. 3/5</t>
  </si>
  <si>
    <t>+74955085597,+74954372938</t>
  </si>
  <si>
    <t>ООО "РАССВЕТ"</t>
  </si>
  <si>
    <t>ОБЩЕСТВО С ОГРАНИЧЕННОЙ ОТВЕТСТВЕННОСТЬЮ "РАССВЕТ"</t>
  </si>
  <si>
    <t>1993-03-01</t>
  </si>
  <si>
    <t>14.19.19</t>
  </si>
  <si>
    <t>Производство прочих трикотажных или вязаных аксессуаров одежды, в том числе платков, шарфов, галстуков и прочих аналогичных изделий</t>
  </si>
  <si>
    <t>13.91,14.13.2,14.19.4</t>
  </si>
  <si>
    <t>СМИРНОВ СЕРГЕЙ ДМИТРИЕВИЧ</t>
  </si>
  <si>
    <t>141260,  МОСКОВСКАЯ ОБЛАСТЬ, Г ПУШКИНО, ПГТ. ПРАВДИНСКИЙ, Ш СТЕПАНЬКОВСКОЕ, Д. 17, ОФИС 49</t>
  </si>
  <si>
    <t>+74965311196,+79165376232</t>
  </si>
  <si>
    <t>ООО "ИНЖТЕХПРОМПРОЕКТ"</t>
  </si>
  <si>
    <t>ОБЩЕСТВО С ОГРАНИЧЕННОЙ ОТВЕТСТВЕННОСТЬЮ "ИНЖТЕХПРОМПРОЕКТ"</t>
  </si>
  <si>
    <t>2015-06-17</t>
  </si>
  <si>
    <t>71.1</t>
  </si>
  <si>
    <t>Деятельность в области архитектуры, инженерных изысканий и предоставление технических консультаций в этих областях</t>
  </si>
  <si>
    <t>41.20,42.11,42.91,42.99,43.11,43.12.3,43.13,43.21,43.22,43.29,43.31,43.32,43.33,43.34,43.39,43.91,43.99,43.99.1,71.12.5,71.12.6</t>
  </si>
  <si>
    <t>ГУЛЯК НИКИТА ФЕДОРОВИЧ</t>
  </si>
  <si>
    <t>101000,  Г.МОСКВА, УЛ МАШКОВА, Д. 11, СТР. 1, ПОМ 2</t>
  </si>
  <si>
    <t>+78123369569,+79267914489,+79267914450</t>
  </si>
  <si>
    <t>info@enjtech.ru,gulyak.n@gmail.com</t>
  </si>
  <si>
    <t>ООО "НЬЮ ЛЕВЕЛ ИНЖИНИРИНГ"</t>
  </si>
  <si>
    <t>ОБЩЕСТВО С ОГРАНИЧЕННОЙ ОТВЕТСТВЕННОСТЬЮ "НЬЮ ЛЕВЕЛ ИНЖИНИРИНГ"</t>
  </si>
  <si>
    <t>2015-06-23</t>
  </si>
  <si>
    <t>43.21,43.22,43.31,43.34,43.99,43.99.1,46.41,46.41.2,46.43,46.49,46.90,47.19,47.43,47.54,47.7,47.99,62.01,62.02,62.09,71.1,71.12.5,71.12.6</t>
  </si>
  <si>
    <t>АГАНИН АЛЕКСАНДР СЕРГЕЕВИЧ</t>
  </si>
  <si>
    <t>123298, Г.МОСКВА, ВН.ТЕР.Г. МУНИЦИПАЛЬНЫЙ ОКРУГ ХОРОШЕВО-МНЕВНИКИ, УЛ 3-Я ХОРОШЁВСКАЯ, Д. 12</t>
  </si>
  <si>
    <t>+74954191518</t>
  </si>
  <si>
    <t>ООО АКГ "БИЗНЕСЭКСПЕРТИЗА"</t>
  </si>
  <si>
    <t>ОБЩЕСТВО С ОГРАНИЧЕННОЙ ОТВЕТСТВЕННОСТЬЮ АУДИТОРСКО-КОНСАЛТИНГОВАЯ ГРУППА "БИЗНЕСЭКСПЕРТИЗА"</t>
  </si>
  <si>
    <t>2015-06-10</t>
  </si>
  <si>
    <t>69.20.1</t>
  </si>
  <si>
    <t>Деятельность по проведению финансового аудита</t>
  </si>
  <si>
    <t>69.10,69.20.2,70.22,73.20.1,73.20.2,85.42.9</t>
  </si>
  <si>
    <t>САВИЛОВ ДМИТРИЙ ВЛАДИМИРОВИЧ</t>
  </si>
  <si>
    <t>129345, Г.МОСКВА, ВН.ТЕР.Г. МУНИЦИПАЛЬНЫЙ ОКРУГ ЛОСИНООСТРОВСКИЙ, УЛ ТАЙНИНСКАЯ, Д. 9, ПОМЕЩ. 827</t>
  </si>
  <si>
    <t>+74951205521,+79160827747,+74959332131</t>
  </si>
  <si>
    <t>www.bizexpertiza.ru</t>
  </si>
  <si>
    <t>info@bizexpertiza.ru</t>
  </si>
  <si>
    <t>ООО "АЭНКОМ"</t>
  </si>
  <si>
    <t>ОБЩЕСТВО С ОГРАНИЧЕННОЙ ОТВЕТСТВЕННОСТЬЮ "НЕЗАВИСИМАЯ ЭКСПЕРТНАЯ КОМПАНИЯ "АЭНКОМ"</t>
  </si>
  <si>
    <t>2015-04-09</t>
  </si>
  <si>
    <t>74.90.22</t>
  </si>
  <si>
    <t>Деятельность, направленная на установление рыночной или иной стоимости совокупности вещей, составляющих имущество лица, в том числе имущество определенного вида (движимое или недвижимое, в том числе предприятия)</t>
  </si>
  <si>
    <t>45.11.2,45.11.3,45.19.2,45.19.3,45.20,49.4,52.21.24,52.29,56.10,58.11.1,66.21,66.29.9,68.31.1,68.31.11,68.31.2,68.31.21,68.31.3,68.31.31,68.31.4,68.31.41,68.31.5,69.10,70.22,71.20,71.20.2,71.20.9,72.19,73.20.1,79.11,82.99,93.29.9,94.99</t>
  </si>
  <si>
    <t>СОСНИЦКИЙ АЛЕКСАНДР ИГОРЕВИЧ</t>
  </si>
  <si>
    <t>125315,  Г.МОСКВА, ПР-КТ ЛЕНИНГРАДСКИЙ, Д. 68, СТР 24, ПОМЕЩ. X КОМН.8</t>
  </si>
  <si>
    <t>+74952345936</t>
  </si>
  <si>
    <t>www.aencom.ru</t>
  </si>
  <si>
    <t>sai@aencom.ru</t>
  </si>
  <si>
    <t>ООО "РУСИНТЭК"</t>
  </si>
  <si>
    <t>ОБЩЕСТВО С ОГРАНИЧЕННОЙ ОТВЕТСТВЕННОСТЬЮ "РУСИНТЭК"</t>
  </si>
  <si>
    <t>2010-03-02</t>
  </si>
  <si>
    <t>46.1,55.90,56.10.1,62.01,62.02,63.11,68.10,68.20.2,69.10,69.20,69.20.2,70.10.1,70.22,73.20.1,78.10,78.30,82.19,82.99</t>
  </si>
  <si>
    <t>МЕЛАМЕДОВ СТАНИСЛАВ АЛЬБЕРТОВИЧ</t>
  </si>
  <si>
    <t>121087, Г.МОСКВА, ВН.ТЕР.Г. МУНИЦИПАЛЬНЫЙ ОКРУГ ФИЛЕВСКИЙ ПАРК, УЛ ТУЧКОВСКАЯ, Д. 11, К. 2</t>
  </si>
  <si>
    <t>+79272092155,+78463407900</t>
  </si>
  <si>
    <t>filihousehotel.ru</t>
  </si>
  <si>
    <t>reception@filihh.ru,kolotilinvlvl@gmail.com</t>
  </si>
  <si>
    <t>ООО "СМАРТВИЖЕН"</t>
  </si>
  <si>
    <t>ОБЩЕСТВО С ОГРАНИЧЕННОЙ ОТВЕТСТВЕННОСТЬЮ "СМАРТВИЖЕН"</t>
  </si>
  <si>
    <t>2015-03-30</t>
  </si>
  <si>
    <t>33.14,33.20,41.20,43.21,46.51,46.66,46.69.5,49.41.2,49.41.3,62.01,62.09,63.11,63.11.1,70.22,71.12,71.12.12,95.11</t>
  </si>
  <si>
    <t>АЛЕШИН АЛЕКСАНДР АЛЕКСАНДРОВИЧ</t>
  </si>
  <si>
    <t>127018,  Г.МОСКВА, УЛ ПОЛКОВАЯ, Д. 3, СТР. 3, ПОМ 10</t>
  </si>
  <si>
    <t>+74995799339,+74997559940,+74955799339,+79686190055</t>
  </si>
  <si>
    <t>tenderpk@smartvn.net,demichev@smartvn.net,tender@smartvn.net,support@ntcit-rosa.ru,gavrilova@smartvn.net,tebder@smartv.net,info@smartvn.net,lipkina@smartvn.net,levicheva@smartvn.net,zhuliy@smartvn.net,rifoms@rifoms.ru</t>
  </si>
  <si>
    <t>ООО "МИРОМЕД"</t>
  </si>
  <si>
    <t>ОБЩЕСТВО С ОГРАНИЧЕННОЙ ОТВЕТСТВЕННОСТЬЮ "МИРОМЕД"</t>
  </si>
  <si>
    <t>2015-06-02</t>
  </si>
  <si>
    <t>46.45.1,46.45.2,46.46.1,46.46.2,47.19,47.74,47.75.1,47.75.2,47.91.2,47.91.3,47.91.4,82.99,86.21,86.90.9,96.02,96.09</t>
  </si>
  <si>
    <t>ПЛАКСИНА НАТАЛЬЯ НИКОЛАЕВНА</t>
  </si>
  <si>
    <t>143005, МОСКОВСКАЯ ОБЛАСТЬ, Г.О. ОДИНЦОВСКИЙ, Г ОДИНЦОВО, УЛ ГОВОРОВА, Д. 36, КВ. 77</t>
  </si>
  <si>
    <t>+79258257121,+79261150804,+74959999995</t>
  </si>
  <si>
    <t>bdv@mail.ru,miromed72@mail.ru,net@net.ru,bdv.74@mail.ru,miromed@mail.ru</t>
  </si>
  <si>
    <t>АО "АТП-3"</t>
  </si>
  <si>
    <t>АКЦИОНЕРНОЕ ОБЩЕСТВО "АВТОТРАНСПОРТНОЕ ПРЕДПРИЯТИЕ №3"</t>
  </si>
  <si>
    <t>1999-06-25</t>
  </si>
  <si>
    <t>45.20,45.3,46.3,49.41.1,56.10,56.10.1,56.30,68.1,68.2,68.3,70.22</t>
  </si>
  <si>
    <t>МОСИН АЛЕКСЕЙ НИКОЛАЕВИЧ</t>
  </si>
  <si>
    <t>142800,  МОСКОВСКАЯ ОБЛАСТЬ, Г СТУПИНО, УЛ ПРИСТАНЦИОННАЯ, ВЛД. 6, КАБИНЕТ 33</t>
  </si>
  <si>
    <t>+74966420135,+74966426381,+74966420960</t>
  </si>
  <si>
    <t>atp3@mail.ru,moorti17@mail.ru,moorni17@mail.ru</t>
  </si>
  <si>
    <t>ООО "МУЗИМ"</t>
  </si>
  <si>
    <t>ОБЩЕСТВО С ОГРАНИЧЕННОЙ ОТВЕТСТВЕННОСТЬЮ "МУЗИМ"</t>
  </si>
  <si>
    <t>2015-05-20</t>
  </si>
  <si>
    <t>47.59.5</t>
  </si>
  <si>
    <t>Торговля розничная музыкальными инструментами и нотными изданиями в специализированных магазинах</t>
  </si>
  <si>
    <t>18.20,32.20,32.40,46.18.99,46.43.3,46.49.31,47.41,47.61,47.63.1,47.63.2,47.78.3,47.78.4,47.79,47.8,47.9,47.91.1,47.91.2,47.91.3,47.91.4,52.29,59.20,60.10,60.20,62.01,62.02,63.11,63.11.1,77.22,77.29.3,78.10,90.01,90.04,95.11,95.12,95.22.1,95.23,95.25,95.29</t>
  </si>
  <si>
    <t>МАРТЫНОВ АНДРЕЙ АЛЕКСЕЕВИЧ</t>
  </si>
  <si>
    <t>127137,  Г.МОСКВА, УЛ. ПРАВДЫ, Д. 24, СТР. 2, ПОМ I КОМН 87, 88</t>
  </si>
  <si>
    <t>+74956404232,+74955894232,+79161156313,+74955894236</t>
  </si>
  <si>
    <t>martynov@musimport.ru,mail@musimport.ru,musimport@mail.ru,musoffice@gmail.com,tynoff@gmail.com</t>
  </si>
  <si>
    <t>ООО "САНИТА"</t>
  </si>
  <si>
    <t>ОБЩЕСТВО С ОГРАНИЧЕННОЙ ОТВЕТСТВЕННОСТЬЮ "САНИТА"</t>
  </si>
  <si>
    <t>2002-08-21</t>
  </si>
  <si>
    <t>46.41.1,46.41.2,46.42.12,46.42.2,46.43.1,46.45.2,46.47.1,46.49,46.49.33,46.49.49,46.51,46.65,46.69,46.72.23,79.11,79.90.1,79.90.2,79.90.3</t>
  </si>
  <si>
    <t>РОЖКОВ ЕВГЕНИЙ НИКОЛАЕВИЧ</t>
  </si>
  <si>
    <t>142281,  МОСКОВСКАЯ ОБЛАСТЬ, Г ПРОТВИНО, Г СЕРПУХОВ, Ш КРЕМЕНКОВСКОЕ, Д. 2, КАБИНЕТ 208</t>
  </si>
  <si>
    <t>+79104673880,+74967310303,+74967370303,+74697310303,+74937310303,+74967310101,+74967330303,+74842310303,+79052043230,+78496731030</t>
  </si>
  <si>
    <t>trade-sanita@mail.ru,ren-sanita@mail.ru,trade-sfnita@mail.ru,trade-sanita-2013@mail.ru,rade-sanita@mail.ru,trade.sanita@mail.ru,traid-sanita@mail.ru,treidsanita@yandex.ru,sanita-trade@mail.ru,sanita-trad@mail.ru,trade-sabita@mail.ru,нет@mail.ru,неn@mail.ru,sanita@mail.ru,sanita@vail.ru,1@mail.ru,rrr@mail.ru</t>
  </si>
  <si>
    <t>ООО "ТЕБЕТ"</t>
  </si>
  <si>
    <t>ОБЩЕСТВО С ОГРАНИЧЕННОЙ ОТВЕТСТВЕННОСТЬЮ "ТЕБЕТ"</t>
  </si>
  <si>
    <t>2015-05-27</t>
  </si>
  <si>
    <t>58.11.1,69.20,70.22,71.12.63,71.20.9,82.99,85.30,85.41,85.41.9</t>
  </si>
  <si>
    <t>ТРЕБУШЕНКОВА ЛЮБОВЬ ЮРЬЕВНА</t>
  </si>
  <si>
    <t>107061,  Г.МОСКВА, УЛ. ХРОМОВА, Д. 20, ОФИС 28</t>
  </si>
  <si>
    <t>+79260116166,+79261011365,+74993918388</t>
  </si>
  <si>
    <t>uchim@ohrana-truda365.ru,info@ohrana-truda365.ru,2-15@bk.ru,tebet@mail.ru</t>
  </si>
  <si>
    <t>ООО "ГОНЧАР И К"</t>
  </si>
  <si>
    <t>ОБЩЕСТВО С ОГРАНИЧЕННОЙ ОТВЕТСТВЕННОСТЬЮ "ГОНЧАР И К"</t>
  </si>
  <si>
    <t>1999-07-05</t>
  </si>
  <si>
    <t>41.20,45.32,46.19,46.39,46.71,47.11,52.24,52.29,68.20.2,77.39.11</t>
  </si>
  <si>
    <t>ЧУБКО МАРИЯ ГЕННАДЬЕВНА</t>
  </si>
  <si>
    <t>140155,  МОСКОВСКАЯ ОБЛАСТЬ, Г РАМЕНСКОЕ, С НОВОХАРИТОНОВО, КМ 39-Й (АВТОДОРОГА ЕГОРЬЕВСКОЕ ШОССЕ ТЕР.), СТР. 1</t>
  </si>
  <si>
    <t>+79055194599,+74964647508,+74964697509,+79261721592</t>
  </si>
  <si>
    <t>chubkomery@gmail.com,111111@yandex.ru,alla_aksenova@list.ru</t>
  </si>
  <si>
    <t>ООО "АПЕКС СОБЫТИЙ"</t>
  </si>
  <si>
    <t>ОБЩЕСТВО С ОГРАНИЧЕННОЙ ОТВЕТСТВЕННОСТЬЮ "АПЕКС СОБЫТИЙ"</t>
  </si>
  <si>
    <t>2015-04-23</t>
  </si>
  <si>
    <t>93.29.9</t>
  </si>
  <si>
    <t>Деятельность зрелищно-развлекательная прочая, не включенная в другие группировки</t>
  </si>
  <si>
    <t>18.12,46.16,46.90,56.10,60.10,73.11,77.29,79.90,79.90.31,82.30,85.41.1,85.41.9,90.01,90.02,93.11,93.19,93.29,93.29.3,96.09</t>
  </si>
  <si>
    <t>ЕФИМЕНКО ВЛАДИМИР АЛЕКСЕЕВИЧ</t>
  </si>
  <si>
    <t>108830, Г.МОСКВА, ВН.ТЕР.Г. МУНИЦИПАЛЬНЫЙ ОКРУГ ВОРОНОВО, П ЛМС, УЛ ЛУГОВАЯ, Д. 5</t>
  </si>
  <si>
    <t>+79264549479,+79266883077,+74993904726,+79636976086,+79254832386,+79636976089,+74997226616</t>
  </si>
  <si>
    <t>info@apexteam.ru,ag@apexteam.ru,us@apexteam.ru,5007092@mail.ru,as@apexteam.ru,apex.event@mail.ru</t>
  </si>
  <si>
    <t>ООО "ТРАДИЦИИ 2"</t>
  </si>
  <si>
    <t>ОБЩЕСТВО С ОГРАНИЧЕННОЙ ОТВЕТСТВЕННОСТЬЮ "ТРАДИЦИИ 2"</t>
  </si>
  <si>
    <t>2016-07-08</t>
  </si>
  <si>
    <t>10.72,47.11,47.23,47.24,47.26,47.29,47.99,55.30,56.10.1,56.10.3,56.29,56.30,69.10,69.20,73.11,73.20,77.11,77.21,77.39.11,77.39.2,78.10,93.29.9</t>
  </si>
  <si>
    <t>КРАВЕЦ ЖАННА ЮРЬЕВНА</t>
  </si>
  <si>
    <t>142450,  МОСКОВСКАЯ ОБЛАСТЬ, Г. СТАРАЯ КУПАВНА, Г. НОГИНСК, УЛ. БОЛЬШАЯ МОСКОВСКАЯ, Д. 116</t>
  </si>
  <si>
    <t>+74965173143,+79262661245</t>
  </si>
  <si>
    <t>ООО "МЕДТЕКС"</t>
  </si>
  <si>
    <t>ОБЩЕСТВО С ОГРАНИЧЕННОЙ ОТВЕТСТВЕННОСТЬЮ "МЕДТЕКС"</t>
  </si>
  <si>
    <t>2000-11-02</t>
  </si>
  <si>
    <t>13.10.1,25.93.1,25.94,35.12,35.13,35.30.14,35.30.2,35.30.3,36.00.2,46.11.35,46.41.1,46.46.1,46.90,47.74,68.31.1,68.31.2,68.31.3,68.31.4,68.32.2</t>
  </si>
  <si>
    <t>КОЗЛОВ МИХАИЛ АНАТОЛЬЕВИЧ</t>
  </si>
  <si>
    <t>142500,  МОСКОВСКАЯ ОБЛАСТЬ, Г ПАВЛОВСКИЙ ПОСАД, УЛ БОЛЬШАЯ ПОКРОВСКАЯ, Д. 35</t>
  </si>
  <si>
    <t>+74964323426,+74964321523,+78244321523</t>
  </si>
  <si>
    <t>ООО "ЛЕДА-СТ"</t>
  </si>
  <si>
    <t>ОБЩЕСТВО С ОГРАНИЧЕННОЙ ОТВЕТСТВЕННОСТЬЮ "ЛЕДА-СТ"</t>
  </si>
  <si>
    <t>2002-04-04</t>
  </si>
  <si>
    <t>20.41.3,20.42,47.19,47.24.2,47.73,47.74,47.75,88.10</t>
  </si>
  <si>
    <t>МАТВЕЕВ АНДРЕЙ МИХАЙЛОВИЧ</t>
  </si>
  <si>
    <t>142803,  МОСКОВСКАЯ ОБЛАСТЬ, Г СТУПИНО, УЛ ПЕРВОМАЙСКАЯ, ВЛД. 59</t>
  </si>
  <si>
    <t>+74966422918,+74966426070,+74956422918,+74952588830,+74959605993</t>
  </si>
  <si>
    <t>leda-st@yandex.ru,null@null.ru</t>
  </si>
  <si>
    <t>ООО "ПРАЙМБЮРО"</t>
  </si>
  <si>
    <t>ОБЩЕСТВО С ОГРАНИЧЕННОЙ ОТВЕТСТВЕННОСТЬЮ "ПРАЙМБЮРО"</t>
  </si>
  <si>
    <t>2015-04-07</t>
  </si>
  <si>
    <t>46.19,46.39,46.41,46.41.1,46.41.2,46.42,46.43,46.49,46.76,46.90,69.10,73.20,74.10,74.20,74.30,82.19,82.30,82.99</t>
  </si>
  <si>
    <t>МАРКИН МАКСИМ ВИКТОРОВИЧ</t>
  </si>
  <si>
    <t>117105, Г.МОСКВА, ВН.ТЕР.Г. МУНИЦИПАЛЬНЫЙ ОКРУГ ДОНСКОЙ, Ш ВАРШАВСКОЕ, Д. 33</t>
  </si>
  <si>
    <t>+74996084192,+74959608831</t>
  </si>
  <si>
    <t>maxmarkin@primebureau.com,office@primebureau.com</t>
  </si>
  <si>
    <t>ООО "ПАТРИКИ"</t>
  </si>
  <si>
    <t>ОБЩЕСТВО С ОГРАНИЧЕННОЙ ОТВЕТСТВЕННОСТЬЮ "ПАТРИКИ"</t>
  </si>
  <si>
    <t>2015-05-08</t>
  </si>
  <si>
    <t>10.32,10.71,10.89.3,11.07,46.19,46.34.1,46.36.3,46.36.4,46.90,47.11,47.24,47.25.2,47.78.9,47.8,47.9,47.91.2,47.91.3,47.91.4,49.4,52.10.9,52.24,52.29,56.10.1,56.10.3,56.29,70.10.1,70.10.2,70.22,73.11,73.20,78.10,82.92,82.99</t>
  </si>
  <si>
    <t>НИЗКОПОКЛОНОВ АНДРЕЙ ДМИТРИЕВИЧ</t>
  </si>
  <si>
    <t>123001,  Г.МОСКВА, ПЕР. ЕРМОЛАЕВСКИЙ, Д. 10/7, ЭТАЖ 1 ПОМ.2, КОМН. 1-8</t>
  </si>
  <si>
    <t>+79032722287,+79262651589</t>
  </si>
  <si>
    <t>ООО "МАКСИПЛЭЙС"</t>
  </si>
  <si>
    <t>ОБЩЕСТВО С ОГРАНИЧЕННОЙ ОТВЕТСТВЕННОСТЬЮ "МАКСИПЛЭЙС"</t>
  </si>
  <si>
    <t>2015-04-10</t>
  </si>
  <si>
    <t>18.20,46.66,46.69,47.41,47.41.4,47.42,61.10,62.01,62.02,62.09,63.11,77.33.2,82.99,95.11</t>
  </si>
  <si>
    <t>РОЩИН АЛЕКСЕЙ ИГОРЕВИЧ</t>
  </si>
  <si>
    <t>117105,  Г.МОСКВА, Ш ВАРШАВСКОЕ, Д. 28А, ЭТАЖ 3 ОФИС 305</t>
  </si>
  <si>
    <t>+74957776954</t>
  </si>
  <si>
    <t>ООО "МИКРОРАЙОН-СЕРВИС"</t>
  </si>
  <si>
    <t>ОБЩЕСТВО С ОГРАНИЧЕННОЙ ОТВЕТСТВЕННОСТЬЮ "МИКРОРАЙОН-СЕРВИС"</t>
  </si>
  <si>
    <t>35.30.3,36.00.2,41.20,43.2,43.3,81.29.9</t>
  </si>
  <si>
    <t>АНЮХИН СЕРГЕЙ АНАТОЛЬЕВИЧ</t>
  </si>
  <si>
    <t>143005,  МОСКОВСКАЯ ОБЛАСТЬ, Г. ОДИНЦОВО, УЛ. ГОВОРОВА, Д.83</t>
  </si>
  <si>
    <t>+74956488827,+74955091061,+79264551833,+74955091062</t>
  </si>
  <si>
    <t>ООО "ТУРБО ЛОДЖИСТИКС"</t>
  </si>
  <si>
    <t>ОБЩЕСТВО С ОГРАНИЧЕННОЙ ОТВЕТСТВЕННОСТЬЮ "ТУРБО ЛОДЖИСТИКС"</t>
  </si>
  <si>
    <t>45.32,46.18.13,46.18.14,46.19,46.44.2,46.45,46.49,46.69.2,47.19.1,47.75,47.89,47.91,47.99,49.10,49.20,49.3,49.32,49.4,50.10,50.20,50.30,50.40,51.21,52.10,52.21,52.22,52.23,52.24,53.20.3,63.11.1,77.11,77.34,77.35,77.39.11,81.22,81.29.9,82.92,96.09</t>
  </si>
  <si>
    <t>ШТУРБАБИНА ТАТЬЯНА СЕРГЕЕВНА</t>
  </si>
  <si>
    <t>141552,  МОСКОВСКАЯ ОБЛАСТЬ, Г СОЛНЕЧНОГОРСК, ПГТ. РЖАВКИ, Д. 48, ОФИС 108 ПОМ.2</t>
  </si>
  <si>
    <t>+74955464255,+79067444793</t>
  </si>
  <si>
    <t>turbolog1@inmessage.ru</t>
  </si>
  <si>
    <t>ООО "МЕДИАГРАД"</t>
  </si>
  <si>
    <t>ОБЩЕСТВО С ОГРАНИЧЕННОЙ ОТВЕТСТВЕННОСТЬЮ "МЕДИАГРАД"</t>
  </si>
  <si>
    <t>2015-03-31</t>
  </si>
  <si>
    <t>18.12,18.14,43.99.7,46.43.3,46.90,47.63.1,47.7,52.29,56.10,56.10.1,56.10.3,59.20.1,63.12,74.20,77.22,79.11,90.01,93.29.9,96.09</t>
  </si>
  <si>
    <t>НЕДОГОДА МАКСИМ АЛЕКСАНДРОВИЧ</t>
  </si>
  <si>
    <t>117105, Г.МОСКВА, ВН.ТЕР.Г. МУНИЦИПАЛЬНЫЙ ОКРУГ НАГАТИНО-САДОВНИКИ, УЛ НАГАТИНСКАЯ, Д. 3А, СТР. 2</t>
  </si>
  <si>
    <t>+74997058475,+74956232524,+74957789568</t>
  </si>
  <si>
    <t>a@mail.ru,sale@mediagrad.ru</t>
  </si>
  <si>
    <t>ООО "САРРО"</t>
  </si>
  <si>
    <t>ОБЩЕСТВО С ОГРАНИЧЕННОЙ ОТВЕТСТВЕННОСТЬЮ "САРРО"</t>
  </si>
  <si>
    <t>2000-12-05</t>
  </si>
  <si>
    <t>47.11,47.25.1,52.21.24,77.39.27,92.1</t>
  </si>
  <si>
    <t>БАРАШКОВ БОРИС МИХАЙЛОВИЧ</t>
  </si>
  <si>
    <t>141204,  МОСКОВСКАЯ ОБЛАСТЬ, Г ПУШКИНО, УЛ ВОКЗАЛЬНАЯ, Д. 3</t>
  </si>
  <si>
    <t>+74965337843,+74965350716</t>
  </si>
  <si>
    <t>ООО "МРТ-ЦЕНТР ИМЕНИ ВЫТНОВА Д.И."</t>
  </si>
  <si>
    <t>ОБЩЕСТВО С ОГРАНИЧЕННОЙ ОТВЕТСТВЕННОСТЬЮ "МРТ-ЦЕНТР ИМЕНИ ВЫТНОВА Д.И."</t>
  </si>
  <si>
    <t>2012-07-19</t>
  </si>
  <si>
    <t>47.73,47.74,47.75,86.21,86.22,86.90.9</t>
  </si>
  <si>
    <t>БАРСКОВА ДАРЬЯ РАВИЛЬЕВНА</t>
  </si>
  <si>
    <t>142214,  МОСКОВСКАЯ ОБЛАСТЬ, Г. СЕРПУХОВ, УЛ. ВОРОШИЛОВА, Д. 137, ПОМЕЩ. 39-46</t>
  </si>
  <si>
    <t>+74862541780,+78486254178,+79652305805,+79036370387,+74967763333</t>
  </si>
  <si>
    <t>ООО "ИНСТИТУТ ТРАНСНЕФТЕГАЗПРОЕКТ"</t>
  </si>
  <si>
    <t>ОБЩЕСТВО С ОГРАНИЧЕННОЙ ОТВЕТСТВЕННОСТЬЮ "ИНСТИТУТ ТРАНСНЕФТЕГАЗПРОЕКТ"</t>
  </si>
  <si>
    <t>41.20,42.11,42.91,42.99,43.21,43.22,43.29,43.31,43.32,43.33,43.34,43.39,43.91,43.99,43.99.1,71.12.5,71.12.6</t>
  </si>
  <si>
    <t>СИДОРЕНКО НИКОЛАЙ ВЛАДИМИРОВИЧ</t>
  </si>
  <si>
    <t>117342, Г.МОСКВА, ВН.ТЕР.Г. МУНИЦИПАЛЬНЫЙ ОКРУГ КОНЬКОВО, УЛ БУТЛЕРОВА, Д. 17Б, ПОМЕЩ. 1Б/1/5</t>
  </si>
  <si>
    <t>+79039545924,+73812207267,+73812207269,+73812207273,+73812207263,+79659850630</t>
  </si>
  <si>
    <t>saa252525@gmail.com,tngp@yandex.ru,ildar.1964@bk.ru,kai@tngpomsk.com,tngp-18@yandex.ru</t>
  </si>
  <si>
    <t>ООО "ТРИКА"</t>
  </si>
  <si>
    <t>ОБЩЕСТВО С ОГРАНИЧЕННОЙ ОТВЕТСТВЕННОСТЬЮ "ТРИКА"</t>
  </si>
  <si>
    <t>1999-03-19</t>
  </si>
  <si>
    <t>14.13</t>
  </si>
  <si>
    <t>Производство прочей верхней одежды</t>
  </si>
  <si>
    <t>14.13.2,14.13.21,14.13.22,14.14.1,14.14.2,14.19,14.19.1,14.19.11,14.19.12,14.19.13,14.19.19,14.19.22,14.19.4,46.16,46.41,46.41.2,47.51,95.29</t>
  </si>
  <si>
    <t>ТИМАШЕВ АЛЕКСЕЙ ЮРЬЕВИЧ</t>
  </si>
  <si>
    <t>141406,  МОСКОВСКАЯ ОБЛАСТЬ, Г. ХИМКИ, УЛ. НАХИМОВА, Д.4 А</t>
  </si>
  <si>
    <t>+74955702444,+74959873459,+79629845077,+70954580352</t>
  </si>
  <si>
    <t>ООО "СИТИМЕД"</t>
  </si>
  <si>
    <t>ОБЩЕСТВО С ОГРАНИЧЕННОЙ ОТВЕТСТВЕННОСТЬЮ "СИТИМЕД"</t>
  </si>
  <si>
    <t>2015-06-05</t>
  </si>
  <si>
    <t>46.18.1</t>
  </si>
  <si>
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</si>
  <si>
    <t>46.15.9,46.18.9,46.90,47.51,73.11,73.20,77.29.9</t>
  </si>
  <si>
    <t>ПРЯХИН АНДРЕЙ ВЛАДИМИРОВИЧ</t>
  </si>
  <si>
    <t>109147, Г.МОСКВА, ВН.ТЕР.Г. МУНИЦИПАЛЬНЫЙ ОКРУГ ТАГАНСКИЙ, УЛ МАРКСИСТСКАЯ, Д. 20, СТР. 8, ПОМЕЩ. 13</t>
  </si>
  <si>
    <t>+74952335986,+79225474084,+79872013095,+79877712727,+79226258282,+74957956237,+79619425801,+79058190156,+79091540455</t>
  </si>
  <si>
    <t>info@siti-med.com,mds56mds@mail.ru,s.pavliy@siti-med.com,sitimed_torgi@mail.ru,manager2@siti-med.com,mds-oren@mail.ru,sitimed_056@mail.ru,sitimed-056@mail.ru,mds56@mail.ru,siti-med@mail.ru,sitimed_msk@mail.ru,sitimed.msk@mail.ru</t>
  </si>
  <si>
    <t>ООО "СК НВ СТРОЙДОМ"</t>
  </si>
  <si>
    <t>ОБЩЕСТВО С ОГРАНИЧЕННОЙ ОТВЕТСТВЕННОСТЬЮ "СТРОИТЕЛЬНАЯ КОМПАНИЯ НВ СТРОЙДОМ"</t>
  </si>
  <si>
    <t>2005-12-20</t>
  </si>
  <si>
    <t>42.11,42.12,42.13,42.21,42.22.1,42.22.2,42.99,43.12,43.2,43.21,43.22,43.29,43.3,43.91,43.99,43.99.7,46.13.1,52.10,68.1,68.2,68.3,71.11,71.12,71.12.1,71.12.11,71.12.13,71.20,72.19,77.3,77.39</t>
  </si>
  <si>
    <t>АРТЮХОВ ВИКТОР НИКОЛАЕВИЧ</t>
  </si>
  <si>
    <t>143500,  МОСКОВСКАЯ ОБЛАСТЬ, Г ИСТРА, ПР-Д ОХОТНИЧИЙ, Д. 7, ПОМЕЩ. 11, 2ЭТАЖ</t>
  </si>
  <si>
    <t>+74959944393,+74963141384,+74959946017,+74963141381</t>
  </si>
  <si>
    <t>ООО "КЛИНТАУН СЕРВИС"</t>
  </si>
  <si>
    <t>ОБЩЕСТВО С ОГРАНИЧЕННОЙ ОТВЕТСТВЕННОСТЬЮ "КЛИНТАУН СЕРВИС"</t>
  </si>
  <si>
    <t>2015-04-28</t>
  </si>
  <si>
    <t>ФИЛЯСОВ АНДРЕЙ АЛЕКСАНДРОВИЧ</t>
  </si>
  <si>
    <t>111141,  Г.МОСКВА, УЛ. ПЛЕХАНОВА, Д. 17</t>
  </si>
  <si>
    <t>+79852555054</t>
  </si>
  <si>
    <t>ООО "ПОДОРОЖНИК"</t>
  </si>
  <si>
    <t>ОБЩЕСТВО С ОГРАНИЧЕННОЙ ОТВЕТСТВЕННОСТЬЮ "ПОДОРОЖНИК"</t>
  </si>
  <si>
    <t>2012-11-29</t>
  </si>
  <si>
    <t>77.11</t>
  </si>
  <si>
    <t>Аренда и лизинг легковых автомобилей и легких автотранспортных средств</t>
  </si>
  <si>
    <t>49.31.2,49.32,70.22,96.09</t>
  </si>
  <si>
    <t>Стадник Константин Николаевич</t>
  </si>
  <si>
    <t>111673,  Г.МОСКВА, УЛ. НОВОКОСИНСКАЯ, ВЛД. 15А, СТР. 1</t>
  </si>
  <si>
    <t>+73812210484,+79136634493</t>
  </si>
  <si>
    <t>ООО "ЛИФТСТАНДАРТ"</t>
  </si>
  <si>
    <t>ОБЩЕСТВО С ОГРАНИЧЕННОЙ ОТВЕТСТВЕННОСТЬЮ "ЛИФТСТАНДАРТ"</t>
  </si>
  <si>
    <t>26.51,33.13,33.14,33.20,41.20,42.21,42.22.1,42.99,43.21,43.22,43.29,43.31,43.32,43.33,43.34,43.39,43.91,43.99,43.99.1,43.99.2,43.99.5,43.99.6,43.99.7,43.99.9,45.20,45.3,46.14.9,46.49,46.63,46.69,46.73,46.74,46.90,47.41,47.52.73,49.4,49.41.3,52.10,52.21,52.24,52.29,62.01,62.02,62.09,63.11,63.11.1,71.1,71.12.5,71.12.6,71.20,77.32,77.39.11,77.39.2,82.99,95.11</t>
  </si>
  <si>
    <t>ВДОВЦОВ ВИТАЛИЙ ЖОРЖОВИЧ</t>
  </si>
  <si>
    <t>117623, Г.МОСКВА, ВН.ТЕР.Г. МУНИЦИПАЛЬНЫЙ ОКРУГ ЮЖНОЕ БУТОВО, УЛ 2-Я МЕЛИТОПОЛЬСКАЯ, Д. 21, К. 2, ПОМЕЩ. 3/1</t>
  </si>
  <si>
    <t>+79161679434,+74959552400,+74954217169,+79166050873,+79163868194,+74953354700</t>
  </si>
  <si>
    <t>liftstandartrus@gmail.com,liftstandartrus@gmail.ru,liftstandart@gmail.com,liftstadartrus@gmail.com,rspvitta@rambler.ru,1232@125.ru,liftsnandartrus@gmail.com</t>
  </si>
  <si>
    <t>ООО "АВИАКОМПАНИЯ "АЛЬТАИР"</t>
  </si>
  <si>
    <t>ОБЩЕСТВО С ОГРАНИЧЕННОЙ ОТВЕТСТВЕННОСТЬЮ "АВИАКОМПАНИЯ "АЛЬТАИР"</t>
  </si>
  <si>
    <t>2015-04-16</t>
  </si>
  <si>
    <t>51.10.2</t>
  </si>
  <si>
    <t>Перевозка воздушным пассажирским транспортом, не подчиняющимся расписанию</t>
  </si>
  <si>
    <t>51.21,51.21.3,52.10,52.23.19,52.24,85.42</t>
  </si>
  <si>
    <t>ЩИПИЦЫН ДЕНИС ВЯЧЕСЛАВОВИЧ</t>
  </si>
  <si>
    <t>127006,  Г.МОСКВА, ПЕР НАСТАСЬИНСКИЙ, Д. 7, СТР. 2</t>
  </si>
  <si>
    <t>+79035512888</t>
  </si>
  <si>
    <t>matte07@mail.ru</t>
  </si>
  <si>
    <t>ООО "ТРАНССЕРВИС"</t>
  </si>
  <si>
    <t>ОБЩЕСТВО С ОГРАНИЧЕННОЙ ОТВЕТСТВЕННОСТЬЮ "ТРАНССЕРВИС"</t>
  </si>
  <si>
    <t>2015-06-24</t>
  </si>
  <si>
    <t>49.10</t>
  </si>
  <si>
    <t>Деятельность железнодорожного транспорта: междугородные и международные пассажирские перевозки</t>
  </si>
  <si>
    <t>30.20,30.20.1,30.20.4,30.20.9,33.17,46.18,46.49,46.90,47.19,47.7,47.78,47.9,49.20,49.3,49.32,49.4,52.10,52.21,52.24,52.29,53.20.3,77.11,82.99</t>
  </si>
  <si>
    <t>САВИНОВ ДЕНИС ЮРЬЕВИЧ</t>
  </si>
  <si>
    <t>141411,  Г.МОСКВА, УЛ. ЛУЖСКАЯ, Д. 1, КВ. 3</t>
  </si>
  <si>
    <t>+74957489925</t>
  </si>
  <si>
    <t>transservis.inc@yandex.ru</t>
  </si>
  <si>
    <t>ООО "БЕРГЛАНД"</t>
  </si>
  <si>
    <t>ОБЩЕСТВО С ОГРАНИЧЕННОЙ ОТВЕТСТВЕННОСТЬЮ "БЕРГЛАНД"</t>
  </si>
  <si>
    <t>10.32,10.39,10.71,10.72,10.82,10.89,10.89.1,10.89.5,10.89.6,10.89.7,10.89.8,10.89.9,47.24,47.24.1,47.24.2,47.24.21,47.24.22,47.24.3,47.25,47.25.11,47.25.12,47.25.2,47.26,47.29.39,47.9,47.99,56.10.1,56.10.3,56.29,56.30,82.99</t>
  </si>
  <si>
    <t>ШКУРОВ АЛЕКСАНДР НИКОЛАЕВИЧ</t>
  </si>
  <si>
    <t>124681,  Г.МОСКВА, Г ЗЕЛЕНОГРАД, ПЛ ЮНОСТИ, Д. 2, СТР. 1</t>
  </si>
  <si>
    <t>+79154241996,+79163211616</t>
  </si>
  <si>
    <t>ООО "НПК "КРЕАХИМ"</t>
  </si>
  <si>
    <t>ОБЩЕСТВО С ОГРАНИЧЕННОЙ ОТВЕТСТВЕННОСТЬЮ "НАУЧНО-ПРОИЗВОДСТВЕННАЯ КОМПАНИЯ "КРЕАХИМ"</t>
  </si>
  <si>
    <t>2015-04-15</t>
  </si>
  <si>
    <t>20.14,20.59,25.99,26.51,28.25.1,28.29,33.20,46.12,46.69,47.99,71.12.12</t>
  </si>
  <si>
    <t>НЕФЁДОВ ПАВЕЛ АНДРЕЕВИЧ</t>
  </si>
  <si>
    <t>125040,  Г.МОСКВА, УЛ. ПРАВДЫ, Д. 8, К. 32</t>
  </si>
  <si>
    <t>+74959737232,+79153354016</t>
  </si>
  <si>
    <t>info@creachem.ru,nefyodov@creachem.ru,000@mail.ru,chemdevil@mail.ru</t>
  </si>
  <si>
    <t>ООО "ТЦ "ЛЮБИМЫЙ ЗАПАД"</t>
  </si>
  <si>
    <t>ОБЩЕСТВО С ОГРАНИЧЕННОЙ ОТВЕТСТВЕННОСТЬЮ "ТОРГОВЫЙ ЦЕНТР "ЛЮБИМЫЙ ЗАПАД"</t>
  </si>
  <si>
    <t>2015-03-05</t>
  </si>
  <si>
    <t>46.31,46.31.11,46.39,47.24,47.25,47.7,47.9,56.10,56.10.1,56.10.3,56.30,68.10.1,68.31,93.29,93.29.9</t>
  </si>
  <si>
    <t>ВОВК ВЕРА ИВАНОВНА</t>
  </si>
  <si>
    <t>119192,  Г.МОСКВА, ПР-КТ МИЧУРИНСКИЙ, Д. 22К1, ПОМЕЩ. II КОМ.5</t>
  </si>
  <si>
    <t>+74959328392</t>
  </si>
  <si>
    <t>ООО "ЛАВАНДА-НГИ"</t>
  </si>
  <si>
    <t>ОБЩЕСТВО С ОГРАНИЧЕННОЙ ОТВЕТСТВЕННОСТЬЮ "ЛАВАНДА-НГИ"</t>
  </si>
  <si>
    <t>2002-09-16</t>
  </si>
  <si>
    <t>41.20,46.19,46.38.21,46.39,47.25.2,47.29.39,47.30,47.74,47.75.1,47.75.2,86.90.9</t>
  </si>
  <si>
    <t>НЕФЕДОВА ГАЛИНА ИВАНОВНА</t>
  </si>
  <si>
    <t>142306,  МОСКОВСКАЯ ОБЛАСТЬ, Г. ЧЕХОВ, УЛ. МОСКОВСКАЯ, Д.27</t>
  </si>
  <si>
    <t>+74967269413,+74967238152,+74957269413,+79035314286,+74967262082</t>
  </si>
  <si>
    <t>nefgalya@yandex.ru</t>
  </si>
  <si>
    <t>ООО "АЙ ДЖИ ТЕХНОЛОДЖИ"</t>
  </si>
  <si>
    <t>ОБЩЕСТВО С ОГРАНИЧЕННОЙ ОТВЕТСТВЕННОСТЬЮ "АЙ ДЖИ ТЕХНОЛОДЖИ"</t>
  </si>
  <si>
    <t>2015-04-27</t>
  </si>
  <si>
    <t>18.11,18.12,18.13,18.14,33.14,33.20,46.43.2,46.43.3,46.49.3,46.49.4,47.11,47.24.22,47.29,47.61,47.7,47.78,47.78.1,52.10,52.24,52.29,60.10,60.20,63.91,66.19,68.10.1,71.12.12,73.11,77.39.24,77.39.29,82.99,90.03,90.04,93.29.2,93.29.9,95.12,95.21,96.09</t>
  </si>
  <si>
    <t>НЕЧУНЕЕВ ГЕОРГИЙ ШАКРОЕВИЧ</t>
  </si>
  <si>
    <t>121170,  Г.МОСКВА, ПР-КТ КУТУЗОВСКИЙ, Д. 36, СТР. 3, ЭТ 1 ПОМ II КОМ 53</t>
  </si>
  <si>
    <t>+74957246945</t>
  </si>
  <si>
    <t>g@ig-pro.ru</t>
  </si>
  <si>
    <t>ООО "КОМПАНИЯ ЕРМАК"</t>
  </si>
  <si>
    <t>ОБЩЕСТВО С ОГРАНИЧЕННОЙ ОТВЕТСТВЕННОСТЬЮ "КОМПАНИЯ ЕРМАК"</t>
  </si>
  <si>
    <t>18.20,28.25,28.29,33.11,33.12,33.13,33.14,33.20,42.21,42.22,43.21,43.22,43.33,43.91,43.99,47.41,47.91.2,47.91.3,47.91.4,59.13,62.01,62.02,62.09,63.11,63.11.1,71.11,71.12,74.90,80.20,84.25.2,95.11,95.29</t>
  </si>
  <si>
    <t>КАЛИНИНА ГАЛИНА СЕРГЕЕВНА</t>
  </si>
  <si>
    <t>142803,  МОСКОВСКАЯ ОБЛАСТЬ, Г. СТУПИНО, УЛ. ФРУНЗЕ, Д. 10, ПОМЕЩ. 56</t>
  </si>
  <si>
    <t>+74966424762,+79104017876,+74966477425,+74957845121,+74951258745,+74993218569,+74955898989,+74953158988,+74966413354</t>
  </si>
  <si>
    <t>ooo-ermak@yandex.ru,ogonek_sitny@mail.ru,36454@mail.ru,ermak@mail.ru,zapor@mail.ru</t>
  </si>
  <si>
    <t>ООО "ПОДЗЕМГЕОЛОКАЦИЯ"</t>
  </si>
  <si>
    <t>ОБЩЕСТВО С ОГРАНИЧЕННОЙ ОТВЕТСТВЕННОСТЬЮ "ПОДЗЕМНАЯ ГЕОЛОКАЦИЯ"</t>
  </si>
  <si>
    <t>71.20</t>
  </si>
  <si>
    <t>Технические испытания, исследования, анализ и сертификация</t>
  </si>
  <si>
    <t>09.10.9,41.20,42.21,46.13,46.14,46.19,46.63,46.66,46.69,46.73,46.90,62.09,63.11,71.1,71.12.5,71.12.6</t>
  </si>
  <si>
    <t>ШОКОЛЕНКО ВЕРА ВЛАДИМИРОВНА</t>
  </si>
  <si>
    <t>117279,  Г.МОСКВА, УЛ. МИКЛУХО-МАКЛАЯ, Д. 36, К. 1</t>
  </si>
  <si>
    <t>+74957982057,+79104456293,+79067674801</t>
  </si>
  <si>
    <t>ООО "КАРМ +"</t>
  </si>
  <si>
    <t>ОБЩЕСТВО С ОГРАНИЧЕННОЙ ОТВЕТСТВЕННОСТЬЮ "КАРМ +"</t>
  </si>
  <si>
    <t>1998-11-16</t>
  </si>
  <si>
    <t>47.64</t>
  </si>
  <si>
    <t>Торговля розничная спортивным оборудованием и спортивными товарами в специализированных магазинах</t>
  </si>
  <si>
    <t>33.11,33.13,33.19,45.1,45.20,45.3,45.40,47.1,47.30,47.52.6,47.59.2,47.59.3,47.65,47.7,47.71,47.72,47.78,47.78.9,56.10,56.10.1,56.10.3,82.99</t>
  </si>
  <si>
    <t>КАРАСЕВ МИХАИЛ ВСЕВОЛОДОВИЧ</t>
  </si>
  <si>
    <t>141205,  МОСКОВСКАЯ ОБЛАСТЬ, Г. ПУШКИНО, Ш. ЯРОСЛАВСКОЕ, СТР. 202</t>
  </si>
  <si>
    <t>+74959936118</t>
  </si>
  <si>
    <t>ООО "АРИГАРЕС"</t>
  </si>
  <si>
    <t>ОБЩЕСТВО С ОГРАНИЧЕННОЙ ОТВЕТСТВЕННОСТЬЮ "АРИГАРЕС"</t>
  </si>
  <si>
    <t>2015-04-22</t>
  </si>
  <si>
    <t>90.03</t>
  </si>
  <si>
    <t>Деятельность в области художественного творчества</t>
  </si>
  <si>
    <t>33.12,33.13,46.69,46.90,47.78.5,47.79.1,47.79.2,47.9,58.19,66.19.4,66.21,68.31.11,68.31.12,68.31.21,68.31.22,68.31.31,68.31.32,68.31.41,68.31.42,68.31.5,70.22,72.19,72.20,73.20.1,82.99,95.29</t>
  </si>
  <si>
    <t>АНИСИФОРОВ СЕРГЕЙ НИКОЛАЕВИЧ</t>
  </si>
  <si>
    <t>119313, Г.МОСКВА, ВН.ТЕР.Г. МУНИЦИПАЛЬНЫЙ ОКРУГ ЛОМОНОСОВСКИЙ, УЛ МАРИИ УЛЬЯНОВОЙ, Д. 3, К. 3, ПОМЕЩ. 2/Ц</t>
  </si>
  <si>
    <t>+74991333742</t>
  </si>
  <si>
    <t>arigares@yandex.ru</t>
  </si>
  <si>
    <t>ООО "ПИККОНТРОЛЬ"</t>
  </si>
  <si>
    <t>ОБЩЕСТВО С ОГРАНИЧЕННОЙ ОТВЕТСТВЕННОСТЬЮ "ПИККОНТРОЛЬ"</t>
  </si>
  <si>
    <t>2015-05-07</t>
  </si>
  <si>
    <t>26.11,26.20,26.51,28.99,46.18,46.69,62.02,72.19,73.11,82.99,95.11</t>
  </si>
  <si>
    <t>ЛЕБЕДЕВ ИЛЬЯ АЛЕКСЕЕВИЧ</t>
  </si>
  <si>
    <t>125627,  Г.МОСКВА, Ш. НОВОКУРКИНСКОЕ, Д. 51</t>
  </si>
  <si>
    <t>+79151857249,+79151851218,+79159151857,+74956645368,+79055896518</t>
  </si>
  <si>
    <t>lebedevmsz@gmail.com,info@pikkontrol.ru,piccontrol@mail.ru,gumvd.so@yandex.ru,varlamov2@mail.ru</t>
  </si>
  <si>
    <t>ООО "МАСТЕР ФАРМАЦЕВТ"</t>
  </si>
  <si>
    <t>ОБЩЕСТВО С ОГРАНИЧЕННОЙ ОТВЕТСТВЕННОСТЬЮ "МАСТЕР ФАРМАЦЕВТ"</t>
  </si>
  <si>
    <t>46.46.1</t>
  </si>
  <si>
    <t>46.43.3,46.46,46.46.2,46.49</t>
  </si>
  <si>
    <t>ГОРДЕЕВ ВЛАДИМИР АНАТОЛЬЕВИЧ</t>
  </si>
  <si>
    <t>119261,  Г.МОСКВА, УЛ. ВАВИЛОВА, Д. 66, ПОМЕЩ. 10/4</t>
  </si>
  <si>
    <t>+79166779892,+74957720377</t>
  </si>
  <si>
    <t>7720377@mail.ru,maspharm@mail.ru</t>
  </si>
  <si>
    <t>ООО "ИНСОЛ ТЕЛЕКОМ"</t>
  </si>
  <si>
    <t>ОБЩЕСТВО С ОГРАНИЧЕННОЙ ОТВЕТСТВЕННОСТЬЮ "ИНСОЛ ТЕЛЕКОМ"</t>
  </si>
  <si>
    <t>33.14,33.20,41.20,41.20,42.21,42.21,42.22.1,42.22.2,42.99,43.11,43.12.3,43.13,43.22,43.29,43.31,43.32,43.33,43.34,43.39,43.91,43.99,43.99,43.99.1,43.99.5,43.99.9,46.13.2,46.15.4,46.15.4,46.41,46.41.2,46.43,46.49,46.63,46.73,46.90,47.43,47.54,47.99,50.10,50.20,52.24,52.29,58.11,61.10,61.10.1,61.10.9,62.01,62.02,62.09,63.11,63.11.1,64.99,68.31,69.10,69.20,70.22,71.1,71.12.5,71.12.6,72.19,73.11,78.10,82.99</t>
  </si>
  <si>
    <t>АШУРЛЫ ИСРАФИЛ АЛИ ОГЛЫ</t>
  </si>
  <si>
    <t>107076, Г.МОСКВА, ВН.ТЕР.Г. МУНИЦИПАЛЬНЫЙ ОКРУГ СОКОЛЬНИКИ, ПЕР КОЛОДЕЗНЫЙ, Д. 3, СТР. 26, ПОМЕЩ. 7</t>
  </si>
  <si>
    <t>+74999678568,+74999678586,+79096486700,+74959888060,+79032879520,+74955140264</t>
  </si>
  <si>
    <t>www.insol.ru</t>
  </si>
  <si>
    <t>info@insol.ru</t>
  </si>
  <si>
    <t>ООО "НАВИГАЦИОННЫЕ НОСИТЕЛИ"</t>
  </si>
  <si>
    <t>ОБЩЕСТВО С ОГРАНИЧЕННОЙ ОТВЕТСТВЕННОСТЬЮ "НАВИГАЦИОННЫЕ НОСИТЕЛИ"</t>
  </si>
  <si>
    <t>2015-05-28</t>
  </si>
  <si>
    <t>22.29</t>
  </si>
  <si>
    <t>Производство прочих пластмассовых изделий</t>
  </si>
  <si>
    <t>18.12,22.21,22.22,22.23,41.20,46.19,46.39,46.90,47.9,71.1,71.12.5,71.12.6,73.11</t>
  </si>
  <si>
    <t>НОЧНАЯ СВЕТЛАНА РАФАИЛОВНА</t>
  </si>
  <si>
    <t>105187, Г.МОСКВА, ВН.ТЕР.Г. МУНИЦИПАЛЬНЫЙ ОКРУГ ИЗМАЙЛОВО, УЛ 1-Я ИЗМАЙЛОВСКОГО ЗВЕРИНЦА, Д. 8, ПОМЕЩ. 1/1</t>
  </si>
  <si>
    <t>+74992862048</t>
  </si>
  <si>
    <t>swetlana.nochnaya@yandex.ru,karlament@mail.ru,reklight1@mail.ru</t>
  </si>
  <si>
    <t>ООО "СТРОЙКОМПЛЕКТ-С"</t>
  </si>
  <si>
    <t>ОБЩЕСТВО С ОГРАНИЧЕННОЙ ОТВЕТСТВЕННОСТЬЮ "СТРОЙКОМПЛЕКТ-С"</t>
  </si>
  <si>
    <t>2002-08-13</t>
  </si>
  <si>
    <t>16.23,41.10,41.20,42.21,43.11,43.12,43.21,43.22,43.29,43.31,43.32,43.33,43.34,43.39,43.91,43.99,46.13,46.19,46.31,46.41,46.61,46.73,46.90,47.21,47.51,49.41,49.42,52.10,52.24,56.10,68.31,68.32,71.11,71.12,81.29,81.30,82.99</t>
  </si>
  <si>
    <t>СИЛАЕВ МАКСИМ АЛЕКСАНДРОВИЧ</t>
  </si>
  <si>
    <t>142211,  МОСКОВСКАЯ ОБЛАСТЬ, Г. СЕРПУХОВ, УЛ. ОБОРОННАЯ, Д. 19, ПОМЕЩ. II</t>
  </si>
  <si>
    <t>+79175813614,+79021730246</t>
  </si>
  <si>
    <t>ООО "ЦЕНТР САНИТАРИИ И ЭПИДЕМИОЛОГИИ"</t>
  </si>
  <si>
    <t>ОБЩЕСТВО С ОГРАНИЧЕННОЙ ОТВЕТСТВЕННОСТЬЮ "ЦЕНТР САНИТАРИИ И ЭПИДЕМИОЛОГИИ"</t>
  </si>
  <si>
    <t>2015-06-11</t>
  </si>
  <si>
    <t>86.90.1</t>
  </si>
  <si>
    <t>Деятельность организаций санитарно-эпидемиологической службы</t>
  </si>
  <si>
    <t>71.20,71.20.9,72.19</t>
  </si>
  <si>
    <t>БАШКИРЦЕВ АЛЕКСАНДР СЕРГЕЕВИЧ</t>
  </si>
  <si>
    <t>117292, Г.МОСКВА, ВН.ТЕР.Г. МУНИЦИПАЛЬНЫЙ ОКРУГ АКАДЕМИЧЕСКИЙ, УЛ ПРОФСОЮЗНАЯ, Д. 3</t>
  </si>
  <si>
    <t>+79026432175</t>
  </si>
  <si>
    <t>ООО "ОХОТНИК ПОДМОСКОВЬЯ"</t>
  </si>
  <si>
    <t>ОБЩЕСТВО С ОГРАНИЧЕННОЙ ОТВЕТСТВЕННОСТЬЮ "ОХОТНИК ПОДМОСКОВЬЯ"</t>
  </si>
  <si>
    <t>1997-12-01</t>
  </si>
  <si>
    <t>47.78</t>
  </si>
  <si>
    <t>Торговля розничная прочая в специализированных магазинах</t>
  </si>
  <si>
    <t>46.49,47.19,47.64,47.91,47.99,52.10,53.20,62.09,68.20,73.11,82.92</t>
  </si>
  <si>
    <t>РОГОВ ЮРИЙ ВИКТОРОВИЧ</t>
  </si>
  <si>
    <t>142203,  МОСКОВСКАЯ ОБЛАСТЬ, Г СЕРПУХОВ, УЛ ГОРЬКОГО, Д. 1А</t>
  </si>
  <si>
    <t>+70967759644,+74967399644</t>
  </si>
  <si>
    <t>ООО ПРЕДПРИЯТИЕ "СЭСМА"</t>
  </si>
  <si>
    <t>ОБЩЕСТВО С ОГРАНИЧЕННОЙ ОТВЕТСТВЕННОСТЬЮ ПРЕДПРИЯТИЕ "СЭСМА"</t>
  </si>
  <si>
    <t>2000-02-24</t>
  </si>
  <si>
    <t>35.12,43.3,43.99.3,46.42,47.19,68.1,69.10,69.20,82.11</t>
  </si>
  <si>
    <t>ИВАЙКИНА ИРИНА ВИКТОРОВНА</t>
  </si>
  <si>
    <t>141411, МОСКОВСКАЯ ОБЛАСТЬ, Г.О. ХИМКИ, Г ХИМКИ, МКР. ЛЕВОБЕРЕЖНЫЙ, УЛ ПОЖАРСКОГО, ВЛД. 20А, СТР. 10</t>
  </si>
  <si>
    <t>+74957271118,+74955701000,+74965701000,+79161054627,+74967271118,+74965701411,+74955701411</t>
  </si>
  <si>
    <t>ООО "АСКЛЕПИУС"</t>
  </si>
  <si>
    <t>ОБЩЕСТВО С ОГРАНИЧЕННОЙ ОТВЕТСТВЕННОСТЬЮ "АСКЛЕПИУС"</t>
  </si>
  <si>
    <t>35.12,43.21,43.22,43.29,43.99.1,46.66,47.7,47.74,47.99,49.32,49.4,62.02,62.09,63.11,63.11.1,73.11,95.11</t>
  </si>
  <si>
    <t>САГАЙДАК ВЛАДИМИР ВСЕВОЛОДОВИЧ</t>
  </si>
  <si>
    <t>117342, Г.МОСКВА, ВН.ТЕР.Г. МУНИЦИПАЛЬНЫЙ ОКРУГ КОНЬКОВО, УЛ ГЕНЕРАЛА АНТОНОВА, Д. 3А, ЭТАЖ/ПОМЕЩ. 2/IV, КОМ. 1</t>
  </si>
  <si>
    <t>+79672625609,+74996251055</t>
  </si>
  <si>
    <t>eltorg@asklepius.ru,info@asklepius.ru,dmitry@progcom.ru</t>
  </si>
  <si>
    <t>ООО "МЕДИЦИНСКИЙ ЦЕНТР А.Г. ГРИЦЕНКО"</t>
  </si>
  <si>
    <t>ОБЩЕСТВО С ОГРАНИЧЕННОЙ ОТВЕТСТВЕННОСТЬЮ "МЕДИКО-ИНЖЕНЕРНЫЙ НАУЧНЫЙ ЦЕНТР А.Г. ГРИЦЕНКО"</t>
  </si>
  <si>
    <t>2015-03-25</t>
  </si>
  <si>
    <t>20.13,20.16,20.59,21.20,21.20.1,21.20.2,36.00,37.00,38.32.5,38.32.59,46.46,47.19,47.59.9,47.73,47.75,47.91.1,47.91.2,47.91.3,47.91.4,47.99,55.10,55.90,56.10,56.10.1,56.10.3,56.29,68.10,68.10.21,68.10.22,68.10.23,68.20,68.20.1,68.20.2,68.31.11,68.31.12,68.31.21,68.31.22,68.31.31,68.31.32,68.31.41,68.31.42,71.20.9,72.19,73.11,75.00,82.99,85.23,86.21,86.23,86.90.9,96.02,96.04</t>
  </si>
  <si>
    <t>ГРИЦЕНКО НАТАЛИЯ ХУСАИНОВНА</t>
  </si>
  <si>
    <t>121248,  Г.МОСКВА, ПР-КТ КУТУЗОВСКИЙ, Д. 5/3</t>
  </si>
  <si>
    <t>+74992437018,+74992431626,+74992433565,+74992437737</t>
  </si>
  <si>
    <t>www.gritsenko.ru</t>
  </si>
  <si>
    <t>med_rsi@inbox.ru</t>
  </si>
  <si>
    <t>ООО "СОЮЗ"</t>
  </si>
  <si>
    <t>ОБЩЕСТВО С ОГРАНИЧЕННОЙ ОТВЕТСТВЕННОСТЬЮ "СОЮЗ"</t>
  </si>
  <si>
    <t>1997-07-14</t>
  </si>
  <si>
    <t>ПОДГОРОДЕЦКИЙ ВАЛЕРИЙ АНТОНОВИЧ</t>
  </si>
  <si>
    <t>140500, МОСКОВСКАЯ ОБЛАСТЬ, М.О. ЛУХОВИЦЫ, Г ЛУХОВИЦЫ, УЛ ПУШКИНА, СТР. 153</t>
  </si>
  <si>
    <t>+74966340037,+74966332983,+74966342965</t>
  </si>
  <si>
    <t>ООО "ТПК "ВЕЛЕС-ГРУПП"</t>
  </si>
  <si>
    <t>ОБЩЕСТВО С ОГРАНИЧЕННОЙ ОТВЕТСТВЕННОСТЬЮ "ТОРГОВО-ПРОИЗВОДСТВЕННАЯ КОМПАНИЯ "ВЕЛЕС-ГРУПП"</t>
  </si>
  <si>
    <t>2015-06-16</t>
  </si>
  <si>
    <t>47.52</t>
  </si>
  <si>
    <t>Торговля розничная скобяными изделиями, лакокрасочными материалами и стеклом в специализированных магазинах</t>
  </si>
  <si>
    <t>25.11,25.12,25.50,25.61,25.62,25.72,25.93,25.94,25.99,33.12,43.21,43.29,43.32,43.39,43.99,46.74,46.90,49.4,82.99</t>
  </si>
  <si>
    <t>БЕКЕТОВ МАКСИМ ВЛАДИМИРОВИЧ</t>
  </si>
  <si>
    <t>125310, Г.МОСКВА, ВН.ТЕР.Г. МУНИЦИПАЛЬНЫЙ ОКРУГ МИТИНО, УЛ МУРАВСКАЯ, Д. 38, К. 2, КВ. 148</t>
  </si>
  <si>
    <t>+74957301978,+74957301979,+74956653586,+79629979110</t>
  </si>
  <si>
    <t>6653586@mail.ru,tpk.veles.group@gmail.com,tpk,veles.group@gmail.com,tpk.veles.grop@gmail.com</t>
  </si>
  <si>
    <t>ООО "ВЕДАНА"</t>
  </si>
  <si>
    <t>ОБЩЕСТВО С ОГРАНИЧЕННОЙ ОТВЕТСТВЕННОСТЬЮ "ВЕДАНА"</t>
  </si>
  <si>
    <t>85.42</t>
  </si>
  <si>
    <t>Образование профессиональное дополнительное</t>
  </si>
  <si>
    <t>69.10,69.20,71.12.61,71.12.63,71.20,71.20.8,74.30,79.11,85.41,85.41.9,85.42.9,96.09</t>
  </si>
  <si>
    <t>ДРОБЫШЕВ НИКОЛАЙ АЛЕКСАНДРОВИЧ</t>
  </si>
  <si>
    <t>121374,  Г.МОСКВА, ПР-КТ КУТУЗОВСКИЙ, Д. 88, ЭТ 2 ПОМ 1 КОМ 1</t>
  </si>
  <si>
    <t>+74951084767,+74951248440,+78612035163,+79096610262</t>
  </si>
  <si>
    <t>info@vedana24.ru,drobnikol@mail.ru</t>
  </si>
  <si>
    <t>ООО "РАНОРД"</t>
  </si>
  <si>
    <t>ОБЩЕСТВО С ОГРАНИЧЕННОЙ ОТВЕТСТВЕННОСТЬЮ "РАНОРД"</t>
  </si>
  <si>
    <t>2002-10-22</t>
  </si>
  <si>
    <t>43.12.3</t>
  </si>
  <si>
    <t>Производство земляных работ</t>
  </si>
  <si>
    <t>01.61,02.10,02.40,41.20,42.11,42.12,42.21,42.22.2,42.91.2,42.91.4,42.99,43.11,43.12.1,43.12.2,43.99,49.41.3,68.20.2,77.11,77.31,77.32,81.29.2,81.30</t>
  </si>
  <si>
    <t>ОТРОЩЕНКО ЕКАТЕРИНА СЕМЕНОВНА</t>
  </si>
  <si>
    <t>140501, МОСКОВСКАЯ ОБЛАСТЬ, М.О. ЛУХОВИЦЫ, Г ЛУХОВИЦЫ, УЛ ТИМИРЯЗЕВА, СТР. 13</t>
  </si>
  <si>
    <t>+74966394582,+74959611141,+74995188716,+79154692969,+74959611142,+79163858151,+74966331739,+74966394581,+74966321849</t>
  </si>
  <si>
    <t>ranord2@mail.ru</t>
  </si>
  <si>
    <t>ООО  "СПАЙДЕР"</t>
  </si>
  <si>
    <t>ОБЩЕСТВО С ОГРАНИЧЕННОЙ ОТВЕТСТВЕННОСТЬЮ "СПАЙДЕР"</t>
  </si>
  <si>
    <t>2015-04-01</t>
  </si>
  <si>
    <t>46.51.2</t>
  </si>
  <si>
    <t>Торговля оптовая программным обеспечением</t>
  </si>
  <si>
    <t>69.10,69.20,70.10.1,70.10.2,70.22,71.1,71.12.5,71.12.6,71.20,72.19,72.20,73.11,73.20,74.20,74.30,78.10,80.10,80.20,80.30,82.19,82.92,91.01</t>
  </si>
  <si>
    <t>ФИЛИМОНОВ АЛЕКСЕЙ АНДРЕЕВИЧ</t>
  </si>
  <si>
    <t>125414,  Г.МОСКВА, УЛ. ФЕСТИВАЛЬНАЯ, Д. 28, ЭТ 1 ПОМ V КОМ 1 ОФИС 1</t>
  </si>
  <si>
    <t>+79162508072,+74997032021,+78499732021,+74959575731,+78007753132,+74955575731</t>
  </si>
  <si>
    <t>zakaz@av-buy.ru,zakaz@av-bay.ru,spider@dr-web.su,spider@dr-web.ru,afilimonow@gmail.com,info@dr-web.su,ooospider@mail.ru,spaider@mail.ru,sspider@dr-web.su</t>
  </si>
  <si>
    <t>ООО "ВИП АВТО"</t>
  </si>
  <si>
    <t>ОБЩЕСТВО С ОГРАНИЧЕННОЙ ОТВЕТСТВЕННОСТЬЮ "ВИП АВТО"</t>
  </si>
  <si>
    <t>2024-03-26</t>
  </si>
  <si>
    <t>45.11</t>
  </si>
  <si>
    <t>Торговля легковыми автомобилями и грузовыми автомобилями малой грузоподъемности</t>
  </si>
  <si>
    <t>45.11.1,45.11.3,45.11.4,45.19,45.19.1,45.19.2,45.19.3,45.19.4,45.31,45.32,45.40,52.21.24,64.91,64.99,66.19.4,66.22,77.11,77.12,77.31,77.32,77.34,77.35,77.39,77.39.1,77.39.11</t>
  </si>
  <si>
    <t>ПИГИЛЕВ НИКИТА ГЕННАДЬЕВИЧ</t>
  </si>
  <si>
    <t>117218, Г.МОСКВА, ВН.ТЕР.Г. МУНИЦИПАЛЬНЫЙ ОКРУГ АКАДЕМИЧЕСКИЙ, УЛ БОЛЬШАЯ ЧЕРЁМУШКИНСКАЯ, Д. 34, ПОМЕЩ. 54/4/1</t>
  </si>
  <si>
    <t>+79265016206</t>
  </si>
  <si>
    <t>info@ooovipauto.ru</t>
  </si>
  <si>
    <t>ООО "БЕЛАЯ ЛИНИЯ +"</t>
  </si>
  <si>
    <t>ОБЩЕСТВО С ОГРАНИЧЕННОЙ ОТВЕТСТВЕННОСТЬЮ "БЕЛАЯ ЛИНИЯ +"</t>
  </si>
  <si>
    <t>2016-03-24</t>
  </si>
  <si>
    <t>26.60.1,46.46.1,46.46.2,86.90.9</t>
  </si>
  <si>
    <t>ВЫХОДЦЕВ РУСЛАН АРТУРОВИЧ</t>
  </si>
  <si>
    <t>105318,  Г.МОСКВА, УЛ. МИРОНОВСКАЯ, Д. 9, Э 1 ПОМ. VIII</t>
  </si>
  <si>
    <t>+79265785444</t>
  </si>
  <si>
    <t>ООО "ТЕЛЕКОМИНФОРМ ПЛЮС"</t>
  </si>
  <si>
    <t>ОБЩЕСТВО С ОГРАНИЧЕННОЙ ОТВЕТСТВЕННОСТЬЮ "ТЕЛЕКОМИНФОРМ ПЛЮС"</t>
  </si>
  <si>
    <t>2012-11-13</t>
  </si>
  <si>
    <t>62.09,69.10,69.20,73.1,73.20</t>
  </si>
  <si>
    <t>КРУПЕНИН ВЛАДИМИР МАРКОВИЧ</t>
  </si>
  <si>
    <t>127055,  Г.МОСКВА, УЛ ОБРАЗЦОВА, Д. 7, СТР. 6, ЭТАЖ 1 ПОМ 103</t>
  </si>
  <si>
    <t>+79068428780,+79164447077</t>
  </si>
  <si>
    <t>ООО "КИС"</t>
  </si>
  <si>
    <t>ОБЩЕСТВО С ОГРАНИЧЕННОЙ ОТВЕТСТВЕННОСТЬЮ "КВАТРО-ИС"</t>
  </si>
  <si>
    <t>43.21,43.22,43.29,46.90,47.91.2,47.91.3,47.91.4,68.32.1,68.32.2,68.32.3,69.10,70.22,71.11.1,71.12.61,71.20,74.20,81.22</t>
  </si>
  <si>
    <t>САФРОНОВ НИКОЛАЙ ВИКТОРОВИЧ</t>
  </si>
  <si>
    <t>109469,  Г.МОСКВА, УЛ. БРАТИСЛАВСКАЯ, Д. 26, ПОМЕЩ. XLI ЭТАЖ 2 КОМ №38</t>
  </si>
  <si>
    <t>+79661303003,+79661303008,+74951338210,+79032112727,+74993460027</t>
  </si>
  <si>
    <t>ООО "ДИКЕЙ"</t>
  </si>
  <si>
    <t>ОБЩЕСТВО С ОГРАНИЧЕННОЙ ОТВЕТСТВЕННОСТЬЮ "ДИКЕЙ"</t>
  </si>
  <si>
    <t>2001-10-15</t>
  </si>
  <si>
    <t>20.30.2,20.52,20.59.6,23.99.3,41.20,43.11,43.12.3,43.99,45.3,46.12,46.71,46.90,47.30,47.52.2,47.52.7,47.78.6,49.4,52.24,52.29,68.20,77.11,77.12,77.32,77.39</t>
  </si>
  <si>
    <t>САСИН АЛЕКСАНДР ПЕТРОВИЧ</t>
  </si>
  <si>
    <t>директор</t>
  </si>
  <si>
    <t>108851, Г.МОСКВА, ВН.ТЕР.Г. МУНИЦИПАЛЬНЫЙ ОКРУГ ЩЕРБИНКА, Г ЩЕРБИНКА, УЛ ЮЖНАЯ, Д. 6А, СТР. 1, КОМ. 43</t>
  </si>
  <si>
    <t>+74994005042,+79264051193,+74959966042</t>
  </si>
  <si>
    <t>saunoru@mail.ru</t>
  </si>
  <si>
    <t>ООО "ДЕТИМИ"</t>
  </si>
  <si>
    <t>ОБЩЕСТВО С ОГРАНИЧЕННОЙ ОТВЕТСТВЕННОСТЬЮ "ДЕТИМИ"</t>
  </si>
  <si>
    <t>2015-04-13</t>
  </si>
  <si>
    <t>45.31.1,45.40.1,46.13,46.14,46.15,46.16,46.18,46.18.1,46.19,46.22,46.24,46.35,46.41,46.41.2,46.42,46.43,46.44,46.45,46.46,46.46.2,46.61,46.63,46.66,46.69,46.73,46.74,46.76,46.77,46.90,47.19,47.52.5,47.74,47.91,47.91.2,52.10,52.29,77.29.9</t>
  </si>
  <si>
    <t>ЛАРИН ДЕНИС СЕРГЕЕВИЧ</t>
  </si>
  <si>
    <t>143007,  МОСКОВСКАЯ ОБЛАСТЬ, Г. ОДИНЦОВО, УЛ. ВОКЗАЛЬНАЯ, Д. 4, СТР. 3</t>
  </si>
  <si>
    <t>+79629604069,+74986940677</t>
  </si>
  <si>
    <t>ООО "ЛЕОН С"</t>
  </si>
  <si>
    <t>ОБЩЕСТВО С ОГРАНИЧЕННОЙ ОТВЕТСТВЕННОСТЬЮ "ЛЕОН С"</t>
  </si>
  <si>
    <t>09.10,10.32,10.52,10.71,10.85,10.89,10.89.2,10.89.9,11.05,41.20,43.11,43.12.3,43.13,43.21,43.22,43.29,43.31,43.32,43.33,43.34,43.39,43.91,43.99,43.99.1,46.34,47.11,47.19,47.25,47.25.1,47.25.12,47.29,56.10.1,56.29,71.1,71.12.5,71.12.6</t>
  </si>
  <si>
    <t>ДУЛЬЯНИНОВ СТАНИСЛАВ ЛЕОНИДОВИЧ</t>
  </si>
  <si>
    <t>119017, Г.МОСКВА, ВН.ТЕР.Г. МУНИЦИПАЛЬНЫЙ ОКРУГ ЗАМОСКВОРЕЧЬЕ, УЛ ПЯТНИЦКАЯ, Д. 30, СТР. 1, ПОМЕЩ. 2/1</t>
  </si>
  <si>
    <t>+79250037807</t>
  </si>
  <si>
    <t>stanislav17@inbox.ru,stanislav17@inbo.ru</t>
  </si>
  <si>
    <t>ООО "ОИК СОКОЛЬНИКИ"</t>
  </si>
  <si>
    <t>ОБЩЕСТВО С ОГРАНИЧЕННОЙ ОТВЕТСТВЕННОСТЬЮ "ОИК СОКОЛЬНИКИ"</t>
  </si>
  <si>
    <t>35.30.4,35.30.5,68.10.1,68.20.1,68.20.2,68.31,68.31.1,68.31.2,68.31.3,68.31.4,68.31.5,68.32.1,68.32.2</t>
  </si>
  <si>
    <t>МОЛОСТВОВ ВИКТОР ВИКТОРОВИЧ</t>
  </si>
  <si>
    <t>107113,  Г.МОСКВА, УЛ. МАЛЕНКОВСКАЯ, Д. 32, СТР. 3, Э 3 ПОМ VII К 1 ОФ 1</t>
  </si>
  <si>
    <t>+74951484145</t>
  </si>
  <si>
    <t>84997480054@mail.ru</t>
  </si>
  <si>
    <t>ООО "ЭЛЬФ-1"</t>
  </si>
  <si>
    <t>ОБЩЕСТВО С ОГРАНИЧЕННОЙ ОТВЕТСТВЕННОСТЬЮ "ЭЛЬФ-1"</t>
  </si>
  <si>
    <t>2016-07-04</t>
  </si>
  <si>
    <t>47.25.11,47.26,56.10.1,56.10.3,56.30,68.20.2</t>
  </si>
  <si>
    <t>МИГДАШИЕВ АВНИЛ РАШБИЛОВИЧ</t>
  </si>
  <si>
    <t>105064,  Г.МОСКВА, УЛ. КАЗАКОВА, Д. 8, СТР. 3, ОФИС 1</t>
  </si>
  <si>
    <t>+74956991334</t>
  </si>
  <si>
    <t>ООО "БКГ"</t>
  </si>
  <si>
    <t>ОБЩЕСТВО С ОГРАНИЧЕННОЙ ОТВЕТСТВЕННОСТЬЮ "БАЙКАЛЬСКАЯ КОММУНИКАЦИОННАЯ ГРУППА"</t>
  </si>
  <si>
    <t>2015-05-22</t>
  </si>
  <si>
    <t>18.12,18.13,18.14,18.20,53.10.4,53.10.9,53.20.1,53.20.3,56.10,56.10.1,56.10.3,59.11,59.13,59.14,60.10,60.20,61.10,61.10.1,61.10.4,61.10.9,62.01,62.02,62.09,63.11,63.11.1,63.91,64.19,64.20,64.91,64.92.3,64.99,64.99.11,64.99.3,66.19,66.19.1,66.19.4,68.31.1,68.31.2,68.31.3,68.31.4,68.32,69.10,69.20,69.20.1,69.20.2,69.20.3,70.10.1,70.10.2,70.21,72.11,72.19,72.19.9,72.20,72.20.1,72.20.2,73.11,73.12,73.20,73.20.1,73.20.2,74.30,82.19,82.92,82.99,84.11,84.11.4,84.11.5,84.11.6,84.11.8,84.13,85.41,85.42.9,90.03,93.29,93.29.9,95.11</t>
  </si>
  <si>
    <t>ВОЙТЕНКО ЭДУАРД МИХАЙЛОВИЧ</t>
  </si>
  <si>
    <t>123056, Г.МОСКВА, ВН.ТЕР.Г. МУНИЦИПАЛЬНЫЙ ОКРУГ ПРЕСНЕНСКИЙ, УЛ БОЛЬШАЯ ГРУЗИНСКАЯ, Д. 30А, СТР. 1</t>
  </si>
  <si>
    <t>+74959979315</t>
  </si>
  <si>
    <t>fukalova@b-c-g.ru</t>
  </si>
  <si>
    <t>ООО "ЗУБР"</t>
  </si>
  <si>
    <t>ОБЩЕСТВО С ОГРАНИЧЕННОЙ ОТВЕТСТВЕННОСТЬЮ "ЗУБР"</t>
  </si>
  <si>
    <t>2015-06-09</t>
  </si>
  <si>
    <t>26.60.1,82.99,86.90.9</t>
  </si>
  <si>
    <t>ТИХОНОВА НАДЕЖДА АЛЬБЕРТОВНА</t>
  </si>
  <si>
    <t>117628,  Г.МОСКВА, УЛ. РАТНАЯ, Д. 10А</t>
  </si>
  <si>
    <t>+79161623923</t>
  </si>
  <si>
    <t>ООО "ЕВРОРЕМОНТ"</t>
  </si>
  <si>
    <t>ОБЩЕСТВО С ОГРАНИЧЕННОЙ ОТВЕТСТВЕННОСТЬЮ "ЕВРОРЕМОНТ"</t>
  </si>
  <si>
    <t>2016-01-27</t>
  </si>
  <si>
    <t>42.21,42.22.2,42.99,43.21,43.22,43.29,43.31,43.32,43.33,43.34,43.39,43.91,43.99,43.99.1,43.99.7,46.31,46.31.11,46.32,46.32.3,46.33,46.34,46.35,46.36,46.37,46.38,46.39,46.41,46.41.2,46.42,46.45,46.49,46.90,47.11,47.19,47.21,47.22,47.23,47.24,47.25,47.26,47.29,47.51,47.61,47.7,47.71,47.72,47.75,47.9,47.99,95.29</t>
  </si>
  <si>
    <t>БАТЮКОВ АНАТОЛИЙ ЕВГЕНЬЕВИЧ</t>
  </si>
  <si>
    <t>117105, Г.МОСКВА, ВН.ТЕР.Г. МУНИЦИПАЛЬНЫЙ ОКРУГ НАГАТИНО-САДОВНИКИ, Ш ВАРШАВСКОЕ, Д. 39, ПОМЕЩ. 4/1</t>
  </si>
  <si>
    <t>+79645593399</t>
  </si>
  <si>
    <t>evroremont1@inmessage.ru</t>
  </si>
  <si>
    <t>ООО "ОФЛОРЕС"</t>
  </si>
  <si>
    <t>ОБЩЕСТВО С ОГРАНИЧЕННОЙ ОТВЕТСТВЕННОСТЬЮ "ОФЛОРЕС"</t>
  </si>
  <si>
    <t>20.41.4</t>
  </si>
  <si>
    <t>Производство средств для ароматизации и дезодорирования воздуха и восков</t>
  </si>
  <si>
    <t>46.49,46.75,46.90,47.76.1,47.78,47.78.3,47.78.4,47.9,53.20.3,81.22,81.29.9</t>
  </si>
  <si>
    <t>ДЕМИН ИГОРЬ СЕРГЕЕВИЧ</t>
  </si>
  <si>
    <t>125373,  Г.МОСКВА, Б-Р ЯНА РАЙНИСА, Д. 18, К. 1, КВ. 25</t>
  </si>
  <si>
    <t>+74951941592,+74996514840</t>
  </si>
  <si>
    <t>i.l.demina@yandex.ru</t>
  </si>
  <si>
    <t>ООО "ВТМ"</t>
  </si>
  <si>
    <t>ОБЩЕСТВО С ОГРАНИЧЕННОЙ ОТВЕТСТВЕННОСТЬЮ "ВЕРТИКАЛЬ ТЕХМОНТАЖ"</t>
  </si>
  <si>
    <t>2015-05-05</t>
  </si>
  <si>
    <t>23.61,23.69,25.11,28.22,28.22.6,41.20,43.21,43.29,43.39,43.99,43.99.1,43.99.2,43.99.5,71.1,71.11,71.11.1,71.12,71.12.11,71.12.12,71.12.13,71.12.45,71.12.5,71.12.6,71.20.62,85.30,85.42</t>
  </si>
  <si>
    <t>ИСАЕВ АРТЕМ ВЛАДИМИРОВИЧ</t>
  </si>
  <si>
    <t>121357, Г.МОСКВА, ВН.ТЕР.Г. МУНИЦИПАЛЬНЫЙ ОКРУГ МОЖАЙСКИЙ, УЛ ВЕРЕЙСКАЯ, Д. 17</t>
  </si>
  <si>
    <t>+74956407401,+74956407450,+74956407404,+79267332390</t>
  </si>
  <si>
    <t>ООО "КОМПАНИЯ ЩУКИН"</t>
  </si>
  <si>
    <t>ОБЩЕСТВО С ОГРАНИЧЕННОЙ ОТВЕТСТВЕННОСТЬЮ "КОМПАНИЯ ЩУКИН"</t>
  </si>
  <si>
    <t>2015-06-01</t>
  </si>
  <si>
    <t>13.92,13.92.2,31.01,31.02,31.02.2,31.09.2,43.21,43.22,43.29,43.31,43.32,43.32.1,43.32.3,43.33,43.34.1,43.39,46.73.4,71.11,71.11.1,71.11.2,71.11.3,74.10,95.24,95.24.1</t>
  </si>
  <si>
    <t>Щукин Владимир Иванович</t>
  </si>
  <si>
    <t>109235, Г.МОСКВА, ВН.ТЕР.Г. МУНИЦИПАЛЬНЫЙ ОКРУГ ПЕЧАТНИКИ, ПРОЕЗД БАТЮНИНСКИЙ, Д. 2, СТР. 3, ЭТАЖ 2, ПОМЕЩ. 3</t>
  </si>
  <si>
    <t>+79255022872,+79257711725,+79257711728</t>
  </si>
  <si>
    <t>vschukin@mail.ru</t>
  </si>
  <si>
    <t>ООО "АВК-РЕМСТРОЙ"</t>
  </si>
  <si>
    <t>ОБЩЕСТВО С ОГРАНИЧЕННОЙ ОТВЕТСТВЕННОСТЬЮ "АВК-РЕМСТРОЙ"</t>
  </si>
  <si>
    <t>2015-04-14</t>
  </si>
  <si>
    <t>42.11,42.21,42.91,42.99,43.11,43.12.3,43.21,43.22,43.29,43.31,43.32,43.33,43.34,43.39,43.91,43.99,43.99.1,43.99.2,43.99.3,43.99.4,43.99.5,43.99.6,43.99.7,43.99.9,46.73,46.74,46.90,71.11,71.11.1,71.11.2,71.11.3,71.12,71.12.1,71.12.11,71.12.12,71.12.13,71.12.14,71.12.2,71.12.3,71.12.4,71.12.41,71.12.42,71.12.43,71.12.44,71.12.45,71.12.52,71.20,71.20.1,71.20.3,71.20.4,71.20.6,71.20.61,71.20.62,71.20.9,74.10,77.32,81.22,81.29.9,82.99</t>
  </si>
  <si>
    <t>ИЛЬИН ВЛАДИМИР ИВАНОВИЧ</t>
  </si>
  <si>
    <t>109044,  Г.МОСКВА, УЛ. 1-Я ДУБРОВСКАЯ, Д. 6Б, СТР. 3</t>
  </si>
  <si>
    <t>+79036106631,+79258901012,+79684155511,+77258901012,+79168901012</t>
  </si>
  <si>
    <t>marina_dyachenko89@mail.ru,ilin_vladimir@mail.ru,cntcc@mail.ru,rev@mail.ru,skm-ss@mail.ru,11111@mail.ru</t>
  </si>
  <si>
    <t>ООО "СПОРТИВНОЕ РЕШЕНИЕ"</t>
  </si>
  <si>
    <t>ОБЩЕСТВО С ОГРАНИЧЕННОЙ ОТВЕТСТВЕННОСТЬЮ "СПОРТИВНОЕ РЕШЕНИЕ"</t>
  </si>
  <si>
    <t>47.91.2</t>
  </si>
  <si>
    <t>Торговля розничная, осуществляемая непосредственно при помощи информационно-коммуникационной сети Интернет</t>
  </si>
  <si>
    <t>45.40.2,45.40.3,47.59.1,47.64,47.71.5,47.78,47.91.1,47.91.3,47.91.4,47.99,53.10,53.10.2,53.20.3,82.99</t>
  </si>
  <si>
    <t>ЗИЛЬБЕРБОРД ВИТАЛИЙ ИГОРЕВИЧ</t>
  </si>
  <si>
    <t>108811, Г.МОСКВА, ВН.ТЕР.Г. МУНИЦИПАЛЬНЫЙ ОКРУГ КОММУНАРКА, УЛ. АДМИРАЛА КОРНИЛОВА, Д. 55, СТР. 1</t>
  </si>
  <si>
    <t>+79636480509,+74957224664,+74957724664</t>
  </si>
  <si>
    <t>info@russsport.ru,nemchinov@russsport.ru,7577475@mail.ru,efanov@russsport.ru</t>
  </si>
  <si>
    <t>ООО "СИБ"</t>
  </si>
  <si>
    <t>ОБЩЕСТВО С ОГРАНИЧЕННОЙ ОТВЕТСТВЕННОСТЬЮ "СВОБОДА И БЕЗОПАСНОСТЬ"</t>
  </si>
  <si>
    <t>33.14,33.20,43.22,43.29,46.90,71.11,71.11.1,71.12,80.20,95.12</t>
  </si>
  <si>
    <t>ЧАЙКОВСКИЙ ИГОРЬ АНАТОЛЬЕВИЧ</t>
  </si>
  <si>
    <t>115230, Г.МОСКВА, ВН.ТЕР.Г. МУНИЦИПАЛЬНЫЙ ОКРУГ НАГАТИНО-САДОВНИКИ, ПРОЕЗД ХЛЕБОЗАВОДСКИЙ, Д. 7, СТР. 9, ПОМЕЩ. 9Г/10</t>
  </si>
  <si>
    <t>+79060935239,+79262363465,+74996776580,+78906093523</t>
  </si>
  <si>
    <t>info@ooo-sib.com,torgi@ooo-sib.com,torgi@ooo-sib.com;,mail@sib.ru,igor_chaykovskiy@rambler.ru</t>
  </si>
  <si>
    <t>ООО "КОНТИНЕНТ ПЛЮС"</t>
  </si>
  <si>
    <t>ОБЩЕСТВО С ОГРАНИЧЕННОЙ ОТВЕТСТВЕННОСТЬЮ "КОНТИНЕНТ ПЛЮС"</t>
  </si>
  <si>
    <t>2000-09-18</t>
  </si>
  <si>
    <t>47.19,47.52,47.52.7,47.52.71,47.52.72,47.52.73,47.52.74,47.89,52.21.2,52.21.24,68.10.22,68.10.23,68.31.1,68.31.2,68.31.3,68.31.4,68.32.2,82.99</t>
  </si>
  <si>
    <t>МАКОЕД ДАВИД ВАСИЛЬЕВИЧ</t>
  </si>
  <si>
    <t>МОСКОВСКАЯ ОБЛАСТЬ, М.О. ЧЕХОВ, С МОЛОДИ, УЛ МАГИСТРАЛЬНАЯ, СТР. 206, К. 8</t>
  </si>
  <si>
    <t>+74954821903,+74959961046</t>
  </si>
  <si>
    <t>std.mol12@mail.ru</t>
  </si>
  <si>
    <t>ООО "ПРОВЕНДИНГ"</t>
  </si>
  <si>
    <t>ОБЩЕСТВО С ОГРАНИЧЕННОЙ ОТВЕТСТВЕННОСТЬЮ "ПРОВЕНДИНГ"</t>
  </si>
  <si>
    <t>47.9</t>
  </si>
  <si>
    <t>Торговля розничная вне магазинов, палаток, рынков</t>
  </si>
  <si>
    <t>11.07.2,33.12,46.19,46.37,46.38.29,46.49,46.90,47.19,47.29.39,63.11.1,73.11,73.20.1</t>
  </si>
  <si>
    <t>КИНБЕРГ ИГОРЬ НИКОЛАЕВИЧ</t>
  </si>
  <si>
    <t>107143,  Г.МОСКВА, Ш. ОТКРЫТОЕ, Д. 19, К. 1</t>
  </si>
  <si>
    <t>+79852783300</t>
  </si>
  <si>
    <t>ООО "РЕСПЕКТ"</t>
  </si>
  <si>
    <t>ОБЩЕСТВО С ОГРАНИЧЕННОЙ ОТВЕТСТВЕННОСТЬЮ "РЕСПЕКТ"</t>
  </si>
  <si>
    <t>2015-04-24</t>
  </si>
  <si>
    <t>18.12,45.1,45.20,45.3,46.11,46.12,46.17,46.18,46.31,46.31.11,46.32,46.32.3,46.33,46.34,46.35,46.36,46.37,46.38,46.39,47.11,47.19,47.21,47.22,47.23,47.24,47.25,47.26,47.29,47.9,52.21,52.24,52.29,56.10.1,56.10.3,56.29,56.30,58.11,58.13,58.14,58.19,59.20,62.09,68.31,68.32,70.22,73.11,79.11,82.99,90.0,90.04,93.29,93.29.9</t>
  </si>
  <si>
    <t>ЛОТКОВ ДМИТРИЙ АНАТОЛЬЕВИЧ</t>
  </si>
  <si>
    <t>101000,  Г.МОСКВА, УЛ. МЯСНИЦКАЯ, Д. 8/2СТР1</t>
  </si>
  <si>
    <t>+74956286368</t>
  </si>
  <si>
    <t>ООО "АВАЛОН"</t>
  </si>
  <si>
    <t>ОБЩЕСТВО С ОГРАНИЧЕННОЙ ОТВЕТСТВЕННОСТЬЮ "АВАЛОН"</t>
  </si>
  <si>
    <t>2013-02-07</t>
  </si>
  <si>
    <t>22.23</t>
  </si>
  <si>
    <t>Производство пластмассовых изделий, используемых в строительстве</t>
  </si>
  <si>
    <t>13.9,13.92,14.19,47.5,62.09</t>
  </si>
  <si>
    <t>РУСАНОВ ВИКТОР ЛЕОНИДОВИЧ</t>
  </si>
  <si>
    <t>125195,  Г.МОСКВА, УЛ. СМОЛЬНАЯ, Д.51, К.1, 19</t>
  </si>
  <si>
    <t>+79261774928,+74955427698,+74993408186</t>
  </si>
  <si>
    <t>victor.rusanov@gmail.com,info@city-jaluzi.ru</t>
  </si>
  <si>
    <t>ООО "САФАГА-Н"</t>
  </si>
  <si>
    <t>ОБЩЕСТВО С ОГРАНИЧЕННОЙ ОТВЕТСТВЕННОСТЬЮ "САФАГА-Н"</t>
  </si>
  <si>
    <t>2015-06-19</t>
  </si>
  <si>
    <t>47.59</t>
  </si>
  <si>
    <t>Торговля розничная мебелью, осветительными приборами и прочими бытовыми изделиями в специализированных магазинах</t>
  </si>
  <si>
    <t>46.15,46.15.3,46.18.9,46.47,46.49,46.65,46.66,46.90,47.19,47.59.1,47.59.2,47.59.3,47.59.4,47.9,52.10,52.29,64.99.12,71.11,73.11,82.99,96.09</t>
  </si>
  <si>
    <t>ГРИГОРЯН РУБЕН СЕРГЕЕВИЧ</t>
  </si>
  <si>
    <t>117218,  Г.МОСКВА, ПР-КТ НАХИМОВСКИЙ, Д. 24, СТР. 1, ПОМЕЩ. XVIII КОМНАТА 2</t>
  </si>
  <si>
    <t>+74957969931</t>
  </si>
  <si>
    <t>7969931@safaga.ru</t>
  </si>
  <si>
    <t>ООО "БАСТИС"</t>
  </si>
  <si>
    <t>ОБЩЕСТВО С ОГРАНИЧЕННОЙ ОТВЕТСТВЕННОСТЬЮ "БАСТИС"</t>
  </si>
  <si>
    <t>1999-01-22</t>
  </si>
  <si>
    <t>75.00</t>
  </si>
  <si>
    <t>Деятельность ветеринарная</t>
  </si>
  <si>
    <t>46.18.2,46.48.2,47.19,47.64,47.65,47.73,47.74,47.76.2,47.77,75.00.1,75.00.2,96.09</t>
  </si>
  <si>
    <t>КОСТЮХИНА ЛЮДМИЛА ПЕТРОВНА</t>
  </si>
  <si>
    <t>144003,  МОСКОВСКАЯ ОБЛАСТЬ, Г. ЭЛЕКТРОСТАЛЬ, УЛ. РАСКОВОЙ, Д.25</t>
  </si>
  <si>
    <t>+74965742811,+79037907358,+74953071807</t>
  </si>
  <si>
    <t>ООО "ЭСКАЛИБУР ЛТД"</t>
  </si>
  <si>
    <t>ОБЩЕСТВО С ОГРАНИЧЕННОЙ ОТВЕТСТВЕННОСТЬЮ "ЭСКАЛИБУР ЛТД"</t>
  </si>
  <si>
    <t>2015-04-20</t>
  </si>
  <si>
    <t>45.20,45.3,46.90,47.19,47.24,47.24.3,47.25,47.25.1,47.25.2,47.29,47.62.1,47.7,47.75,56.10.1,56.10.3,56.29,56.30,68.20,68.31,68.31.1,68.31.2,68.31.3,68.31.4,68.32,77.33,77.39.2,81.22,81.29.9,82.99,93.29.2,93.29.9,96.04</t>
  </si>
  <si>
    <t>ГОРДАДЗЕ МАМУКА МУРМАНОВИЧ</t>
  </si>
  <si>
    <t>127018,  Г.МОСКВА, УЛ. ОКТЯБРЬСКАЯ, Д. 38, К. 1</t>
  </si>
  <si>
    <t>+74959871981,+74954363293</t>
  </si>
  <si>
    <t>ООО "СПЕЦСТРОЙМОНТАЖ"</t>
  </si>
  <si>
    <t>ОБЩЕСТВО С ОГРАНИЧЕННОЙ ОТВЕТСТВЕННОСТЬЮ "СПЕЦСТРОЙМОНТАЖ"</t>
  </si>
  <si>
    <t>43.11,43.12.3,43.13,43.21,43.22,43.29,43.31,43.32,43.33,43.34,43.39,43.91,43.99,43.99.1,46.11,46.12,46.13,46.14,46.15,46.16,46.17,46.18,46.19,46.73,46.74,46.75,46.76,46.77,49.10,49.20,49.31,49.4,50.10,50.20,50.30,50.40,51.10.1,51.21,51.21.1,52.10,52.21,52.22,52.23,52.24,52.29,71.1,71.12.5,71.12.6,77.11,77.31,77.32,77.34,77.35,77.39.11,77.39.2</t>
  </si>
  <si>
    <t>ДОРОШОК РОМАН СЕРГЕЕВИЧ</t>
  </si>
  <si>
    <t>107497,  Г.МОСКВА, УЛ. МОНТАЖНАЯ, Д. 9СТР1, КОМ. 14</t>
  </si>
  <si>
    <t>+74956706977</t>
  </si>
  <si>
    <t>6706977@mail.ru,6327911@mail.ru</t>
  </si>
  <si>
    <t>ООО "ОМЕГА 2002"</t>
  </si>
  <si>
    <t>ОБЩЕСТВО С ОГРАНИЧЕННОЙ ОТВЕТСТВЕННОСТЬЮ "ОМЕГА 2002"</t>
  </si>
  <si>
    <t>2002-09-09</t>
  </si>
  <si>
    <t>46.3,47.2,47.22,47.25,47.29,56.10,56.10.1,56.10.3,56.30,68.20.2</t>
  </si>
  <si>
    <t>СИМОНОВ РОМАН ЗАРАХИЯЕВИЧ</t>
  </si>
  <si>
    <t>141150,  МОСКОВСКАЯ ОБЛАСТЬ, Г ЛОСИНО-ПЕТРОВСКИЙ, УЛ 7-ГО НОЯБРЯ, СТР. 3Б</t>
  </si>
  <si>
    <t>+74965662967,+79262711288</t>
  </si>
  <si>
    <t>www.sadko.com.ru</t>
  </si>
  <si>
    <t>88s88@mail.ru,89269545588@mail.ru</t>
  </si>
  <si>
    <t>ООО "СЕРВИСБЫТМАШ"</t>
  </si>
  <si>
    <t>ОБЩЕСТВО С ОГРАНИЧЕННОЙ ОТВЕТСТВЕННОСТЬЮ "СЕРВИСБЫТМАШ"</t>
  </si>
  <si>
    <t>2015-05-12</t>
  </si>
  <si>
    <t>41.20,42.11,42.21,42.22.2,42.99,43.21,43.22,43.29,43.99.5,43.99.9,46.69.2,46.69.9,46.90,47.7,52.29,64.99,71.1,71.12.5,71.12.6</t>
  </si>
  <si>
    <t>ГОЛЬДБЕРГ ЮРИЙ МИХАЙЛОВИЧ</t>
  </si>
  <si>
    <t>125284,  Г.МОСКВА, ПР-Д БЕГОВОЙ, Д. 8</t>
  </si>
  <si>
    <t>+79859976361,+74959460707,+74953258614,+74959460617,+74954460707,+74959976361,+74959460210,+74959460201,+74959460717</t>
  </si>
  <si>
    <t>sbmash.ru</t>
  </si>
  <si>
    <t>goldberg@sbmash.ru,goldmari@sbmash.ru,servis@mail.ru,vozmilova@sbmash.ru,metelkin@sbmash.ru,servisbitmash@bk.ru,servisbitmash@mail.ru,9976361@mail.ru,goldberg.nina@sbmash.ru,goldberg.nina@sbmahs.ru,servisbut@bk.ru,info@sbmash.ru,servis.mash@mail.ru,sbmash@mail.ru,info@sbmah.ru,goldbeg.nina@sbmash.ru,servicebitmash@gmail.com</t>
  </si>
  <si>
    <t>ООО "АРХОНТ КОНСАЛТИНГ"</t>
  </si>
  <si>
    <t>ОБЩЕСТВО С ОГРАНИЧЕННОЙ ОТВЕТСТВЕННОСТЬЮ "АРХОНТ КОНСАЛТИНГ"</t>
  </si>
  <si>
    <t>68.31.5</t>
  </si>
  <si>
    <t>Предоставление посреднических услуг при оценке недвижимого имущества за вознаграждение или на договорной основе</t>
  </si>
  <si>
    <t>68.31,70.22,73.20,82.99</t>
  </si>
  <si>
    <t>ОСЫКА ВАЛЕНТИНА СЕРГЕЕВНА</t>
  </si>
  <si>
    <t>105094,  Г.МОСКВА, НАБ. СЕМЕНОВСКАЯ, Д. 2/1, СТР. 1, ОФИС 7</t>
  </si>
  <si>
    <t>+74997030402,+74997035110,+79081323212,+79290103300,+74957999017</t>
  </si>
  <si>
    <t>asv@arhont-rf.ru,info@arhont-rf.ru,oaa@arhont-rf.ru</t>
  </si>
  <si>
    <t>ООО "АТОМСЕЙСМОПРОЕКТ"</t>
  </si>
  <si>
    <t>ОБЩЕСТВО С ОГРАНИЧЕННОЙ ОТВЕТСТВЕННОСТЬЮ "АТОМСЕЙСМОПРОЕКТ"</t>
  </si>
  <si>
    <t>2015-04-17</t>
  </si>
  <si>
    <t>28.99,35.11.3,35.11.4,43.99.7,46.69,46.69.2,46.90,52.10,52.29,71.12,71.12.1,71.12.45,71.20.3,71.20.4,71.20.6,71.20.8,71.20.9,72.19,82.99</t>
  </si>
  <si>
    <t>КАЗНОВСКИЙ АРСЕНИЙ ПАВЛОВИЧ</t>
  </si>
  <si>
    <t>115230, Г.МОСКВА, ВН.ТЕР.Г. МУНИЦИПАЛЬНЫЙ ОКРУГ НАГАТИНО-САДОВНИКИ, Ш КАШИРСКОЕ, Д. 3, К. 2, СТР. 4, ПОМЕЩ. 1/6</t>
  </si>
  <si>
    <t>+74993408343</t>
  </si>
  <si>
    <t>info@asepro.ru</t>
  </si>
  <si>
    <t>ООО "ФИЛИМЕД"</t>
  </si>
  <si>
    <t>ОБЩЕСТВО С ОГРАНИЧЕННОЙ ОТВЕТСТВЕННОСТЬЮ "ФИЛИМЕД"</t>
  </si>
  <si>
    <t>2016-03-02</t>
  </si>
  <si>
    <t>86.10,86.23,86.90.9</t>
  </si>
  <si>
    <t>НИКОЛЬСКИЙ АНТОН ВЛАДИМИРОВИЧ</t>
  </si>
  <si>
    <t>127055, Г.МОСКВА, ВН.ТЕР.Г. МУНИЦИПАЛЬНЫЙ ОКРУГ ТВЕРСКОЙ, УЛ ЛЕСНАЯ, Д. 55, СТР. 4</t>
  </si>
  <si>
    <t>+79036611910,+79167153398</t>
  </si>
  <si>
    <t>ООО "БЮРО ПУТЕШЕСТВИЙ "НА СЕМИ ХОЛМАХ"</t>
  </si>
  <si>
    <t>ОБЩЕСТВО С ОГРАНИЧЕННОЙ ОТВЕТСТВЕННОСТЬЮ "БЮРО ПУТЕШЕСТВИЙ "НА СЕМИ ХОЛМАХ"</t>
  </si>
  <si>
    <t>79.11</t>
  </si>
  <si>
    <t>Деятельность туристических агентств</t>
  </si>
  <si>
    <t>68.31.12,68.31.22,68.31.32,68.31.42,79.90.1,79.90.2,79.90.3</t>
  </si>
  <si>
    <t>КАПУСТИНА ЮЛИЯ ИВАНОВНА</t>
  </si>
  <si>
    <t>125375, Г.МОСКВА, ВН.ТЕР.Г. МУНИЦИПАЛЬНЫЙ ОКРУГ ТВЕРСКОЙ, УЛ ТВЕРСКАЯ, Д. 20, СТР. 1</t>
  </si>
  <si>
    <t>+74992514073</t>
  </si>
  <si>
    <t>www.7deti.ru,www.na7xolmax.ru</t>
  </si>
  <si>
    <t>on7hills@mail.ru</t>
  </si>
  <si>
    <t>"АГРОФИРМА "ФЛОРА" ООО</t>
  </si>
  <si>
    <t>"АГРОФИРМА "ФЛОРА" ОБЩЕСТВО С ОГРАНИЧЕННОЙ ОТВЕТСТВЕННОСТЬЮ</t>
  </si>
  <si>
    <t>2000-10-18</t>
  </si>
  <si>
    <t>01.19,01.30,33.12,45.20,46.21,46.22,46.90,47.11,52.10,52.21.24,52.29,56.10,56.29,64.92,68.10</t>
  </si>
  <si>
    <t>КОМАРДИНА СОФИЯ АНДРЕЕВНА</t>
  </si>
  <si>
    <t>140090,  МОСКОВСКАЯ ОБЛАСТЬ, Г. ДЗЕРЖИНСКИЙ, Г ЛЮБЕРЦЫ, ПР-Д УНИВЕРСИТЕТСКИЙ, Д. 3</t>
  </si>
  <si>
    <t>+74955546072</t>
  </si>
  <si>
    <t>agrofirma.flora@mail.ru</t>
  </si>
  <si>
    <t>ООО "А-РЕНТА"</t>
  </si>
  <si>
    <t>ОБЩЕСТВО С ОГРАНИЧЕННОЙ ОТВЕТСТВЕННОСТЬЮ "А-РЕНТА"</t>
  </si>
  <si>
    <t>2000-06-16</t>
  </si>
  <si>
    <t>13.92,35.12,46.18,46.90,52.10.9,52.21.24,64.99.3,68.31,73.11,73.11.1,73.11.9,81.21,81.21.9,82.30,82.30.3,93.11,93.12,93.19,93.21,93.29,93.29.1,93.29.2,93.29.3</t>
  </si>
  <si>
    <t>ПРОВКИН ИГОРЬ ЮРЬЕВИЧ</t>
  </si>
  <si>
    <t>141100, МОСКОВСКАЯ ОБЛАСТЬ, Г.О. ЩЁЛКОВО, Г ЩЁЛКОВО, ПЕР 1-Й СОВЕТСКИЙ, СТР. 25Б, К. 4, ОФИС 301А, ПОМЕЩ. 8</t>
  </si>
  <si>
    <t>+74959333808,+74957771304,+74952879550,+74967771304</t>
  </si>
  <si>
    <t>www.arben.ru</t>
  </si>
  <si>
    <t>arenta@yandex.ru,xxx@xxx.xx,notaricus@gmail.com</t>
  </si>
  <si>
    <t>ООО "СПОРТ СИСТЕМ КОНСАЛТИНГ"</t>
  </si>
  <si>
    <t>ОБЩЕСТВО С ОГРАНИЧЕННОЙ ОТВЕТСТВЕННОСТЬЮ "СПОРТ СИСТЕМ КОНСАЛТИНГ"</t>
  </si>
  <si>
    <t>2015-07-24</t>
  </si>
  <si>
    <t>46.49.43,47.64,47.71.5,47.71.8,47.99,73.11,77.21,85.41.1,85.42.9,87.90,93.11,93.29.2,93.29.9</t>
  </si>
  <si>
    <t>ОМЕЛЬЯНЕНКО ЕЛЕНА ВЛАДИМИРОВНА</t>
  </si>
  <si>
    <t>123098,  Г.МОСКВА, УЛ ЖИВОПИСНАЯ, Д. 21, СТР. 4, КОМ. Ч-2А</t>
  </si>
  <si>
    <t>+79652598181,+79037504793,+78009007555</t>
  </si>
  <si>
    <t>eomelyanenko@mail.ru,gordasevich@bk.ru,sportevent@ya.ru</t>
  </si>
  <si>
    <t>ООО "ОПТИМУМ ТЕХНОЛОДЖИС"</t>
  </si>
  <si>
    <t>ОБЩЕСТВО С ОГРАНИЧЕННОЙ ОТВЕТСТВЕННОСТЬЮ "ОПТИМУМ ТЕХНОЛОДЖИС"</t>
  </si>
  <si>
    <t>2015-07-09</t>
  </si>
  <si>
    <t>46.51,46.90,62.02,62.09,63.11,63.11.1,95.11</t>
  </si>
  <si>
    <t>ШЕСТАКОВА МАРИЯ ВЛАДИМИРОВНА</t>
  </si>
  <si>
    <t>109052,  Г.МОСКВА, УЛ. НИЖЕГОРОДСКАЯ, Д. 70, К. 2, ЭТ 1 ПОМ 2 ОФ 15</t>
  </si>
  <si>
    <t>+79161261866,+79858380171</t>
  </si>
  <si>
    <t>m_shestakova@inbox.ru</t>
  </si>
  <si>
    <t>ООО "ФАРЕР +"</t>
  </si>
  <si>
    <t>ОБЩЕСТВО С ОГРАНИЧЕННОЙ ОТВЕТСТВЕННОСТЬЮ "ФАРЕР +"</t>
  </si>
  <si>
    <t>2015-08-18</t>
  </si>
  <si>
    <t>49.3</t>
  </si>
  <si>
    <t>Деятельность прочего сухопутного пассажирского транспорта</t>
  </si>
  <si>
    <t>43.31,43.32,43.33,43.34,43.39,45.1,45.20,45.3,49.31,49.32,49.4,52.10.2,52.21.2,52.29,55.10,56.10.1,56.29,69.10,69.20,70.10.1,70.10.2,70.22,73.11,73.20,79.11,79.90.3</t>
  </si>
  <si>
    <t>АБРАМОВА ЕЛЕНА ЮРЬЕВНА</t>
  </si>
  <si>
    <t>111250,  Г.МОСКВА, ПР-Д ЗАВОДА СЕРП И МОЛОТ, Д. 1, СТР. 1</t>
  </si>
  <si>
    <t>+79262533331,+74991302603,+79031302603</t>
  </si>
  <si>
    <t>bony2002@yandex.ru,info@farer.ru</t>
  </si>
  <si>
    <t>ООО "ДАЙМОНД ТУР"</t>
  </si>
  <si>
    <t>ОБЩЕСТВО С ОГРАНИЧЕННОЙ ОТВЕТСТВЕННОСТЬЮ "ДАЙМОНД ТУР"</t>
  </si>
  <si>
    <t>2015-07-14</t>
  </si>
  <si>
    <t>79.90.1,79.90.2,79.90.3</t>
  </si>
  <si>
    <t>ЧИВИЛЕВА ЕЛЕНА ВИКТОРОВНА</t>
  </si>
  <si>
    <t>129344,  Г.МОСКВА, УЛ. ИСКРЫ, Д. 17А, СТР. 3</t>
  </si>
  <si>
    <t>+79685345939</t>
  </si>
  <si>
    <t>ООО "З ДЕНТ"</t>
  </si>
  <si>
    <t>ОБЩЕСТВО С ОГРАНИЧЕННОЙ ОТВЕТСТВЕННОСТЬЮ "З ДЕНТ"</t>
  </si>
  <si>
    <t>2015-08-11</t>
  </si>
  <si>
    <t>18.12,18.20,19.10,20.42,20.59,21.10,21.20,32.50,33.13,47.73,47.74,47.75,47.9,47.99,52.10,52.29,53.20.3,58.19,62.01,62.02,68.10,68.20,77.29.9,77.33,77.39.2,77.39.26,86.10,86.21,86.90.9,88.10,93.11,93.19,93.29,93.29.9,94.11,96.02,96.04,96.09</t>
  </si>
  <si>
    <t>ЯРКИНА ДАРЬЯ АЛЕКСАНДРОВНА</t>
  </si>
  <si>
    <t>105064,  Г.МОСКВА, ПЕР НИЖНИЙ СУСАЛЬНЫЙ, Д. 5, СТР. 17</t>
  </si>
  <si>
    <t>+79037821048</t>
  </si>
  <si>
    <t>ООО "КИМЧИ 2015"</t>
  </si>
  <si>
    <t>ОБЩЕСТВО С ОГРАНИЧЕННОЙ ОТВЕТСТВЕННОСТЬЮ "КИМЧИ 2015"</t>
  </si>
  <si>
    <t>2015-07-20</t>
  </si>
  <si>
    <t>56.10.1,56.10.3</t>
  </si>
  <si>
    <t>ЛЯН ЛЮДМИЛА ГРИГОРЬЕВНА</t>
  </si>
  <si>
    <t>115054,  Г.МОСКВА, ПЕР. СТРЕМЯННЫЙ, Д. 26</t>
  </si>
  <si>
    <t>+79263677738,+74957488748</t>
  </si>
  <si>
    <t>ООО "АПК"</t>
  </si>
  <si>
    <t>ОБЩЕСТВО С ОГРАНИЧЕННОЙ ОТВЕТСТВЕННОСТЬЮ "АПК"</t>
  </si>
  <si>
    <t>2015-08-05</t>
  </si>
  <si>
    <t>71.1,71.11.1,71.12.1,71.12.5,71.12.6,82.99</t>
  </si>
  <si>
    <t>ПАРКИН АЛЕКСАНДР ВЛАДИМИРОВИЧ</t>
  </si>
  <si>
    <t>119571,  Г.МОСКВА, ПР-КТ ВЕРНАДСКОГО, Д. 92, Э 2 ПОМ VI К 23 ОФ 3</t>
  </si>
  <si>
    <t>+79857698861</t>
  </si>
  <si>
    <t>ООО "ТЕХНОСТРОЙ 2002"</t>
  </si>
  <si>
    <t>ОБЩЕСТВО С ОГРАНИЧЕННОЙ ОТВЕТСТВЕННОСТЬЮ "ТЕХНОСТРОЙ 2002"</t>
  </si>
  <si>
    <t>2002-03-29</t>
  </si>
  <si>
    <t>41.20,43.2,43.3,43.39,43.91,43.99,45.20,45.3,47.52.3,47.52.7,47.7,61.10,69,73.11,81.10,81.21,81.22,81.29,81.29.2,81.29.9,81.30</t>
  </si>
  <si>
    <t>ДЕЕВ ВЛАДИСЛАВ ГЕННАДЬЕВИЧ</t>
  </si>
  <si>
    <t>142204, МОСКОВСКАЯ ОБЛАСТЬ, Г.О. СЕРПУХОВ, Г СЕРПУХОВ, Ш МОСКОВСКОЕ, Д. 49, КАБИНЕТ 2</t>
  </si>
  <si>
    <t>+74967355054,+74967358683</t>
  </si>
  <si>
    <t>ООО "РАЦИОНЪ"</t>
  </si>
  <si>
    <t>ОБЩЕСТВО С ОГРАНИЧЕННОЙ ОТВЕТСТВЕННОСТЬЮ "РАЦИОНЪ"</t>
  </si>
  <si>
    <t>56.10.1</t>
  </si>
  <si>
    <t>Деятельность ресторанов и кафе с полным ресторанным обслуживанием, кафетериев, ресторанов быстрого питания и самообслуживания</t>
  </si>
  <si>
    <t>10.13,10.20,10.39,17.29,18.12,22.29,25.99,32.30,46.31,46.31.11,46.32,46.32.3,46.33,46.62,46.69,46.73,46.90,47.21,47.22,47.23,47.24,55.10,56.10.3,56.29,56.30,66.2,74.20,77.21,81.22,81.30,82.19,82.99,93.12</t>
  </si>
  <si>
    <t>ТАРАСОВА ИРИНА НИКОЛАЕВНА</t>
  </si>
  <si>
    <t>107113,  Г.МОСКВА, УЛ. ШУМКИНА, Д. 26А, СТР. 4</t>
  </si>
  <si>
    <t>+74956417201,+79295658155</t>
  </si>
  <si>
    <t>ООО "АВАНТИС"</t>
  </si>
  <si>
    <t>ОБЩЕСТВО С ОГРАНИЧЕННОЙ ОТВЕТСТВЕННОСТЬЮ "АВАНТИС"</t>
  </si>
  <si>
    <t>2006-05-31</t>
  </si>
  <si>
    <t>21.10,21.20,26.7,32.50,46.45.1,46.46,47.73,47.74,47.9,82.99,86.10,86.21,86.90.9,86.90.9</t>
  </si>
  <si>
    <t>РЯХОВСКАЯ НАТАЛЬЯ ГЕННАДЬЕВНА</t>
  </si>
  <si>
    <t>117246,  Г.МОСКВА, ПР-Д НАУЧНЫЙ, Д. 19, ЭТАЖ 1 КОМН 1-3</t>
  </si>
  <si>
    <t>+74951202519</t>
  </si>
  <si>
    <t>ООО "СПЕЦМОНТАЖ СМ"</t>
  </si>
  <si>
    <t>ОБЩЕСТВО С ОГРАНИЧЕННОЙ ОТВЕТСТВЕННОСТЬЮ "СПЕЦМОНТАЖ СМ"</t>
  </si>
  <si>
    <t>2015-07-30</t>
  </si>
  <si>
    <t>27.90,32.99.9,33.13,33.20,42.21,42.22.2,42.99,43.21,43.29,46.90,47.59.9,47.9,61.10.9,62.01,62.02,62.09,63.11.1,71.20.9,72.19,73.11,95.12</t>
  </si>
  <si>
    <t>МУРАШКИН АЛЕКСЕЙ АЛЕКСЕЕВИЧ</t>
  </si>
  <si>
    <t>125493,  Г.МОСКВА, УЛ. АВАНГАРДНАЯ, Д. 3, Э 1 ПОМ II ОФ 1108 К 5</t>
  </si>
  <si>
    <t>+74952318848,+79163646499</t>
  </si>
  <si>
    <t>sp-sm@bk.ru,2318848@bk.ru</t>
  </si>
  <si>
    <t>ООО "БАХУС"</t>
  </si>
  <si>
    <t>ОБЩЕСТВО С ОГРАНИЧЕННОЙ ОТВЕТСТВЕННОСТЬЮ "БАХУС"</t>
  </si>
  <si>
    <t>47.25,47.25.1,47.26,47.29,56.10.1,56.10.3,56.29,56.29,56.30,73.11</t>
  </si>
  <si>
    <t>ШАГИНЯН ОЛЬГА НИКОЛАЕВНА</t>
  </si>
  <si>
    <t>121096,  Г.МОСКВА, УЛ. ВАСИЛИСЫ КОЖИНОЙ, Д. 1, К. 1, ЭТАЖ 1 ПОМ.62</t>
  </si>
  <si>
    <t>+79653350918,+79281612037</t>
  </si>
  <si>
    <t>ООО "ИНФОРМ"</t>
  </si>
  <si>
    <t>ОБЩЕСТВО С ОГРАНИЧЕННОЙ ОТВЕТСТВЕННОСТЬЮ "ИНФОРМ"</t>
  </si>
  <si>
    <t>1996-02-12</t>
  </si>
  <si>
    <t>46.14.1,46.15.4,46.17.2,46.18.91,46.51,46.65,47.19,62.01,62.02,62.09,73.11,73.20.1,85.42.9,95.11</t>
  </si>
  <si>
    <t>САДОВНИКОВ ОЛЕГ НИКОЛАЕВИЧ</t>
  </si>
  <si>
    <t>142306,  МОСКОВСКАЯ ОБЛАСТЬ, Г. ЧЕХОВ, УЛ. ЧЕХОВА, Д.20, -, В</t>
  </si>
  <si>
    <t>+74967234849,+74967230649,+79168856580,+74967260649,+74967225467,+79262570077,+74967270729,+79167427660,+74967257072,+70967230649,+74967234829</t>
  </si>
  <si>
    <t>sad_ol@mail.ru,info@mail.ru,inform_com@mail.ru,inform@chehov.ru</t>
  </si>
  <si>
    <t>ООО "ПРАКТИКА КРАСОТЫ"</t>
  </si>
  <si>
    <t>ОБЩЕСТВО С ОГРАНИЧЕННОЙ ОТВЕТСТВЕННОСТЬЮ "ПРАКТИКА КРАСОТЫ"</t>
  </si>
  <si>
    <t>2015-03-23</t>
  </si>
  <si>
    <t>47.19,47.19.1,47.75,47.91,47.91.2,85.41.1,86.90.3,86.90.9,93.11,93.13,93.29.9,96.02,96.02.1,96.02.2,96.04,96.09</t>
  </si>
  <si>
    <t>ТКАЧЕВА ОЛЕСЯ ГЕННАДЬЕВНА</t>
  </si>
  <si>
    <t>121205, Г.МОСКВА, ВН.ТЕР.Г. МУНИЦИПАЛЬНЫЙ ОКРУГ МОЖАЙСКИЙ, ТЕР ИННОВАЦИОННОГО ЦЕНТРА СКОЛКОВО, УЛ ЗВОРЫКИНА, Д. 21</t>
  </si>
  <si>
    <t>+74959740477</t>
  </si>
  <si>
    <t>ООО "ДЕЛЬТА ТЕЛЕКОМ"</t>
  </si>
  <si>
    <t>ОБЩЕСТВО С ОГРАНИЧЕННОЙ ОТВЕТСТВЕННОСТЬЮ "ДЕЛЬТА ТЕЛЕКОМ"</t>
  </si>
  <si>
    <t>43.21,60.10,60.20,71.1,71.11.1,71.12.5,71.12.6,73.11</t>
  </si>
  <si>
    <t>КОЗИН ВАЛЕРИЙ АЛЕКСАНДРОВИЧ</t>
  </si>
  <si>
    <t>109387,  Г.МОСКВА, УЛ. ТИХАЯ, Д. 23, СТР. 1</t>
  </si>
  <si>
    <t>+74955556677,+79163647143</t>
  </si>
  <si>
    <t>delta@mail.ru</t>
  </si>
  <si>
    <t>ООО "1147 ПРОДАКШНС"</t>
  </si>
  <si>
    <t>ОБЩЕСТВО С ОГРАНИЧЕННОЙ ОТВЕТСТВЕННОСТЬЮ "1147 ПРОДАКШНС"</t>
  </si>
  <si>
    <t>2015-07-22</t>
  </si>
  <si>
    <t>59.11</t>
  </si>
  <si>
    <t>Производство кинофильмов, видеофильмов и телевизионных программ</t>
  </si>
  <si>
    <t>18.20,33.13,46.15,46.18,46.43,46.43.4,46.49,46.49.3,46.90,47.59,47.7,47.9,58.19,59.13,59.14,59.20,60.10,60.20,63.11,69.10,69.20,70.10.1,70.10.2,71.1,71.12.5,71.12.6,73.11,73.20,74.20,77.39.2,78.10,82.99,90.0,93.29</t>
  </si>
  <si>
    <t>ЛУППОВ НИКИТА АНДРЕЕВИЧ</t>
  </si>
  <si>
    <t>125252, Г.МОСКВА, ВН.ТЕР.Г. МУНИЦИПАЛЬНЫЙ ОКРУГ ХОРОШЕВСКИЙ, Б-Р ХОДЫНСКИЙ, Д. 20А, ЭТАЖ 7, ПОМЕЩ. В-136</t>
  </si>
  <si>
    <t>+79164874914,+74951501147</t>
  </si>
  <si>
    <t>mila@1147.pro,eg@1147.pro</t>
  </si>
  <si>
    <t>ООО "ПРЕМИУМ ТОРГ"</t>
  </si>
  <si>
    <t>ОБЩЕСТВО С ОГРАНИЧЕННОЙ ОТВЕТСТВЕННОСТЬЮ "ПРЕМИУМ ТОРГ"</t>
  </si>
  <si>
    <t>2015-07-03</t>
  </si>
  <si>
    <t>47.99</t>
  </si>
  <si>
    <t>Торговля розничная прочая вне магазинов, палаток, рынков</t>
  </si>
  <si>
    <t>25.99,33.12,33.14,33.20,41.20,43.21,43.29,43.91,43.99,46.38.26,46.43,46.63,46.69,46.90,47.29.3,47.43,47.52.73,47.54,47.9,82.99</t>
  </si>
  <si>
    <t>МАНЬКО АНТОН СЕРГЕЕВИЧ</t>
  </si>
  <si>
    <t>123290,  Г.МОСКВА, ПР-Д ШМИТОВСКИЙ, Д. 34, СТР. 10</t>
  </si>
  <si>
    <t>+79036160971,+79260685449,+79645885976</t>
  </si>
  <si>
    <t>s_a_belousov@mail.ru,antonmanko@gmail.com</t>
  </si>
  <si>
    <t>ООО "ИН БОКС"</t>
  </si>
  <si>
    <t>ОБЩЕСТВО С ОГРАНИЧЕННОЙ ОТВЕТСТВЕННОСТЬЮ "ИН БОКС"</t>
  </si>
  <si>
    <t>2012-08-06</t>
  </si>
  <si>
    <t>25.11,27.12,29.20,43.99.5,46.14.9,46.69,46.90,47.52.73,49.41,49.42,52.10.9,52.24,52.29,68.20,68.3,77.39,77.39.1,77.39.11</t>
  </si>
  <si>
    <t>ХАРЧЕНКО ИРИНА ВИКТОРОВНА</t>
  </si>
  <si>
    <t>111024, Г.МОСКВА, ВН.ТЕР.Г. МУНИЦИПАЛЬНЫЙ ОКРУГ ПЕРОВО, УЛ 2-Я ЭНТУЗИАСТОВ, Д. 5, К. 11</t>
  </si>
  <si>
    <t>+79128886911,+73422030380</t>
  </si>
  <si>
    <t>ООО "СЭМПЛ"</t>
  </si>
  <si>
    <t>ОБЩЕСТВО С ОГРАНИЧЕННОЙ ОТВЕТСТВЕННОСТЬЮ "СЭМПЛ"</t>
  </si>
  <si>
    <t>73.20.1</t>
  </si>
  <si>
    <t>Исследование конъюнктуры рынка</t>
  </si>
  <si>
    <t>73.20.2</t>
  </si>
  <si>
    <t>САХАРНОВ АЛЕКСАНДР ОЛЕГОВИЧ</t>
  </si>
  <si>
    <t xml:space="preserve"> Г.МОСКВА, Б-Р ЗВЁЗДНЫЙ, Д. 21, СТР. 1, ОФИС 303</t>
  </si>
  <si>
    <t>+74959781500</t>
  </si>
  <si>
    <t>ООО "НИЦ ОБСК"</t>
  </si>
  <si>
    <t>ОБЩЕСТВО С ОГРАНИЧЕННОЙ ОТВЕТСТВЕННОСТЬЮ "НАУЧНО-ИССЛЕДОВАТЕЛЬСКИЙ ЦЕНТР ОБЕСПЕЧЕНИЯ БЕЗОПАСНОСТИ СТРОИТЕЛЬНОГО КОМПЛЕКСА"</t>
  </si>
  <si>
    <t>69.10,69.20,70.22,72.20,73.11,73.20,74.30,82.19,82.30,82.99,85.41.9,85.42.9</t>
  </si>
  <si>
    <t>АКОПЯН МИХАЕЛ КАМОЕВИЧ</t>
  </si>
  <si>
    <t>117105,  Г.МОСКВА, Ш. ВАРШАВСКОЕ, Д. 33, ПОМ XI ЭТ 9 КОМ 12</t>
  </si>
  <si>
    <t>+79269669900,+79998801909,+79143402342,+79241212161,+74997024885</t>
  </si>
  <si>
    <t>akopyan.mk@yandex.ru,profitbs.tender@gmail.com,info@obsk-center.ru,romazanov@profitbs.ru,dv@profitbs.ru,nic_obsk@ya.ru,profitbs.tender@gmsil.com,tender@obsk-center.ru,nic@mail.ru,pyannikova@profitbs.ru</t>
  </si>
  <si>
    <t>ООО "МЕЖДУНАРОДНАЯ ИЗДАТЕЛЬСКАЯ КОМПАНИЯ "ШАНС"</t>
  </si>
  <si>
    <t>ОБЩЕСТВО С ОГРАНИЧЕННОЙ ОТВЕТСТВЕННОСТЬЮ "МЕЖДУНАРОДНАЯ ИЗДАТЕЛЬСКАЯ КОМПАНИЯ "ШАНС"</t>
  </si>
  <si>
    <t>2015-08-06</t>
  </si>
  <si>
    <t>Издание книг</t>
  </si>
  <si>
    <t>18.11,18.12,18.14,46.47,46.49.3,46.49.31,46.49.32,46.49.33,46.49.4,47.61,47.79.2,58.13,58.14,58.19,59.20,79.11,79.12,79.90,79.90.1,79.90.2,79.90.21,79.90.22,79.90.3,79.90.31,79.90.32,85.41</t>
  </si>
  <si>
    <t>МУ ПИН</t>
  </si>
  <si>
    <t>107113, Г.МОСКВА, ВН.ТЕР.Г. МУНИЦИПАЛЬНЫЙ ОКРУГ СОКОЛЬНИКИ, УЛ ШУМКИНА, Д. 20, СТР. 1, ЭТАЖ 5 ПОМЕЩ. Х КОМ. 20</t>
  </si>
  <si>
    <t>+74999400922,+74994509799</t>
  </si>
  <si>
    <t>gruppashans.ru,gruppashans.ru/</t>
  </si>
  <si>
    <t>chans@ifo.ru,sales@gruppashans.ru</t>
  </si>
  <si>
    <t>ООО "ЖИВИЦА"</t>
  </si>
  <si>
    <t>ОБЩЕСТВО С ОГРАНИЧЕННОЙ ОТВЕТСТВЕННОСТЬЮ "ЖИВИЦА"</t>
  </si>
  <si>
    <t>2015-08-03</t>
  </si>
  <si>
    <t>33.13,47.25.2,47.71,47.72,47.73,47.74,47.9,49.42,56.10,56.10.1,56.10.3,56.29,68.10,68.20,68.31,68.32,78.10,78.20,78.30,82.30,82.99,86.90,86.90.9,87.10,87.20,87.90,88.10,88.99,96.04,96.09</t>
  </si>
  <si>
    <t>БУРДЮГ ИЛЬЯ ВИКТОРОВИЧ</t>
  </si>
  <si>
    <t>117303,  Г.МОСКВА, УЛ. КАХОВКА, Д. 18, К. 4, КВ. 45</t>
  </si>
  <si>
    <t>+79263606748</t>
  </si>
  <si>
    <t>ООО "МАРСЕЛИНА ТРЭВЕЛ"</t>
  </si>
  <si>
    <t>ОБЩЕСТВО С ОГРАНИЧЕННОЙ ОТВЕТСТВЕННОСТЬЮ "МАРСЕЛИНА ТРЭВЕЛ"</t>
  </si>
  <si>
    <t>2015-08-17</t>
  </si>
  <si>
    <t>63.91,66.22,73.11,78.10,82.99,90.0,93.29,93.29.9,96.09</t>
  </si>
  <si>
    <t>АШЫРОВА НАРГИЗА АХМЕДОВНА</t>
  </si>
  <si>
    <t>125196, Г.МОСКВА, ВН.ТЕР.Г. МУНИЦИПАЛЬНЫЙ ОКРУГ ТВЕРСКОЙ, УЛ ЛЕСНАЯ, Д. 1/2, ПОМЕЩ./ЭТАЖ I / 2, КОМ. 5</t>
  </si>
  <si>
    <t>+79264382255</t>
  </si>
  <si>
    <t>mt-mgp@mail.ru</t>
  </si>
  <si>
    <t>ООО "КАК ЗДОРОВО"</t>
  </si>
  <si>
    <t>ОБЩЕСТВО С ОГРАНИЧЕННОЙ ОТВЕТСТВЕННОСТЬЮ "КАК ЗДОРОВО"</t>
  </si>
  <si>
    <t>2015-07-02</t>
  </si>
  <si>
    <t>88.91</t>
  </si>
  <si>
    <t>Предоставление услуг по дневному уходу за детьми</t>
  </si>
  <si>
    <t>93.29,96.09</t>
  </si>
  <si>
    <t>СОЛТАН ВАЛЕРИЯ АНАТОЛЬЕВНА</t>
  </si>
  <si>
    <t>109431,  Г.МОСКВА, Б-Р ЖУЛЕБИНСКИЙ, Д. 33, К. 1</t>
  </si>
  <si>
    <t>+79629523636</t>
  </si>
  <si>
    <t>ООО "КД ДЕЛЬТА"</t>
  </si>
  <si>
    <t>ОБЩЕСТВО С ОГРАНИЧЕННОЙ ОТВЕТСТВЕННОСТЬЮ "КД ДЕЛЬТА"</t>
  </si>
  <si>
    <t>2015-08-19</t>
  </si>
  <si>
    <t>43.99</t>
  </si>
  <si>
    <t>Работы строительные специализированные прочие, не включенные в другие группировки</t>
  </si>
  <si>
    <t>13.92,13.99,14.12,16.10,16.10.9,16.21,16.23,16.24,16.29.1,16.29.2,22.21,22.22,22.23,22.29,23.11,23.12,23.13,23.14,23.19,23.31,23.32,23.42,23.43,23.44,23.49,23.51,23.52.1,23.52.2,23.61,23.62,23.63,23.64,23.65,23.69,23.70,23.91,23.99,24.20,24.51,25.11,25.12,25.21,25.29,25.30,25.50,25.61,25.62,25.72,25.73,25.91,25.92,25.93,25.94,25.99,38.32.2,38.32.3,38.32.4,38.32.5,41.20,42.11,42.91,42.99,43.11,43.12.3,43.13,43.21,43.22,43.29,43.31,43.32,43.33,43.34,43.39,43.91,43.99.1,46.44,46.49,46.73,46.74,46.76,46.90,47.43,47.51,47.52,47.54,47.59,47.7,47.71,47.9,47.99,49.4,52.10,52.24,52.29,53.20.3,62.09,63.11,64.99,66.19,68.10,68.10.1,68.20,68.31,68.32,69.10,69.20,70.10.1,70.10.2,70.22,71.1,71.12.5,71.12.6,73.11,73.20,81.22,81.29.9,82.99,96.01</t>
  </si>
  <si>
    <t>ДУБОВИК АЛЕКСЕЙ АЛЕКСЕЕВИЧ</t>
  </si>
  <si>
    <t>119017, Г.МОСКВА, ВН.ТЕР.Г. МУНИЦИПАЛЬНЫЙ ОКРУГ ЗАМОСКВОРЕЧЬЕ, УЛ ПЯТНИЦКАЯ, Д. 37, ПОМЕЩ. 1/1</t>
  </si>
  <si>
    <t>+74993436337,+79653009737</t>
  </si>
  <si>
    <t>kd.delta@mail.ru</t>
  </si>
  <si>
    <t>ООО "ТРАНСИНЖИНИРИНГ"</t>
  </si>
  <si>
    <t>ОБЩЕСТВО С ОГРАНИЧЕННОЙ ОТВЕТСТВЕННОСТЬЮ "ТРАНСИНЖИНИРИНГ"</t>
  </si>
  <si>
    <t>2015-07-28</t>
  </si>
  <si>
    <t>41.20,46.90,49.31,49.42,52.29</t>
  </si>
  <si>
    <t>ЧУДАКОВА ЕЛЕНА АЛЕКСЕЕВНА</t>
  </si>
  <si>
    <t>109443, Г.МОСКВА, ВН.ТЕР.Г. МУНИЦИПАЛЬНЫЙ ОКРУГ КУЗЬМИНКИ, ПР-КТ ВОЛГОГРАДСКИЙ, Д. 135, К. 3, ПОМЕЩ. 7М</t>
  </si>
  <si>
    <t>+79646245979</t>
  </si>
  <si>
    <t>ООО "ПИАР-КОМПАНИЯ"</t>
  </si>
  <si>
    <t>ОБЩЕСТВО С ОГРАНИЧЕННОЙ ОТВЕТСТВЕННОСТЬЮ КОММУНИКАЦИОННОЕ АГЕНТСТВО "ПИАР-КОМПАНИЯ"</t>
  </si>
  <si>
    <t>2015-07-21</t>
  </si>
  <si>
    <t>58.13,58.14,73.11,74.20,90.03</t>
  </si>
  <si>
    <t>ХОМЕРИКИ ЛЕОНИД ФРИДОНОВИЧ</t>
  </si>
  <si>
    <t>105037, Г.МОСКВА, ВН.ТЕР.Г. МУНИЦИПАЛЬНЫЙ ОКРУГ ИЗМАЙЛОВО, УЛ ПЕРВОМАЙСКАЯ, Д. 12А</t>
  </si>
  <si>
    <t>+79645350352</t>
  </si>
  <si>
    <t>lfhomer@gmail.com</t>
  </si>
  <si>
    <t>АО "СПЕЦТЕХМАШ"</t>
  </si>
  <si>
    <t>АКЦИОНЕРНОЕ ОБЩЕСТВО "СПЕЦТЕХМАШ"</t>
  </si>
  <si>
    <t>2015-08-12</t>
  </si>
  <si>
    <t>49.4,68.10,68.10.1,68.31,68.32,69.10,69.20,70.10.1,70.10.2,70.22,73.20</t>
  </si>
  <si>
    <t>БУТОРИНА ЛАРИСА МИХАЙЛОВНА</t>
  </si>
  <si>
    <t>119021, Г.МОСКВА, ВН.ТЕР.Г. МУНИЦИПАЛЬНЫЙ ОКРУГ ХАМОВНИКИ, УЛ ЛЬВА ТОЛСТОГО, Д. 5, СТР. 2, ЭТАЖ 6, ПОМЕЩ./КОМН. I/1</t>
  </si>
  <si>
    <t>+79197249969,+74993782091</t>
  </si>
  <si>
    <t>ООО "АВРАЛ"</t>
  </si>
  <si>
    <t>ОБЩЕСТВО С ОГРАНИЧЕННОЙ ОТВЕТСТВЕННОСТЬЮ "АВРАЛ"</t>
  </si>
  <si>
    <t>2000-11-29</t>
  </si>
  <si>
    <t>01.61,43.31,43.32,43.33,43.34.1,43.34.2,43.39,43.91,43.99.4,43.99.6,96.02</t>
  </si>
  <si>
    <t>БОЛОТОВА ТАТЬЯНА БОРИСОВНА</t>
  </si>
  <si>
    <t>142155,  МОСКОВСКАЯ ОБЛАСТЬ, Г ПОДОЛЬСК, УЛ ГОРЬКОГО (ЛЬВОВСКИЙ МКР.), Д. 2/9</t>
  </si>
  <si>
    <t>+74967268851,+79166951240,+74957263620,+74967423566,+74967268855,+74967263620,+74967258851</t>
  </si>
  <si>
    <t>oooavral@mail.ru</t>
  </si>
  <si>
    <t>ООО "ЦИФРОВЫЕ СТРАТЕГИИ"</t>
  </si>
  <si>
    <t>ОБЩЕСТВО С ОГРАНИЧЕННОЙ ОТВЕТСТВЕННОСТЬЮ "ЦИФРОВЫЕ СТРАТЕГИИ"</t>
  </si>
  <si>
    <t>2015-07-13</t>
  </si>
  <si>
    <t>47.41,62.01,62.02,62.09,63.11,63.11.1,63.91,70.22,73.20,74.30,78.30,82.19,82.99</t>
  </si>
  <si>
    <t>Прохоров Роман Сергеевич</t>
  </si>
  <si>
    <t>105082, Г.МОСКВА, ВН.ТЕР.Г. МУНИЦИПАЛЬНЫЙ ОКРУГ БАСМАННЫЙ, ПЛ СПАРТАКОВСКАЯ, Д. 14, СТР. 3, ПОМЕЩ. 9Б/2</t>
  </si>
  <si>
    <t>+79165176302</t>
  </si>
  <si>
    <t>ООО "ЭНЕРГОТРЕЙД"</t>
  </si>
  <si>
    <t>ОБЩЕСТВО С ОГРАНИЧЕННОЙ ОТВЕТСТВЕННОСТЬЮ "ЭНЕРГОТРЕЙД"</t>
  </si>
  <si>
    <t>46.11,46.12,46.13,46.14,46.15,46.16,46.17,46.18,46.19,46.41,46.41.2,46.42,46.43,46.44,46.45,46.46,46.49,46.61,46.62,46.63,46.64,46.66,46.69,46.90,47.11,47.19,47.43,47.51,47.52,47.54,47.59,47.61,47.7,47.71,47.72,47.79,47.8,47.9,52.10,53.20.3,74.20,74.30,82.19,82.92,82.99</t>
  </si>
  <si>
    <t>СЕЛЬЯНОВ СЕРГЕЙ ДМИТРИЕВИЧ</t>
  </si>
  <si>
    <t>127591,  Г.МОСКВА, УЛ. ДУБНИНСКАЯ, Д. 40А, К. 3, КВ. 151</t>
  </si>
  <si>
    <t>+79262285696</t>
  </si>
  <si>
    <t>selyanov@gmail.com,info@zbat.ru</t>
  </si>
  <si>
    <t>ООО "НОВЫЕ МАСТЕРСКИЕ"</t>
  </si>
  <si>
    <t>ОБЩЕСТВО С ОГРАНИЧЕННОЙ ОТВЕТСТВЕННОСТЬЮ "НОВЫЕ МАСТЕРСКИЕ"</t>
  </si>
  <si>
    <t>16.23</t>
  </si>
  <si>
    <t>Производство прочих деревянных строительных конструкций и столярных изделий</t>
  </si>
  <si>
    <t>16.29.1,16.29.2,31.01,31.01,31.02,31.03,31.09,43.31,43.32,43.33,43.34,43.39,46.49,47.43,47.51,47.52,47.54,47.59,47.61,47.7,47.71,47.72,71.1,71.12.5,71.12.6,90.0</t>
  </si>
  <si>
    <t>СЛЕПНЕВ ПАВЕЛ СЕРГЕЕВИЧ</t>
  </si>
  <si>
    <t>107045, Г.МОСКВА, ВН.ТЕР.Г. МУНИЦИПАЛЬНЫЙ ОКРУГ МЕЩАНСКИЙ, ПЕР ПОСЛЕДНИЙ, Д. 5, СТР. 1, ПОМЕЩ. 1/3Ц</t>
  </si>
  <si>
    <t>+79854442494</t>
  </si>
  <si>
    <t>ООО "БЕЛГРИН"</t>
  </si>
  <si>
    <t>ОБЩЕСТВО С ОГРАНИЧЕННОЙ ОТВЕТСТВЕННОСТЬЮ "БЕЛГРИН"</t>
  </si>
  <si>
    <t>10.61,11.07,46.34.1,46.90,47.25,47.25.1,47.25.2,47.9,56.10,56.10.1,56.10.3,63.11.1,68.10,68.10.1,68.3,68.31,68.32,70.22,73.20.1,79.11,82.99</t>
  </si>
  <si>
    <t>ШВЕЦ НАДЕЖДА ВАСИЛЬЕВНА</t>
  </si>
  <si>
    <t>141103, МОСКОВСКАЯ ОБЛАСТЬ, Г.О. ЩЁЛКОВО, Г ЩЁЛКОВО, УЛ ЦИОЛКОВСКОГО, СТР. 2А, ПОМЕЩ. 104</t>
  </si>
  <si>
    <t>+74959589777,+74959646500,+70959646500</t>
  </si>
  <si>
    <t>ООО "ТУР Э ВЕНТ"</t>
  </si>
  <si>
    <t>ОБЩЕСТВО С ОГРАНИЧЕННОЙ ОТВЕТСТВЕННОСТЬЮ "ТУР Э ВЕНТ"</t>
  </si>
  <si>
    <t>51.10,52.29,53.20.3,53.20.31,53.20.39,70.10.1,70.10.2,70.22,73.11,73.20,74.30,78.10,79.90.1,79.90.2,79.90.3,80.10,80.20,80.30,82.11,82.19,82.92,82.99</t>
  </si>
  <si>
    <t>ГУРЬЕВ ВЛАДИМИР</t>
  </si>
  <si>
    <t>101000, Г.МОСКВА, ВН.ТЕР.Г. МУНИЦИПАЛЬНЫЙ ОКРУГ БАСМАННЫЙ, ПЕР БОЛЬШОЙ ЗЛАТОУСТИНСКИЙ, Д. 1, СТР. 1, ПОМЕЩ. 1/1</t>
  </si>
  <si>
    <t>+79162630903</t>
  </si>
  <si>
    <t>www.toureventoperator.ru</t>
  </si>
  <si>
    <t>ООО "ВСЕГДА32"</t>
  </si>
  <si>
    <t>ОБЩЕСТВО С ОГРАНИЧЕННОЙ ОТВЕТСТВЕННОСТЬЮ "ВСЕГДА32"</t>
  </si>
  <si>
    <t>2017-06-21</t>
  </si>
  <si>
    <t>47.73,47.74,47.75,86.21,86.22,86.90,86.90.9</t>
  </si>
  <si>
    <t>КОБЛОВ МАКСИМ ВЛАДИМИРОВИЧ</t>
  </si>
  <si>
    <t>140301,  МОСКОВСКАЯ ОБЛАСТЬ, Г ЕГОРЬЕВСК, УЛ ПРОФСОЮЗНАЯ, Д. 25, ПОМЕЩ. 15</t>
  </si>
  <si>
    <t>+79067900111</t>
  </si>
  <si>
    <t>ООО "ПРОГРЕССЛИФТСЕРВИС"</t>
  </si>
  <si>
    <t>ОБЩЕСТВО С ОГРАНИЧЕННОЙ ОТВЕТСТВЕННОСТЬЮ "ПРОГРЕССЛИФТСЕРВИС"</t>
  </si>
  <si>
    <t>43.29</t>
  </si>
  <si>
    <t>Производство прочих строительно-монтажных работ</t>
  </si>
  <si>
    <t>28.22,33.12,41.20,43.11,43.12.3,43.21,43.31,43.32,43.33,43.34,43.39,43.91,43.99,43.99.1,46.69.3,49.41,52.29,68.20,71.12,71.12.5,71.12.6,77.32</t>
  </si>
  <si>
    <t>МОЛЧАНОВ НИКОЛАЙ АЛЕКСЕЕВИЧ</t>
  </si>
  <si>
    <t>125367,  Г.МОСКВА, ПР-Д ПОЛЕССКИЙ, Д. 16, СТР. 1, ПОМ I КОМН 11</t>
  </si>
  <si>
    <t>+79262238473,+74955858401,+74953192327,+74955858404,+79255243666,+74957814628,+79255443666</t>
  </si>
  <si>
    <t>info@progress-lift.ru,mna-lift@bk.ru,pgslft@gmail.com,mna-lif@bk.ru,info@gnbrus.com</t>
  </si>
  <si>
    <t>ООО "АСМ КЛИНИК"</t>
  </si>
  <si>
    <t>ОБЩЕСТВО С ОГРАНИЧЕННОЙ ОТВЕТСТВЕННОСТЬЮ "АСМ КЛИНИК"</t>
  </si>
  <si>
    <t>2015-07-06</t>
  </si>
  <si>
    <t>20.42,20.59,21.10,21.20,46.18.1,46.46,47.73,52.10,52.29,72.19,73.11,77.29.9,77.39.2,86.21,86.90.9</t>
  </si>
  <si>
    <t>ТЕРЕХОВ ГРИГОРИЙ ВЛАДИМИРОВИЧ</t>
  </si>
  <si>
    <t>125375, Г.МОСКВА, ВН.ТЕР.Г. МУНИЦИПАЛЬНЫЙ ОКРУГ ТВЕРСКОЙ, Б-Р СТРАСТНОЙ, Д. 4, СТР. 3, ПОМЕЩ. 1/3</t>
  </si>
  <si>
    <t>+79037241947</t>
  </si>
  <si>
    <t>ООО "МЕДИН"</t>
  </si>
  <si>
    <t>ОБЩЕСТВО С ОГРАНИЧЕННОЙ ОТВЕТСТВЕННОСТЬЮ "МЕДИНЖИНИРИНГ"</t>
  </si>
  <si>
    <t>2015-06-26</t>
  </si>
  <si>
    <t>46.46.2</t>
  </si>
  <si>
    <t>Торговля оптовая изделиями, применяемыми в медицинских целях</t>
  </si>
  <si>
    <t>33.13,46.46.1,46.69.9,46.90,47.73,47.74,47.9,72.19,73.20.1,82.99,86.21</t>
  </si>
  <si>
    <t>ОСТРЕЙКОВ ЛЕОНИД ИВАНОВИЧ</t>
  </si>
  <si>
    <t>105077,  Г.МОСКВА, УЛ. ВЕРХНЯЯ ПЕРВОМАЙСКАЯ, Д. 61</t>
  </si>
  <si>
    <t>+79854112759,+74992716960</t>
  </si>
  <si>
    <t>meding.msk@gmail.com,tms@omsklek.ru</t>
  </si>
  <si>
    <t>ООО "ТРЭЙД ЛТД"</t>
  </si>
  <si>
    <t>ОБЩЕСТВО С ОГРАНИЧЕННОЙ ОТВЕТСТВЕННОСТЬЮ "ТРЭЙД ЛТД"</t>
  </si>
  <si>
    <t>2002-08-28</t>
  </si>
  <si>
    <t>68.10.22,68.10.23,68.3</t>
  </si>
  <si>
    <t>ЯКУНИН АЛЕКСАНДР АЛЕКСАНДРОВИЧ</t>
  </si>
  <si>
    <t>142155,  МОСКОВСКАЯ ОБЛАСТЬ, Г ПОДОЛЬСК, Д БОЛЬШОЕ ТОЛБИНО, УЛ ДОРОЖНАЯ, Д. 1</t>
  </si>
  <si>
    <t>+79057977909</t>
  </si>
  <si>
    <t>ООО "КОЛИБРИ"</t>
  </si>
  <si>
    <t>ОБЩЕСТВО С ОГРАНИЧЕННОЙ ОТВЕТСТВЕННОСТЬЮ "КОЛИБРИ"</t>
  </si>
  <si>
    <t>75.00,86.10,86.21,86.90.1,86.90.2,86.90.4,86.90.9,87.90,88.10</t>
  </si>
  <si>
    <t>КАШМИНА ОЛЬГА НИКОЛАЕВНА</t>
  </si>
  <si>
    <t>125252,  Г.МОСКВА, УЛ. 2-Я ПЕСЧАНАЯ, Д. 4</t>
  </si>
  <si>
    <t>+79163536436</t>
  </si>
  <si>
    <t>ООО "МЕДИА БАИНГ СЕРВИС"</t>
  </si>
  <si>
    <t>ОБЩЕСТВО С ОГРАНИЧЕННОЙ ОТВЕТСТВЕННОСТЬЮ "МЕДИА БАИНГ СЕРВИС"</t>
  </si>
  <si>
    <t>18.12,47.91.2,47.91.3,47.91.4,62.01,62.02,62.09,63.11,63.11.1,68.31,68.31.1,68.31.11,68.31.12,68.31.2,68.31.21,68.31.22,68.31.3,68.31.31,68.31.32,68.31.4,68.31.41,68.31.42,68.31.5,68.31.51,68.31.52</t>
  </si>
  <si>
    <t>АДЖАБЯН СУРЕН ЗАРМИКОВИЧ</t>
  </si>
  <si>
    <t>115230, Г.МОСКВА, ВН.ТЕР.Г. МУНИЦИПАЛЬНЫЙ ОКРУГ НАГАТИНО-САДОВНИКИ, УЛ НАГАТИНСКАЯ, Д. 2, ПОМЕЩ. 20/2</t>
  </si>
  <si>
    <t>+79057717076</t>
  </si>
  <si>
    <t>ООО "ГУБИНСКАЯ МТС"</t>
  </si>
  <si>
    <t>ОБЩЕСТВО С ОГРАНИЧЕННОЙ ОТВЕТСТВЕННОСТЬЮ "ГУБИНСКАЯ МАШИНО-ТЕХНОЛОГИЧЕСКАЯ СТАНЦИЯ"</t>
  </si>
  <si>
    <t>1998-07-10</t>
  </si>
  <si>
    <t>01.61,33.12,41.20,42.11,42.13,42.21,42.91,42.91.2,43.11,43.12,43.12.1,46.90,47.91,47.99,52.21.2</t>
  </si>
  <si>
    <t>СТРАХОВ АНДРЕЙ ВЯЧЕСЛАВОВИЧ</t>
  </si>
  <si>
    <t>142635,  МОСКОВСКАЯ ОБЛАСТЬ, Г. ОРЕХОВО-ЗУЕВО, Д. ГУБИНО, УЛ. ЛУГОВАЯ, Д.1-А</t>
  </si>
  <si>
    <t>+79166292221,+74964148442,+79267948150,+74964148510</t>
  </si>
  <si>
    <t>g.mtc@mail.ru,gubinmts@yandex.ru</t>
  </si>
  <si>
    <t>ООО "СОВРЕМЕННАЯ ЗЭД 3 СТОМАТОЛОГИЯ"</t>
  </si>
  <si>
    <t>ОБЩЕСТВО С ОГРАНИЧЕННОЙ ОТВЕТСТВЕННОСТЬЮ "СОВРЕМЕННАЯ ЗЭД 3 СТОМАТОЛОГИЯ"</t>
  </si>
  <si>
    <t>2017-02-22</t>
  </si>
  <si>
    <t>32.50,46.46,47.74,86.10,86.90.9</t>
  </si>
  <si>
    <t>ЗОТОВ АНДРЕЙ ИГОРЕВИЧ</t>
  </si>
  <si>
    <t>140109,  МОСКОВСКАЯ ОБЛАСТЬ, Г РАМЕНСКОЕ, УЛ КРЫМСКАЯ, Д. 4, ПОМЕЩ. 19</t>
  </si>
  <si>
    <t>+79646383140,+79851129417</t>
  </si>
  <si>
    <t>mmi89851129417@yandex.ru</t>
  </si>
  <si>
    <t>ООО "ТОП ТИМ"</t>
  </si>
  <si>
    <t>ОБЩЕСТВО С ОГРАНИЧЕННОЙ ОТВЕТСТВЕННОСТЬЮ "ТОП ТИМ"</t>
  </si>
  <si>
    <t>2017-08-03</t>
  </si>
  <si>
    <t>45.11,45.19,45.20,45.31,45.32,45.40,47.30,49.32,49.41,52.29,77.39.11,81.29,82.99</t>
  </si>
  <si>
    <t>ХАРЧЕНКО ДМИТРИЙ МИХАЙЛОВИЧ</t>
  </si>
  <si>
    <t>140060, МОСКОВСКАЯ ОБЛАСТЬ, Г.О. ЛЮБЕРЦЫ, ПГТ. ОКТЯБРЬСКИЙ, УЛ ТЕКСТИЛЬЩИКОВ, Д. 7Б, КВ. 12</t>
  </si>
  <si>
    <t>+79057443303</t>
  </si>
  <si>
    <t>ООО "НИЦ ТЛ"</t>
  </si>
  <si>
    <t>ОБЩЕСТВО С ОГРАНИЧЕННОЙ ОТВЕТСТВЕННОСТЬЮ "НИЦ ТЛ"</t>
  </si>
  <si>
    <t>2000-01-25</t>
  </si>
  <si>
    <t>25.62</t>
  </si>
  <si>
    <t>Обработка металлических изделий механическая</t>
  </si>
  <si>
    <t>28.41.1,71.12.12,72.19</t>
  </si>
  <si>
    <t>ГАВРИЛОВ БОРИС СЕРГЕЕВИЧ</t>
  </si>
  <si>
    <t>140700,  МОСКОВСКАЯ ОБЛАСТЬ, Г ШАТУРА, УЛ СВЯТООЗЕРСКАЯ, Д. 1</t>
  </si>
  <si>
    <t>+74964524588,+74964525908,+74964523838</t>
  </si>
  <si>
    <t>bgavrilov@list.ru,notarkru@mail.ru</t>
  </si>
  <si>
    <t>ООО "УНИВЕРСИТЕТ"</t>
  </si>
  <si>
    <t>ОБЩЕСТВО С ОГРАНИЧЕННОЙ ОТВЕТСТВЕННОСТЬЮ "УНИВЕРСИТЕТ"</t>
  </si>
  <si>
    <t>2015-07-29</t>
  </si>
  <si>
    <t>46.19,46.49,46.90,47.7,47.9,56.10.1,56.10.3,56.29,69.20.2,69.20.3,70.22</t>
  </si>
  <si>
    <t>НИКИТИН АНДРЕЙ НИКОЛАЕВИЧ</t>
  </si>
  <si>
    <t>119311,  Г.МОСКВА, ПР-КТ ВЕРНАДСКОГО, Д. 11/19</t>
  </si>
  <si>
    <t>+74959809885,+78495896835</t>
  </si>
  <si>
    <t>ООО "АРТЕФАКТ"</t>
  </si>
  <si>
    <t>ОБЩЕСТВО С ОГРАНИЧЕННОЙ ОТВЕТСТВЕННОСТЬЮ "АРТЕФАКТ"</t>
  </si>
  <si>
    <t>2015-08-07</t>
  </si>
  <si>
    <t>74.10</t>
  </si>
  <si>
    <t>Деятельность специализированная в области дизайна</t>
  </si>
  <si>
    <t>13.30,13.99,13.99.4,13.99.9,32.13,32.99.6,32.99.9,43.32,43.33,47.79.1,52.24,52.29,58.19,59.11,71.11.1,72.20.2,74.20,77.29.9,82.30,82.99,85.41,85.41.1,85.41.2,85.41.9,90.03,91.02,93.19,93.29.9,96.04</t>
  </si>
  <si>
    <t>ВВЕДЕНСКАЯ ЛЮДМИЛА ВАЛЕНТИНОВНА</t>
  </si>
  <si>
    <t>125047, Г.МОСКВА, ВН.ТЕР.Г. МУНИЦИПАЛЬНЫЙ ОКРУГ ТВЕРСКОЙ, УЛ 2-Я БРЕСТСКАЯ, Д. 8, ПОМЕЩ. 4/1</t>
  </si>
  <si>
    <t>+79653718889,+79629533334,+79067640135</t>
  </si>
  <si>
    <t>7711184@bk.ru</t>
  </si>
  <si>
    <t>ООО "УК "ЕВРОДОМ"</t>
  </si>
  <si>
    <t>ОБЩЕСТВО С ОГРАНИЧЕННОЙ ОТВЕТСТВЕННОСТЬЮ "УПРАВЛЯЮЩАЯ КОМПАНИЯ "ЕВРОДОМ"</t>
  </si>
  <si>
    <t>41.20,42.99,43.21,43.22,43.29,43.31,43.32,43.33,43.34,52.21.22,68.31.1,68.31.2,68.31.3,68.31.4,68.32,68.32.2,77.11,77.31,77.39.1,78.10,81.22,81.29.9,84.11.8,84.25.9</t>
  </si>
  <si>
    <t>КОНДРАШОВ ВАДИМ ВИЛЬГЕЛЬМОВИЧ</t>
  </si>
  <si>
    <t>121087, Г.МОСКВА, ВН.ТЕР.Г. МУНИЦИПАЛЬНЫЙ ОКРУГ ФИЛЕВСКИЙ ПАРК, УЛ БАРКЛАЯ, Д. 6, СТР. 3, ПОМЕЩ. 7Н/4</t>
  </si>
  <si>
    <t>+74957653763,+79169955513</t>
  </si>
  <si>
    <t>5907813@mail.ru</t>
  </si>
  <si>
    <t>ООО "ТАНЦЕВАЛЬНАЯ СТУДИЯ "ТАНГО"</t>
  </si>
  <si>
    <t>ОБЩЕСТВО С ОГРАНИЧЕННОЙ ОТВЕТСТВЕННОСТЬЮ "ТАНЦЕВАЛЬНАЯ СТУДИЯ "ТАНГО"</t>
  </si>
  <si>
    <t>93.29.2</t>
  </si>
  <si>
    <t>Деятельность танцплощадок, дискотек, школ танцев</t>
  </si>
  <si>
    <t>46.34.1,46.49.43,47.29.35,47.64,47.71.5,56.10,56.10.1,56.10.3,56.30,82.99,93.11,93.19,93.29,93.29.9,96.04</t>
  </si>
  <si>
    <t>ИСАЕВА НАТАЛЬЯ ВИКТОРОВНА</t>
  </si>
  <si>
    <t>125252,  Г.МОСКВА, Б-Р ХОДЫНСКИЙ, Д. 4, ПОМЕЩ. 4043</t>
  </si>
  <si>
    <t>+74956909555</t>
  </si>
  <si>
    <t>tdancestudio.ru</t>
  </si>
  <si>
    <t>ООО "ФЕНСИ ПЛЮС"</t>
  </si>
  <si>
    <t>ОБЩЕСТВО С ОГРАНИЧЕННОЙ ОТВЕТСТВЕННОСТЬЮ "ФЕНСИ ПЛЮС"</t>
  </si>
  <si>
    <t>43.21,43.22,43.29,43.31,43.32,43.32.1,43.32.2,43.32.3,43.33,43.34,43.34.1,43.34.2,43.39,43.91,43.99,43.99.1,43.99.2,43.99.3,43.99.4,43.99.5,43.99.6,43.99.7,43.99.9,46.41,46.42,46.43,46.44,46.45,46.47,46.49,46.73,46.74,46.90,47.43,47.52,47.54,47.59,47.73,47.74,47.75,47.78,47.99,49.41,49.42,52.29,68.20,68.31,68.32,69.10,81.22,90.0,93.19,93.29,93.29.9,96.04</t>
  </si>
  <si>
    <t>КАМИНСКИЙ АЛЕКСАНДР БОРИСОВИЧ</t>
  </si>
  <si>
    <t>125627,  Г.МОСКВА, УЛ СОКОЛОВО-МЕЩЕРСКАЯ, Д. 28, КВ. 29</t>
  </si>
  <si>
    <t>+79857671877</t>
  </si>
  <si>
    <t>ООО "РУСПРОМГРУПП"</t>
  </si>
  <si>
    <t>ОБЩЕСТВО С ОГРАНИЧЕННОЙ ОТВЕТСТВЕННОСТЬЮ "РУСПРОМГРУПП"</t>
  </si>
  <si>
    <t>2010-03-01</t>
  </si>
  <si>
    <t>41.2,63.91,64.99,69.10,71.1,71.11,71.12.12,71.12.3,71.12.45,71.12.5,71.12.6,82.99,85.22,85.23,85.23,85.42,85.42.9</t>
  </si>
  <si>
    <t>ЗОТКИН АНДРЕЙ ИГОРЕВИЧ</t>
  </si>
  <si>
    <t>109548,  Г.МОСКВА, ПР-Д ПРОЕКТИРУЕМЫЙ 4062-Й, Д. 6, СТР. 16, ЭТАЖ 5 КОМ 9</t>
  </si>
  <si>
    <t>+74959257738,+74959257735,+74959257739,+74959257783,+74954119436</t>
  </si>
  <si>
    <t>lipskiy@tpcorp.ru,korotkova@tpcorp.ru</t>
  </si>
  <si>
    <t>ООО "АМИР ОЛИМХАН"</t>
  </si>
  <si>
    <t>ОБЩЕСТВО С ОГРАНИЧЕННОЙ ОТВЕТСТВЕННОСТЬЮ "АМИР ОЛИМХАН"</t>
  </si>
  <si>
    <t>2018-04-24</t>
  </si>
  <si>
    <t>10.71,49.39.1,49.41,49.42,56.21,56.29,56.30</t>
  </si>
  <si>
    <t>РАХМАТОВ АКМАЛ УКТАМОВИЧ</t>
  </si>
  <si>
    <t>115583, Г.МОСКВА, ВН.ТЕР.Г. МУНИЦИПАЛЬНЫЙ ОКРУГ ОРЕХОВО-БОРИСОВО ЮЖНОЕ, УЛ ГЕНЕРАЛА БЕЛОВА, Д. 18Б</t>
  </si>
  <si>
    <t>+79104336633</t>
  </si>
  <si>
    <t>ООО "А-ДАТА"</t>
  </si>
  <si>
    <t>ОБЩЕСТВО С ОГРАНИЧЕННОЙ ОТВЕТСТВЕННОСТЬЮ "А-ДАТА"</t>
  </si>
  <si>
    <t>2010-02-09</t>
  </si>
  <si>
    <t>46.19,62.02,62.09,63.11,63.11.1,70.22,72.19,73.20,95.11</t>
  </si>
  <si>
    <t>ЗЕНКОВ АЛЕКСЕЙ ГЕННАДЬЕВИЧ</t>
  </si>
  <si>
    <t>121069,  Г.МОСКВА, ПЕР. ХЛЕБНЫЙ, Д. 19А, ЭТАЖ 7 ПОМЕЩЕНИЕ I</t>
  </si>
  <si>
    <t>+74956918921,+79265837018,+79267331624,+79250332819,+74959562647,+74956958021,+74957559642</t>
  </si>
  <si>
    <t>agzenkov@gmail.com,lihv@e-dc.ru,info@a-data.pro</t>
  </si>
  <si>
    <t>ООО "8"</t>
  </si>
  <si>
    <t>ОБЩЕСТВО С ОГРАНИЧЕННОЙ ОТВЕТСТВЕННОСТЬЮ "8"</t>
  </si>
  <si>
    <t>95.29</t>
  </si>
  <si>
    <t>Ремонт прочих предметов личного потребления и бытовых товаров</t>
  </si>
  <si>
    <t>13.30,13.92,13.93,13.96,13.99,14.11,14.12,14.13,14.14,14.19,14.20,14.31,14.39,15.11,15.12,15.20,16.10,16.23,16.24,16.29,17.21,17.29,18.12,23.69,25.11,25.12,25.50,25.61,25.62,25.99,27.40,27.90,31.01,31.02,31.09,32.30,32.40,32.99,33.11,33.12,33.14,33.19,33.20,41.10,41.20,43.21,43.32,43.33,43.34,43.39,43.99,46.11,46.13,46.15,46.16,46.18,46.19,46.22,46.41,46.42,46.43,46.47,46.49,46.90,47.19,47.51,47.59,47.64,47.65,47.71,47.72,47.76,47.78,47.91,47.99,52.24,53.20,73.11,74.10,82.30,82.92,90.01,90.02,90.03,93.29,95.22,95.23,95.24</t>
  </si>
  <si>
    <t>ВОЛЬСКАЯ МАРИЯ ВИКТОРОВНА</t>
  </si>
  <si>
    <t>123056,  Г.МОСКВА, УЛ. КРАСИНА, Д. 27, СТР. 2, ЭТ/ПОМ/КОМ 2/XVII/1-8</t>
  </si>
  <si>
    <t>+79776861108,+74959727623,+79166166767</t>
  </si>
  <si>
    <t>1@mail.ru,leo_moscow@mail.ru,9166166767@mail.ru,director.vosem@gmail.cjm,director.vosem@gmail.com</t>
  </si>
  <si>
    <t>ООО "САММИТ СИСТЕМС"</t>
  </si>
  <si>
    <t>ОБЩЕСТВО С ОГРАНИЧЕННОЙ ОТВЕТСТВЕННОСТЬЮ "САММИТ СИСТЕМС"</t>
  </si>
  <si>
    <t>2015-06-25</t>
  </si>
  <si>
    <t>42.22,42.22.2,61.10.1,61.10.2,61.10.3,61.10.9,70.22</t>
  </si>
  <si>
    <t>ВИДИБЕРСКИЙ АРКАДИЙ БОРИСОВИЧ</t>
  </si>
  <si>
    <t>129626,  Г.МОСКВА, УЛ. МАЛОМОСКОВСКАЯ, Д. 22, СТР. 1, ПОМЕЩ. 1</t>
  </si>
  <si>
    <t>+74952234999</t>
  </si>
  <si>
    <t>info@sumsys.ru,info@sumsus.ru</t>
  </si>
  <si>
    <t>ООО "ОРТОГОНАЛЬ"</t>
  </si>
  <si>
    <t>ОБЩЕСТВО С ОГРАНИЧЕННОЙ ОТВЕТСТВЕННОСТЬЮ "ОРТОГОНАЛЬ"</t>
  </si>
  <si>
    <t>2015-07-10</t>
  </si>
  <si>
    <t>41.20,42.11,42.91,42.99,43.11,43.12.3,43.21,43.22,43.29,43.31,43.32,43.33,43.34,43.39,43.91,43.99,43.99.1,71.12.5,71.12.6</t>
  </si>
  <si>
    <t>СУРОВНЕВ АЛЕКСАНДР СЕРГЕЕВИЧ</t>
  </si>
  <si>
    <t>101000,  Г.МОСКВА, ПЕР. АРХАНГЕЛЬСКИЙ, Д. 9, ОФИС 6</t>
  </si>
  <si>
    <t>+74951203353,+79031077442,+74951203357</t>
  </si>
  <si>
    <t>ООО "НАВАТ-ТЕХ"</t>
  </si>
  <si>
    <t>ОБЩЕСТВО С ОГРАНИЧЕННОЙ ОТВЕТСТВЕННОСТЬЮ "НАВАТ-ТЕХ"</t>
  </si>
  <si>
    <t>26.20,28.23,46.52.1,46.66,47.7,47.91.2,47.91.3,47.91.4,62.02,62.09,63.11,63.11.1,70.22,73.20,95.11</t>
  </si>
  <si>
    <t>СЕРГЕЕВ ИВАН ВИКТОРОВИЧ</t>
  </si>
  <si>
    <t>115419,  Г.МОСКВА, УЛ. ОРДЖОНИКИДЗЕ, Д. 11, СТР. 11, ЭТ 4 ПОМ VII КОМ 1Г</t>
  </si>
  <si>
    <t>+79037905725,+74956642353</t>
  </si>
  <si>
    <t>info@navat.ru</t>
  </si>
  <si>
    <t>ООО "ПАРК СЕРВИС"</t>
  </si>
  <si>
    <t>ОБЩЕСТВО С ОГРАНИЧЕННОЙ ОТВЕТСТВЕННОСТЬЮ "ПАРК СЕРВИС"</t>
  </si>
  <si>
    <t>2010-01-19</t>
  </si>
  <si>
    <t>52.21.24</t>
  </si>
  <si>
    <t>Деятельность стоянок для транспортных средств</t>
  </si>
  <si>
    <t>17.12,17.2,18.1,46.18,46.49,47.19,47.61,47.7,52.10,52.24,58.19,69,73.11,73.20,74.20,74.30,78.30,82.92</t>
  </si>
  <si>
    <t>ЕЛЕСЕВ ГЕОРГИЙ ГЕРМАНОВИЧ</t>
  </si>
  <si>
    <t>127018, Г.МОСКВА, ВН.ТЕР.Г. МУНИЦИПАЛЬНЫЙ ОКРУГ МАРЬИНА РОЩА, УЛ СУЩЁВСКИЙ ВАЛ, Д. 5, СТР. 1</t>
  </si>
  <si>
    <t>+79857655360</t>
  </si>
  <si>
    <t>ООО "АВИА ПЛЮС"</t>
  </si>
  <si>
    <t>ОБЩЕСТВО С ОГРАНИЧЕННОЙ ОТВЕТСТВЕННОСТЬЮ "АВИА ПЛЮС"</t>
  </si>
  <si>
    <t>2015-07-16</t>
  </si>
  <si>
    <t>26.20,46.14,46.18,46.19,46.49.49,46.90,47.78,47.78.9,47.91.2,47.91.3,47.91.4,47.99,51.10.1,51.10.2,51.10.3,51.21,51.21.1,51.21.3,52.21,52.23,52.23.11,52.24,52.29,55.10,56.10.1,62.01,62.02,63.11,63.11.1,64.20,66.22,68.10,68.10.1,68.20,68.31.1,68.31.2,68.31.3,68.31.4,68.31.5,69.10,69.20,70.10.1,70.10.2,70.22,71.20,73.11,73.20,74.30,78.10,79.12,79.90,79.90.1,79.90.2,79.90.22,79.90.3,79.90.31,79.90.32,82.19,82.99,90.0</t>
  </si>
  <si>
    <t>ПОКАТАЕВ СЕРГЕЙ ПЕТРОВИЧ</t>
  </si>
  <si>
    <t>109443,  Г.МОСКВА, ПР-КТ ВОЛГОГРАДСКИЙ, Д. 135, К. 3, Э МАНСАРДА П VII К 9А</t>
  </si>
  <si>
    <t>+78122737894,+74956637754,+74959805015</t>
  </si>
  <si>
    <t>teater.naliteinom@yandex.ru,corp@inna.ru</t>
  </si>
  <si>
    <t>ООО АРТ-ЦЕНТР "ВМЕСТЕ"</t>
  </si>
  <si>
    <t>ОБЩЕСТВО С ОГРАНИЧЕННОЙ ОТВЕТСТВЕННОСТЬЮ АРТ-ЦЕНТР "ВМЕСТЕ"</t>
  </si>
  <si>
    <t>2015-08-04</t>
  </si>
  <si>
    <t>90.01</t>
  </si>
  <si>
    <t>Деятельность в области исполнительских искусств</t>
  </si>
  <si>
    <t>47.91.2,47.91.3,53.20.31,56.29,59.11,59.13,59.14,60.10,60.20,63.91,82.30,82.92,82.99,90.0,90.03,90.04,93.11,93.19,93.29,93.29.2,93.29.9</t>
  </si>
  <si>
    <t>СИДОРЕНКОВА ЕЛЕНА ИВАНОВНА</t>
  </si>
  <si>
    <t>105005,  Г.МОСКВА, ПЕР. ВОЛХОВСКИЙ, Д. 21\23, ПОМЕЩ. I КОМ.8</t>
  </si>
  <si>
    <t>+79257928754</t>
  </si>
  <si>
    <t>artcenter.me@gmail.com</t>
  </si>
  <si>
    <t>ООО  "ФИНАНСПОЗИТИВ"</t>
  </si>
  <si>
    <t>ОБЩЕСТВО С ОГРАНИЧЕННОЙ ОТВЕТСТВЕННОСТЬЮ "ФИНАНСПОЗИТИВ"</t>
  </si>
  <si>
    <t>47.9,49.42,52.21,52.24,52.29,53.20,63.11,63.99,69.10,70.22,74.30,82.19,82.92,82.99,86.90,96.02,96.04,96.09</t>
  </si>
  <si>
    <t>ЧЕРНЫШОВА АЛЛА ПАВЛОВНА</t>
  </si>
  <si>
    <t>115142,  Г.МОСКВА, УЛ. КОЛОМЕНСКАЯ, Д. 21, КВ. 287</t>
  </si>
  <si>
    <t>+74957868110</t>
  </si>
  <si>
    <t>ООО  "АГЕНТСТВО РКА"</t>
  </si>
  <si>
    <t>ОБЩЕСТВО С ОГРАНИЧЕННОЙ ОТВЕТСТВЕННОСТЬЮ "АГЕНТСТВО РКА"</t>
  </si>
  <si>
    <t>2010-02-08</t>
  </si>
  <si>
    <t>90.0</t>
  </si>
  <si>
    <t>Деятельность творческая, деятельность в области искусства и организации развлечений</t>
  </si>
  <si>
    <t>18.12,32.99.9,46.15.4,47.59.5,47.63.1,47.63.2,58,58.11.1,58.19,59.20,59.20.3,72.2,73.11,73.20.1,77.11,77.39.24,82.99,85.42.9,90.01,90.03,90.04,91.0,93.29.9,94.11</t>
  </si>
  <si>
    <t>ГРИНЧЕНКО ДМИТРИЙ ВЛАДИМИРОВИЧ</t>
  </si>
  <si>
    <t>109456,  Г.МОСКВА, ПР-КТ РЯЗАНСКИЙ, Д. 75, К. 4, ЭТ 1 ПОМ III КОМ 16</t>
  </si>
  <si>
    <t>+74956906755,+74956297106,+79262444166,+74957964520,+74951234567,+74952121565,+74997891779,+79166160385,+79166628306,+79166228306</t>
  </si>
  <si>
    <t>lphyodorova@gmail.com,info@rusconagency.ru,dmgrintchtnko@yandex.ru,dmgrintcheko@yandex.ru,dmarintchenko@yandex.ru,dmgrintchenko@yandex.ru,no_name@mail.ru,dmgrinchenko@yandex.ru,vbekarevich@gmail.com,no@mail.ru,info@rusconagency.ry,dmgrintchenko@yanlex.ru,noname@mail.ru,info@k-agent.ru,gronv@mail.ru</t>
  </si>
  <si>
    <t>ООО "ЗУБАРИКИ"</t>
  </si>
  <si>
    <t>ОБЩЕСТВО С ОГРАНИЧЕННОЙ ОТВЕТСТВЕННОСТЬЮ "ЗУБАРИКИ"</t>
  </si>
  <si>
    <t>2017-09-13</t>
  </si>
  <si>
    <t>47.75,47.75.3,77.39.26,86.90.9</t>
  </si>
  <si>
    <t>ОПАРИН АНДРЕЙ ВЛАДИМИРОВИЧ</t>
  </si>
  <si>
    <t>140186,  МОСКОВСКАЯ ОБЛАСТЬ, Г. ЖУКОВСКИЙ, УЛ. ГУДКОВА, Д. 20, ПОМЕЩ. 11</t>
  </si>
  <si>
    <t>+79855463658</t>
  </si>
  <si>
    <t>ООО "КЛИНБЕРГ"</t>
  </si>
  <si>
    <t>ОБЩЕСТВО С ОГРАНИЧЕННОЙ ОТВЕТСТВЕННОСТЬЮ "АБСОЛЮТ КЛИН СЕРВИС ТЕХНОЛОДЖИ"</t>
  </si>
  <si>
    <t>36.00,37.00,38.1,38.2,43.39,43.99,46.19,52.10,52.21,52.24,52.29,77.11,77.29,77.39.11,77.39.2,78.10,81.22,81.29.9,82.99</t>
  </si>
  <si>
    <t>АКСТ ОЛЕГ ВЛАДИМИРОВИЧ</t>
  </si>
  <si>
    <t>143404, МОСКОВСКАЯ ОБЛАСТЬ, Г.О. КРАСНОГОРСК, Г КРАСНОГОРСК, УЛ КИРОВА, Д. 5А, КВ. 175</t>
  </si>
  <si>
    <t>+74957825540</t>
  </si>
  <si>
    <t>грязезащитные-коврики.рф</t>
  </si>
  <si>
    <t>clean.s.com@mail.ru</t>
  </si>
  <si>
    <t>ООО  УК "СБ КЛИНИНГ +"</t>
  </si>
  <si>
    <t>ОБЩЕСТВО С ОГРАНИЧЕННОЙ ОТВЕТСТВЕННОСТЬЮ УПРАВЛЯЮЩАЯ КОМПАНИЯ "СБ КЛИНИНГ +"</t>
  </si>
  <si>
    <t>2014-09-11</t>
  </si>
  <si>
    <t>46.17.1,46.34.1,46.35,46.49.49,46.90,47.19,47.9,68.20.1,68.20.2,68.32.2,78.20,78.30,81.29.9,82.99,96.01,96.09,97.00</t>
  </si>
  <si>
    <t>СИДОРОВА КСЕНИЯ ЕВГЕНЬЕВНА</t>
  </si>
  <si>
    <t>105203,  Г.МОСКВА, УЛ. НИЖНЯЯ ПЕРВОМАЙСКАЯ, Д. 59, КВ. 252</t>
  </si>
  <si>
    <t>+78552304097</t>
  </si>
  <si>
    <t>ООО "СПЕЦСТРОЙПРОЕКТ"</t>
  </si>
  <si>
    <t>ОБЩЕСТВО С ОГРАНИЧЕННОЙ ОТВЕТСТВЕННОСТЬЮ "СПЕЦСТРОЙПРОЕКТ"</t>
  </si>
  <si>
    <t>2010-01-12</t>
  </si>
  <si>
    <t>71.12.3,71.12.4,71.12.41,71.12.42,71.12.43,71.12.44,71.12.5,71.12.6</t>
  </si>
  <si>
    <t>ЗАССЕЕВ АЛАН ГАНСОВИЧ</t>
  </si>
  <si>
    <t>127273,  Г.МОСКВА, Ш АЛТУФЬЕВСКОЕ, Д. 2А, Э 4 КОМ 16</t>
  </si>
  <si>
    <t>+74952336644,+74953639646,+74959099557</t>
  </si>
  <si>
    <t>ООО "ПРОФСНАБТЕКС"</t>
  </si>
  <si>
    <t>ОБЩЕСТВО С ОГРАНИЧЕННОЙ ОТВЕТСТВЕННОСТЬЮ "ПРОФСНАБТЕКС"</t>
  </si>
  <si>
    <t>13.20.3,13.20.4,13.30,13.92,13.93,13.94,13.95,13.99,14.12,14.13,14.14,14.19,14.31,14.39,17.23,18.14,45.31,45.32,46.18.1,46.18.3,46.38.2,46.41,46.41.2,46.43,46.46,46.47,46.49,46.69.8,46.90,47.41,47.42,47.43,47.51,47.53,47.54,47.59,47.61,47.71,47.72,47.73,47.74,47.78,47.82,47.91,47.99,58.11.1,58.11.2,58.12,73.20,82.99</t>
  </si>
  <si>
    <t>БОРОДИНА ЕЛЕНА ВЛАДИМИРОВНА</t>
  </si>
  <si>
    <t>109428,  Г.МОСКВА, УЛ. ЗАРАЙСКАЯ, Д. 31</t>
  </si>
  <si>
    <t>+79060797973,+74959714434</t>
  </si>
  <si>
    <t>profsnabtex@gmail.com,1@mail.ru</t>
  </si>
  <si>
    <t>ООО "ДЕНТАЛЦЕНТР"</t>
  </si>
  <si>
    <t>ОБЩЕСТВО С ОГРАНИЧЕННОЙ ОТВЕТСТВЕННОСТЬЮ "ДЕНТАЛЦЕНТР"</t>
  </si>
  <si>
    <t>2015-06-29</t>
  </si>
  <si>
    <t>46.18.1,46.46,46.49,46.90,47.73,47.74,52.10,68.31,86.10,86.21</t>
  </si>
  <si>
    <t>МУРАВЬЕВ АРКАДИЙ ЮРЬЕВИЧ</t>
  </si>
  <si>
    <t>109156,  Г.МОСКВА, УЛ. ГЕНЕРАЛА КУЗНЕЦОВА, Д. 13, К. 2</t>
  </si>
  <si>
    <t>+74957064251,+74957040831</t>
  </si>
  <si>
    <t>www.dentalcentr.ru</t>
  </si>
  <si>
    <t>info@dentalcentr.ru</t>
  </si>
  <si>
    <t>ООО "ГРУЗТРАНСГАРАНТ"</t>
  </si>
  <si>
    <t>ОБЩЕСТВО С ОГРАНИЧЕННОЙ ОТВЕТСТВЕННОСТЬЮ "ГРУЗТРАНСГАРАНТ"</t>
  </si>
  <si>
    <t>23.42,25.11,25.62,33.14,35.30.4,35.30.5,38.11,38.21,38.31,38.32,38.32.1,38.32.11,38.32.12,38.32.3,38.32.4,38.32.43,38.32.49,38.32.51,41.10,41.20,42.11,42.12,42.13,42.21,42.22,42.22.1,42.22.2,42.22.3,42.91,42.91.3,42.91.4,42.99,43.11,43.12,43.12.1,43.12.2,43.12.3,43.13,43.21,43.22,43.29,43.31,43.32,43.32.1,43.32.2,43.32.3,43.33,43.34,43.34.1,43.34.2,43.39,43.91,43.99,43.99.1,43.99.2,43.99.3,43.99.4,43.99.5,43.99.6,43.99.7,43.99.9,46.13,46.13.1,46.13.2,46.18.93,46.19,46.41,46.73,46.90,49.20.9,49.39,49.41,49.41.1,49.41.2,49.41.3,49.42,52.10,52.21.2,52.21.29,52.24,52.24.2,53.20.3,53.20.39,77.11,77.12,77.31,77.32,77.39,77.39.23,77.39.29,81.10,81.21,81.21.1,81.21.9,81.22,81.29,81.29.1,81.29.2,81.29.9,81.30,95.24,95.24.1,96.09,97.00</t>
  </si>
  <si>
    <t>ЕРОФЕЕВА ИРИНА ЮРЬЕВНА</t>
  </si>
  <si>
    <t>117465,  Г.МОСКВА, УЛ. ГЕНЕРАЛА ТЮЛЕНЕВА, Д. 31, КВ. 297</t>
  </si>
  <si>
    <t>+79252584643</t>
  </si>
  <si>
    <t>ООО "ТБС КОНСАЛТИНГ"</t>
  </si>
  <si>
    <t>ОБЩЕСТВО С ОГРАНИЧЕННОЙ ОТВЕТСТВЕННОСТЬЮ "ТБС КОНСАЛТИНГ"</t>
  </si>
  <si>
    <t>2010-02-04</t>
  </si>
  <si>
    <t>26.20,46.51,47.91.2,47.91.3,47.91.4,62.0,62.09,63.11,63.11.1,73.20.1,74.20,74.30,82.92</t>
  </si>
  <si>
    <t>СЛЮСАРЕНКО АНДРЕЙ ИВАНОВИЧ</t>
  </si>
  <si>
    <t>105082,  Г.МОСКВА, УЛ. БОЛЬШАЯ ПОЧТОВАЯ, Д. 55/59, СТР. 1, ЭТАЖ 3 КОМ 43</t>
  </si>
  <si>
    <t>+74997033180,+74997031543</t>
  </si>
  <si>
    <t>notario.fns@bk.ru</t>
  </si>
  <si>
    <t>ООО "АВТОШКОЛА "ГЛАВНАЯ ДОРОГА"</t>
  </si>
  <si>
    <t>ОБЩЕСТВО С ОГРАНИЧЕННОЙ ОТВЕТСТВЕННОСТЬЮ "АВТОШКОЛА "ГЛАВНАЯ ДОРОГА"</t>
  </si>
  <si>
    <t>85.42.1</t>
  </si>
  <si>
    <t>Деятельность школ подготовки водителей автотранспортных средств</t>
  </si>
  <si>
    <t>17.12,17.29,18.11,18.12,37.00,45.1,45.20,45.3,45.40,46.13,46.14,46.18,46.19,46.38,46.39,46.43,46.49,46.63,46.66,46.69,46.73,46.90,47.11,47.19,47.29,47.30,47.43,47.54,47.7,47.79,47.8,47.9,47.99,49.10,49.20,49.3,49.31,49.32,49.4,50.10,50.20,50.30,50.40,51.10.1,51.21,51.21.1,51.22,52.10,52.21,52.22,52.23,52.24,52.29,53.20.3,55.10,56.10,56.10.1,56.10.3,56.29,56.30,58.14,58.19,59.11,60.10,60.20,61.10,62.01,62.02,62.09,63.11,63.11.1,65.11,65.12,68.10,68.10.1,68.20,68.31,68.32,69.10,70.22,71.1,71.12.5,71.12.6,71.20,72.19,72.20,73.11,77.11,77.29,77.32,77.34,77.35,77.39.11,77.39.2,78.10,79.11,81.22,81.29.9,82.99,85.11,85.12,85.13,85.14,85.21,85.22,85.42.9,86.10,86.90.9,93.29,93.29.9,94.11,95.11,95.22.1,95.29,96.09</t>
  </si>
  <si>
    <t>ОДИНОЧКИНА ЕКАТЕРИНА ДМИТРИЕВНА</t>
  </si>
  <si>
    <t>123056,  Г.МОСКВА, УЛ. 2-Я БРЕСТСКАЯ, Д. 39, СТР. 4</t>
  </si>
  <si>
    <t>+79268907103</t>
  </si>
  <si>
    <t>ООО "ЭЙ ДЖИ КОРПОРЕЙШН"</t>
  </si>
  <si>
    <t>ОБЩЕСТВО С ОГРАНИЧЕННОЙ ОТВЕТСТВЕННОСТЬЮ "ЭЙ ДЖИ КОРПОРЕЙШН"</t>
  </si>
  <si>
    <t>2015-07-31</t>
  </si>
  <si>
    <t>55.90,59.11,74.20,82.99,90.01,93.29,93.29.9</t>
  </si>
  <si>
    <t>ЯСТРЕБОВА АННА ВАСИЛЬЕВНА</t>
  </si>
  <si>
    <t>115114, Г.МОСКВА, ВН.ТЕР.Г. МУНИЦИПАЛЬНЫЙ ОКРУГ ЗАМОСКВОРЕЧЬЕ, УЛ ЛЕТНИКОВСКАЯ, Д. 4, СТР. 5, ПОМЕЩ. 5М, ОФИС 129</t>
  </si>
  <si>
    <t>+79035911405</t>
  </si>
  <si>
    <t>ООО "ОЛИМП"</t>
  </si>
  <si>
    <t>ОБЩЕСТВО С ОГРАНИЧЕННОЙ ОТВЕТСТВЕННОСТЬЮ "ОЛИМП"</t>
  </si>
  <si>
    <t>2017-01-20</t>
  </si>
  <si>
    <t>41.20,43.11,43.12.3,43.99,45.20,45.20.2,46.19,46.49,46.90,47.43,47.51,47.52,47.54,47.59,47.61,47.71,47.72,47.78.9,49.31,49.31.21,49.41,49.41.1,49.41.2,49.41.3,49.42,56.10,56.10.1,56.10.3,68.10,68.10.1,68.20,68.31,68.32,73.11,82.99</t>
  </si>
  <si>
    <t>БАБИЧ СЕРГЕЙ МИХАЙЛОВИЧ</t>
  </si>
  <si>
    <t>142002,  МОСКОВСКАЯ ОБЛАСТЬ, Г. ДОМОДЕДОВО, ПРОМЗОНА ТЕКСТИЛЬЩИК (ЗАПАДНЫЙ МКР.), СТР. 2, ОФИС 216</t>
  </si>
  <si>
    <t>+79268626707</t>
  </si>
  <si>
    <t>ООО "ОРТОМЕД"</t>
  </si>
  <si>
    <t>ОБЩЕСТВО С ОГРАНИЧЕННОЙ ОТВЕТСТВЕННОСТЬЮ "ОРТОМЕД"</t>
  </si>
  <si>
    <t>46.45,46.46,46.69.8,46.69.9,47.41,47.71,47.72,47.73,47.75,47.78,77.39.2</t>
  </si>
  <si>
    <t>АКИМЕНКОВ АЛЕКСЕЙ ВЛАДИМИРОВИЧ</t>
  </si>
  <si>
    <t>115409, Г.МОСКВА, ВН.ТЕР.Г. МУНИЦИПАЛЬНЫЙ ОКРУГ МОСКВОРЕЧЬЕ-САБУРОВО, УЛ МОСКВОРЕЧЬЕ, Д. 43, ПОМЕЩ. 1Н</t>
  </si>
  <si>
    <t>+79250111790</t>
  </si>
  <si>
    <t>ООО "ФИЛИППОК"</t>
  </si>
  <si>
    <t>ОБЩЕСТВО С ОГРАНИЧЕННОЙ ОТВЕТСТВЕННОСТЬЮ "ФИЛИППОК"</t>
  </si>
  <si>
    <t>2016-06-30</t>
  </si>
  <si>
    <t>46.49.42,47.65,85.11,85.23,85.41.9,85.42,88.10</t>
  </si>
  <si>
    <t>ЕФИМОВ АЛЕКСАНДР АНАТОЛЬЕВИЧ</t>
  </si>
  <si>
    <t>117208,  Г.МОСКВА, ПР-Д СУМСКОЙ, Д. 12, К. 2, КВ. 483</t>
  </si>
  <si>
    <t>+79161545420</t>
  </si>
  <si>
    <t>ООО "ТОРГ-ЛАЙТ"</t>
  </si>
  <si>
    <t>ОБЩЕСТВО С ОГРАНИЧЕННОЙ ОТВЕТСТВЕННОСТЬЮ "ТОРГ-ЛАЙТ"</t>
  </si>
  <si>
    <t>2015-07-27</t>
  </si>
  <si>
    <t>27.40</t>
  </si>
  <si>
    <t>Производство электрических ламп и осветительного оборудования</t>
  </si>
  <si>
    <t>25.99,27.90,27.90.9,43.21,43.29,46.41,46.41.2,46.43,46.43.1,46.44,46.47.2,46.49,46.69.5,46.90,47.43,47.51,47.54,47.59.3,47.61,47.7,47.91,47.99,52.10,82.99</t>
  </si>
  <si>
    <t>КОБЫЛЯН АЛЕКСАНДР АЛЕКСАНДРОВИЧ</t>
  </si>
  <si>
    <t>117405, Г.МОСКВА, ВН.ТЕР.Г. МУНИЦИПАЛЬНЫЙ ОКРУГ ЧЕРТАНОВО ЮЖНОЕ, УЛ ДОРОЖНАЯ, Д. 60, К. 1</t>
  </si>
  <si>
    <t>+79858447661,+79050959393</t>
  </si>
  <si>
    <t>sk7273331@mail.ru,torglight.tender@gmail.com</t>
  </si>
  <si>
    <t>ООО "КАНТРИ АРТ"</t>
  </si>
  <si>
    <t>ОБЩЕСТВО С ОГРАНИЧЕННОЙ ОТВЕТСТВЕННОСТЬЮ "КАНТРИ АРТ"</t>
  </si>
  <si>
    <t>46.44.1,46.49</t>
  </si>
  <si>
    <t>ЛАНЦЕВА НАТАЛИЯ ЮРЬЕВНА</t>
  </si>
  <si>
    <t>107143,  Г.МОСКВА, УЛ. ВЕРБНАЯ, Д. 8, СТР. 5</t>
  </si>
  <si>
    <t>+74957810699</t>
  </si>
  <si>
    <t>ООО "ИНФОТУР"</t>
  </si>
  <si>
    <t>ОБЩЕСТВО С ОГРАНИЧЕННОЙ ОТВЕТСТВЕННОСТЬЮ "ИНФОТУР"</t>
  </si>
  <si>
    <t>47.19,47.43,47.54,47.78.3,47.78.4,47.91.2,47.91.3,47.91.4,47.99,56.10,63.99,79.90.1,79.90.2,79.90.3,93.11,93.12,93.19,93.29,96.09</t>
  </si>
  <si>
    <t>Елагин Роман Николаевич</t>
  </si>
  <si>
    <t>125367, Г.МОСКВА, ВН.ТЕР.Г. МУНИЦИПАЛЬНЫЙ ОКРУГ ПОКРОВСКОЕ-СТРЕШНЕВО, ПР-Д ПОЛЕССКИЙ, Д. 16, СТР. 1, ПОМЕЩ. 26/1Ч, ОФИС 414</t>
  </si>
  <si>
    <t>+74952105030,+74957961496,+74991304930,+74991369434,+74991369464</t>
  </si>
  <si>
    <t>ООО "АСТРАДЕРМИКА"</t>
  </si>
  <si>
    <t>ОБЩЕСТВО С ОГРАНИЧЕННОЙ ОТВЕТСТВЕННОСТЬЮ "АСТРАДЕРМИКА"</t>
  </si>
  <si>
    <t>2010-02-02</t>
  </si>
  <si>
    <t>46.45</t>
  </si>
  <si>
    <t>Торговля оптовая парфюмерными и косметическими товарами</t>
  </si>
  <si>
    <t>20.42,46.45.1,46.45.2,46.46,46.46.1,46.46.2,46.49,46.9,47.1,47.5,47.73,47.74,47.75,47.75.1,47.75.2,47.8,47.9,47.91.1,47.91.2,47.91.3,47.91.4,47.99,49.4,49.41.3,52.10,52.24,52.29,82.92,85.42,85.42.9</t>
  </si>
  <si>
    <t>Столина Любовь Анатольевна</t>
  </si>
  <si>
    <t>123001, Г.МОСКВА, ВН.ТЕР.Г. МУНИЦИПАЛЬНЫЙ ОКРУГ ПРЕСНЕНСКИЙ, УЛ БОЛЬШАЯ САДОВАЯ, Д. 14, СТР. 6</t>
  </si>
  <si>
    <t>+74956385164,+74996850138,+74956850138,+74959517738</t>
  </si>
  <si>
    <t>dmitrieva@p-l-g.ru</t>
  </si>
  <si>
    <t>ООО "АБ "ЖИЛПРОЕКТ"</t>
  </si>
  <si>
    <t>ОБЩЕСТВО С ОГРАНИЧЕННОЙ ОТВЕТСТВЕННОСТЬЮ "АРХИТЕКТУРНОЕ БЮРО "ЖИЛПРОЕКТ"</t>
  </si>
  <si>
    <t>2015-07-08</t>
  </si>
  <si>
    <t>68.20,71.12,71.12.1,71.12.13,71.12.45,71.12.5,71.12.6,71.12.61,82.99</t>
  </si>
  <si>
    <t>КОСТИН ДМИТРИЙ СЕРГЕЕВИЧ</t>
  </si>
  <si>
    <t>140002, МОСКОВСКАЯ ОБЛАСТЬ, Г.О. ЛЮБЕРЦЫ, Г ЛЮБЕРЦЫ, УЛ НОВАЯ, СТР. 9А, ПОМЕЩ. 7, КОМ. 6</t>
  </si>
  <si>
    <t>+74957852746,+79296149362</t>
  </si>
  <si>
    <t>ООО "ЛОГИСТ"</t>
  </si>
  <si>
    <t>ОБЩЕСТВО С ОГРАНИЧЕННОЙ ОТВЕТСТВЕННОСТЬЮ "ЛОГИСТ"</t>
  </si>
  <si>
    <t>41.2,46.43,46.7,49.3,61.1,68.1,68.3,73.1,79.1</t>
  </si>
  <si>
    <t>БАРНАГОВА ЮЛИЯ ВИТАЛЬЕВНА</t>
  </si>
  <si>
    <t>125480,  Г.МОСКВА, УЛ. ГЕРОЕВ ПАНФИЛОВЦЕВ, Д.18, К.2, ПОМ.VII КОМН.2</t>
  </si>
  <si>
    <t>+74956605220</t>
  </si>
  <si>
    <t>ООО "СОЦИАЛЬНЫЕ УСЛУГИ"</t>
  </si>
  <si>
    <t>ОБЩЕСТВО С ОГРАНИЧЕННОЙ ОТВЕТСТВЕННОСТЬЮ "СОЦИАЛЬНЫЕ УСЛУГИ"</t>
  </si>
  <si>
    <t>87</t>
  </si>
  <si>
    <t>Деятельность по уходу с обеспечением проживания</t>
  </si>
  <si>
    <t>18.1,58,63.91,72.2,73.1,74.20,74.30,82.92,88,93.2,96.0</t>
  </si>
  <si>
    <t>ЧИСТЯКОВА МАРИЯ ВАЛЕРЬЕВНА</t>
  </si>
  <si>
    <t>125284, Г.МОСКВА, ВН.ТЕР.Г. МУНИЦИПАЛЬНЫЙ ОКРУГ БЕГОВОЙ, ПРОЕЗД 2-Й БОТКИНСКИЙ, Д. 8, ЭТАЖ 3, ПОМЕЩ. 51-77</t>
  </si>
  <si>
    <t>+79660201947,+79687892628</t>
  </si>
  <si>
    <t>ООО "СТРАЙК ФОРС"</t>
  </si>
  <si>
    <t>ОБЩЕСТВО С ОГРАНИЧЕННОЙ ОТВЕТСТВЕННОСТЬЮ "СТРАЙК ФОРС"</t>
  </si>
  <si>
    <t>20.51,21.10,25.71,46.49,47.73,72.19,72.20,82.99,90.0,90.01,90.04,93.29,93.29.9</t>
  </si>
  <si>
    <t>ЕРМАКОВ ОЛЕГ НИКОЛАЕВИЧ</t>
  </si>
  <si>
    <t>115432, Г.МОСКВА, ВН.ТЕР.Г. МУНИЦИПАЛЬНЫЙ ОКРУГ ДАНИЛОВСКИЙ, ПР-КТ АНДРОПОВА, Д. 10, ПОМЕЩ. 110</t>
  </si>
  <si>
    <t>+79776873371,+79253271165,+79268244422</t>
  </si>
  <si>
    <t>valentina-17-88@mail.ru</t>
  </si>
  <si>
    <t>ООО "ВИНТЕР"</t>
  </si>
  <si>
    <t>ОБЩЕСТВО С ОГРАНИЧЕННОЙ ОТВЕТСТВЕННОСТЬЮ "ВИНТЕР"</t>
  </si>
  <si>
    <t>2010-01-18</t>
  </si>
  <si>
    <t>68.31.22</t>
  </si>
  <si>
    <t>Предоставление посреднических услуг по аренде нежилого недвижимого имущества за вознаграждение или на договорной основе</t>
  </si>
  <si>
    <t>41.2,41.20,47.1,52.10,56.10,68.10,68.10.22,68.10.23,68.20,68.20.2,68.3,68.32,77.2,81.29.9,96.09</t>
  </si>
  <si>
    <t>ЯЧЕНИНА ЕЛЕНА ГЕННАДЬЕВНА</t>
  </si>
  <si>
    <t>109369,  Г.МОСКВА, УЛ. ЛЮБЛИНСКАЯ, Д.112А, СТР.3</t>
  </si>
  <si>
    <t>+74953561095,+74993561095,+74953498165</t>
  </si>
  <si>
    <t>06915012@mail.ru</t>
  </si>
  <si>
    <t>ООО "МИКСТРОЙЭКСПЕРТ"</t>
  </si>
  <si>
    <t>ОБЩЕСТВО С ОГРАНИЧЕННОЙ ОТВЕТСТВЕННОСТЬЮ "МИКСТРОЙЭКСПЕРТ"</t>
  </si>
  <si>
    <t>43.11,43.12.3,43.21,43.22,43.29,43.31,43.32,43.33,43.34,43.39,43.91,43.99,43.99,43.99.1,49.4,52.10,52.24,63.11.1,68.10,68.20,68.32,71.20,71.20.3,71.20.6,71.20.9,77.39.25,77.39.29,82.99</t>
  </si>
  <si>
    <t>РАНЦЕВ ДЕНИС АЛЕКСАНДРОВИЧ</t>
  </si>
  <si>
    <t>115093,  Г.МОСКВА, УЛ. ПАВЛОВСКАЯ, Д. 18, СТР. 2</t>
  </si>
  <si>
    <t>+74993915663,+79264195393,+79263134595</t>
  </si>
  <si>
    <t>mikstroyexpert@gmail.com</t>
  </si>
  <si>
    <t>ООО "КОМПОЗИТ-ПРОЕКТ"</t>
  </si>
  <si>
    <t>ОБЩЕСТВО С ОГРАНИЧЕННОЙ ОТВЕТСТВЕННОСТЬЮ "КОМПОЗИТ-ПРОЕКТ"</t>
  </si>
  <si>
    <t>2015-08-10</t>
  </si>
  <si>
    <t>20.16</t>
  </si>
  <si>
    <t>Производство пластмасс и синтетических смол в первичных формах</t>
  </si>
  <si>
    <t>20.60,22.11,22.19,22.21,22.22,22.23,22.29,30.11,30.12,33.15,43.11,43.12.3,43.21,43.22,43.31,43.32,43.33,43.34,43.39,43.99,46.18,46.41,46.41.2,46.44,46.49,46.73,46.75,46.90,47.51,47.51.1,47.51.2,47.52,47.52.1,47.52.2,47.52.3,47.52.4,47.52.5,47.52.6,47.52.7,47.52.71,47.52.72,47.52.73,47.53.2,47.53.3,47.59,47.59.1,47.59.2,47.59.3,47.59.4,47.59.9,47.65,47.71.1,47.71.2,47.71.3,47.71.4,47.71.5,47.71.6,47.71.7,47.71.8,47.72.1,47.72.2,47.76.1,47.91.1,47.91.2,47.91.3,47.91.4,49.31.25,49.41.1,49.41.2,49.41.3</t>
  </si>
  <si>
    <t>ЧЕРЕПАНОВ МАКСИМ СЕРГЕЕВИЧ</t>
  </si>
  <si>
    <t>111024, Г.МОСКВА, ВН.ТЕР.Г. МУНИЦИПАЛЬНЫЙ ОКРУГ ЛЕФОРТОВО, УЛ 4-Я КАБЕЛЬНАЯ, Д. 2, СТР. 1А, ОФИС 3</t>
  </si>
  <si>
    <t>+79161822518,+79031833887</t>
  </si>
  <si>
    <t>info@composit-story.ru</t>
  </si>
  <si>
    <t>ООО "РЕШЕНИЕ"</t>
  </si>
  <si>
    <t>ОБЩЕСТВО С ОГРАНИЧЕННОЙ ОТВЕТСТВЕННОСТЬЮ "РЕШЕНИЕ"</t>
  </si>
  <si>
    <t>17.21,17.22,17.23,17.29,18.14,22.22,22.29,32.40,32.99,46.49,47.11,47.19,47.61,47.99,56.10,56.10.1,56.10.3,56.30,58.11,58.14,64.91,64.92,64.99,66.19,68.32,73.11,77.33,82.99,85.11,85.12,85.42.9</t>
  </si>
  <si>
    <t>Ротонос Ирина Александровна</t>
  </si>
  <si>
    <t>117628,  Г.МОСКВА, УЛ. СТАРОБИТЦЕВСКАЯ, Д. 15, К. 2, ЭТАЖ 1 ПОМ VI КОМ 1</t>
  </si>
  <si>
    <t>+79165662998,+74956320151,+74956264041</t>
  </si>
  <si>
    <t>mnogoresheniy@mail.ru,ofset@polygrafia.biz</t>
  </si>
  <si>
    <t>ООО "ПРОФФИЛЛИНГ"</t>
  </si>
  <si>
    <t>ОБЩЕСТВО С ОГРАНИЧЕННОЙ ОТВЕТСТВЕННОСТЬЮ "ПРОФФИЛЛИНГ"</t>
  </si>
  <si>
    <t>23.69</t>
  </si>
  <si>
    <t>Производство прочих изделий из гипса, бетона или цемента</t>
  </si>
  <si>
    <t>20.30.2,23.20,23.61,23.62,23.64,23.70.3,23.99.1,23.99.6,25.61,38.32.59,46.12.31,46.73.5,46.73.6,46.90,47.41,47.52.3,47.52.7,47.52.73,47.78,47.78.9,47.9,47.99,62.09,72.19</t>
  </si>
  <si>
    <t>ПИЛЯЕВ ИЛЬЯ МИХАЙЛОВИЧ</t>
  </si>
  <si>
    <t>127018, Г.МОСКВА, ВН.ТЕР.Г. МУНИЦИПАЛЬНЫЙ ОКРУГ БУТЫРСКИЙ, УЛ СКЛАДОЧНАЯ, Д. 1, СТР. 5, ПОМЕЩ. 29Ч</t>
  </si>
  <si>
    <t>+74951354432,+74991354432</t>
  </si>
  <si>
    <t>info@proffilling.ru,it@maly.ru</t>
  </si>
  <si>
    <t>ООО "УМНАЯ ЭЛЕКТРОНИКА"</t>
  </si>
  <si>
    <t>ОБЩЕСТВО С ОГРАНИЧЕННОЙ ОТВЕТСТВЕННОСТЬЮ "УМНАЯ ЭЛЕКТРОНИКА"</t>
  </si>
  <si>
    <t>33.14,33.20,43.2,43.21,43.22,43.29,43.99.1,47.42,47.91.3,47.91.4</t>
  </si>
  <si>
    <t>ФАЗИЛОВ НУРУЛЛОДЖОН ГАЙБУЛЛОДЖОНОВИЧ</t>
  </si>
  <si>
    <t>127018,  Г.МОСКВА, УЛ. СКЛАДОЧНАЯ, Д.1, СТР5</t>
  </si>
  <si>
    <t>+78003335378</t>
  </si>
  <si>
    <t>ООО "БИОТРАНС"</t>
  </si>
  <si>
    <t>ОБЩЕСТВО С ОГРАНИЧЕННОЙ ОТВЕТСТВЕННОСТЬЮ "БИОТРАНС"</t>
  </si>
  <si>
    <t>46.46.1,49.4,52.29,66.22</t>
  </si>
  <si>
    <t>ГОЛДИН ВАДИМ ВАЛЕРИЕВИЧ</t>
  </si>
  <si>
    <t>141431, МОСКОВСКАЯ ОБЛАСТЬ, Г.О. ХИМКИ, Г ХИМКИ, МКР. ПОДРЕЗКОВО, КВ-Л ЧЕРКИЗОВО, СТР. 1, ПОМЕЩ. 4</t>
  </si>
  <si>
    <t>+79267158892</t>
  </si>
  <si>
    <t>4815281@mail.ru</t>
  </si>
  <si>
    <t>ООО "КАР СИТИ"</t>
  </si>
  <si>
    <t>ОБЩЕСТВО С ОГРАНИЧЕННОЙ ОТВЕТСТВЕННОСТЬЮ "КАР СИТИ"</t>
  </si>
  <si>
    <t>2011-12-06</t>
  </si>
  <si>
    <t>45.20.3</t>
  </si>
  <si>
    <t>Мойка автотранспортных средств, полирование и предоставление аналогичных услуг</t>
  </si>
  <si>
    <t>45.1,45.11.4,45.19.1,45.19.2,45.19.3,45.19.4,45.2,45.20.1,45.3,45.31.1,45.31.2,45.32,45.4,45.40.1,45.40.2,45.40.3,45.40.4,45.40.5,47.3,47.9,47.91.1,47.91.2,47.91.3,47.91.4,47.99,49.32,49.39,49.41,49.42,52.10,52.24,52.24.1,52.24.2,52.29,56.10,56.10.1,56.10.3,56.3,74.20,74.30,77.12,82.92,82.99</t>
  </si>
  <si>
    <t>АМБАРЦУМОВ ГУРГЕН ГЕВАНДОВИЧ</t>
  </si>
  <si>
    <t>111622,  Г.МОСКВА, УЛ БОЛЬШАЯ КОСИНСКАЯ, Д. 8А</t>
  </si>
  <si>
    <t>+79265507036</t>
  </si>
  <si>
    <t>ООО "ОЛИМП-БИЗНЕС"</t>
  </si>
  <si>
    <t>ОБЩЕСТВО С ОГРАНИЧЕННОЙ ОТВЕТСТВЕННОСТЬЮ "ОЛИМП-БИЗНЕС"</t>
  </si>
  <si>
    <t>18.12,18.13,18.14,18.20,47.61,47.62.1,52.29,93.29.9</t>
  </si>
  <si>
    <t>ЧЕСТНЕЙШАЯ АНАСТАСИЯ МАРАТОВНА</t>
  </si>
  <si>
    <t>115419, Г.МОСКВА, ВН.ТЕР.Г. МУНИЦИПАЛЬНЫЙ ОКРУГ ДОНСКОЙ, ПРОЕЗД 2-Й РОЩИНСКИЙ, Д. 8, СТР. 2</t>
  </si>
  <si>
    <t>+74959178566,+74954119014,+79164444445</t>
  </si>
  <si>
    <t>www.olbuss.ru</t>
  </si>
  <si>
    <t>es@olbuss.ru,olbuss@ropnet.ru</t>
  </si>
  <si>
    <t>ООО "САММЕД"</t>
  </si>
  <si>
    <t>ОБЩЕСТВО С ОГРАНИЧЕННОЙ ОТВЕТСТВЕННОСТЬЮ "САММЕД"</t>
  </si>
  <si>
    <t>2010-02-11</t>
  </si>
  <si>
    <t>46.46.1,47.74</t>
  </si>
  <si>
    <t>ШЕМЕЛИНА ТАТЬЯНА АЛЕКСАНДРОВНА</t>
  </si>
  <si>
    <t>121096,  Г.МОСКВА, УЛ. 2-Я ФИЛЕВСКАЯ, Д. 7, К. 6, ЭТ 1 ПОМ III КОМ 5Б</t>
  </si>
  <si>
    <t>+74957680964,+78916165376,+79857680964,+79161625376</t>
  </si>
  <si>
    <t>ooosammed@yandex.ru</t>
  </si>
  <si>
    <t>ООО "ПРОФГЕОКОМ"</t>
  </si>
  <si>
    <t>ОБЩЕСТВО С ОГРАНИЧЕННОЙ ОТВЕТСТВЕННОСТЬЮ "ПРОФГЕОКОМ"</t>
  </si>
  <si>
    <t>71.12.4</t>
  </si>
  <si>
    <t>Деятельность геодезическая и картографическая</t>
  </si>
  <si>
    <t>71.12.41,71.12.42,71.12.45,71.12.9</t>
  </si>
  <si>
    <t>МАРТЫНОВ АЛЕКСАНДР ВИКТОРОВИЧ</t>
  </si>
  <si>
    <t>121351,  Г.МОСКВА, УЛ. КОЦЮБИНСКОГО, Д. 4, ПОМЕЩ. № 201</t>
  </si>
  <si>
    <t>+79654276000,+79265683129,+74955854132,+79255854115</t>
  </si>
  <si>
    <t>info@pro-geo.ru</t>
  </si>
  <si>
    <t>ООО "КРАСКИ АНГЛИИ"</t>
  </si>
  <si>
    <t>ОБЩЕСТВО С ОГРАНИЧЕННОЙ ОТВЕТСТВЕННОСТЬЮ "КРАСКИ АНГЛИИ"</t>
  </si>
  <si>
    <t>2015-08-13</t>
  </si>
  <si>
    <t>47.52.2</t>
  </si>
  <si>
    <t>Торговля розничная лакокрасочными материалами в специализированных магазинах</t>
  </si>
  <si>
    <t>46.73.3,46.73.4,46.73.5,46.73.6</t>
  </si>
  <si>
    <t>ЕЛИСЕЕВ АЛЕКСАНДР АЛЕКСАНДРОВИЧ</t>
  </si>
  <si>
    <t>105120,  Г.МОСКВА, УЛ. НИЖНЯЯ СЫРОМЯТНИЧЕСКАЯ, Д. 10, СТР. 3, КОМ. 50.1/2</t>
  </si>
  <si>
    <t>+74959886403</t>
  </si>
  <si>
    <t>ООО "НИТРОГАЗ"</t>
  </si>
  <si>
    <t>ОБЩЕСТВО С ОГРАНИЧЕННОЙ ОТВЕТСТВЕННОСТЬЮ "НИТРОГАЗ"</t>
  </si>
  <si>
    <t>46.75.2</t>
  </si>
  <si>
    <t>Торговля оптовая промышленными химикатами</t>
  </si>
  <si>
    <t>25.11,42.21,43.21,43.29,43.99,46.18.9,46.46,46.90,47.78.9,47.9,47.91.2,47.91.3,47.91.4,52.24,52.29</t>
  </si>
  <si>
    <t>КОРОЛЬ АЛЕКСАНДР ПЕТРОВИЧ</t>
  </si>
  <si>
    <t>127238, Г.МОСКВА, ВН.ТЕР.Г. МУНИЦИПАЛЬНЫЙ ОКРУГ ЗАПАДНОЕ ДЕГУНИНО, УЛ ВЕРХНЕЛИХОБОРСКАЯ, Д. 8, ОФИС 37-40/2</t>
  </si>
  <si>
    <t>+74999384713,+79263564618,+79167028727,+74955328639,+79253564618</t>
  </si>
  <si>
    <t>tenderspec@azot-msk.ru,info@azot-msk.u,356@mail.ru,nitrogaz16@inmessage.ru,korol_sania@mail.ru,m4@azot-msk.ru,nitrogasss@gmail.com,nnetlen.strag@mail.ru,nitrogasss@gmail.com;,nitrogaz2018@yandex.ru</t>
  </si>
  <si>
    <t>ООО "СПЕЦ-ТРАНС"</t>
  </si>
  <si>
    <t>ОБЩЕСТВО С ОГРАНИЧЕННОЙ ОТВЕТСТВЕННОСТЬЮ "СПЕЦ-ТРАНС"</t>
  </si>
  <si>
    <t>2008-02-13</t>
  </si>
  <si>
    <t>81.29</t>
  </si>
  <si>
    <t>Деятельность по чистке и уборке прочая</t>
  </si>
  <si>
    <t>49.3,49.31,49.32,52.10,52.29,56.10,56.10.1,56.10.3,56.29,56.29,56.30,64.99,68.10,68.20,73.11,77.11,77.39.11,81.22,81.29.2,81.29.9</t>
  </si>
  <si>
    <t>ШАМАЕВ ГЕРМАН РАШБИЛОВИЧ</t>
  </si>
  <si>
    <t>109429, Г.МОСКВА, ВН.ТЕР.Г. МУНИЦИПАЛЬНЫЙ ОКРУГ КАПОТНЯ, КМ 14-Й МОСКОВСКОЙ КОЛЬЦЕВОЙ АВТОДОРОГИ, Д. 4</t>
  </si>
  <si>
    <t>+74953554150,+74953552751,+74953550047</t>
  </si>
  <si>
    <t>ООО "СБЛ ГРУПП"</t>
  </si>
  <si>
    <t>ОБЩЕСТВО С ОГРАНИЧЕННОЙ ОТВЕТСТВЕННОСТЬЮ "СБЛ ГРУПП"</t>
  </si>
  <si>
    <t>2010-03-11</t>
  </si>
  <si>
    <t>41.10,42.21,42.91,42.99,43.11,43.13,43.21,43.22,43.29,43.33,43.34,43.39,46.1,46.4,47.5,47.9,49.3,49.4,68.3,69,79.11</t>
  </si>
  <si>
    <t>САВЕНКОВ ДЕНИС МИХАЙЛОВИЧ</t>
  </si>
  <si>
    <t>117648,  Г.МОСКВА, МКР. СЕВЕРНОЕ ЧЕРТАНОВО, Д.7, К.В, 66</t>
  </si>
  <si>
    <t>+79035020810,+74959810684</t>
  </si>
  <si>
    <t>sbl.group@mail.ru,complect.sd@mail.ru</t>
  </si>
  <si>
    <t>ООО "ЦБР-СЕРВИС"</t>
  </si>
  <si>
    <t>ОБЩЕСТВО С ОГРАНИЧЕННОЙ ОТВЕТСТВЕННОСТЬЮ "ЦБР-СЕРВИС"</t>
  </si>
  <si>
    <t>2010-03-10</t>
  </si>
  <si>
    <t>18.12,18.13,18.14,18.2,18.20,33.12,33.13,33.14,33.19,46.51,46.90,47.41,47.41.4,47.59.1,47.78.1,47.91.2,47.91.3,47.91.4,52.10,52.24,52.29,61.10.4,62.02,62.02.9,62.03,62.03.1,62.03.11,62.09,63.11.1,63.11.9,73.11,74.10,82.99,90.03,90.04,95.21</t>
  </si>
  <si>
    <t>АКСЕНОВА-ЧАЛЕНКО ЕКАТЕРИНА АЛЕКСАНДРОВНА</t>
  </si>
  <si>
    <t>105082,  Г.МОСКВА, УЛ. ФРИДРИХА ЭНГЕЛЬСА, Д. 75, СТР. 3, ЭТАЖ/ОФИС 2/8</t>
  </si>
  <si>
    <t>+74959211339</t>
  </si>
  <si>
    <t>ООО "АЛЬМЕРА"</t>
  </si>
  <si>
    <t>ОБЩЕСТВО С ОГРАНИЧЕННОЙ ОТВЕТСТВЕННОСТЬЮ "АЛЬМЕРА"</t>
  </si>
  <si>
    <t>73.1</t>
  </si>
  <si>
    <t>Деятельность рекламная</t>
  </si>
  <si>
    <t>18.11,18.12,46.19,56.10,56.21,56.29,58.11.1,58.11.2,58.13.1,58.13.2,58.14.1,58.14.2,58.19,59.11,59.12,59.13,62.02,62.09,63.1,63.11.1,63.12,63.91,63.99.1,63.99.2,73.11,73.12,73.20.1,73.20.2,78.10,78.20,78.30,79.90,81.10,82.30,82.99,85.41.9,93.29.9,96.09</t>
  </si>
  <si>
    <t>ФАСХУДИНОВА ЛЮБОВЬ ШАМИЛЬЕВНА</t>
  </si>
  <si>
    <t>140003, МОСКОВСКАЯ ОБЛАСТЬ, Г.О. ЛЮБЕРЦЫ, Г ЛЮБЕРЦЫ, УЛ 3-Е ПОЧТОВОЕ ОТДЕЛЕНИЕ, Д. 49, К. 2, ПОМЕЩ. XXXVII, РАБОЧЕЕ МЕСТО 1</t>
  </si>
  <si>
    <t>+79175974597</t>
  </si>
  <si>
    <t>ООО "АВАТАР АВТО"</t>
  </si>
  <si>
    <t>ОБЩЕСТВО С ОГРАНИЧЕННОЙ ОТВЕТСТВЕННОСТЬЮ "АВАТАР АВТО"</t>
  </si>
  <si>
    <t>2010-03-09</t>
  </si>
  <si>
    <t>45.20,45.32,46.14.9,46.73.4,46.90,47.3,47.52.2,81.29.9,84.21</t>
  </si>
  <si>
    <t>КУЗНЕЦОВ ВИТАЛИЙ АЛЕКСЕЕВИЧ</t>
  </si>
  <si>
    <t>123458,  Г.МОСКВА, УЛ. ТВАРДОВСКОГО, Д.5, К.1, 63</t>
  </si>
  <si>
    <t>+74955146628</t>
  </si>
  <si>
    <t>office@avataravto.ru</t>
  </si>
  <si>
    <t>ООО "ОРИОН 2010"</t>
  </si>
  <si>
    <t>ОБЩЕСТВО С ОГРАНИЧЕННОЙ ОТВЕТСТВЕННОСТЬЮ "ОРИОН 2010"</t>
  </si>
  <si>
    <t>68.31.1,68.31.2,68.31.3,68.31.4,69,69.10,69.20,70.10.1,70.10.2,71.12.57,71.12.63,73.11,73.20.1,77.11,77.3,77.33,78.20,78.30,81.22,81.29.9,93.29</t>
  </si>
  <si>
    <t>ЛОМАКИН АНДРЕЙ АНАТОЛЬЕВИЧ</t>
  </si>
  <si>
    <t>119002, Г.МОСКВА, ВН.ТЕР.Г. МУНИЦИПАЛЬНЫЙ ОКРУГ ХАМОВНИКИ, ПЕР СИВЦЕВ ВРАЖЕК, Д. 39</t>
  </si>
  <si>
    <t>+74957299480,+74956300639,+74957458560</t>
  </si>
  <si>
    <t>ООО "ЗСК"</t>
  </si>
  <si>
    <t>ОБЩЕСТВО С ОГРАНИЧЕННОЙ ОТВЕТСТВЕННОСТЬЮ "ЗЕМЛЕСТРОЙ-КОНСАЛТИНГ"</t>
  </si>
  <si>
    <t>2010-02-05</t>
  </si>
  <si>
    <t>62.09,66.21,66.29.1,68.31,68.31.5,68.31.51,68.31.52,68.32,82.99</t>
  </si>
  <si>
    <t>КОЧИН НИКОЛАЙ ВАЛЕНТИНОВИЧ</t>
  </si>
  <si>
    <t>125124,  Г.МОСКВА, УЛ. 3-Я ЯМСКОГО ПОЛЯ, Д. 18, ЭТ 2 ПОМ III КОМ 16</t>
  </si>
  <si>
    <t>+79263573329</t>
  </si>
  <si>
    <t>ekochina@yandex.ru,info@zs-consulting.ru</t>
  </si>
  <si>
    <t>ООО "ЦВ"</t>
  </si>
  <si>
    <t>ОБЩЕСТВО С ОГРАНИЧЕННОЙ ОТВЕТСТВЕННОСТЬЮ "ЦЕНТР ВАЛИДАЦИИ"</t>
  </si>
  <si>
    <t>46.46,46.90,62.02,63.11,69.10,69.20,70.22,71.12.6,77.39.25,85.41,85.41.9,85.42,85.42.9</t>
  </si>
  <si>
    <t>ТЕКУЧЕВ ВЛАДИМИР СЕРГЕЕВИЧ</t>
  </si>
  <si>
    <t>129515,  Г.МОСКВА, УЛ. АКАДЕМИКА КОРОЛЕВА, Д. 13, СТР. 1, ОФИС 9</t>
  </si>
  <si>
    <t>+79637123237,+74956624726</t>
  </si>
  <si>
    <t>latigor81@gmail.com</t>
  </si>
  <si>
    <t>ООО "РЭЛ ТРЕЙДИНГ"</t>
  </si>
  <si>
    <t>ОБЩЕСТВО С ОГРАНИЧЕННОЙ ОТВЕТСТВЕННОСТЬЮ "РУСЭКСПОРТЛЕС ТРЕЙДИНГ"</t>
  </si>
  <si>
    <t>46.13.1</t>
  </si>
  <si>
    <t>Деятельность агентов по оптовой торговле лесоматериалами</t>
  </si>
  <si>
    <t>ЦИЛИКОВ ВЛАДИМИР СЕРГЕЕВИЧ</t>
  </si>
  <si>
    <t>129085,  Г.МОСКВА, ПР-КТ МИРА, Д. 101, СТР. 1, КОМ. 1 2 3 51 ЭТАЖ 9</t>
  </si>
  <si>
    <t>+79037221843</t>
  </si>
  <si>
    <t>www.rusexportles.ru</t>
  </si>
  <si>
    <t>rus@rusexportles.ru</t>
  </si>
  <si>
    <t>ООО "ЯМАК ТРИКО"</t>
  </si>
  <si>
    <t>ОБЩЕСТВО С ОГРАНИЧЕННОЙ ОТВЕТСТВЕННОСТЬЮ "ЯМАК ТРИКО"</t>
  </si>
  <si>
    <t>2010-02-16</t>
  </si>
  <si>
    <t>46.41</t>
  </si>
  <si>
    <t>Торговля оптовая текстильными изделиями</t>
  </si>
  <si>
    <t>46.16.1,46.41.1,46.41.2,46.41.2,46.42,46.42.14,46.9,47.51,47.71.1,47.71.4</t>
  </si>
  <si>
    <t>АББАСОВ ТАРЛАН НАРИМАН ОГЛЫ</t>
  </si>
  <si>
    <t>119607,  Г.МОСКВА, УЛ. ЛОБАЧЕВСКОГО, Д. 100, К. 3, Э 1 ПОМ VII К 6 ОФ 2</t>
  </si>
  <si>
    <t>+74992280985</t>
  </si>
  <si>
    <t>ООО "ЕВ"</t>
  </si>
  <si>
    <t>ОБЩЕСТВО С ОГРАНИЧЕННОЙ ОТВЕТСТВЕННОСТЬЮ "ЕВ"</t>
  </si>
  <si>
    <t>61.10.4,61.10.9,62.01,62.02,62.09,63.11,63.91,64.99,72.19,72.20,73.11,73.20,95.11</t>
  </si>
  <si>
    <t>СЕБКИ ЯСИН</t>
  </si>
  <si>
    <t>125167, Г.МОСКВА, ВН.ТЕР.Г. МУНИЦИПАЛЬНЫЙ ОКРУГ ХОРОШЕВСКИЙ, УЛ ВИКТОРЕНКО, Д. 5, СТР. 1, ПОМЕЩ. 6/5</t>
  </si>
  <si>
    <t>+74959802156</t>
  </si>
  <si>
    <t>info@e-vostok.ru,sofia@e-vostok.ru</t>
  </si>
  <si>
    <t>ООО "АСМОДЕЙ+"</t>
  </si>
  <si>
    <t>ОБЩЕСТВО С ОГРАНИЧЕННОЙ ОТВЕТСТВЕННОСТЬЮ "АСМОДЕЙ+"</t>
  </si>
  <si>
    <t>23.32,23.61,41.20,45.11.2,45.11.3,45.19.2,45.19.3,45.20.1,46.15.9,46.17.21,46.17.22,46.17.3,46.32,46.32.3,46.36.1,46.38.1,46.38.21,46.41.1,46.45.1,56.10,56.10.1,56.10.3,73.11,79.90.2,79.90.3,85.42.9</t>
  </si>
  <si>
    <t>КУЗНЕЦОВ ВЛАДИСЛАВ БОРИСОВИЧ</t>
  </si>
  <si>
    <t>115114, Г.МОСКВА, ВН.ТЕР.Г. МУНИЦИПАЛЬНЫЙ ОКРУГ ДАНИЛОВСКИЙ, НАБ ДАНИЛОВСКАЯ, Д. 6, К. 5, ПОМЕЩ. 1Н</t>
  </si>
  <si>
    <t>+74959256406,+74991894176</t>
  </si>
  <si>
    <t>ООО "ОТК"</t>
  </si>
  <si>
    <t>ОБЩЕСТВО С ОГРАНИЧЕННОЙ ОТВЕТСТВЕННОСТЬЮ "ОТК"</t>
  </si>
  <si>
    <t>2010-02-01</t>
  </si>
  <si>
    <t>10.8</t>
  </si>
  <si>
    <t>Производство прочих пищевых продуктов</t>
  </si>
  <si>
    <t>11.0,46.1,46.3,47.1,47.2,52.10,52.2,52.24,52.29,82.92</t>
  </si>
  <si>
    <t>ХАРНАС ДМИТРИЙ МИХАЙЛОВИЧ</t>
  </si>
  <si>
    <t>115516,  Г.МОСКВА, УЛ. ПРОМЫШЛЕННАЯ, Д.11А, СТР.47</t>
  </si>
  <si>
    <t>+79263706347,+74956619641</t>
  </si>
  <si>
    <t>main@buhgalter.biz</t>
  </si>
  <si>
    <t>ООО "ВЫСОТА-СЕРВИС ПЛЮС"</t>
  </si>
  <si>
    <t>ОБЩЕСТВО С ОГРАНИЧЕННОЙ ОТВЕТСТВЕННОСТЬЮ "ВЫСОТА-СЕРВИС ПЛЮС"</t>
  </si>
  <si>
    <t>2010-03-04</t>
  </si>
  <si>
    <t>33.12,43.21,43.39,68.1,68.10.23,68.3,68.32.1,68.32.2,71.12.61,71.12.62,71.12.63</t>
  </si>
  <si>
    <t>ПАНЧЕНКО ГЛЕБ ЭДУАРДОВИЧ</t>
  </si>
  <si>
    <t>119270,  Г.МОСКВА, УЛ. ЛУЖНИКИ, Д. 24, СТР. 9</t>
  </si>
  <si>
    <t>+74956455595,+79544647945,+74952233497,+79032783378,+74952300595,+74997891450</t>
  </si>
  <si>
    <t>ООО "01-СЕРВИС"</t>
  </si>
  <si>
    <t>ОБЩЕСТВО С ОГРАНИЧЕННОЙ ОТВЕТСТВЕННОСТЬЮ "01-СЕРВИС"</t>
  </si>
  <si>
    <t>2017-10-31</t>
  </si>
  <si>
    <t>16.10,16.10.9,25.61,33.11,33.12,33.14,43.22,43.99,43.99.1,43.99.9,47.89.1,47.99,49.41.2,62.01,62.02.3,62.03,62.09,71.12.1,71.12.45,80.20,85.42,85.42.9</t>
  </si>
  <si>
    <t>ИВАНОВА НАТАЛЬЯ АЛЕКСЕЕВНА</t>
  </si>
  <si>
    <t>141402,  МОСКОВСКАЯ ОБЛАСТЬ, Г ХИМКИ, УЛ ЛЕНИНГРАДСКАЯ, Д. 29, ПОМЕЩ. 1</t>
  </si>
  <si>
    <t>+79035690669</t>
  </si>
  <si>
    <t>ООО "КОНТУР"</t>
  </si>
  <si>
    <t>ОБЩЕСТВО С ОГРАНИЧЕННОЙ ОТВЕТСТВЕННОСТЬЮ "КОНТУР"</t>
  </si>
  <si>
    <t>47.19,47.74,47.75,69,69.10,69.20,70.22,73.20,82.99,96.02,96.04,96.09</t>
  </si>
  <si>
    <t>СПИРИДОНОВА ОКСАНА НИКОЛАЕВНА</t>
  </si>
  <si>
    <t>121096,  Г.МОСКВА, УЛ. КАСТАНАЕВСКАЯ, Д. 18, К 2</t>
  </si>
  <si>
    <t>+79857812869</t>
  </si>
  <si>
    <t>kontur781@gmail.com</t>
  </si>
  <si>
    <t>ООО "АВИС ЭЛЕКТРОНИКС"</t>
  </si>
  <si>
    <t>ОБЩЕСТВО С ОГРАНИЧЕННОЙ ОТВЕТСТВЕННОСТЬЮ "АВИС ЭЛЕКТРОНИКС"</t>
  </si>
  <si>
    <t>46.43,47.43,47.54,47.73,47.74,47.75,47.9,47.91,53.20.3,56.10,56.10.1,56.10.3,73.11,82.99,95.21</t>
  </si>
  <si>
    <t>БИЛАН АЛЕКСАНДР ФЕДОРОВИЧ</t>
  </si>
  <si>
    <t>125167,  Г.МОСКВА, УЛ. ПЛАНЕТНАЯ, Д. 11, ПОМЕЩ. 12/11 РМ-2</t>
  </si>
  <si>
    <t>+79261579000,+74993221501,+74952271921,+79636997878,+74954919955</t>
  </si>
  <si>
    <t>panelnik.ru</t>
  </si>
  <si>
    <t>zakaz@aviselectronics.ru</t>
  </si>
  <si>
    <t>ООО "АЙКОНФУД"</t>
  </si>
  <si>
    <t>ОБЩЕСТВО С ОГРАНИЧЕННОЙ ОТВЕТСТВЕННОСТЬЮ "АЙКОНФУД"</t>
  </si>
  <si>
    <t>2010-02-24</t>
  </si>
  <si>
    <t>77.40</t>
  </si>
  <si>
    <t>Аренда интеллектуальной собственности и подобной продукции, кроме авторских прав</t>
  </si>
  <si>
    <t>33.14,43.22,43.31,43.32,43.33,43.34,53.20.3,68.10,68.2,68.3,69.10,69.20,70.22,73.11,78.10</t>
  </si>
  <si>
    <t>МЕТЛА ЕЛЕНА ЮРЬЕВНА</t>
  </si>
  <si>
    <t>119121,  Г.МОСКВА, Б-Р СМОЛЕНСКИЙ, Д.13, СТР.6, КОМ.17</t>
  </si>
  <si>
    <t>+74995001518,+74952583520</t>
  </si>
  <si>
    <t>iconfood.ru</t>
  </si>
  <si>
    <t>ООО "НПЛ "ЭНЕРГОСИТ"</t>
  </si>
  <si>
    <t>ОБЩЕСТВО С ОГРАНИЧЕННОЙ ОТВЕТСТВЕННОСТЬЮ "НАУЧНО-ПРАКТИЧЕСКАЯ ЛАБОРАТОРИЯ "ЭНЕРГОЭФФЕКТИВНЫЕ СИСТЕМЫ И ТЕХНОЛОГИИ"</t>
  </si>
  <si>
    <t>33.20</t>
  </si>
  <si>
    <t>Монтаж промышленных машин и оборудования</t>
  </si>
  <si>
    <t>33.12,33.14,35.30,42.21,42.22,42.91,43.21,43.22,47.9,62.01,62.02,71.11.1,71.12,71.12.8,71.20,72.19,74.90</t>
  </si>
  <si>
    <t>НИКОЛАЕВ ВАЛЕНТИН ГЕОРГИЕВИЧ</t>
  </si>
  <si>
    <t>127644,  Г.МОСКВА, УЛ. КЛЯЗЬМИНСКАЯ, Д.11, К.4</t>
  </si>
  <si>
    <t>+74951019317,+79037699112,+74997394003,+74955173887</t>
  </si>
  <si>
    <t>info@energosit.ru</t>
  </si>
  <si>
    <t>ООО "КАМ.ИН"</t>
  </si>
  <si>
    <t>ОБЩЕСТВО С ОГРАНИЧЕННОЙ ОТВЕТСТВЕННОСТЬЮ "КАМ.ИН"</t>
  </si>
  <si>
    <t>2015-09-25</t>
  </si>
  <si>
    <t>43.99.9</t>
  </si>
  <si>
    <t>Работы строительные специализированные, не включенные в другие группировки</t>
  </si>
  <si>
    <t>41.20,43.21,43.29,43.39,43.99.1,43.99.6,46.44.1,46.49,46.74.2,46.90,47.52.71,47.52.72,47.54,47.78,47.99,82.99</t>
  </si>
  <si>
    <t>КАРАЯНИ ГЕННАДИЙ</t>
  </si>
  <si>
    <t>119002, Г.МОСКВА, ВН.ТЕР.Г. МУНИЦИПАЛЬНЫЙ ОКРУГ ХАМОВНИКИ, Б-Р СМОЛЕНСКИЙ, Д. 24, СТР. 2, ПОМЕЩ. 8/3/3</t>
  </si>
  <si>
    <t>+74957201810</t>
  </si>
  <si>
    <t>ООО "ГИДРОМАССАЖСЕРВИС"</t>
  </si>
  <si>
    <t>ОБЩЕСТВО С ОГРАНИЧЕННОЙ ОТВЕТСТВЕННОСТЬЮ "ГИДРОМАССАЖСЕРВИС"</t>
  </si>
  <si>
    <t>2015-10-08</t>
  </si>
  <si>
    <t>43.22</t>
  </si>
  <si>
    <t>Производство санитарно-технических работ, монтаж отопительных систем и систем кондиционирования воздуха</t>
  </si>
  <si>
    <t>33.13,33.14,33.20,35.30.4,35.30.5,41.20,43.21,43.29,43.39,43.99,46.15,46.18,46.43,46.44,46.49,46.74,46.90,47.43,47.52,47.54,47.59,47.9,47.99,81.22,81.29.9,82.99,95.22.1,95.29</t>
  </si>
  <si>
    <t>ЮСУПОВ АЛИК ЗАКАРЖАЕВИЧ</t>
  </si>
  <si>
    <t>119334, Г.МОСКВА, ВН.ТЕР.Г. МУНИЦИПАЛЬНЫЙ ОКРУГ ДОНСКОЙ, ПРОЕЗД 5-Й ДОНСКОЙ, Д. 23, ЭТ/ПОМ 3/VIII, КОМ. 56</t>
  </si>
  <si>
    <t>+74959823530</t>
  </si>
  <si>
    <t>ООО "ТВЕРЬГАЗСТРОЙ"</t>
  </si>
  <si>
    <t>ОБЩЕСТВО С ОГРАНИЧЕННОЙ ОТВЕТСТВЕННОСТЬЮ "ТВЕРЬГАЗСТРОЙ"</t>
  </si>
  <si>
    <t>42.21</t>
  </si>
  <si>
    <t>Строительство инженерных коммуникаций для водоснабжения и водоотведения, газоснабжения</t>
  </si>
  <si>
    <t>25.30,41.10,41.20,42.22.1,42.22.2,43.22,43.29,71.11,71.12,71.20</t>
  </si>
  <si>
    <t>МИХАЙЛОВ СЕРГЕЙ ВЛАДИМИРОВИЧ</t>
  </si>
  <si>
    <t>121087, Г.МОСКВА, ВН.ТЕР.Г. МУНИЦИПАЛЬНЫЙ ОКРУГ ФИЛЕВСКИЙ ПАРК, УЛ ЗАРЕЧНАЯ, Д. 9</t>
  </si>
  <si>
    <t>+79206982224,+79108407007,+74827321509,+74822449362,+74822449363,+74822449151,+79157411114</t>
  </si>
  <si>
    <t>mixailov69@mail.ru,oootgs69@yandex.ru,admzharki@mail.ru,123@mail.ru,tgs69@yandex.ru,ooolgs69@yandex.ru</t>
  </si>
  <si>
    <t>ООО "ПОСТКИНО"</t>
  </si>
  <si>
    <t>ОБЩЕСТВО С ОГРАНИЧЕННОЙ ОТВЕТСТВЕННОСТЬЮ "ПОСТКИНО ПРОДАКШН"</t>
  </si>
  <si>
    <t>47.5,47.9,47.91.1,47.91.2,47.91.3,47.91.4,47.99,59.1,59.13,59.14,60.10,60.20,62.0,62.09,63.11,63.11.1,64.99,64.99.11,64.99.12,64.99.3,64.99.4,68.1,68.10.1,68.10.22,68.20,72.19,73.1,74.20,84.21,85.23,85.42.9,90.01,90.03,93.2</t>
  </si>
  <si>
    <t>ЛЕБЕДЕВА НИНА НИКОЛАЕВНА</t>
  </si>
  <si>
    <t>125315, Г.МОСКВА, ВН.ТЕР.Г. МУНИЦИПАЛЬНЫЙ ОКРУГ СОКОЛ, ПР-КТ ЛЕНИНГРАДСКИЙ, Д. 80Б, К. 3, ПОМЕЩ. 7/Т</t>
  </si>
  <si>
    <t>+74956695534</t>
  </si>
  <si>
    <t>ООО "АЛЬДЕТРАНС"</t>
  </si>
  <si>
    <t>ОБЩЕСТВО С ОГРАНИЧЕННОЙ ОТВЕТСТВЕННОСТЬЮ "АЛЬДЕТРАНС"</t>
  </si>
  <si>
    <t>45.1,45.3,45.40,46.1,46.12,46.6,47.30,49.10,49.20,49.3,49.31,49.4,50.10,50.20,50.20.3,50.20.42,50.30,50.30.2,50.40,50.40.2,51.10.1,51.21.1,52.10,52.21,52.22,52.23,52.24,66.29.9,68.1,70.10.1,70.10.2,70.22,73.11,73.20.1,73.20.2,82.99</t>
  </si>
  <si>
    <t>ЛЕВИЩЕВ АНДРЕЙ СЕРГЕЕВИЧ</t>
  </si>
  <si>
    <t>123308, Г.МОСКВА, ВН.ТЕР.Г. МУНИЦИПАЛЬНЫЙ ОКРУГ ХОРОШЕВО-МНЕВНИКИ, УЛ ДЕМЬЯНА БЕДНОГО, Д. 24, К. 1, ПОМЕЩ. 3/1</t>
  </si>
  <si>
    <t>+74956410389,+74996851886,+79857047311</t>
  </si>
  <si>
    <t>ООО "ПАРУС ФИЛЬМ"</t>
  </si>
  <si>
    <t>ОБЩЕСТВО С ОГРАНИЧЕННОЙ ОТВЕТСТВЕННОСТЬЮ "ПАРУС ФИЛЬМ"</t>
  </si>
  <si>
    <t>41.20,42.22.3,42.91,43.2,43.3,43.99,46.1,46.13,46.73,46.90,59.13,59.14,60.10,60.20,64.9,68.20,71.11.1,73.11,73.12,74.20,77.32,90.01,90.02,90.03,90.04,93.29,93.29.9</t>
  </si>
  <si>
    <t>СОСНОВСКАЯ ЛЮДМИЛА ВИКТОРОВНА</t>
  </si>
  <si>
    <t>125445, Г.МОСКВА, ВН.ТЕР.Г. МУНИЦИПАЛЬНЫЙ ОКРУГ ЛЕВОБЕРЕЖНЫЙ, УЛ БЕЛОМОРСКАЯ, Д. 13, К. 1, ПОМЕЩ. 3/1</t>
  </si>
  <si>
    <t>+79852776077,+74956748738,+79857630078,+74956746444,+74956740724</t>
  </si>
  <si>
    <t>ООО "ПЕРСПЕКТИВА"</t>
  </si>
  <si>
    <t>ОБЩЕСТВО С ОГРАНИЧЕННОЙ ОТВЕТСТВЕННОСТЬЮ "ПЕРСПЕКТИВА"</t>
  </si>
  <si>
    <t>2023-02-20</t>
  </si>
  <si>
    <t>47.91,52.10,52.24,53.20.3,53.20.31,53.20.32,53.20.39,56.10.1,56.10.2,56.10.21,56.10.22,56.10.23,56.10.24,56.10.3,56.21,56.29,56.29.1,56.29.2,56.30,68.10.2,68.20,68.20.2,77.11,77.12</t>
  </si>
  <si>
    <t>МИРЗОЕВ БАХОДУР МЕНГЛИЕВИЧ</t>
  </si>
  <si>
    <t>121099, Г.МОСКВА, ВН.ТЕР.Г. МУНИЦИПАЛЬНЫЙ ОКРУГ АРБАТ, Б-Р НОВИНСКИЙ, Д. 8</t>
  </si>
  <si>
    <t>+79257615757</t>
  </si>
  <si>
    <t>perspectiva@yandex.ru</t>
  </si>
  <si>
    <t>ООО "ТОРТ НА ЗАКАЗ"</t>
  </si>
  <si>
    <t>ОБЩЕСТВО С ОГРАНИЧЕННОЙ ОТВЕТСТВЕННОСТЬЮ "ТОРТ НА ЗАКАЗ"</t>
  </si>
  <si>
    <t>10.71</t>
  </si>
  <si>
    <t>Производство хлеба и мучных кондитерских изделий, тортов и пирожных недлительного хранения</t>
  </si>
  <si>
    <t>46.38,47.24,47.99</t>
  </si>
  <si>
    <t>ХАРИТОНОВА ЛЮДМИЛА НИКОЛАЕВНА</t>
  </si>
  <si>
    <t>107143,  Г.МОСКВА, Ш. ОТКРЫТОЕ, Д. 15, СТР. 16, ПОМ/КОМ. VI/VI</t>
  </si>
  <si>
    <t>+74954345545,+79998847540</t>
  </si>
  <si>
    <t>zakupki-rgmu@yandex.ru,hr@irisdelicia.ru</t>
  </si>
  <si>
    <t>ООО "КИБЕРХАБ"</t>
  </si>
  <si>
    <t>ОБЩЕСТВО С ОГРАНИЧЕННОЙ ОТВЕТСТВЕННОСТЬЮ "КИБЕРХАБ"</t>
  </si>
  <si>
    <t>2015-10-02</t>
  </si>
  <si>
    <t>60.20,61.10,61.10.9,61.20,62.01,62.02,63.11,63.11.1,63.12,63.99.1,72.19,72.20,73.11,82.99,93.11,93.19,93.29</t>
  </si>
  <si>
    <t>ВАРФОЛОМЕЕВ ДМИТРИЙ АЛЕКСЕЕВИЧ</t>
  </si>
  <si>
    <t>125130, Г.МОСКВА, ВН.ТЕР.Г. МУНИЦИПАЛЬНЫЙ ОКРУГ ВОЙКОВСКИЙ, УЛ НАРВСКАЯ, Д. 13, ПОМЕЩ. 1П</t>
  </si>
  <si>
    <t>+74993808570,+79651976903</t>
  </si>
  <si>
    <t>ООО "ПИОН"</t>
  </si>
  <si>
    <t>ОБЩЕСТВО С ОГРАНИЧЕННОЙ ОТВЕТСТВЕННОСТЬЮ "ПИОН"</t>
  </si>
  <si>
    <t>2015-09-03</t>
  </si>
  <si>
    <t>46.34.2,46.34.23,46.35,46.38,46.38.29,46.39,47.11,47.25,47.25.1,47.25.11,47.25.12,47.25.2,47.26,47.29,47.29.3,47.29.39,56.10.1,56.10.3,56.30,94.99</t>
  </si>
  <si>
    <t>БОГДАНОВ АНДРЕЙ ВЛАДИМИРОВИЧ</t>
  </si>
  <si>
    <t>127051,  Г.МОСКВА, Б-Р ЦВЕТНОЙ, Д. 19, СТР. 5</t>
  </si>
  <si>
    <t>+79152120201,+79031507487</t>
  </si>
  <si>
    <t>ООО "РУС ТРЕЙД"</t>
  </si>
  <si>
    <t>ОБЩЕСТВО С ОГРАНИЧЕННОЙ ОТВЕТСТВЕННОСТЬЮ "РУС ТРЕЙД"</t>
  </si>
  <si>
    <t>2021-08-20</t>
  </si>
  <si>
    <t>46.46.2,68.20,68.20.2,77.39.21,77.39.26,77.39.29</t>
  </si>
  <si>
    <t>АНДРЕЕВ ДМИТРИЙ АЛЕКСАНДРОВИЧ</t>
  </si>
  <si>
    <t>125362, Г.МОСКВА, ВН.ТЕР.Г. МУНИЦИПАЛЬНЫЙ ОКРУГ ПОКРОВСКОЕ-СТРЕШНЕВО, УЛ ТУШИНСКАЯ, Д. 11, ПОМЕЩ. 2П</t>
  </si>
  <si>
    <t>+79652623270,+79652623268,+79110091917</t>
  </si>
  <si>
    <t>gg4u@yandex.ru,rustreyd21@mail.ru,rustreyd@mail.ru</t>
  </si>
  <si>
    <t>ООО "СТАР КОМПАНИ СМОЛЕНКА"</t>
  </si>
  <si>
    <t>ОБЩЕСТВО С ОГРАНИЧЕННОЙ ОТВЕТСТВЕННОСТЬЮ "СТАР КОМПАНИ СМОЛЕНКА"</t>
  </si>
  <si>
    <t>2010-01-28</t>
  </si>
  <si>
    <t>46.19,46.49,46.90,47.43,47.54,47.7,47.9,56.10.1,56.10.3,56.29</t>
  </si>
  <si>
    <t>117534, Г.МОСКВА, ВН.ТЕР.Г. МУНИЦИПАЛЬНЫЙ ОКРУГ ЧЕРТАНОВО ЮЖНОЕ, УЛ АКАДЕМИКА ЯНГЕЛЯ, Д. 2, КВ. 402</t>
  </si>
  <si>
    <t>+74959809885</t>
  </si>
  <si>
    <t>ООО "Д-МЕНЕДЖМЕНТ"</t>
  </si>
  <si>
    <t>ОБЩЕСТВО С ОГРАНИЧЕННОЙ ОТВЕТСТВЕННОСТЬЮ "Д-МЕНЕДЖМЕНТ"</t>
  </si>
  <si>
    <t>56.29</t>
  </si>
  <si>
    <t>Деятельность предприятий общественного питания по прочим видам организации питания</t>
  </si>
  <si>
    <t>10.72,10.82.2,46.17.1,46.19,46.31,46.31.11,46.36.2,46.36.3,46.36.4,46.38.26,46.39,46.90,47.11,47.21,47.22,47.23,47.24,47.25.2,47.29.3,47.29.39,47.9,52.10,52.24,56.10,56.10.1,56.10.3,56.21,56.30,70.22,71.20.2,73.11,73.20,77.39.11,77.39.27,82.92</t>
  </si>
  <si>
    <t>ФЕДОРУШКИН АЛЕКСАНДР СЕРГЕЕВИЧ</t>
  </si>
  <si>
    <t>125375,  Г.МОСКВА, Б-Р ТВЕРСКОЙ, Д. 26, ЭТ Т ПОМ I КОМ 45</t>
  </si>
  <si>
    <t>+74956427231</t>
  </si>
  <si>
    <t>ООО "ДОЛ "ОРГРЭС"</t>
  </si>
  <si>
    <t>ОБЩЕСТВО С ОГРАНИЧЕННОЙ ОТВЕТСТВЕННОСТЬЮ "ДЕТСКИЙ ОЗДОРОВИТЕЛЬНЫЙ ЛАГЕРЬ "ОРГРЭС"</t>
  </si>
  <si>
    <t>2015-10-07</t>
  </si>
  <si>
    <t>49.39.13,49.39.32,55.20,55.90,85.41.9,85.42.9,86.90.4</t>
  </si>
  <si>
    <t>СУЧКОВА ЛЮБОВЬ НИКОЛАЕВНА</t>
  </si>
  <si>
    <t>107023,  Г.МОСКВА, ПЕР. СЕМЁНОВСКИЙ, Д. 15, ПОМ I ЭТ 2 КОМ 18</t>
  </si>
  <si>
    <t>+79161389093</t>
  </si>
  <si>
    <t>ООО "ПИР"</t>
  </si>
  <si>
    <t>ОБЩЕСТВО С ОГРАНИЧЕННОЙ ОТВЕТСТВЕННОСТЬЮ "ПИР"</t>
  </si>
  <si>
    <t>10.71,10.72,10.82.2,10.85,18.12,47.24,47.24.2,47.24.21,47.24.22,47.25,47.25.1,47.25.2,47.26,47.29,47.29.39,56.10.1,56.10.3,56.29,56.30,68.32,69.10,69.20,70.22,71.20.2,73.11,73.20,78.10,82.92,93.29,93.29.9</t>
  </si>
  <si>
    <t>МАНАНКИН АЛЕКСЕЙ ВЛАДИМИРОВИЧ</t>
  </si>
  <si>
    <t>127051,  Г.МОСКВА, ПЕР. 1-Й КОЛОБОВСКИЙ, Д. 11, ЭТ ЦОКОЛЬ ПОМ I КОМ 2-10</t>
  </si>
  <si>
    <t>+79037998292</t>
  </si>
  <si>
    <t>ООО "ПРОСВИМ"</t>
  </si>
  <si>
    <t>ОБЩЕСТВО С ОГРАНИЧЕННОЙ ОТВЕТСТВЕННОСТЬЮ "ПРОСВИМ"</t>
  </si>
  <si>
    <t>2010-01-22</t>
  </si>
  <si>
    <t>47.71.5</t>
  </si>
  <si>
    <t>Торговля розничная спортивной одеждой в специализированных магазинах</t>
  </si>
  <si>
    <t>46.42.11,46.42.14,46.42.2,46.49.43,46.90,47.64,47.72.1,82.99,93.19</t>
  </si>
  <si>
    <t>СЕНЕЧКИН МИХАИЛ ВАЛЕРИЕВИЧ</t>
  </si>
  <si>
    <t>ГЕНЕРАЛЬНЫЙ  ДИРЕКТОР</t>
  </si>
  <si>
    <t>129085, Г.МОСКВА, ВН.ТЕР.Г. МУНИЦИПАЛЬНЫЙ ОКРУГ ОСТАНКИНСКИЙ, ПР-КТ МИРА, Д. 101, СТР. 2, ПОМЕЩ. 1/1</t>
  </si>
  <si>
    <t>+74955808295,+74992130194</t>
  </si>
  <si>
    <t>ООО "ТРИУМФ МЕД КОМПАНИ"</t>
  </si>
  <si>
    <t>ОБЩЕСТВО С ОГРАНИЧЕННОЙ ОТВЕТСТВЕННОСТЬЮ "ТРИУМФ МЕД КОМПАНИ"</t>
  </si>
  <si>
    <t>2015-09-07</t>
  </si>
  <si>
    <t>41.20,43.21,43.22,43.29,43.39,43.99,45.1,45.20,45.3,45.40,46.18.1,46.19,46.34,46.35,46.39,46.41,46.41.2,46.42,46.45,46.46.1,46.46.2,46.49,46.62,46.63,46.66,46.69,46.73,46.90,47.11,47.19,47.29,47.43,47.51,47.52,47.54,47.7,47.73,47.74,47.75,47.9,47.91.2,47.91.3,47.91.4,52.10,52.24,52.29,55.10,56.10,56.10.1,56.10.3,62.01,62.02,62.09,63.11,63.11.1,68.10,68.20,68.31,68.32,69.10,69.20,70.22,71.1,71.12.5,71.12.6,71.20,72.19,73.20,77.29.9,77.39.26,79.11,82.99,86.10,95.11</t>
  </si>
  <si>
    <t>ЛЕБЕДЬКОВ МИХАИЛ ЕВГЕНЬЕВИЧ</t>
  </si>
  <si>
    <t>119261,  Г.МОСКВА, УЛ. ПАНФЁРОВА, Д. 16, К. 1, ПОМ III КОМ 2 ОФ 1</t>
  </si>
  <si>
    <t>+79262102545,+79637774666,+79039607558,+78926210254</t>
  </si>
  <si>
    <t>triumf-med@inbox.ru,mlebedkov@gmail.com,7736252352@mail.ru,psv177@bk.ru,lebedkov@bk.ru</t>
  </si>
  <si>
    <t>ООО "МУЗЫКА И КУЛЬТУРА"</t>
  </si>
  <si>
    <t>ОБЩЕСТВО С ОГРАНИЧЕННОЙ ОТВЕТСТВЕННОСТЬЮ "МУЗЫКА И КУЛЬТУРА"</t>
  </si>
  <si>
    <t>18.12,18.20,46.49.32,46.49.41,47.59.5,47.62.1,47.91,58.11,58.11.1,58.13,58.14,58.19,59.20,59.20.3,62.01,62.02,62.02.1,62.02.4,62.03.13,62.09,63.11.1,63.12,63.99,70.21,74.90,85.41,85.42,90.0,90.01,90.03,93.29.9</t>
  </si>
  <si>
    <t>ЕВАРД ИГОРЬ АРКАДЬЕВИЧ</t>
  </si>
  <si>
    <t>115114,  Г.МОСКВА, ПЕР. 1-Й КОЖЕВНИЧЕСКИЙ, Д. 6, СТР. 1, ПОМЕЩ. VIII</t>
  </si>
  <si>
    <t>+74959090103,+74959090102,+74959640050,+74956943891,+79257722274</t>
  </si>
  <si>
    <t>op@muzkult.ru,tender@muzkult.ru,referent@muzkult.ru,rf@medobol.ru,doc@muzkult.ru,dos@muzkult.ru</t>
  </si>
  <si>
    <t>ООО "МЕРКАТОР"</t>
  </si>
  <si>
    <t>ОБЩЕСТВО С ОГРАНИЧЕННОЙ ОТВЕТСТВЕННОСТЬЮ "МЕРКАТОР"</t>
  </si>
  <si>
    <t>2010-02-10</t>
  </si>
  <si>
    <t>18.12,18.2,18.20,18.20,18.20,58.11.3,58.13,58.14,58.19,60.10,60.20,62.01,62.02,62.09,63.11,63.11.1,70.22,73.11,73.20,90.01,93.29</t>
  </si>
  <si>
    <t>КУЦЕНКО НИКИТА ВЛАДИМИРОВИЧ</t>
  </si>
  <si>
    <t>129226, Г.МОСКВА, ВН.ТЕР.Г. МУНИЦИПАЛЬНЫЙ ОКРУГ РОСТОКИНО, УЛ СЕРГЕЯ ЭЙЗЕНШТЕЙНА, Д. 8, СТР. 4</t>
  </si>
  <si>
    <t>+74997030377,+74957888906,+74957030377,+79067701496</t>
  </si>
  <si>
    <t>merkator5@yandex.ru,postman@mercator.ru,studio@merkator.ru,i.sanin@mercator.ru,a.kozlov@mercator.ru</t>
  </si>
  <si>
    <t>ООО "МКС ЭКСПЕРТ"</t>
  </si>
  <si>
    <t>ОБЩЕСТВО С ОГРАНИЧЕННОЙ ОТВЕТСТВЕННОСТЬЮ "МКС ЭКСПЕРТ"</t>
  </si>
  <si>
    <t>ГОРБАЧЕВ ПАВЕЛ МИХАЙЛОВИЧ</t>
  </si>
  <si>
    <t>121471,  Г.МОСКВА, УЛ. МАРШАЛА НЕДЕЛИНА, Д. 40, КВ. 80</t>
  </si>
  <si>
    <t>+74957760077</t>
  </si>
  <si>
    <t>37</t>
  </si>
  <si>
    <t>ООО "ПРОФ-СОЮЗ"</t>
  </si>
  <si>
    <t>ОБЩЕСТВО С ОГРАНИЧЕННОЙ ОТВЕТСТВЕННОСТЬЮ "ПРОФ-СОЮЗ"</t>
  </si>
  <si>
    <t>46.16,46.42,46.42.13,46.49.49,47.91.2,47.91.3,47.91.4,49.4,63.11.1,73.11,96.09</t>
  </si>
  <si>
    <t>МОРОЗОВ КОНСТАНТИН ГЕННАДЬЕВИЧ</t>
  </si>
  <si>
    <t>123022,  Г.МОСКВА, УЛ. 1905 ГОДА, Д. 7, СТР. 1, ЭТ 2 ПОМ II КОМ 15А</t>
  </si>
  <si>
    <t>+79852391333,+79036182693</t>
  </si>
  <si>
    <t>boris.profsouz@mail.ru</t>
  </si>
  <si>
    <t>ООО МЭК "ОПТИМА"</t>
  </si>
  <si>
    <t>ОБЩЕСТВО С ОГРАНИЧЕННОЙ ОТВЕТСТВЕННОСТЬЮ МОНТАЖНО-ЭКСПЛУАТАЦИОННАЯ КОМПАНИЯ "ОПТИМА"</t>
  </si>
  <si>
    <t>2010-01-25</t>
  </si>
  <si>
    <t>25.11,25.12,25.61,25.62,28.22.9,43.21,43.22,43.29,43.99,43.99.1,43.99.2,43.99.4,43.99.5,43.99.9,46.63,46.69.2,46.69.3,71.12,71.12.11,71.12.12,77.32,77.39.23</t>
  </si>
  <si>
    <t>БУЛЫЧЕВ ЕВГЕНИЙ ЛЬВОВИЧ</t>
  </si>
  <si>
    <t>119019,  Г.МОСКВА, УЛ. ЗНАМЕНКА, Д.13, СТР.4</t>
  </si>
  <si>
    <t>+74951961001,+74952310232,+74957443570,+79168875455,+79637161776</t>
  </si>
  <si>
    <t>elb@imc-optima.ru,11gelios888@mail.ru</t>
  </si>
  <si>
    <t>ООО "КОСТА"</t>
  </si>
  <si>
    <t>ОБЩЕСТВО С ОГРАНИЧЕННОЙ ОТВЕТСТВЕННОСТЬЮ "КОСТА"</t>
  </si>
  <si>
    <t>10.13.1,10.13.2,10.13.3,10.13.4,10.13.5,10.13.6,10.13.7,10.71,10.72,47.24,47.25,47.29.3,56.10.1,56.10.3,56.30</t>
  </si>
  <si>
    <t>Костин Александр Сергеевич</t>
  </si>
  <si>
    <t>125047,  Г.МОСКВА, УЛ. 4-Я ТВЕРСКАЯ-ЯМСКАЯ, Д. 13, ПОМЕЩ. II</t>
  </si>
  <si>
    <t>+74991431862,+79161497566</t>
  </si>
  <si>
    <t>ООО  "АВЕНТА-СОФТ"</t>
  </si>
  <si>
    <t>ОБЩЕСТВО С ОГРАНИЧЕННОЙ ОТВЕТСТВЕННОСТЬЮ "АВЕНТА-СОФТ"</t>
  </si>
  <si>
    <t>2010-02-15</t>
  </si>
  <si>
    <t>47.41,62.02,62.09,63.11,63.11.1</t>
  </si>
  <si>
    <t>СУХАНОВ МИХАИЛ АЛЕКСАНДРОВИЧ</t>
  </si>
  <si>
    <t>142205, МОСКОВСКАЯ ОБЛАСТЬ, Г.О. СЕРПУХОВ, Г СЕРПУХОВ, УЛ ДЗЕРЖИНСКОГО, Д. 2Б, К. 2, КВ. 62</t>
  </si>
  <si>
    <t>+79266114691,+74957751160,+74956845574</t>
  </si>
  <si>
    <t>ООО "ЭЛИТ"</t>
  </si>
  <si>
    <t>ОБЩЕСТВО С ОГРАНИЧЕННОЙ ОТВЕТСТВЕННОСТЬЮ "ЭЛИТ"</t>
  </si>
  <si>
    <t>46.1,46.3,46.4,47.1,47.5,47.9,56.10.1,56.10.3,56.29,56.3,73.20.1</t>
  </si>
  <si>
    <t>АЛЬДАКАК МОХАМАД</t>
  </si>
  <si>
    <t>119121,  Г.МОСКВА, Б-Р СМОЛЕНСКИЙ, Д. 3/5, СТР 1А, ЭТ 1 ПОМ I КОМ 1</t>
  </si>
  <si>
    <t>+74957083091,+79636847788</t>
  </si>
  <si>
    <t>ooo-elit-ooo@mail.ru,,gribova.k@mail.ru</t>
  </si>
  <si>
    <t>ООО "ЭСТЕТ-ТВ"</t>
  </si>
  <si>
    <t>ОБЩЕСТВО С ОГРАНИЧЕННОЙ ОТВЕТСТВЕННОСТЬЮ "ЭСТЕТ-ТВ"</t>
  </si>
  <si>
    <t>Деятельность в области телевизионного вещания</t>
  </si>
  <si>
    <t>18.1,58,58.13,58.14,60.10,63.91,70.10.1,70.10.2,70.22,73.11,73.20</t>
  </si>
  <si>
    <t>ЯРКОВА СВЕТЛАНА АЛЕКСАНДРОВНА</t>
  </si>
  <si>
    <t>119048, Г.МОСКВА, ВН.ТЕР.Г. МУНИЦИПАЛЬНЫЙ ОКРУГ ХАМОВНИКИ, УЛ УСАЧЁВА, Д. 3, КВ. 3</t>
  </si>
  <si>
    <t>+74955680640</t>
  </si>
  <si>
    <t>editor@shot-tv.com</t>
  </si>
  <si>
    <t>ООО "МЕДРУСТОРГ"</t>
  </si>
  <si>
    <t>ОБЩЕСТВО С ОГРАНИЧЕННОЙ ОТВЕТСТВЕННОСТЬЮ "МЕДРУСТОРГ"</t>
  </si>
  <si>
    <t>2021-08-10</t>
  </si>
  <si>
    <t>46.46.2,70.22</t>
  </si>
  <si>
    <t>КАРГАНОВ ИГОРЬ ГЕОРГИЕВИЧ</t>
  </si>
  <si>
    <t>119421, Г.МОСКВА, ВН.ТЕР.Г. МУНИЦИПАЛЬНЫЙ ОКРУГ ОБРУЧЕВСКИЙ, УЛ НОВАТОРОВ, Д. 7А, К. 2, ЭТАЖ 1, ПОМЕЩ. 50</t>
  </si>
  <si>
    <t>+79118226665</t>
  </si>
  <si>
    <t>ООО "КАМЕННОЕ ДЕЛО"</t>
  </si>
  <si>
    <t>ОБЩЕСТВО С ОГРАНИЧЕННОЙ ОТВЕТСТВЕННОСТЬЮ "КАМЕННОЕ ДЕЛО"</t>
  </si>
  <si>
    <t>2015-09-11</t>
  </si>
  <si>
    <t>43.33</t>
  </si>
  <si>
    <t>Работы по устройству покрытий полов и облицовке стен</t>
  </si>
  <si>
    <t>16.24,16.29.1,43.12.3,43.21,43.22,43.29,43.31,43.32,43.34,43.39,43.99,43.99.1,47.43,47.52,47.54,47.59,52.29</t>
  </si>
  <si>
    <t>СОЛЕНОВ ВАЛЕРИЙ ВИКТОРОВИЧ</t>
  </si>
  <si>
    <t>125362,  Г.МОСКВА, УЛ. ВОДНИКОВ, ВЛД. 2, СТР. 16, ЭТ/БЛОК/ОФ 1/5/6</t>
  </si>
  <si>
    <t>+79251857939</t>
  </si>
  <si>
    <t>ООО "ТРЕЙД"</t>
  </si>
  <si>
    <t>ОБЩЕСТВО С ОГРАНИЧЕННОЙ ОТВЕТСТВЕННОСТЬЮ "ТРЕЙД"</t>
  </si>
  <si>
    <t>2015-09-16</t>
  </si>
  <si>
    <t>20.12,20.13,20.14,20.14.7,20.16,20.17,20.41,20.41.2,20.41.3,20.41.4,20.59,20.59.4,20.59.5,21.10,46.12,46.43.1,46.44.2,46.45,46.45.1,46.45.2,46.46,46.46.1,46.46.2,46.49,46.69.2,46.75,46.90,47.30.2,47.54,47.73,47.74,47.75,47.75.1,47.75.2,47.78,47.78.9,47.89,47.9,47.91,47.99,49.41,52.10,52.10.2,52.10.9,62.01,68.20,68.20.2,68.20.29</t>
  </si>
  <si>
    <t>СУХОЧЕВ ВЛАДИМИР ПЕТРОВИЧ</t>
  </si>
  <si>
    <t>127006,  Г.МОСКВА, УЛ. ДОЛГОРУКОВСКАЯ, Д. 38, СТР. 1, ПОМ V КОМ 5,6,1 Ч I</t>
  </si>
  <si>
    <t>+74999735050</t>
  </si>
  <si>
    <t>ООО "ДЕЙТЕНИУМ СОФТ"</t>
  </si>
  <si>
    <t>ОБЩЕСТВО С ОГРАНИЧЕННОЙ ОТВЕТСТВЕННОСТЬЮ "ДЕЙТЕНИУМ СОФТ"</t>
  </si>
  <si>
    <t>62.02,62.09,63.1,63.11.1,95.1</t>
  </si>
  <si>
    <t>НИКИШИН АНТОН АЛЕКСЕЕВИЧ</t>
  </si>
  <si>
    <t>115230,  Г.МОСКВА, ПР-Д ЭЛЕКТРОЛИТНЫЙ, Д.1, К.3</t>
  </si>
  <si>
    <t>+79154347971,+74953802728</t>
  </si>
  <si>
    <t>ООО "ТМСТРОЙ"</t>
  </si>
  <si>
    <t>ОБЩЕСТВО С ОГРАНИЧЕННОЙ ОТВЕТСТВЕННОСТЬЮ "ТМСТРОЙ"</t>
  </si>
  <si>
    <t>46.13,46.73.3,46.73.6,46.90,47.19,47.52.5,47.52.7,47.7,47.8,47.9,49.4,52.29</t>
  </si>
  <si>
    <t>ПЕСЕНКО ВЛАДИМИР НИКОЛАЕВИЧ</t>
  </si>
  <si>
    <t>127410, Г.МОСКВА, ВН.ТЕР.Г. МУНИЦИПАЛЬНЫЙ ОКРУГ АЛТУФЬЕВСКИЙ, Ш АЛТУФЬЕВСКОЕ, Д. 79А, СТР. 3, ПОМЕЩ. 18/4</t>
  </si>
  <si>
    <t>+79099724274</t>
  </si>
  <si>
    <t>ООО "РЕАСИСТЕМС"</t>
  </si>
  <si>
    <t>ОБЩЕСТВО С ОГРАНИЧЕННОЙ ОТВЕТСТВЕННОСТЬЮ "РЕАСИСТЕМС"</t>
  </si>
  <si>
    <t>2015-10-06</t>
  </si>
  <si>
    <t>46.18.1,46.18.12,46.46.2,47.73,47.74,47.91,47.91.1,47.91.3,47.91.4,47.99,52.10.9,52.24,53.20.31,62.09,73.11,73.20,77.39.26,82.92,88.10</t>
  </si>
  <si>
    <t>ЛИСОВСКАЯ НАТАЛЬЯ СЕРГЕЕВНА</t>
  </si>
  <si>
    <t>115230, Г.МОСКВА, ВН.ТЕР.Г. МУНИЦИПАЛЬНЫЙ ОКРУГ НАГАТИНО-САДОВНИКИ, Ш ВАРШАВСКОЕ, Д. 47, К. 4, ПОМЕЩ. 19</t>
  </si>
  <si>
    <t>+78496783211,+74996783211,+74956601661</t>
  </si>
  <si>
    <t>lisovskaya.n@reasystems.ru</t>
  </si>
  <si>
    <t>ООО "КТ-РИТЕЙЛ"</t>
  </si>
  <si>
    <t>ОБЩЕСТВО С ОГРАНИЧЕННОЙ ОТВЕТСТВЕННОСТЬЮ "КТ-РИТЕЙЛ"</t>
  </si>
  <si>
    <t>2015-08-26</t>
  </si>
  <si>
    <t>46.15.4,46.18,46.18.9,46.19,46.43.2,46.43.3,46.49,46.49.49,46.90,47.42,47.63.1,47.63.2,47.7,47.78,47.78.9,47.9,47.91.1,47.91.2,47.91.3,47.91.4,62.01,62.02,62.09,63.11.1,73.11,74.30,82.19</t>
  </si>
  <si>
    <t>ХРИСТОФЕРЗЕН АРСЕНИЙ АЛЕКСАНДРОВИЧ</t>
  </si>
  <si>
    <t>115114,  Г.МОСКВА, НАБ. ДЕРБЕНЕВСКАЯ, Д. 11, ПОМЕЩ. 39</t>
  </si>
  <si>
    <t>+79647788888</t>
  </si>
  <si>
    <t>ООО "АКЦЕНТ-СБ СЕРВИС"</t>
  </si>
  <si>
    <t>ОБЩЕСТВО С ОГРАНИЧЕННОЙ ОТВЕТСТВЕННОСТЬЮ "АКЦЕНТ-СБ СЕРВИС"</t>
  </si>
  <si>
    <t>33.14,33.20,35.12,42.21,42.22.2,43.22,43.29,46.90,95.12</t>
  </si>
  <si>
    <t>КОЗЛЕНКО СЕРГЕЙ ВАСИЛЬЕВИЧ</t>
  </si>
  <si>
    <t>111141,  Г.МОСКВА, УЛ. ПЛЕХАНОВА, Д. 17, ЭТАЖ/ОФИС 5/503</t>
  </si>
  <si>
    <t>+79262849650,+74953066708</t>
  </si>
  <si>
    <t>kozlenko@accent-sb.ru,info@accent-sb.ru</t>
  </si>
  <si>
    <t>ООО "КЛИНИКА 7Я"</t>
  </si>
  <si>
    <t>ОБЩЕСТВО С ОГРАНИЧЕННОЙ ОТВЕТСТВЕННОСТЬЮ "КЛИНИКА СЕМЬЯ"</t>
  </si>
  <si>
    <t>21.1,21.10,21.20,21.20.1,21.20.2,26.60.1,46.46,46.46.1,46.46.2,46.49,46.90,47.1,47.11,47.19,47.2,47.25.2,47.41,47.41.4,47.42,47.5,47.51,47.51.1,47.51.2,47.53.3,47.59.1,47.64,47.65,47.7,47.71,47.71.1,47.71.2,47.71.5,47.71.6,47.71.7,47.71.8,47.73,47.74,47.75,47.75.1,47.75.2,47.77,47.78,47.78.1,47.91.1,47.91.2,47.91.3,47.91.4,47.99,71.20.2,77.39.26,82.99,86,86.10,86.23,86.90.4,86.90.9</t>
  </si>
  <si>
    <t>КАШАТНИКОВ КОНСТАНТИН ВЛАДИМИРОВИЧ</t>
  </si>
  <si>
    <t>125252,  Г.МОСКВА, Б-Р ХОДЫНСКИЙ, Д.5, К.4</t>
  </si>
  <si>
    <t>+74997629001,+74957777106,+74997629002,+79055250254</t>
  </si>
  <si>
    <t>info@medionika.ru</t>
  </si>
  <si>
    <t>ООО "ПРОЕКТ К"</t>
  </si>
  <si>
    <t>ОБЩЕСТВО С ОГРАНИЧЕННОЙ ОТВЕТСТВЕННОСТЬЮ "ПРОЕКТ К"</t>
  </si>
  <si>
    <t>2015-08-25</t>
  </si>
  <si>
    <t>41.20,43.99,52.24,52.29,71.1,71.11,71.11.1,71.12.1,71.12.12,71.12.3,71.12.4,71.12.41,71.12.42,71.12.45,71.12.5,71.12.53,71.12.6,71.12.61,71.12.62,71.12.63,71.12.9,74.20,74.30,82.19,82.92,82.99</t>
  </si>
  <si>
    <t>ШВЕДОВ МАКСИМ АЛЕКСАНДРОВИЧ</t>
  </si>
  <si>
    <t>121151,  Г.МОСКВА, УЛ. СТУДЕНЧЕСКАЯ, Д. 15</t>
  </si>
  <si>
    <t>+79161066197,+79104568662</t>
  </si>
  <si>
    <t>ooo_kproject@mail.ru</t>
  </si>
  <si>
    <t>ООО "ЕВРО-ЛАЙН"</t>
  </si>
  <si>
    <t>ОБЩЕСТВО С ОГРАНИЧЕННОЙ ОТВЕТСТВЕННОСТЬЮ "ЕВРО-ЛАЙН"</t>
  </si>
  <si>
    <t>2012-03-29</t>
  </si>
  <si>
    <t>47.91.2,47.91.4,47.99.5,49.3,49.32,53.20.3,68.20,79.90,82.99,96.09</t>
  </si>
  <si>
    <t>КРАМАРЕНКО ЮЛИЯ СЕРГЕЕВНА</t>
  </si>
  <si>
    <t>115583, Г.МОСКВА, ВН.ТЕР.Г. МУНИЦИПАЛЬНЫЙ ОКРУГ ОРЕХОВО-БОРИСОВО ЮЖНОЕ, Ш КАШИРСКОЕ, Д. 65, К. 1, КВ. 284</t>
  </si>
  <si>
    <t>+79268824370</t>
  </si>
  <si>
    <t>ООО  "МАНУКОВ"</t>
  </si>
  <si>
    <t>ОБЩЕСТВО С ОГРАНИЧЕННОЙ ОТВЕТСТВЕННОСТЬЮ "МАНУКОВ"</t>
  </si>
  <si>
    <t>26.60.1,47.73,47.74,47.75</t>
  </si>
  <si>
    <t>МАНУКОВ МИХЕИЛ</t>
  </si>
  <si>
    <t>117218,  Г.МОСКВА, УЛ. КРЖИЖАНОВСКОГО, Д. 15, К. 7, ПОМ II</t>
  </si>
  <si>
    <t>+79104420608,+74991252894,+74992596333,+79031679525</t>
  </si>
  <si>
    <t>mary530-endostom@yandex.ru</t>
  </si>
  <si>
    <t>ООО "ВЕБСПОРТ"</t>
  </si>
  <si>
    <t>ОБЩЕСТВО С ОГРАНИЧЕННОЙ ОТВЕТСТВЕННОСТЬЮ "ВЕБСПОРТ"</t>
  </si>
  <si>
    <t>46.51,46.52,47.41,47.41,58.21,58.29,62.02.1,62.02.2,62.02.3,62.02.4,62.02.9,62.03,62.09,63.11,63.12,63.99.1,95.11,95.12</t>
  </si>
  <si>
    <t>ПАРХОМЕНКО ОЛЕГ ИВАНОВИЧ</t>
  </si>
  <si>
    <t>115230,  Г.МОСКВА, ПР-Д ХЛЕБОЗАВОДСКИЙ, Д. 7, СТР. 9, Э/ПОМ/К/ОФ 5/XII/8/80</t>
  </si>
  <si>
    <t>+79684825960,+79164425596,+79258399729,+77926493779,+79091590585,+79851726456,+79264937799</t>
  </si>
  <si>
    <t>websport2010@gmail.com,info@websport2010.ru,twwy@mail.ru,websport2010@gmail.ru,vebsport@mail.ru,vebspost@mail.ru,websport@gmail.com,ebsport2010@gmail.com,yashin.as@mossport.ru,null@null.ru,wwebsport@mail.ru</t>
  </si>
  <si>
    <t>ООО "ГРИН ХАУС"</t>
  </si>
  <si>
    <t>ОБЩЕСТВО С ОГРАНИЧЕННОЙ ОТВЕТСТВЕННОСТЬЮ "ГРИН ХАУС"</t>
  </si>
  <si>
    <t>47.29.3,56.10.1,56.10.3,56.29,56.30</t>
  </si>
  <si>
    <t>МОЛЧАНОВ АНДРЕЙ ИГОРЕВИЧ</t>
  </si>
  <si>
    <t>101000, Г.МОСКВА, ВН.ТЕР.Г. МУНИЦИПАЛЬНЫЙ ОКРУГ БАСМАННЫЙ, ПЕР БОЛЬШОЙ ЗЛАТОУСТИНСКИЙ, Д. 1, СТР. 1, ПОМЕЩ. 1, КОМ. 9Б</t>
  </si>
  <si>
    <t>+79104273519</t>
  </si>
  <si>
    <t>ООО  "РЕНЕССАНС"</t>
  </si>
  <si>
    <t>ОБЩЕСТВО С ОГРАНИЧЕННОЙ ОТВЕТСТВЕННОСТЬЮ "РЕНЕССАНС"</t>
  </si>
  <si>
    <t>ГРИНЕВИЧ ВИКТОРИЯ АНАТОЛЬЕВНА</t>
  </si>
  <si>
    <t>141800, МОСКОВСКАЯ ОБЛАСТЬ, М.О. ДМИТРОВСКИЙ, Г ДМИТРОВ, УЛ ПРОФЕССИОНАЛЬНАЯ, Д. 5В</t>
  </si>
  <si>
    <t>+79684176477</t>
  </si>
  <si>
    <t>albatros-dmitrov.ru</t>
  </si>
  <si>
    <t>ООО СТОМАТОЛОГИЯ "АМЕЛИЯ"</t>
  </si>
  <si>
    <t>ОБЩЕСТВО С ОГРАНИЧЕННОЙ ОТВЕТСТВЕННОСТЬЮ СТОМАТОЛОГИЯ "АМЕЛИЯ"</t>
  </si>
  <si>
    <t>2010-02-17</t>
  </si>
  <si>
    <t>47.74,47.78,86.90.9,86.90.9</t>
  </si>
  <si>
    <t>ЗУБЧЕНКО АНДРЕЙ СЕМЕНОВИЧ</t>
  </si>
  <si>
    <t>105568,  Г.МОСКВА, Ш. ЭНТУЗИАСТОВ, Д.53</t>
  </si>
  <si>
    <t>+79036272234,+79295416285,+74956657002</t>
  </si>
  <si>
    <t>Признак</t>
  </si>
  <si>
    <t>Вес</t>
  </si>
  <si>
    <t>Обоснование</t>
  </si>
  <si>
    <t>Балл ОКВЭД</t>
  </si>
  <si>
    <t>Балл НР</t>
  </si>
  <si>
    <t>Балл Доп. ОКВЭД</t>
  </si>
  <si>
    <t>Итоговый Балл</t>
  </si>
  <si>
    <t>Режим</t>
  </si>
  <si>
    <t>Балл</t>
  </si>
  <si>
    <t>Сложный учёт, НДС-администрирование — максимальная потребность в консалтинге.</t>
  </si>
  <si>
    <t>Упрощённый учёт — меньшая зависимость от внешнего сопровождения.</t>
  </si>
  <si>
    <t>Нишевый режим, обычно небольшие сельхозкомпании.</t>
  </si>
  <si>
    <t>Основной вид деятельности — самый прямой и надёжный индикатор отраслевой принадлежности лида.</t>
  </si>
  <si>
    <t>Налоговый режим напрямую отражает сложность бухучёта (НДС на ОСН против упрощёнки на УСН).</t>
  </si>
  <si>
    <t>Вторичный, уточняющий сигнал диверсификации бизнеса — не должен перевешивать основной вид деятельности.</t>
  </si>
  <si>
    <t>Налоговый Режим</t>
  </si>
  <si>
    <t>ТИР 1 — 100 баллов (целевые отрасли)</t>
  </si>
  <si>
    <t>ТИР 2 — 60 баллов (смежные отрасли)</t>
  </si>
  <si>
    <t>ТИР 3 — 30 баллов (нейтральные отрасли)</t>
  </si>
  <si>
    <t>ТИР 4 — 0 баллов, СТОП-ФАКТОР (бюджет/НКО)</t>
  </si>
  <si>
    <t>Класс</t>
  </si>
  <si>
    <t>Название (для справки)</t>
  </si>
  <si>
    <t>Аренда и управление собственным или арендованным недвижимым имуществом (148 комп. в базе)</t>
  </si>
  <si>
    <t>Торговля оптовая неспециализированная (102 комп. в базе)</t>
  </si>
  <si>
    <t>Деятельность ресторанов и услуги по доставке продуктов питания (31 комп. в базе)</t>
  </si>
  <si>
    <t>Деятельность органов местного самоуправления муниципальных округов (42 комп. в базе)</t>
  </si>
  <si>
    <t>Стоматологическая практика (37 комп. в базе)</t>
  </si>
  <si>
    <t>Торговля розничная лекарственными средствами в специализированных магазинах (аптеках) (43 комп. в базе)</t>
  </si>
  <si>
    <t>Образование среднее общее (18 комп. в базе)</t>
  </si>
  <si>
    <t>Деятельность прочих общественных организаций и некоммерческих организаций, кроме религиозных и политических организаций (31 комп. в базе)</t>
  </si>
  <si>
    <t>Деятельность заказчика-застройщика, генерального подрядчика (35 комп. в базе)</t>
  </si>
  <si>
    <t>Предоставление прочих финансовых услуг, кроме услуг по страхованию и пенсионному обеспечению, не включенных в другие группировки (24 комп. в базе)</t>
  </si>
  <si>
    <t>Деятельность в области спорта прочая (16 комп. в базе)</t>
  </si>
  <si>
    <t>Деятельность библиотек и архивов (2 комп. в базе)</t>
  </si>
  <si>
    <t>Строительство жилых и нежилых зданий (31 комп. в базе)</t>
  </si>
  <si>
    <t>Деятельность вспомогательная прочая, связанная с перевозками (20 комп. в базе)</t>
  </si>
  <si>
    <t>Деятельность по чистке и уборке жилых зданий и нежилых помещений прочая (15 комп. в базе)</t>
  </si>
  <si>
    <t>Разработка компьютерного программного обеспечения (31 комп. в базе)</t>
  </si>
  <si>
    <t>Торговля розничная легковыми автомобилями и легкими автотранспортными средствами в специализированных магазинах (19 комп. в базе)</t>
  </si>
  <si>
    <t>Деятельность по оказанию услуг в области бухгалтерского учета, по проведению финансового аудита, по налоговому консультированию (11 комп. в базе)</t>
  </si>
  <si>
    <t>Производство колбасных изделий (22 комп. в базе)</t>
  </si>
  <si>
    <t>Деятельность автомобильного грузового транспорта и услуги по перевозкам (18 комп. в базе)</t>
  </si>
  <si>
    <t>Прочие виды полиграфической деятельности (9 комп. в базе)</t>
  </si>
  <si>
    <t>Производство электрической распределительной и регулирующей аппаратуры (21 комп. в базе)</t>
  </si>
  <si>
    <t>Производство электроэнергии тепловыми электростанциями, в том числе деятельность по обеспечению работоспособности электростанций (15 комп. в базе)</t>
  </si>
  <si>
    <t>Деятельность по предоставлению прочих вспомогательных услуг для бизнеса, не включенная в другие группировки (9 комп. в базе)</t>
  </si>
  <si>
    <t>Производство электромонтажных работ (20 комп. в базе)</t>
  </si>
  <si>
    <t>Производство сырого коровьего молока (14 комп. в базе)</t>
  </si>
  <si>
    <t>Деятельность рекламных агентств (8 комп. в базе)</t>
  </si>
  <si>
    <t>Деятельность по созданию и использованию баз данных и информационных ресурсов (10 комп. в базе)</t>
  </si>
  <si>
    <t>Консультирование по вопросам коммерческой деятельности и управления (13 комп. в базе)</t>
  </si>
  <si>
    <t>Деятельность гостиниц и прочих мест для временного проживания (7 комп. в базе)</t>
  </si>
  <si>
    <t>Строительство автомобильных дорог и автомагистралей (6 комп. в базе)</t>
  </si>
  <si>
    <t>Производство машин и оборудования для добычи полезных ископаемых и строительства (12 комп. в базе)</t>
  </si>
  <si>
    <t>Производство кинофильмов, видеофильмов и телевизионных программ (7 комп. в базе)</t>
  </si>
  <si>
    <t>Производство дистиллированных питьевых алкогольных напитков: водки, виски, бренди, джина, ликеров и т. п. (5 комп. в базе)</t>
  </si>
  <si>
    <t>Ремонт машин и оборудования (11 комп. в базе)</t>
  </si>
  <si>
    <t>Деятельность туристических агентств (7 комп. в базе)</t>
  </si>
  <si>
    <t>Деятельность в области связи на базе проводных технологий (10 комп. в базе)</t>
  </si>
  <si>
    <t>Производство прочей мебели (6 комп. в базе)</t>
  </si>
  <si>
    <t>Производство парфюмерных и косметических средств (8 комп. в базе)</t>
  </si>
  <si>
    <t>Предоставление прочих социальных услуг без обеспечения проживания, не включенных в другие группировки (5 комп. в базе)</t>
  </si>
  <si>
    <t>Производство инструментов и приборов для измерения, тестирования и навигации (7 комп. в базе)</t>
  </si>
  <si>
    <t>Стирка и химическая чистка текстильных и меховых изделий (5 комп. в базе)</t>
  </si>
  <si>
    <t>Аренда и лизинг железнодорожного транспорта и оборудования (7 комп. в базе)</t>
  </si>
  <si>
    <t>Издание книг (4 комп. в базе)</t>
  </si>
  <si>
    <t>Производство изделий из бетона, цемента и гипса (6 комп. в базе)</t>
  </si>
  <si>
    <t>Деятельность вспомогательная, связанная с исполнительскими искусствами (4 комп. в базе)</t>
  </si>
  <si>
    <t>Деятельность вспомогательная прочая в сфере страхования, кроме обязательного социального страхования (6 комп. в базе)</t>
  </si>
  <si>
    <t>Деятельность в области фотографии (3 комп. в базе)</t>
  </si>
  <si>
    <t>Научные исследования и разработки в области естественных и технических наук прочие (6 комп. в базе)</t>
  </si>
  <si>
    <t>Деятельность систем обеспечения безопасности (3 комп. в базе)</t>
  </si>
  <si>
    <t>Производство деревянных строительных конструкций и столярных изделий (5 комп. в базе)</t>
  </si>
  <si>
    <t>Ремонт компьютеров и периферийного компьютерного оборудования (3 комп. в базе)</t>
  </si>
  <si>
    <t>Предоставление услуг в области производства прочих пластмассовых изделий (5 комп. в базе)</t>
  </si>
  <si>
    <t>Заготовка, хранение, переработка и реализация лома и отходов черных металлов (2 комп. в базе)</t>
  </si>
  <si>
    <t>Производство автомобилей специального назначения (5 комп. в базе)</t>
  </si>
  <si>
    <t>Деятельность в области радиовещания (2 комп. в базе)</t>
  </si>
  <si>
    <t>Производство гофрированной бумаги и картона, бумажной и картонной тары (4 комп. в базе)</t>
  </si>
  <si>
    <t>Производство спортивных товаров (1 комп. в базе)</t>
  </si>
  <si>
    <t>Производство металлических бочек и аналогичных емкостей (4 комп. в базе)</t>
  </si>
  <si>
    <t>Забор и очистка воды для питьевых и промышленных нужд (1 комп. в базе)</t>
  </si>
  <si>
    <t>Производство спецодежды (3 комп. в базе)</t>
  </si>
  <si>
    <t>Сбор и обработка сточных вод (1 комп. в базе)</t>
  </si>
  <si>
    <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 (3 комп. в базе)</t>
  </si>
  <si>
    <t>Деятельность ветеринарная (1 комп. в базе)</t>
  </si>
  <si>
    <t>Производство материалов, применяемых в медицинских целях (2 комп. в базе)</t>
  </si>
  <si>
    <t>Деятельность по уходу с обеспечением проживания (1 комп. в базе)</t>
  </si>
  <si>
    <t>Перевозка прочих грузов морскими судами каботажного плавания (2 комп. в базе)</t>
  </si>
  <si>
    <t>Перевозка воздушным пассажирским транспортом, подчиняющимся расписанию (2 комп. в базе)</t>
  </si>
  <si>
    <t>Добыча нефти (1 комп. в базе)</t>
  </si>
  <si>
    <t>Разработка гравийных и песчаных карьеров, добыча глины и каолина (1 комп. в базе)</t>
  </si>
  <si>
    <t>Литье чугуна (1 комп. в базе)</t>
  </si>
  <si>
    <t>Тир</t>
  </si>
  <si>
    <t>Смысл</t>
  </si>
  <si>
    <t>Балл_Тир1</t>
  </si>
  <si>
    <t>Целевые отрасли</t>
  </si>
  <si>
    <t>Балл_Тир2</t>
  </si>
  <si>
    <t>Смежные отрасли</t>
  </si>
  <si>
    <t>Балл_Тир3</t>
  </si>
  <si>
    <t>Нейтральные отрасли</t>
  </si>
  <si>
    <t>Балл_Тир4</t>
  </si>
  <si>
    <t>Бюджет/НКО — стоп-фактор</t>
  </si>
  <si>
    <t>Балл при отсутствии данных (пропуск)</t>
  </si>
  <si>
    <t>Требуется ручная проверка</t>
  </si>
  <si>
    <t>Стоп-фактор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</si>
</sst>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Calibri"/>
      <family val="2"/>
      <charset val="204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0"/>
      <name val="Arial"/>
      <family val="2"/>
      <charset val="204"/>
    </font>
    <font>
      <b/>
      <sz val="11"/>
      <color rgb="FF1F3864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color rgb="FF0000FF"/>
      <name val="Arial"/>
      <family val="2"/>
      <charset val="204"/>
    </font>
    <font>
      <i/>
      <sz val="10"/>
      <name val="Arial"/>
      <family val="2"/>
      <charset val="204"/>
    </font>
    <font>
      <i/>
      <sz val="9"/>
      <name val="Arial"/>
      <family val="2"/>
      <charset val="204"/>
    </font>
    <font>
      <b/>
      <sz val="9"/>
      <color rgb="FF595959"/>
      <name val="Arial"/>
      <family val="2"/>
      <charset val="204"/>
    </font>
    <font>
      <i/>
      <sz val="9"/>
      <color rgb="FF595959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1F3864"/>
        <bgColor rgb="FF33333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2E7D32"/>
        <bgColor rgb="FF008000"/>
      </patternFill>
    </fill>
    <fill>
      <patternFill patternType="solid">
        <fgColor rgb="FF2E75B6"/>
        <bgColor rgb="FF0066CC"/>
      </patternFill>
    </fill>
    <fill>
      <patternFill patternType="solid">
        <fgColor rgb="FFBF8F00"/>
        <bgColor rgb="FF808000"/>
      </patternFill>
    </fill>
    <fill>
      <patternFill patternType="solid">
        <fgColor rgb="FFC00000"/>
        <bgColor rgb="FF800000"/>
      </patternFill>
    </fill>
    <fill>
      <patternFill patternType="solid">
        <fgColor rgb="FFF2F2F2"/>
        <bgColor rgb="FFFFFFFF"/>
      </patternFill>
    </fill>
    <fill>
      <patternFill patternType="solid">
        <fgColor rgb="FFFBE2E2"/>
        <b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56">
    <xf numFmtId="0" fontId="0" fillId="0" borderId="0" xfId="0"/>
    <xf numFmtId="1" fontId="1" fillId="2" borderId="1" xfId="1" applyNumberFormat="1" applyFill="1" applyBorder="1" applyAlignment="1">
      <alignment horizontal="left"/>
    </xf>
    <xf numFmtId="0" fontId="2" fillId="0" borderId="1" xfId="1" applyFont="1" applyBorder="1" applyAlignment="1">
      <alignment horizontal="left"/>
    </xf>
    <xf numFmtId="1" fontId="1" fillId="0" borderId="1" xfId="1" applyNumberFormat="1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2" borderId="1" xfId="1" applyNumberFormat="1" applyFill="1" applyBorder="1" applyAlignment="1">
      <alignment horizontal="left"/>
    </xf>
    <xf numFmtId="0" fontId="1" fillId="2" borderId="1" xfId="1" applyFill="1" applyBorder="1" applyAlignment="1">
      <alignment horizontal="left"/>
    </xf>
    <xf numFmtId="3" fontId="1" fillId="2" borderId="1" xfId="1" applyNumberFormat="1" applyFill="1" applyBorder="1" applyAlignment="1">
      <alignment horizontal="left"/>
    </xf>
    <xf numFmtId="0" fontId="1" fillId="0" borderId="1" xfId="1" applyNumberFormat="1" applyBorder="1" applyAlignment="1">
      <alignment horizontal="left"/>
    </xf>
    <xf numFmtId="0" fontId="1" fillId="0" borderId="1" xfId="1" applyBorder="1" applyAlignment="1">
      <alignment horizontal="left"/>
    </xf>
    <xf numFmtId="3" fontId="1" fillId="0" borderId="1" xfId="1" applyNumberFormat="1" applyBorder="1" applyAlignment="1">
      <alignment horizontal="left"/>
    </xf>
    <xf numFmtId="3" fontId="0" fillId="0" borderId="0" xfId="0" applyNumberFormat="1" applyAlignment="1">
      <alignment horizontal="left"/>
    </xf>
    <xf numFmtId="1" fontId="2" fillId="0" borderId="1" xfId="1" applyNumberFormat="1" applyFont="1" applyBorder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3" fillId="0" borderId="0" xfId="0" applyNumberFormat="1" applyFont="1" applyAlignment="1">
      <alignment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2" applyFont="1" applyFill="1" applyBorder="1" applyAlignment="1">
      <alignment horizontal="center" vertical="center" wrapText="1"/>
    </xf>
    <xf numFmtId="0" fontId="8" fillId="0" borderId="2" xfId="2" applyFont="1" applyBorder="1"/>
    <xf numFmtId="0" fontId="8" fillId="0" borderId="2" xfId="2" applyFont="1" applyBorder="1" applyAlignment="1">
      <alignment horizontal="center" vertical="center"/>
    </xf>
    <xf numFmtId="0" fontId="9" fillId="0" borderId="2" xfId="2" applyFont="1" applyBorder="1"/>
    <xf numFmtId="0" fontId="5" fillId="0" borderId="2" xfId="0" applyFont="1" applyBorder="1"/>
    <xf numFmtId="0" fontId="9" fillId="0" borderId="2" xfId="0" applyFont="1" applyBorder="1" applyAlignment="1">
      <alignment vertical="top" wrapText="1"/>
    </xf>
    <xf numFmtId="2" fontId="8" fillId="0" borderId="2" xfId="0" applyNumberFormat="1" applyFont="1" applyBorder="1"/>
    <xf numFmtId="0" fontId="0" fillId="0" borderId="0" xfId="0" applyAlignment="1">
      <alignment horizontal="right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/>
    <xf numFmtId="0" fontId="3" fillId="4" borderId="1" xfId="0" applyFont="1" applyFill="1" applyBorder="1"/>
    <xf numFmtId="0" fontId="0" fillId="4" borderId="1" xfId="0" applyFill="1" applyBorder="1"/>
    <xf numFmtId="0" fontId="8" fillId="10" borderId="2" xfId="2" applyNumberFormat="1" applyFont="1" applyFill="1" applyBorder="1" applyAlignment="1">
      <alignment horizontal="center" vertical="center"/>
    </xf>
    <xf numFmtId="0" fontId="11" fillId="9" borderId="2" xfId="2" applyFont="1" applyFill="1" applyBorder="1" applyAlignment="1">
      <alignment horizontal="center" vertical="center" wrapText="1"/>
    </xf>
    <xf numFmtId="0" fontId="10" fillId="0" borderId="2" xfId="2" applyFont="1" applyBorder="1"/>
    <xf numFmtId="0" fontId="10" fillId="10" borderId="2" xfId="2" applyFont="1" applyFill="1" applyBorder="1"/>
    <xf numFmtId="0" fontId="4" fillId="0" borderId="2" xfId="2" applyBorder="1"/>
    <xf numFmtId="0" fontId="8" fillId="0" borderId="2" xfId="2" applyNumberFormat="1" applyFont="1" applyBorder="1" applyAlignment="1">
      <alignment horizontal="center" vertical="center"/>
    </xf>
    <xf numFmtId="0" fontId="6" fillId="0" borderId="0" xfId="0" applyFont="1"/>
    <xf numFmtId="0" fontId="8" fillId="0" borderId="2" xfId="0" applyFont="1" applyBorder="1" applyAlignment="1">
      <alignment horizontal="center" vertical="center"/>
    </xf>
    <xf numFmtId="0" fontId="9" fillId="0" borderId="2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11" borderId="1" xfId="0" applyFont="1" applyFill="1" applyBorder="1"/>
    <xf numFmtId="0" fontId="3" fillId="0" borderId="3" xfId="0" applyFont="1" applyBorder="1" applyAlignment="1">
      <alignment horizontal="right"/>
    </xf>
    <xf numFmtId="0" fontId="3" fillId="12" borderId="1" xfId="0" applyFont="1" applyFill="1" applyBorder="1"/>
    <xf numFmtId="0" fontId="0" fillId="12" borderId="1" xfId="0" applyFill="1" applyBorder="1"/>
    <xf numFmtId="0" fontId="3" fillId="13" borderId="1" xfId="0" applyFont="1" applyFill="1" applyBorder="1"/>
    <xf numFmtId="0" fontId="0" fillId="13" borderId="1" xfId="0" applyFill="1" applyBorder="1"/>
    <xf numFmtId="2" fontId="1" fillId="0" borderId="1" xfId="1" applyNumberFormat="1" applyBorder="1" applyAlignment="1">
      <alignment horizontal="left"/>
    </xf>
    <xf numFmtId="0" fontId="7" fillId="5" borderId="2" xfId="2" applyFont="1" applyFill="1" applyBorder="1" applyAlignment="1">
      <alignment horizontal="center" vertical="center"/>
    </xf>
    <xf numFmtId="0" fontId="7" fillId="6" borderId="2" xfId="2" applyFont="1" applyFill="1" applyBorder="1" applyAlignment="1">
      <alignment horizontal="center" vertical="center"/>
    </xf>
    <xf numFmtId="0" fontId="7" fillId="7" borderId="2" xfId="2" applyFont="1" applyFill="1" applyBorder="1" applyAlignment="1">
      <alignment horizontal="center" vertical="center"/>
    </xf>
    <xf numFmtId="0" fontId="7" fillId="8" borderId="2" xfId="2" applyFont="1" applyFill="1" applyBorder="1" applyAlignment="1">
      <alignment horizontal="center" vertical="center"/>
    </xf>
    <xf numFmtId="0" fontId="12" fillId="0" borderId="0" xfId="2" applyFont="1" applyBorder="1" applyAlignment="1">
      <alignment vertical="top" wrapText="1"/>
    </xf>
    <xf numFmtId="2" fontId="0" fillId="0" borderId="0" xfId="0" applyNumberFormat="1" applyAlignment="1">
      <alignment horizontal="left"/>
    </xf>
    <xf numFmtId="1" fontId="0" fillId="11" borderId="1" xfId="0" applyNumberFormat="1" applyFill="1" applyBorder="1" applyAlignment="1">
      <alignment horizontal="left"/>
    </xf>
  </cellXfs>
  <cellStyles count="3">
    <cellStyle name="Обычный" xfId="0" builtinId="0"/>
    <cellStyle name="Обычный 2" xfId="1" xr:uid="{6868234E-4A0D-4856-B26A-A41292A89266}"/>
    <cellStyle name="Обычный 3" xfId="2" xr:uid="{F24F11F2-B5DE-45C0-A190-C78C23F31D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B8BCE-BDF6-4373-96F7-43CBA4C9FFA8}">
  <dimension ref="A1:AG1001"/>
  <sheetViews>
    <sheetView zoomScaleNormal="100" workbookViewId="0">
      <selection activeCell="M2" sqref="M2"/>
    </sheetView>
  </sheetViews>
  <sheetFormatPr defaultRowHeight="15" x14ac:dyDescent="0.25"/>
  <cols>
    <col min="1" max="1" width="16.85546875" style="4" customWidth="1"/>
    <col min="2" max="2" width="13.5703125" style="4" customWidth="1"/>
    <col min="3" max="3" width="27.7109375" style="5" customWidth="1"/>
    <col min="4" max="4" width="26.85546875" style="5" customWidth="1"/>
    <col min="5" max="5" width="10.5703125" style="4" customWidth="1"/>
    <col min="6" max="6" width="14.7109375" style="4" customWidth="1"/>
    <col min="7" max="7" width="9.140625" style="4"/>
    <col min="8" max="8" width="11.42578125" style="4" customWidth="1"/>
    <col min="9" max="9" width="11.28515625" style="4" customWidth="1"/>
    <col min="10" max="10" width="15.85546875" style="5" customWidth="1"/>
    <col min="11" max="11" width="16" style="5" customWidth="1"/>
    <col min="12" max="12" width="9.140625" style="4"/>
    <col min="13" max="13" width="26.140625" style="5" customWidth="1"/>
    <col min="14" max="14" width="16.42578125" style="5" customWidth="1"/>
    <col min="15" max="15" width="17.85546875" style="5" customWidth="1"/>
    <col min="16" max="16" width="19.7109375" style="12" customWidth="1"/>
    <col min="17" max="17" width="15.140625" style="5" customWidth="1"/>
    <col min="18" max="18" width="8.28515625" style="5" customWidth="1"/>
    <col min="19" max="19" width="11.85546875" style="5" customWidth="1"/>
    <col min="20" max="20" width="14.5703125" style="5" customWidth="1"/>
    <col min="21" max="21" width="9.140625" style="5"/>
    <col min="22" max="22" width="15.85546875" style="4" customWidth="1"/>
    <col min="23" max="23" width="18.5703125" style="4" customWidth="1"/>
    <col min="24" max="24" width="24.28515625" style="4" customWidth="1"/>
    <col min="25" max="25" width="17.140625" style="4" customWidth="1"/>
    <col min="26" max="26" width="31" style="4" customWidth="1"/>
    <col min="27" max="27" width="31.7109375" style="4" customWidth="1"/>
    <col min="28" max="28" width="19.5703125" style="4" customWidth="1"/>
    <col min="29" max="29" width="31.140625" style="4" customWidth="1"/>
    <col min="30" max="30" width="41.42578125" style="4" customWidth="1"/>
    <col min="31" max="31" width="8" style="5" customWidth="1"/>
    <col min="32" max="32" width="21.5703125" style="5" customWidth="1"/>
    <col min="33" max="33" width="19.5703125" style="5" customWidth="1"/>
    <col min="34" max="16384" width="9.140625" style="5"/>
  </cols>
  <sheetData>
    <row r="1" spans="1:33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2" t="s">
        <v>30</v>
      </c>
      <c r="AF1" s="2" t="s">
        <v>31</v>
      </c>
      <c r="AG1" s="2" t="s">
        <v>32</v>
      </c>
    </row>
    <row r="2" spans="1:33" ht="15.75" x14ac:dyDescent="0.25">
      <c r="A2" s="1">
        <v>1027700092661</v>
      </c>
      <c r="B2" s="6">
        <v>7712040126</v>
      </c>
      <c r="C2" s="7" t="s">
        <v>33</v>
      </c>
      <c r="D2" s="7" t="s">
        <v>34</v>
      </c>
      <c r="E2" s="6">
        <v>29063984</v>
      </c>
      <c r="F2" s="6">
        <v>45286552000</v>
      </c>
      <c r="G2" s="6">
        <v>41</v>
      </c>
      <c r="H2" s="6">
        <v>12247</v>
      </c>
      <c r="I2" s="6">
        <v>770401001</v>
      </c>
      <c r="J2" s="7" t="s">
        <v>36</v>
      </c>
      <c r="K2" s="7"/>
      <c r="L2" s="1" t="s">
        <v>37</v>
      </c>
      <c r="M2" s="7" t="s">
        <v>38</v>
      </c>
      <c r="N2" s="7" t="s">
        <v>39</v>
      </c>
      <c r="O2" s="7" t="s">
        <v>40</v>
      </c>
      <c r="P2" s="8">
        <v>770177090572</v>
      </c>
      <c r="Q2" s="7" t="s">
        <v>41</v>
      </c>
      <c r="R2" s="7" t="s">
        <v>42</v>
      </c>
      <c r="S2" s="7" t="s">
        <v>43</v>
      </c>
      <c r="T2" s="7" t="s">
        <v>44</v>
      </c>
      <c r="U2" s="7" t="s">
        <v>45</v>
      </c>
      <c r="V2" s="1">
        <v>3975771215</v>
      </c>
      <c r="W2" s="1">
        <v>760401133000</v>
      </c>
      <c r="X2" s="1">
        <v>457204966000</v>
      </c>
      <c r="Y2" s="1">
        <v>78738975000</v>
      </c>
      <c r="Z2" s="1">
        <v>135207149000</v>
      </c>
      <c r="AA2" s="1">
        <v>240967255000</v>
      </c>
      <c r="AB2" s="1">
        <v>123037451000</v>
      </c>
      <c r="AC2" s="1">
        <v>-14589929000</v>
      </c>
      <c r="AD2" s="1">
        <v>160180997000</v>
      </c>
      <c r="AE2" s="7"/>
      <c r="AF2" s="7"/>
      <c r="AG2" s="7" t="s">
        <v>46</v>
      </c>
    </row>
    <row r="3" spans="1:33" ht="15.75" x14ac:dyDescent="0.25">
      <c r="A3" s="3">
        <v>1067746341024</v>
      </c>
      <c r="B3" s="9">
        <v>7708591995</v>
      </c>
      <c r="C3" s="10" t="s">
        <v>47</v>
      </c>
      <c r="D3" s="10" t="s">
        <v>48</v>
      </c>
      <c r="E3" s="9">
        <v>94421386</v>
      </c>
      <c r="F3" s="9">
        <v>46483000000</v>
      </c>
      <c r="G3" s="9">
        <v>41</v>
      </c>
      <c r="H3" s="9">
        <v>12247</v>
      </c>
      <c r="I3" s="9">
        <v>504701001</v>
      </c>
      <c r="J3" s="10" t="s">
        <v>49</v>
      </c>
      <c r="K3" s="10"/>
      <c r="L3" s="48">
        <v>52.29</v>
      </c>
      <c r="M3" s="10" t="s">
        <v>51</v>
      </c>
      <c r="N3" s="10" t="s">
        <v>52</v>
      </c>
      <c r="O3" s="10" t="s">
        <v>53</v>
      </c>
      <c r="P3" s="11" t="s">
        <v>54</v>
      </c>
      <c r="Q3" s="10" t="s">
        <v>55</v>
      </c>
      <c r="R3" s="10" t="s">
        <v>56</v>
      </c>
      <c r="S3" s="10" t="s">
        <v>57</v>
      </c>
      <c r="T3" s="10" t="s">
        <v>58</v>
      </c>
      <c r="U3" s="10" t="s">
        <v>59</v>
      </c>
      <c r="V3" s="3">
        <v>13894778000</v>
      </c>
      <c r="W3" s="3">
        <v>159888098000</v>
      </c>
      <c r="X3" s="3">
        <v>122577344000</v>
      </c>
      <c r="Y3" s="3">
        <v>1550744000</v>
      </c>
      <c r="Z3" s="3">
        <v>24634580000</v>
      </c>
      <c r="AA3" s="3">
        <v>13611376000</v>
      </c>
      <c r="AB3" s="3">
        <v>-9221825000</v>
      </c>
      <c r="AC3" s="3">
        <v>9769387000</v>
      </c>
      <c r="AD3" s="3">
        <v>-12214316000</v>
      </c>
      <c r="AE3" s="10"/>
      <c r="AF3" s="10"/>
      <c r="AG3" s="10" t="s">
        <v>46</v>
      </c>
    </row>
    <row r="4" spans="1:33" ht="15.75" x14ac:dyDescent="0.25">
      <c r="A4" s="1">
        <v>1097746772738</v>
      </c>
      <c r="B4" s="6">
        <v>7708709686</v>
      </c>
      <c r="C4" s="7" t="s">
        <v>60</v>
      </c>
      <c r="D4" s="7" t="s">
        <v>61</v>
      </c>
      <c r="E4" s="6">
        <v>94154560</v>
      </c>
      <c r="F4" s="6">
        <v>45286565000</v>
      </c>
      <c r="G4" s="6">
        <v>41</v>
      </c>
      <c r="H4" s="6">
        <v>12267</v>
      </c>
      <c r="I4" s="6">
        <v>770801001</v>
      </c>
      <c r="J4" s="7" t="s">
        <v>62</v>
      </c>
      <c r="K4" s="7"/>
      <c r="L4" s="1" t="s">
        <v>63</v>
      </c>
      <c r="M4" s="7" t="s">
        <v>64</v>
      </c>
      <c r="N4" s="7" t="s">
        <v>65</v>
      </c>
      <c r="O4" s="7" t="s">
        <v>66</v>
      </c>
      <c r="P4" s="8">
        <v>740404334042</v>
      </c>
      <c r="Q4" s="7" t="s">
        <v>41</v>
      </c>
      <c r="R4" s="7" t="s">
        <v>67</v>
      </c>
      <c r="S4" s="7" t="s">
        <v>68</v>
      </c>
      <c r="T4" s="7" t="s">
        <v>69</v>
      </c>
      <c r="U4" s="7" t="s">
        <v>70</v>
      </c>
      <c r="V4" s="1">
        <v>263588838994</v>
      </c>
      <c r="W4" s="1">
        <v>427758435000</v>
      </c>
      <c r="X4" s="1">
        <v>437693243000</v>
      </c>
      <c r="Y4" s="1">
        <v>11603320000</v>
      </c>
      <c r="Z4" s="1">
        <v>24030311000</v>
      </c>
      <c r="AA4" s="1">
        <v>60554694000</v>
      </c>
      <c r="AB4" s="1">
        <v>19596889000</v>
      </c>
      <c r="AC4" s="1">
        <v>45942576000</v>
      </c>
      <c r="AD4" s="1">
        <v>27506070000</v>
      </c>
      <c r="AE4" s="7"/>
      <c r="AF4" s="7"/>
      <c r="AG4" s="7" t="s">
        <v>46</v>
      </c>
    </row>
    <row r="5" spans="1:33" ht="15.75" x14ac:dyDescent="0.25">
      <c r="A5" s="3">
        <v>1067746082546</v>
      </c>
      <c r="B5" s="9">
        <v>7708587205</v>
      </c>
      <c r="C5" s="10" t="s">
        <v>71</v>
      </c>
      <c r="D5" s="10" t="s">
        <v>72</v>
      </c>
      <c r="E5" s="9">
        <v>93287520</v>
      </c>
      <c r="F5" s="9">
        <v>45286555000</v>
      </c>
      <c r="G5" s="9">
        <v>41</v>
      </c>
      <c r="H5" s="9">
        <v>12267</v>
      </c>
      <c r="I5" s="9">
        <v>770901001</v>
      </c>
      <c r="J5" s="10" t="s">
        <v>73</v>
      </c>
      <c r="K5" s="10"/>
      <c r="L5" s="3" t="s">
        <v>74</v>
      </c>
      <c r="M5" s="10" t="s">
        <v>75</v>
      </c>
      <c r="N5" s="10" t="s">
        <v>76</v>
      </c>
      <c r="O5" s="10" t="s">
        <v>77</v>
      </c>
      <c r="P5" s="11">
        <v>150405977663</v>
      </c>
      <c r="Q5" s="10" t="s">
        <v>41</v>
      </c>
      <c r="R5" s="10" t="s">
        <v>78</v>
      </c>
      <c r="S5" s="10" t="s">
        <v>79</v>
      </c>
      <c r="T5" s="10" t="s">
        <v>80</v>
      </c>
      <c r="U5" s="10" t="s">
        <v>81</v>
      </c>
      <c r="V5" s="3">
        <v>14176805000</v>
      </c>
      <c r="W5" s="3">
        <v>117762144000</v>
      </c>
      <c r="X5" s="3">
        <v>5389211000</v>
      </c>
      <c r="Y5" s="3">
        <v>8385986000</v>
      </c>
      <c r="Z5" s="3">
        <v>41310670000</v>
      </c>
      <c r="AA5" s="3">
        <v>73734110000</v>
      </c>
      <c r="AB5" s="3">
        <v>-17820406000</v>
      </c>
      <c r="AC5" s="3">
        <v>-3882051000</v>
      </c>
      <c r="AD5" s="3">
        <v>-11097891000</v>
      </c>
      <c r="AE5" s="10"/>
      <c r="AF5" s="10"/>
      <c r="AG5" s="10" t="s">
        <v>46</v>
      </c>
    </row>
    <row r="6" spans="1:33" ht="15.75" x14ac:dyDescent="0.25">
      <c r="A6" s="1">
        <v>1117746460358</v>
      </c>
      <c r="B6" s="6">
        <v>7704784450</v>
      </c>
      <c r="C6" s="7" t="s">
        <v>82</v>
      </c>
      <c r="D6" s="7" t="s">
        <v>83</v>
      </c>
      <c r="E6" s="6">
        <v>92516444</v>
      </c>
      <c r="F6" s="6">
        <v>45286590000</v>
      </c>
      <c r="G6" s="6">
        <v>16</v>
      </c>
      <c r="H6" s="6">
        <v>12267</v>
      </c>
      <c r="I6" s="6">
        <v>770401001</v>
      </c>
      <c r="J6" s="7" t="s">
        <v>85</v>
      </c>
      <c r="K6" s="7"/>
      <c r="L6" s="1" t="s">
        <v>86</v>
      </c>
      <c r="M6" s="7" t="s">
        <v>87</v>
      </c>
      <c r="N6" s="7" t="s">
        <v>88</v>
      </c>
      <c r="O6" s="7" t="s">
        <v>89</v>
      </c>
      <c r="P6" s="8">
        <v>7704775342</v>
      </c>
      <c r="Q6" s="7" t="s">
        <v>90</v>
      </c>
      <c r="R6" s="7" t="s">
        <v>91</v>
      </c>
      <c r="S6" s="7" t="s">
        <v>92</v>
      </c>
      <c r="T6" s="7" t="s">
        <v>93</v>
      </c>
      <c r="U6" s="7" t="s">
        <v>94</v>
      </c>
      <c r="V6" s="1">
        <v>172491169361</v>
      </c>
      <c r="W6" s="1">
        <v>293934892000</v>
      </c>
      <c r="X6" s="1">
        <v>240926685000</v>
      </c>
      <c r="Y6" s="1">
        <v>14660876000</v>
      </c>
      <c r="Z6" s="1">
        <v>34992223000</v>
      </c>
      <c r="AA6" s="1">
        <v>19752065000</v>
      </c>
      <c r="AB6" s="1">
        <v>67561454000</v>
      </c>
      <c r="AC6" s="1">
        <v>54744900000</v>
      </c>
      <c r="AD6" s="1">
        <v>90248644000</v>
      </c>
      <c r="AE6" s="7"/>
      <c r="AF6" s="7"/>
      <c r="AG6" s="7" t="s">
        <v>46</v>
      </c>
    </row>
    <row r="7" spans="1:33" ht="15.75" x14ac:dyDescent="0.25">
      <c r="A7" s="3">
        <v>5087746119951</v>
      </c>
      <c r="B7" s="9">
        <v>7721632827</v>
      </c>
      <c r="C7" s="10" t="s">
        <v>95</v>
      </c>
      <c r="D7" s="10" t="s">
        <v>96</v>
      </c>
      <c r="E7" s="9">
        <v>8844275</v>
      </c>
      <c r="F7" s="9">
        <v>45290554000</v>
      </c>
      <c r="G7" s="9">
        <v>61</v>
      </c>
      <c r="H7" s="9">
        <v>12267</v>
      </c>
      <c r="I7" s="9">
        <v>772101001</v>
      </c>
      <c r="J7" s="10" t="s">
        <v>98</v>
      </c>
      <c r="K7" s="10"/>
      <c r="L7" s="3" t="s">
        <v>99</v>
      </c>
      <c r="M7" s="10" t="s">
        <v>100</v>
      </c>
      <c r="N7" s="10" t="s">
        <v>101</v>
      </c>
      <c r="O7" s="10" t="s">
        <v>102</v>
      </c>
      <c r="P7" s="11">
        <v>643909165462</v>
      </c>
      <c r="Q7" s="10" t="s">
        <v>41</v>
      </c>
      <c r="R7" s="10" t="s">
        <v>103</v>
      </c>
      <c r="S7" s="10" t="s">
        <v>104</v>
      </c>
      <c r="T7" s="10" t="s">
        <v>105</v>
      </c>
      <c r="U7" s="10" t="s">
        <v>106</v>
      </c>
      <c r="V7" s="3">
        <v>830313906474</v>
      </c>
      <c r="W7" s="3">
        <v>689530314000</v>
      </c>
      <c r="X7" s="3">
        <v>1990136600000</v>
      </c>
      <c r="Y7" s="3">
        <v>82659832000</v>
      </c>
      <c r="Z7" s="3">
        <v>96167823000</v>
      </c>
      <c r="AA7" s="3">
        <v>108998064000</v>
      </c>
      <c r="AB7" s="3">
        <v>133373947000</v>
      </c>
      <c r="AC7" s="3">
        <v>242569601000</v>
      </c>
      <c r="AD7" s="3">
        <v>201913926000</v>
      </c>
      <c r="AE7" s="10"/>
      <c r="AF7" s="10"/>
      <c r="AG7" s="10" t="s">
        <v>46</v>
      </c>
    </row>
    <row r="8" spans="1:33" ht="15.75" x14ac:dyDescent="0.25">
      <c r="A8" s="1">
        <v>5087746570830</v>
      </c>
      <c r="B8" s="6">
        <v>7715729877</v>
      </c>
      <c r="C8" s="7" t="s">
        <v>107</v>
      </c>
      <c r="D8" s="7" t="s">
        <v>108</v>
      </c>
      <c r="E8" s="6">
        <v>94138851</v>
      </c>
      <c r="F8" s="6">
        <v>45280569000</v>
      </c>
      <c r="G8" s="6">
        <v>41</v>
      </c>
      <c r="H8" s="6">
        <v>12267</v>
      </c>
      <c r="I8" s="6">
        <v>771501001</v>
      </c>
      <c r="J8" s="7" t="s">
        <v>109</v>
      </c>
      <c r="K8" s="7"/>
      <c r="L8" s="1" t="s">
        <v>110</v>
      </c>
      <c r="M8" s="7" t="s">
        <v>111</v>
      </c>
      <c r="N8" s="7" t="s">
        <v>112</v>
      </c>
      <c r="O8" s="7" t="s">
        <v>113</v>
      </c>
      <c r="P8" s="8">
        <v>616206292791</v>
      </c>
      <c r="Q8" s="7" t="s">
        <v>41</v>
      </c>
      <c r="R8" s="7" t="s">
        <v>114</v>
      </c>
      <c r="S8" s="7" t="s">
        <v>115</v>
      </c>
      <c r="T8" s="7" t="s">
        <v>116</v>
      </c>
      <c r="U8" s="7" t="s">
        <v>117</v>
      </c>
      <c r="V8" s="1">
        <v>15162764668</v>
      </c>
      <c r="W8" s="1">
        <v>89893496000</v>
      </c>
      <c r="X8" s="1">
        <v>13262416000</v>
      </c>
      <c r="Y8" s="1">
        <v>17597199000</v>
      </c>
      <c r="Z8" s="1">
        <v>37509656000</v>
      </c>
      <c r="AA8" s="1">
        <v>26363392000</v>
      </c>
      <c r="AB8" s="1">
        <v>4067863000</v>
      </c>
      <c r="AC8" s="1">
        <v>9445655000</v>
      </c>
      <c r="AD8" s="1">
        <v>5465281000</v>
      </c>
      <c r="AE8" s="7"/>
      <c r="AF8" s="7"/>
      <c r="AG8" s="7" t="s">
        <v>46</v>
      </c>
    </row>
    <row r="9" spans="1:33" ht="15.75" x14ac:dyDescent="0.25">
      <c r="A9" s="3">
        <v>1057747320278</v>
      </c>
      <c r="B9" s="9">
        <v>7728551528</v>
      </c>
      <c r="C9" s="10" t="s">
        <v>118</v>
      </c>
      <c r="D9" s="10" t="s">
        <v>119</v>
      </c>
      <c r="E9" s="9">
        <v>77522772</v>
      </c>
      <c r="F9" s="9">
        <v>45293566000</v>
      </c>
      <c r="G9" s="9">
        <v>23</v>
      </c>
      <c r="H9" s="9">
        <v>12300</v>
      </c>
      <c r="I9" s="9">
        <v>772801001</v>
      </c>
      <c r="J9" s="10" t="s">
        <v>121</v>
      </c>
      <c r="K9" s="10"/>
      <c r="L9" s="3" t="s">
        <v>122</v>
      </c>
      <c r="M9" s="10" t="s">
        <v>123</v>
      </c>
      <c r="N9" s="10" t="s">
        <v>124</v>
      </c>
      <c r="O9" s="10" t="s">
        <v>125</v>
      </c>
      <c r="P9" s="11">
        <v>772728563630</v>
      </c>
      <c r="Q9" s="10" t="s">
        <v>41</v>
      </c>
      <c r="R9" s="10" t="s">
        <v>126</v>
      </c>
      <c r="S9" s="10" t="s">
        <v>127</v>
      </c>
      <c r="T9" s="10" t="s">
        <v>128</v>
      </c>
      <c r="U9" s="10" t="s">
        <v>129</v>
      </c>
      <c r="V9" s="3">
        <v>261642499</v>
      </c>
      <c r="W9" s="3">
        <v>165625072000</v>
      </c>
      <c r="X9" s="3">
        <v>33077804000</v>
      </c>
      <c r="Y9" s="3">
        <v>44904585000</v>
      </c>
      <c r="Z9" s="3">
        <v>12075061000</v>
      </c>
      <c r="AA9" s="3">
        <v>26105333000</v>
      </c>
      <c r="AB9" s="3">
        <v>4963645000</v>
      </c>
      <c r="AC9" s="3">
        <v>14067088000</v>
      </c>
      <c r="AD9" s="3">
        <v>7112593000</v>
      </c>
      <c r="AE9" s="10"/>
      <c r="AF9" s="10"/>
      <c r="AG9" s="10" t="s">
        <v>46</v>
      </c>
    </row>
    <row r="10" spans="1:33" ht="15.75" x14ac:dyDescent="0.25">
      <c r="A10" s="1">
        <v>1027717003467</v>
      </c>
      <c r="B10" s="6">
        <v>7717133960</v>
      </c>
      <c r="C10" s="7" t="s">
        <v>130</v>
      </c>
      <c r="D10" s="7" t="s">
        <v>131</v>
      </c>
      <c r="E10" s="6">
        <v>59107064</v>
      </c>
      <c r="F10" s="6">
        <v>45286560000</v>
      </c>
      <c r="G10" s="6">
        <v>34</v>
      </c>
      <c r="H10" s="6">
        <v>12247</v>
      </c>
      <c r="I10" s="6">
        <v>770501001</v>
      </c>
      <c r="J10" s="7" t="s">
        <v>133</v>
      </c>
      <c r="K10" s="7"/>
      <c r="L10" s="1" t="s">
        <v>134</v>
      </c>
      <c r="M10" s="7" t="s">
        <v>135</v>
      </c>
      <c r="N10" s="7" t="s">
        <v>136</v>
      </c>
      <c r="O10" s="7" t="s">
        <v>137</v>
      </c>
      <c r="P10" s="8">
        <v>637700276860</v>
      </c>
      <c r="Q10" s="7" t="s">
        <v>138</v>
      </c>
      <c r="R10" s="7" t="s">
        <v>139</v>
      </c>
      <c r="S10" s="7" t="s">
        <v>140</v>
      </c>
      <c r="T10" s="7" t="s">
        <v>141</v>
      </c>
      <c r="U10" s="7" t="s">
        <v>142</v>
      </c>
      <c r="V10" s="1">
        <v>196076000</v>
      </c>
      <c r="W10" s="1">
        <v>221621391000</v>
      </c>
      <c r="X10" s="1">
        <v>104110496000</v>
      </c>
      <c r="Y10" s="1">
        <v>12185993000</v>
      </c>
      <c r="Z10" s="1">
        <v>74520682000</v>
      </c>
      <c r="AA10" s="1">
        <v>124442818000</v>
      </c>
      <c r="AB10" s="1">
        <v>7752425000</v>
      </c>
      <c r="AC10" s="1">
        <v>27792742000</v>
      </c>
      <c r="AD10" s="1">
        <v>1059615000</v>
      </c>
      <c r="AE10" s="7"/>
      <c r="AF10" s="7"/>
      <c r="AG10" s="7" t="s">
        <v>46</v>
      </c>
    </row>
    <row r="11" spans="1:33" ht="15.75" x14ac:dyDescent="0.25">
      <c r="A11" s="3">
        <v>1065009017920</v>
      </c>
      <c r="B11" s="9">
        <v>5009053687</v>
      </c>
      <c r="C11" s="10" t="s">
        <v>143</v>
      </c>
      <c r="D11" s="10" t="s">
        <v>144</v>
      </c>
      <c r="E11" s="9">
        <v>96277539</v>
      </c>
      <c r="F11" s="9">
        <v>45268569000</v>
      </c>
      <c r="G11" s="9">
        <v>16</v>
      </c>
      <c r="H11" s="9">
        <v>12300</v>
      </c>
      <c r="I11" s="9">
        <v>773101001</v>
      </c>
      <c r="J11" s="10" t="s">
        <v>145</v>
      </c>
      <c r="K11" s="10"/>
      <c r="L11" s="3" t="s">
        <v>146</v>
      </c>
      <c r="M11" s="10" t="s">
        <v>147</v>
      </c>
      <c r="N11" s="10" t="s">
        <v>148</v>
      </c>
      <c r="O11" s="10" t="s">
        <v>149</v>
      </c>
      <c r="P11" s="11">
        <v>771800020650</v>
      </c>
      <c r="Q11" s="10" t="s">
        <v>150</v>
      </c>
      <c r="R11" s="10" t="s">
        <v>151</v>
      </c>
      <c r="S11" s="10" t="s">
        <v>152</v>
      </c>
      <c r="T11" s="10" t="s">
        <v>153</v>
      </c>
      <c r="U11" s="10" t="s">
        <v>154</v>
      </c>
      <c r="V11" s="3">
        <v>3646969080</v>
      </c>
      <c r="W11" s="3">
        <v>148369814000</v>
      </c>
      <c r="X11" s="3">
        <v>15480622000</v>
      </c>
      <c r="Y11" s="3">
        <v>7046460000</v>
      </c>
      <c r="Z11" s="3">
        <v>13143887000</v>
      </c>
      <c r="AA11" s="3">
        <v>9103676000</v>
      </c>
      <c r="AB11" s="3">
        <v>5522836000</v>
      </c>
      <c r="AC11" s="3">
        <v>5370557000</v>
      </c>
      <c r="AD11" s="3">
        <v>6870674000</v>
      </c>
      <c r="AE11" s="10"/>
      <c r="AF11" s="10"/>
      <c r="AG11" s="10" t="s">
        <v>46</v>
      </c>
    </row>
    <row r="12" spans="1:33" ht="15.75" x14ac:dyDescent="0.25">
      <c r="A12" s="1">
        <v>1077763638578</v>
      </c>
      <c r="B12" s="6">
        <v>7704670879</v>
      </c>
      <c r="C12" s="7" t="s">
        <v>155</v>
      </c>
      <c r="D12" s="7" t="s">
        <v>156</v>
      </c>
      <c r="E12" s="6">
        <v>84095282</v>
      </c>
      <c r="F12" s="6">
        <v>45296559000</v>
      </c>
      <c r="G12" s="6">
        <v>16</v>
      </c>
      <c r="H12" s="6">
        <v>12267</v>
      </c>
      <c r="I12" s="6">
        <v>772501001</v>
      </c>
      <c r="J12" s="7" t="s">
        <v>157</v>
      </c>
      <c r="K12" s="7"/>
      <c r="L12" s="1" t="s">
        <v>158</v>
      </c>
      <c r="M12" s="7" t="s">
        <v>159</v>
      </c>
      <c r="N12" s="7" t="s">
        <v>160</v>
      </c>
      <c r="O12" s="7" t="s">
        <v>161</v>
      </c>
      <c r="P12" s="8">
        <v>772783125074</v>
      </c>
      <c r="Q12" s="7" t="s">
        <v>162</v>
      </c>
      <c r="R12" s="7" t="s">
        <v>163</v>
      </c>
      <c r="S12" s="7" t="s">
        <v>164</v>
      </c>
      <c r="T12" s="7"/>
      <c r="U12" s="7" t="s">
        <v>165</v>
      </c>
      <c r="V12" s="1">
        <v>4427000000</v>
      </c>
      <c r="W12" s="1">
        <v>445141000</v>
      </c>
      <c r="X12" s="1">
        <v>286911000</v>
      </c>
      <c r="Y12" s="1">
        <v>103947000</v>
      </c>
      <c r="Z12" s="1">
        <v>171202000</v>
      </c>
      <c r="AA12" s="1">
        <v>37444000</v>
      </c>
      <c r="AB12" s="1">
        <v>217104000</v>
      </c>
      <c r="AC12" s="1">
        <v>124168000</v>
      </c>
      <c r="AD12" s="1">
        <v>293173000</v>
      </c>
      <c r="AE12" s="7"/>
      <c r="AF12" s="7" t="s">
        <v>132</v>
      </c>
      <c r="AG12" s="7" t="s">
        <v>46</v>
      </c>
    </row>
    <row r="13" spans="1:33" ht="15.75" x14ac:dyDescent="0.25">
      <c r="A13" s="3">
        <v>1117746491500</v>
      </c>
      <c r="B13" s="9">
        <v>7702764909</v>
      </c>
      <c r="C13" s="10" t="s">
        <v>166</v>
      </c>
      <c r="D13" s="10" t="s">
        <v>167</v>
      </c>
      <c r="E13" s="9">
        <v>92543151</v>
      </c>
      <c r="F13" s="9">
        <v>45286565000</v>
      </c>
      <c r="G13" s="9">
        <v>23</v>
      </c>
      <c r="H13" s="9">
        <v>12300</v>
      </c>
      <c r="I13" s="9">
        <v>770801001</v>
      </c>
      <c r="J13" s="10" t="s">
        <v>168</v>
      </c>
      <c r="K13" s="10"/>
      <c r="L13" s="3" t="s">
        <v>169</v>
      </c>
      <c r="M13" s="10" t="s">
        <v>170</v>
      </c>
      <c r="N13" s="10" t="s">
        <v>171</v>
      </c>
      <c r="O13" s="10" t="s">
        <v>172</v>
      </c>
      <c r="P13" s="11">
        <v>9729299145</v>
      </c>
      <c r="Q13" s="10" t="s">
        <v>90</v>
      </c>
      <c r="R13" s="10" t="s">
        <v>173</v>
      </c>
      <c r="S13" s="10" t="s">
        <v>174</v>
      </c>
      <c r="T13" s="10" t="s">
        <v>175</v>
      </c>
      <c r="U13" s="10" t="s">
        <v>176</v>
      </c>
      <c r="V13" s="3">
        <v>2000000000</v>
      </c>
      <c r="W13" s="3">
        <v>98818597000</v>
      </c>
      <c r="X13" s="3">
        <v>24008361000</v>
      </c>
      <c r="Y13" s="3">
        <v>58953882000</v>
      </c>
      <c r="Z13" s="3">
        <v>16406908000</v>
      </c>
      <c r="AA13" s="3">
        <v>39005199000</v>
      </c>
      <c r="AB13" s="3">
        <v>2265676000</v>
      </c>
      <c r="AC13" s="3">
        <v>2784404000</v>
      </c>
      <c r="AD13" s="3">
        <v>3048046000</v>
      </c>
      <c r="AE13" s="10"/>
      <c r="AF13" s="10"/>
      <c r="AG13" s="10" t="s">
        <v>46</v>
      </c>
    </row>
    <row r="14" spans="1:33" ht="15.75" x14ac:dyDescent="0.25">
      <c r="A14" s="1">
        <v>1037702027670</v>
      </c>
      <c r="B14" s="6">
        <v>7702354081</v>
      </c>
      <c r="C14" s="7" t="s">
        <v>177</v>
      </c>
      <c r="D14" s="7" t="s">
        <v>178</v>
      </c>
      <c r="E14" s="6">
        <v>14666926</v>
      </c>
      <c r="F14" s="6">
        <v>45286555000</v>
      </c>
      <c r="G14" s="6">
        <v>16</v>
      </c>
      <c r="H14" s="6">
        <v>12300</v>
      </c>
      <c r="I14" s="6">
        <v>770901001</v>
      </c>
      <c r="J14" s="7" t="s">
        <v>179</v>
      </c>
      <c r="K14" s="7"/>
      <c r="L14" s="1" t="s">
        <v>180</v>
      </c>
      <c r="M14" s="7" t="s">
        <v>181</v>
      </c>
      <c r="N14" s="7" t="s">
        <v>182</v>
      </c>
      <c r="O14" s="7" t="s">
        <v>183</v>
      </c>
      <c r="P14" s="8">
        <v>590201689550</v>
      </c>
      <c r="Q14" s="7" t="s">
        <v>41</v>
      </c>
      <c r="R14" s="7" t="s">
        <v>184</v>
      </c>
      <c r="S14" s="7" t="s">
        <v>185</v>
      </c>
      <c r="T14" s="7"/>
      <c r="U14" s="7" t="s">
        <v>186</v>
      </c>
      <c r="V14" s="1">
        <v>1437325691</v>
      </c>
      <c r="W14" s="1">
        <v>196514024000</v>
      </c>
      <c r="X14" s="1">
        <v>2594810000</v>
      </c>
      <c r="Y14" s="1">
        <v>5171455000</v>
      </c>
      <c r="Z14" s="1">
        <v>21207903000</v>
      </c>
      <c r="AA14" s="1">
        <v>20026368000</v>
      </c>
      <c r="AB14" s="1">
        <v>9927275000</v>
      </c>
      <c r="AC14" s="1">
        <v>8704071000</v>
      </c>
      <c r="AD14" s="1">
        <v>12115031000</v>
      </c>
      <c r="AE14" s="7"/>
      <c r="AF14" s="7"/>
      <c r="AG14" s="7" t="s">
        <v>46</v>
      </c>
    </row>
    <row r="15" spans="1:33" ht="15.75" x14ac:dyDescent="0.25">
      <c r="A15" s="3">
        <v>1027700050278</v>
      </c>
      <c r="B15" s="9">
        <v>7704228075</v>
      </c>
      <c r="C15" s="10" t="s">
        <v>187</v>
      </c>
      <c r="D15" s="10" t="s">
        <v>188</v>
      </c>
      <c r="E15" s="9">
        <v>57082325</v>
      </c>
      <c r="F15" s="9">
        <v>45296559000</v>
      </c>
      <c r="G15" s="9">
        <v>61</v>
      </c>
      <c r="H15" s="9">
        <v>12267</v>
      </c>
      <c r="I15" s="9">
        <v>772501001</v>
      </c>
      <c r="J15" s="10" t="s">
        <v>189</v>
      </c>
      <c r="K15" s="10"/>
      <c r="L15" s="3" t="s">
        <v>190</v>
      </c>
      <c r="M15" s="10" t="s">
        <v>191</v>
      </c>
      <c r="N15" s="10" t="s">
        <v>192</v>
      </c>
      <c r="O15" s="10" t="s">
        <v>193</v>
      </c>
      <c r="P15" s="11">
        <v>511002181700</v>
      </c>
      <c r="Q15" s="10" t="s">
        <v>41</v>
      </c>
      <c r="R15" s="10" t="s">
        <v>194</v>
      </c>
      <c r="S15" s="10" t="s">
        <v>195</v>
      </c>
      <c r="T15" s="10" t="s">
        <v>196</v>
      </c>
      <c r="U15" s="10" t="s">
        <v>197</v>
      </c>
      <c r="V15" s="3">
        <v>3720000000</v>
      </c>
      <c r="W15" s="3">
        <v>91525482000</v>
      </c>
      <c r="X15" s="3">
        <v>3440924000</v>
      </c>
      <c r="Y15" s="3">
        <v>41834000</v>
      </c>
      <c r="Z15" s="3">
        <v>7311650000</v>
      </c>
      <c r="AA15" s="3">
        <v>9600061000</v>
      </c>
      <c r="AB15" s="3">
        <v>2769557000</v>
      </c>
      <c r="AC15" s="3">
        <v>3651692000</v>
      </c>
      <c r="AD15" s="3">
        <v>3654059000</v>
      </c>
      <c r="AE15" s="10"/>
      <c r="AF15" s="10"/>
      <c r="AG15" s="10" t="s">
        <v>46</v>
      </c>
    </row>
    <row r="16" spans="1:33" ht="15.75" x14ac:dyDescent="0.25">
      <c r="A16" s="1">
        <v>1057746557329</v>
      </c>
      <c r="B16" s="6">
        <v>7736520080</v>
      </c>
      <c r="C16" s="7" t="s">
        <v>198</v>
      </c>
      <c r="D16" s="7" t="s">
        <v>199</v>
      </c>
      <c r="E16" s="6">
        <v>76469930</v>
      </c>
      <c r="F16" s="6">
        <v>45293554000</v>
      </c>
      <c r="G16" s="6">
        <v>16</v>
      </c>
      <c r="H16" s="6">
        <v>12267</v>
      </c>
      <c r="I16" s="6">
        <v>773601001</v>
      </c>
      <c r="J16" s="7" t="s">
        <v>200</v>
      </c>
      <c r="K16" s="7"/>
      <c r="L16" s="1" t="s">
        <v>190</v>
      </c>
      <c r="M16" s="7" t="s">
        <v>191</v>
      </c>
      <c r="N16" s="7" t="s">
        <v>201</v>
      </c>
      <c r="O16" s="7" t="s">
        <v>202</v>
      </c>
      <c r="P16" s="8">
        <v>344402643468</v>
      </c>
      <c r="Q16" s="7" t="s">
        <v>41</v>
      </c>
      <c r="R16" s="7" t="s">
        <v>203</v>
      </c>
      <c r="S16" s="7" t="s">
        <v>204</v>
      </c>
      <c r="T16" s="7" t="s">
        <v>205</v>
      </c>
      <c r="U16" s="7" t="s">
        <v>206</v>
      </c>
      <c r="V16" s="1">
        <v>383004818</v>
      </c>
      <c r="W16" s="1">
        <v>629184846000</v>
      </c>
      <c r="X16" s="1">
        <v>25768124000</v>
      </c>
      <c r="Y16" s="1">
        <v>854380000</v>
      </c>
      <c r="Z16" s="1">
        <v>41285827000</v>
      </c>
      <c r="AA16" s="1">
        <v>79481382000</v>
      </c>
      <c r="AB16" s="1">
        <v>13839669000</v>
      </c>
      <c r="AC16" s="1">
        <v>21836396000</v>
      </c>
      <c r="AD16" s="1">
        <v>20883685000</v>
      </c>
      <c r="AE16" s="7"/>
      <c r="AF16" s="7"/>
      <c r="AG16" s="7" t="s">
        <v>46</v>
      </c>
    </row>
    <row r="17" spans="1:33" ht="15.75" x14ac:dyDescent="0.25">
      <c r="A17" s="3">
        <v>1123444007070</v>
      </c>
      <c r="B17" s="9">
        <v>3444197347</v>
      </c>
      <c r="C17" s="10" t="s">
        <v>207</v>
      </c>
      <c r="D17" s="10" t="s">
        <v>208</v>
      </c>
      <c r="E17" s="9">
        <v>50513259</v>
      </c>
      <c r="F17" s="9">
        <v>45286560000</v>
      </c>
      <c r="G17" s="9">
        <v>16</v>
      </c>
      <c r="H17" s="9">
        <v>12300</v>
      </c>
      <c r="I17" s="9">
        <v>770501001</v>
      </c>
      <c r="J17" s="10" t="s">
        <v>209</v>
      </c>
      <c r="K17" s="10"/>
      <c r="L17" s="3" t="s">
        <v>210</v>
      </c>
      <c r="M17" s="10" t="s">
        <v>211</v>
      </c>
      <c r="N17" s="10" t="s">
        <v>212</v>
      </c>
      <c r="O17" s="10" t="s">
        <v>213</v>
      </c>
      <c r="P17" s="11">
        <v>774306802813</v>
      </c>
      <c r="Q17" s="10" t="s">
        <v>41</v>
      </c>
      <c r="R17" s="10" t="s">
        <v>214</v>
      </c>
      <c r="S17" s="10" t="s">
        <v>215</v>
      </c>
      <c r="T17" s="10" t="s">
        <v>216</v>
      </c>
      <c r="U17" s="10" t="s">
        <v>217</v>
      </c>
      <c r="V17" s="3">
        <v>697000000</v>
      </c>
      <c r="W17" s="3">
        <v>856318766000</v>
      </c>
      <c r="X17" s="3">
        <v>4669695000</v>
      </c>
      <c r="Y17" s="3">
        <v>23974288000</v>
      </c>
      <c r="Z17" s="3">
        <v>67553200000</v>
      </c>
      <c r="AA17" s="3">
        <v>80674971000</v>
      </c>
      <c r="AB17" s="3">
        <v>10505699000</v>
      </c>
      <c r="AC17" s="3">
        <v>14367566000</v>
      </c>
      <c r="AD17" s="3">
        <v>13964255000</v>
      </c>
      <c r="AE17" s="10"/>
      <c r="AF17" s="10"/>
      <c r="AG17" s="10" t="s">
        <v>46</v>
      </c>
    </row>
    <row r="18" spans="1:33" ht="15.75" x14ac:dyDescent="0.25">
      <c r="A18" s="1">
        <v>1027700000679</v>
      </c>
      <c r="B18" s="6">
        <v>7701285928</v>
      </c>
      <c r="C18" s="7" t="s">
        <v>218</v>
      </c>
      <c r="D18" s="7" t="s">
        <v>219</v>
      </c>
      <c r="E18" s="6">
        <v>58388374</v>
      </c>
      <c r="F18" s="6">
        <v>45286570000</v>
      </c>
      <c r="G18" s="6">
        <v>16</v>
      </c>
      <c r="H18" s="6">
        <v>12300</v>
      </c>
      <c r="I18" s="6">
        <v>770201001</v>
      </c>
      <c r="J18" s="7" t="s">
        <v>220</v>
      </c>
      <c r="K18" s="7"/>
      <c r="L18" s="1" t="s">
        <v>146</v>
      </c>
      <c r="M18" s="7" t="s">
        <v>147</v>
      </c>
      <c r="N18" s="7" t="s">
        <v>221</v>
      </c>
      <c r="O18" s="7" t="s">
        <v>222</v>
      </c>
      <c r="P18" s="8">
        <v>27411637338</v>
      </c>
      <c r="Q18" s="7" t="s">
        <v>41</v>
      </c>
      <c r="R18" s="7" t="s">
        <v>223</v>
      </c>
      <c r="S18" s="7" t="s">
        <v>224</v>
      </c>
      <c r="T18" s="7" t="s">
        <v>225</v>
      </c>
      <c r="U18" s="7" t="s">
        <v>226</v>
      </c>
      <c r="V18" s="1">
        <v>2379785955</v>
      </c>
      <c r="W18" s="1">
        <v>267315840000</v>
      </c>
      <c r="X18" s="1">
        <v>32283127000</v>
      </c>
      <c r="Y18" s="1">
        <v>4055671000</v>
      </c>
      <c r="Z18" s="1">
        <v>5727253000</v>
      </c>
      <c r="AA18" s="1">
        <v>15703400000</v>
      </c>
      <c r="AB18" s="1">
        <v>17636607000</v>
      </c>
      <c r="AC18" s="1">
        <v>24890074000</v>
      </c>
      <c r="AD18" s="1">
        <v>23450204000</v>
      </c>
      <c r="AE18" s="7"/>
      <c r="AF18" s="7"/>
      <c r="AG18" s="7" t="s">
        <v>46</v>
      </c>
    </row>
    <row r="19" spans="1:33" ht="15.75" x14ac:dyDescent="0.25">
      <c r="A19" s="3">
        <v>1107746744038</v>
      </c>
      <c r="B19" s="9">
        <v>7743792870</v>
      </c>
      <c r="C19" s="10" t="s">
        <v>227</v>
      </c>
      <c r="D19" s="10" t="s">
        <v>228</v>
      </c>
      <c r="E19" s="9">
        <v>17216218</v>
      </c>
      <c r="F19" s="9">
        <v>45286585000</v>
      </c>
      <c r="G19" s="9">
        <v>16</v>
      </c>
      <c r="H19" s="9">
        <v>12300</v>
      </c>
      <c r="I19" s="9">
        <v>771001001</v>
      </c>
      <c r="J19" s="10" t="s">
        <v>229</v>
      </c>
      <c r="K19" s="10"/>
      <c r="L19" s="3" t="s">
        <v>146</v>
      </c>
      <c r="M19" s="10" t="s">
        <v>147</v>
      </c>
      <c r="N19" s="10" t="s">
        <v>230</v>
      </c>
      <c r="O19" s="10" t="s">
        <v>231</v>
      </c>
      <c r="P19" s="11">
        <v>773423718948</v>
      </c>
      <c r="Q19" s="10" t="s">
        <v>41</v>
      </c>
      <c r="R19" s="10" t="s">
        <v>232</v>
      </c>
      <c r="S19" s="10" t="s">
        <v>233</v>
      </c>
      <c r="T19" s="10" t="s">
        <v>234</v>
      </c>
      <c r="U19" s="10" t="s">
        <v>235</v>
      </c>
      <c r="V19" s="3">
        <v>2964177663</v>
      </c>
      <c r="W19" s="3">
        <v>110040896000</v>
      </c>
      <c r="X19" s="3">
        <v>30805627000</v>
      </c>
      <c r="Y19" s="3">
        <v>4359064000</v>
      </c>
      <c r="Z19" s="3">
        <v>7983458000</v>
      </c>
      <c r="AA19" s="3">
        <v>10698386000</v>
      </c>
      <c r="AB19" s="3">
        <v>1599414000</v>
      </c>
      <c r="AC19" s="3">
        <v>2941281000</v>
      </c>
      <c r="AD19" s="3">
        <v>2161469000</v>
      </c>
      <c r="AE19" s="10"/>
      <c r="AF19" s="10"/>
      <c r="AG19" s="10" t="s">
        <v>46</v>
      </c>
    </row>
    <row r="20" spans="1:33" ht="15.75" x14ac:dyDescent="0.25">
      <c r="A20" s="1">
        <v>1047796118182</v>
      </c>
      <c r="B20" s="6">
        <v>7706525041</v>
      </c>
      <c r="C20" s="7" t="s">
        <v>236</v>
      </c>
      <c r="D20" s="7" t="s">
        <v>237</v>
      </c>
      <c r="E20" s="6">
        <v>72147789</v>
      </c>
      <c r="F20" s="6">
        <v>46439566000</v>
      </c>
      <c r="G20" s="6">
        <v>16</v>
      </c>
      <c r="H20" s="6">
        <v>12300</v>
      </c>
      <c r="I20" s="6">
        <v>502401001</v>
      </c>
      <c r="J20" s="7" t="s">
        <v>238</v>
      </c>
      <c r="K20" s="7"/>
      <c r="L20" s="1" t="s">
        <v>190</v>
      </c>
      <c r="M20" s="7" t="s">
        <v>191</v>
      </c>
      <c r="N20" s="7" t="s">
        <v>239</v>
      </c>
      <c r="O20" s="7" t="s">
        <v>240</v>
      </c>
      <c r="P20" s="8">
        <v>590405256690</v>
      </c>
      <c r="Q20" s="7" t="s">
        <v>41</v>
      </c>
      <c r="R20" s="7" t="s">
        <v>241</v>
      </c>
      <c r="S20" s="7" t="s">
        <v>242</v>
      </c>
      <c r="T20" s="7" t="s">
        <v>243</v>
      </c>
      <c r="U20" s="7" t="s">
        <v>244</v>
      </c>
      <c r="V20" s="1">
        <v>5010000</v>
      </c>
      <c r="W20" s="1">
        <v>155711309000</v>
      </c>
      <c r="X20" s="1">
        <v>279773000</v>
      </c>
      <c r="Y20" s="1">
        <v>177000</v>
      </c>
      <c r="Z20" s="1">
        <v>9509601000</v>
      </c>
      <c r="AA20" s="1">
        <v>16070179000</v>
      </c>
      <c r="AB20" s="1">
        <v>10457635000</v>
      </c>
      <c r="AC20" s="1">
        <v>5836302000</v>
      </c>
      <c r="AD20" s="1">
        <v>14031060000</v>
      </c>
      <c r="AE20" s="7"/>
      <c r="AF20" s="7"/>
      <c r="AG20" s="7" t="s">
        <v>46</v>
      </c>
    </row>
    <row r="21" spans="1:33" ht="15.75" x14ac:dyDescent="0.25">
      <c r="A21" s="3">
        <v>1117746105400</v>
      </c>
      <c r="B21" s="9">
        <v>7707743204</v>
      </c>
      <c r="C21" s="10" t="s">
        <v>245</v>
      </c>
      <c r="D21" s="10" t="s">
        <v>246</v>
      </c>
      <c r="E21" s="9">
        <v>90531706</v>
      </c>
      <c r="F21" s="9">
        <v>45286585000</v>
      </c>
      <c r="G21" s="9">
        <v>34</v>
      </c>
      <c r="H21" s="9">
        <v>12267</v>
      </c>
      <c r="I21" s="9">
        <v>770701001</v>
      </c>
      <c r="J21" s="10" t="s">
        <v>247</v>
      </c>
      <c r="K21" s="10"/>
      <c r="L21" s="3" t="s">
        <v>180</v>
      </c>
      <c r="M21" s="10" t="s">
        <v>181</v>
      </c>
      <c r="N21" s="10" t="s">
        <v>248</v>
      </c>
      <c r="O21" s="10" t="s">
        <v>249</v>
      </c>
      <c r="P21" s="11">
        <v>623002845248</v>
      </c>
      <c r="Q21" s="10" t="s">
        <v>41</v>
      </c>
      <c r="R21" s="10" t="s">
        <v>250</v>
      </c>
      <c r="S21" s="10" t="s">
        <v>251</v>
      </c>
      <c r="T21" s="10" t="s">
        <v>252</v>
      </c>
      <c r="U21" s="10" t="s">
        <v>253</v>
      </c>
      <c r="V21" s="3">
        <v>20000000</v>
      </c>
      <c r="W21" s="3">
        <v>297264349000</v>
      </c>
      <c r="X21" s="3">
        <v>393142000</v>
      </c>
      <c r="Y21" s="3">
        <v>6866107000</v>
      </c>
      <c r="Z21" s="3">
        <v>46405227000</v>
      </c>
      <c r="AA21" s="3">
        <v>28374720000</v>
      </c>
      <c r="AB21" s="3">
        <v>9346312000</v>
      </c>
      <c r="AC21" s="3">
        <v>23413924000</v>
      </c>
      <c r="AD21" s="3">
        <v>12217038000</v>
      </c>
      <c r="AE21" s="10"/>
      <c r="AF21" s="10"/>
      <c r="AG21" s="10" t="s">
        <v>46</v>
      </c>
    </row>
    <row r="22" spans="1:33" ht="15.75" x14ac:dyDescent="0.25">
      <c r="A22" s="1">
        <v>1087746480348</v>
      </c>
      <c r="B22" s="6">
        <v>7704685184</v>
      </c>
      <c r="C22" s="7" t="s">
        <v>254</v>
      </c>
      <c r="D22" s="7" t="s">
        <v>255</v>
      </c>
      <c r="E22" s="6">
        <v>85741809</v>
      </c>
      <c r="F22" s="6">
        <v>45286585000</v>
      </c>
      <c r="G22" s="6">
        <v>16</v>
      </c>
      <c r="H22" s="6">
        <v>12267</v>
      </c>
      <c r="I22" s="6">
        <v>771001001</v>
      </c>
      <c r="J22" s="7" t="s">
        <v>256</v>
      </c>
      <c r="K22" s="7"/>
      <c r="L22" s="1" t="s">
        <v>257</v>
      </c>
      <c r="M22" s="7" t="s">
        <v>258</v>
      </c>
      <c r="N22" s="7" t="s">
        <v>259</v>
      </c>
      <c r="O22" s="7" t="s">
        <v>260</v>
      </c>
      <c r="P22" s="8">
        <v>860301402225</v>
      </c>
      <c r="Q22" s="7" t="s">
        <v>41</v>
      </c>
      <c r="R22" s="7" t="s">
        <v>261</v>
      </c>
      <c r="S22" s="7" t="s">
        <v>262</v>
      </c>
      <c r="T22" s="7" t="s">
        <v>263</v>
      </c>
      <c r="U22" s="7"/>
      <c r="V22" s="1">
        <v>55000000</v>
      </c>
      <c r="W22" s="1">
        <v>89133427000</v>
      </c>
      <c r="X22" s="1">
        <v>976182000</v>
      </c>
      <c r="Y22" s="1">
        <v>193000</v>
      </c>
      <c r="Z22" s="1">
        <v>54767601000</v>
      </c>
      <c r="AA22" s="1">
        <v>109184387000</v>
      </c>
      <c r="AB22" s="1">
        <v>-4678875000</v>
      </c>
      <c r="AC22" s="1">
        <v>3355955000</v>
      </c>
      <c r="AD22" s="1">
        <v>-5727520000</v>
      </c>
      <c r="AE22" s="7"/>
      <c r="AF22" s="7"/>
      <c r="AG22" s="7" t="s">
        <v>46</v>
      </c>
    </row>
    <row r="23" spans="1:33" ht="15.75" x14ac:dyDescent="0.25">
      <c r="A23" s="3">
        <v>1157746958830</v>
      </c>
      <c r="B23" s="9">
        <v>7724338125</v>
      </c>
      <c r="C23" s="10" t="s">
        <v>264</v>
      </c>
      <c r="D23" s="10" t="s">
        <v>265</v>
      </c>
      <c r="E23" s="9">
        <v>51207582</v>
      </c>
      <c r="F23" s="9">
        <v>45296571000</v>
      </c>
      <c r="G23" s="9">
        <v>16</v>
      </c>
      <c r="H23" s="9">
        <v>12300</v>
      </c>
      <c r="I23" s="9">
        <v>772401001</v>
      </c>
      <c r="J23" s="10" t="s">
        <v>266</v>
      </c>
      <c r="K23" s="10"/>
      <c r="L23" s="3" t="s">
        <v>267</v>
      </c>
      <c r="M23" s="10" t="s">
        <v>268</v>
      </c>
      <c r="N23" s="10" t="s">
        <v>269</v>
      </c>
      <c r="O23" s="10" t="s">
        <v>270</v>
      </c>
      <c r="P23" s="11">
        <v>232307152273</v>
      </c>
      <c r="Q23" s="10" t="s">
        <v>41</v>
      </c>
      <c r="R23" s="10" t="s">
        <v>271</v>
      </c>
      <c r="S23" s="10" t="s">
        <v>272</v>
      </c>
      <c r="T23" s="10"/>
      <c r="U23" s="10" t="s">
        <v>273</v>
      </c>
      <c r="V23" s="3">
        <v>100000000</v>
      </c>
      <c r="W23" s="3">
        <v>102474602000</v>
      </c>
      <c r="X23" s="3">
        <v>4378373000</v>
      </c>
      <c r="Y23" s="3">
        <v>27018478000</v>
      </c>
      <c r="Z23" s="3">
        <v>31901047000</v>
      </c>
      <c r="AA23" s="3">
        <v>24670520000</v>
      </c>
      <c r="AB23" s="3">
        <v>2048524000</v>
      </c>
      <c r="AC23" s="3">
        <v>7417390000</v>
      </c>
      <c r="AD23" s="3">
        <v>2814624000</v>
      </c>
      <c r="AE23" s="10"/>
      <c r="AF23" s="10"/>
      <c r="AG23" s="10" t="s">
        <v>46</v>
      </c>
    </row>
    <row r="24" spans="1:33" ht="15.75" x14ac:dyDescent="0.25">
      <c r="A24" s="3">
        <v>1147746128694</v>
      </c>
      <c r="B24" s="9">
        <v>7725819008</v>
      </c>
      <c r="C24" s="10" t="s">
        <v>274</v>
      </c>
      <c r="D24" s="10" t="s">
        <v>275</v>
      </c>
      <c r="E24" s="9">
        <v>28946948</v>
      </c>
      <c r="F24" s="9">
        <v>45293578000</v>
      </c>
      <c r="G24" s="9">
        <v>16</v>
      </c>
      <c r="H24" s="9">
        <v>12300</v>
      </c>
      <c r="I24" s="9">
        <v>772801001</v>
      </c>
      <c r="J24" s="10" t="s">
        <v>276</v>
      </c>
      <c r="K24" s="10"/>
      <c r="L24" s="3" t="s">
        <v>277</v>
      </c>
      <c r="M24" s="10" t="s">
        <v>278</v>
      </c>
      <c r="N24" s="10" t="s">
        <v>279</v>
      </c>
      <c r="O24" s="10" t="s">
        <v>280</v>
      </c>
      <c r="P24" s="11">
        <v>770470783064</v>
      </c>
      <c r="Q24" s="10" t="s">
        <v>41</v>
      </c>
      <c r="R24" s="10" t="s">
        <v>281</v>
      </c>
      <c r="S24" s="10" t="s">
        <v>282</v>
      </c>
      <c r="T24" s="10"/>
      <c r="U24" s="10"/>
      <c r="V24" s="3">
        <v>2198902242</v>
      </c>
      <c r="W24" s="3">
        <v>707049000</v>
      </c>
      <c r="X24" s="3">
        <v>516551000</v>
      </c>
      <c r="Y24" s="3">
        <v>25207000</v>
      </c>
      <c r="Z24" s="3">
        <v>42561000</v>
      </c>
      <c r="AA24" s="3">
        <v>158705000</v>
      </c>
      <c r="AB24" s="3">
        <v>-109939000</v>
      </c>
      <c r="AC24" s="3">
        <v>-43974000</v>
      </c>
      <c r="AD24" s="3">
        <v>-132610000</v>
      </c>
      <c r="AE24" s="10"/>
      <c r="AF24" s="10" t="s">
        <v>283</v>
      </c>
      <c r="AG24" s="10" t="s">
        <v>46</v>
      </c>
    </row>
    <row r="25" spans="1:33" ht="15.75" x14ac:dyDescent="0.25">
      <c r="A25" s="1">
        <v>1117746708078</v>
      </c>
      <c r="B25" s="6">
        <v>7705961278</v>
      </c>
      <c r="C25" s="7" t="s">
        <v>284</v>
      </c>
      <c r="D25" s="7" t="s">
        <v>285</v>
      </c>
      <c r="E25" s="6">
        <v>2839020</v>
      </c>
      <c r="F25" s="6">
        <v>45277598000</v>
      </c>
      <c r="G25" s="6">
        <v>12</v>
      </c>
      <c r="H25" s="6">
        <v>12267</v>
      </c>
      <c r="I25" s="6">
        <v>771401001</v>
      </c>
      <c r="J25" s="7" t="s">
        <v>287</v>
      </c>
      <c r="K25" s="7"/>
      <c r="L25" s="1" t="s">
        <v>288</v>
      </c>
      <c r="M25" s="7" t="s">
        <v>289</v>
      </c>
      <c r="N25" s="7" t="s">
        <v>290</v>
      </c>
      <c r="O25" s="7" t="s">
        <v>291</v>
      </c>
      <c r="P25" s="8">
        <v>773128953616</v>
      </c>
      <c r="Q25" s="7" t="s">
        <v>41</v>
      </c>
      <c r="R25" s="7" t="s">
        <v>292</v>
      </c>
      <c r="S25" s="7" t="s">
        <v>293</v>
      </c>
      <c r="T25" s="7" t="s">
        <v>294</v>
      </c>
      <c r="U25" s="7" t="s">
        <v>295</v>
      </c>
      <c r="V25" s="1">
        <v>1739643000</v>
      </c>
      <c r="W25" s="1">
        <v>1720796000</v>
      </c>
      <c r="X25" s="1">
        <v>66038000</v>
      </c>
      <c r="Y25" s="1">
        <v>64711000</v>
      </c>
      <c r="Z25" s="1">
        <v>1481485000</v>
      </c>
      <c r="AA25" s="1">
        <v>3190715000</v>
      </c>
      <c r="AB25" s="1">
        <v>1927000</v>
      </c>
      <c r="AC25" s="1">
        <v>-9441000</v>
      </c>
      <c r="AD25" s="1">
        <v>12225000</v>
      </c>
      <c r="AE25" s="7"/>
      <c r="AF25" s="7" t="s">
        <v>296</v>
      </c>
      <c r="AG25" s="7" t="s">
        <v>46</v>
      </c>
    </row>
    <row r="26" spans="1:33" ht="15.75" x14ac:dyDescent="0.25">
      <c r="A26" s="3">
        <v>1037739941227</v>
      </c>
      <c r="B26" s="9">
        <v>7705568878</v>
      </c>
      <c r="C26" s="10" t="s">
        <v>297</v>
      </c>
      <c r="D26" s="10" t="s">
        <v>298</v>
      </c>
      <c r="E26" s="9">
        <v>71593328</v>
      </c>
      <c r="F26" s="9">
        <v>45286565000</v>
      </c>
      <c r="G26" s="9">
        <v>16</v>
      </c>
      <c r="H26" s="9">
        <v>12267</v>
      </c>
      <c r="I26" s="9">
        <v>770801001</v>
      </c>
      <c r="J26" s="10" t="s">
        <v>299</v>
      </c>
      <c r="K26" s="10"/>
      <c r="L26" s="3" t="s">
        <v>300</v>
      </c>
      <c r="M26" s="10" t="s">
        <v>301</v>
      </c>
      <c r="N26" s="10" t="s">
        <v>302</v>
      </c>
      <c r="O26" s="10" t="s">
        <v>303</v>
      </c>
      <c r="P26" s="11">
        <v>772700728603</v>
      </c>
      <c r="Q26" s="10" t="s">
        <v>41</v>
      </c>
      <c r="R26" s="10" t="s">
        <v>304</v>
      </c>
      <c r="S26" s="10" t="s">
        <v>305</v>
      </c>
      <c r="T26" s="10"/>
      <c r="U26" s="10" t="s">
        <v>306</v>
      </c>
      <c r="V26" s="3">
        <v>5446257100</v>
      </c>
      <c r="W26" s="3">
        <v>261246000</v>
      </c>
      <c r="X26" s="3">
        <v>23684000</v>
      </c>
      <c r="Y26" s="3">
        <v>0</v>
      </c>
      <c r="Z26" s="3">
        <v>585380000</v>
      </c>
      <c r="AA26" s="3">
        <v>6547028000</v>
      </c>
      <c r="AB26" s="3">
        <v>3935822000</v>
      </c>
      <c r="AC26" s="3">
        <v>-5151000</v>
      </c>
      <c r="AD26" s="3">
        <v>3981045000</v>
      </c>
      <c r="AE26" s="10"/>
      <c r="AF26" s="10" t="s">
        <v>307</v>
      </c>
      <c r="AG26" s="10" t="s">
        <v>46</v>
      </c>
    </row>
    <row r="27" spans="1:33" ht="15.75" x14ac:dyDescent="0.25">
      <c r="A27" s="1">
        <v>1035001602570</v>
      </c>
      <c r="B27" s="6">
        <v>5007032441</v>
      </c>
      <c r="C27" s="7" t="s">
        <v>308</v>
      </c>
      <c r="D27" s="7" t="s">
        <v>309</v>
      </c>
      <c r="E27" s="6">
        <v>3509402</v>
      </c>
      <c r="F27" s="6">
        <v>46415000499</v>
      </c>
      <c r="G27" s="6">
        <v>16</v>
      </c>
      <c r="H27" s="6">
        <v>12267</v>
      </c>
      <c r="I27" s="6">
        <v>500701001</v>
      </c>
      <c r="J27" s="7" t="s">
        <v>310</v>
      </c>
      <c r="K27" s="7"/>
      <c r="L27" s="1" t="s">
        <v>311</v>
      </c>
      <c r="M27" s="7" t="s">
        <v>312</v>
      </c>
      <c r="N27" s="7" t="s">
        <v>313</v>
      </c>
      <c r="O27" s="7" t="s">
        <v>314</v>
      </c>
      <c r="P27" s="8">
        <v>772580524669</v>
      </c>
      <c r="Q27" s="7" t="s">
        <v>41</v>
      </c>
      <c r="R27" s="7" t="s">
        <v>315</v>
      </c>
      <c r="S27" s="7" t="s">
        <v>316</v>
      </c>
      <c r="T27" s="7"/>
      <c r="U27" s="7"/>
      <c r="V27" s="1">
        <v>1649943000</v>
      </c>
      <c r="W27" s="1">
        <v>264331000</v>
      </c>
      <c r="X27" s="1">
        <v>0</v>
      </c>
      <c r="Y27" s="1">
        <v>567858000</v>
      </c>
      <c r="Z27" s="1">
        <v>1274240000</v>
      </c>
      <c r="AA27" s="1">
        <v>6061000</v>
      </c>
      <c r="AB27" s="1">
        <v>-431443000</v>
      </c>
      <c r="AC27" s="1">
        <v>-205576000</v>
      </c>
      <c r="AD27" s="1">
        <v>-431443000</v>
      </c>
      <c r="AE27" s="7" t="s">
        <v>317</v>
      </c>
      <c r="AF27" s="7" t="s">
        <v>318</v>
      </c>
      <c r="AG27" s="7" t="s">
        <v>319</v>
      </c>
    </row>
    <row r="28" spans="1:33" ht="15.75" x14ac:dyDescent="0.25">
      <c r="A28" s="3">
        <v>1035001610808</v>
      </c>
      <c r="B28" s="9">
        <v>5007041559</v>
      </c>
      <c r="C28" s="10" t="s">
        <v>320</v>
      </c>
      <c r="D28" s="10" t="s">
        <v>321</v>
      </c>
      <c r="E28" s="9">
        <v>13369267</v>
      </c>
      <c r="F28" s="9">
        <v>46415000329</v>
      </c>
      <c r="G28" s="9">
        <v>16</v>
      </c>
      <c r="H28" s="9">
        <v>12300</v>
      </c>
      <c r="I28" s="9">
        <v>500701001</v>
      </c>
      <c r="J28" s="10" t="s">
        <v>322</v>
      </c>
      <c r="K28" s="10"/>
      <c r="L28" s="3" t="s">
        <v>323</v>
      </c>
      <c r="M28" s="10" t="s">
        <v>324</v>
      </c>
      <c r="N28" s="10" t="s">
        <v>325</v>
      </c>
      <c r="O28" s="10" t="s">
        <v>326</v>
      </c>
      <c r="P28" s="11">
        <v>771526598212</v>
      </c>
      <c r="Q28" s="10" t="s">
        <v>41</v>
      </c>
      <c r="R28" s="10" t="s">
        <v>327</v>
      </c>
      <c r="S28" s="10" t="s">
        <v>328</v>
      </c>
      <c r="T28" s="10" t="s">
        <v>329</v>
      </c>
      <c r="U28" s="10" t="s">
        <v>330</v>
      </c>
      <c r="V28" s="3">
        <v>240000000</v>
      </c>
      <c r="W28" s="3">
        <v>160710000</v>
      </c>
      <c r="X28" s="3">
        <v>38291000</v>
      </c>
      <c r="Y28" s="3">
        <v>8661000</v>
      </c>
      <c r="Z28" s="3">
        <v>66395000</v>
      </c>
      <c r="AA28" s="3">
        <v>141278000</v>
      </c>
      <c r="AB28" s="3">
        <v>-742000</v>
      </c>
      <c r="AC28" s="3">
        <v>-27854000</v>
      </c>
      <c r="AD28" s="3">
        <v>-127000</v>
      </c>
      <c r="AE28" s="10" t="s">
        <v>331</v>
      </c>
      <c r="AF28" s="10" t="s">
        <v>332</v>
      </c>
      <c r="AG28" s="10" t="s">
        <v>46</v>
      </c>
    </row>
    <row r="29" spans="1:33" ht="15.75" x14ac:dyDescent="0.25">
      <c r="A29" s="1">
        <v>1037789058900</v>
      </c>
      <c r="B29" s="6">
        <v>7702511168</v>
      </c>
      <c r="C29" s="7" t="s">
        <v>333</v>
      </c>
      <c r="D29" s="7" t="s">
        <v>334</v>
      </c>
      <c r="E29" s="6">
        <v>72081725</v>
      </c>
      <c r="F29" s="6">
        <v>45286575000</v>
      </c>
      <c r="G29" s="6">
        <v>23</v>
      </c>
      <c r="H29" s="6">
        <v>12267</v>
      </c>
      <c r="I29" s="6">
        <v>770301001</v>
      </c>
      <c r="J29" s="7" t="s">
        <v>335</v>
      </c>
      <c r="K29" s="7"/>
      <c r="L29" s="1" t="s">
        <v>336</v>
      </c>
      <c r="M29" s="7" t="s">
        <v>337</v>
      </c>
      <c r="N29" s="7" t="s">
        <v>338</v>
      </c>
      <c r="O29" s="7" t="s">
        <v>339</v>
      </c>
      <c r="P29" s="8">
        <v>504704660886</v>
      </c>
      <c r="Q29" s="7" t="s">
        <v>340</v>
      </c>
      <c r="R29" s="7" t="s">
        <v>341</v>
      </c>
      <c r="S29" s="7" t="s">
        <v>342</v>
      </c>
      <c r="T29" s="7" t="s">
        <v>343</v>
      </c>
      <c r="U29" s="7" t="s">
        <v>344</v>
      </c>
      <c r="V29" s="1">
        <v>302870000</v>
      </c>
      <c r="W29" s="1">
        <v>505550000</v>
      </c>
      <c r="X29" s="1">
        <v>1319000</v>
      </c>
      <c r="Y29" s="1">
        <v>284787000</v>
      </c>
      <c r="Z29" s="1">
        <v>125703000</v>
      </c>
      <c r="AA29" s="1">
        <v>220027000</v>
      </c>
      <c r="AB29" s="1">
        <v>24012000</v>
      </c>
      <c r="AC29" s="1">
        <v>-11445000</v>
      </c>
      <c r="AD29" s="1">
        <v>40861000</v>
      </c>
      <c r="AE29" s="7"/>
      <c r="AF29" s="7" t="s">
        <v>345</v>
      </c>
      <c r="AG29" s="7" t="s">
        <v>46</v>
      </c>
    </row>
    <row r="30" spans="1:33" ht="15.75" x14ac:dyDescent="0.25">
      <c r="A30" s="3">
        <v>1037789057305</v>
      </c>
      <c r="B30" s="9">
        <v>7714528631</v>
      </c>
      <c r="C30" s="10" t="s">
        <v>346</v>
      </c>
      <c r="D30" s="10" t="s">
        <v>347</v>
      </c>
      <c r="E30" s="9">
        <v>71678361</v>
      </c>
      <c r="F30" s="9">
        <v>45277598000</v>
      </c>
      <c r="G30" s="9">
        <v>23</v>
      </c>
      <c r="H30" s="9">
        <v>12300</v>
      </c>
      <c r="I30" s="9">
        <v>771401001</v>
      </c>
      <c r="J30" s="10" t="s">
        <v>335</v>
      </c>
      <c r="K30" s="10"/>
      <c r="L30" s="3" t="s">
        <v>323</v>
      </c>
      <c r="M30" s="10" t="s">
        <v>324</v>
      </c>
      <c r="N30" s="10" t="s">
        <v>348</v>
      </c>
      <c r="O30" s="10" t="s">
        <v>349</v>
      </c>
      <c r="P30" s="11">
        <v>770871662067</v>
      </c>
      <c r="Q30" s="10" t="s">
        <v>41</v>
      </c>
      <c r="R30" s="10" t="s">
        <v>350</v>
      </c>
      <c r="S30" s="10" t="s">
        <v>351</v>
      </c>
      <c r="T30" s="10"/>
      <c r="U30" s="10"/>
      <c r="V30" s="3">
        <v>136709700</v>
      </c>
      <c r="W30" s="3">
        <v>257602000</v>
      </c>
      <c r="X30" s="3">
        <v>26703000</v>
      </c>
      <c r="Y30" s="3">
        <v>446000</v>
      </c>
      <c r="Z30" s="3">
        <v>84042000</v>
      </c>
      <c r="AA30" s="3">
        <v>19114000</v>
      </c>
      <c r="AB30" s="3">
        <v>82861000</v>
      </c>
      <c r="AC30" s="3">
        <v>167883000</v>
      </c>
      <c r="AD30" s="3">
        <v>111871000</v>
      </c>
      <c r="AE30" s="10"/>
      <c r="AF30" s="10" t="s">
        <v>352</v>
      </c>
      <c r="AG30" s="10" t="s">
        <v>46</v>
      </c>
    </row>
    <row r="31" spans="1:33" ht="15.75" x14ac:dyDescent="0.25">
      <c r="A31" s="1">
        <v>1035005002361</v>
      </c>
      <c r="B31" s="6">
        <v>5027023420</v>
      </c>
      <c r="C31" s="7" t="s">
        <v>353</v>
      </c>
      <c r="D31" s="7" t="s">
        <v>354</v>
      </c>
      <c r="E31" s="6">
        <v>18192537</v>
      </c>
      <c r="F31" s="6">
        <v>46448561000</v>
      </c>
      <c r="G31" s="6">
        <v>16</v>
      </c>
      <c r="H31" s="6">
        <v>12300</v>
      </c>
      <c r="I31" s="6">
        <v>502701001</v>
      </c>
      <c r="J31" s="7" t="s">
        <v>355</v>
      </c>
      <c r="K31" s="7"/>
      <c r="L31" s="1" t="s">
        <v>356</v>
      </c>
      <c r="M31" s="7" t="s">
        <v>357</v>
      </c>
      <c r="N31" s="7" t="s">
        <v>358</v>
      </c>
      <c r="O31" s="7" t="s">
        <v>359</v>
      </c>
      <c r="P31" s="8">
        <v>500510664429</v>
      </c>
      <c r="Q31" s="7" t="s">
        <v>150</v>
      </c>
      <c r="R31" s="7" t="s">
        <v>360</v>
      </c>
      <c r="S31" s="7" t="s">
        <v>361</v>
      </c>
      <c r="T31" s="7"/>
      <c r="U31" s="7" t="s">
        <v>362</v>
      </c>
      <c r="V31" s="1">
        <v>580621789</v>
      </c>
      <c r="W31" s="1">
        <v>285141000</v>
      </c>
      <c r="X31" s="1">
        <v>49009000</v>
      </c>
      <c r="Y31" s="1">
        <v>1338000</v>
      </c>
      <c r="Z31" s="1">
        <v>180751000</v>
      </c>
      <c r="AA31" s="1">
        <v>21063000</v>
      </c>
      <c r="AB31" s="1">
        <v>328715000</v>
      </c>
      <c r="AC31" s="1">
        <v>47337000</v>
      </c>
      <c r="AD31" s="1">
        <v>342196000</v>
      </c>
      <c r="AE31" s="7" t="s">
        <v>331</v>
      </c>
      <c r="AF31" s="7" t="s">
        <v>363</v>
      </c>
      <c r="AG31" s="7" t="s">
        <v>46</v>
      </c>
    </row>
    <row r="32" spans="1:33" ht="15.75" x14ac:dyDescent="0.25">
      <c r="A32" s="3">
        <v>1035006452711</v>
      </c>
      <c r="B32" s="9">
        <v>5032014816</v>
      </c>
      <c r="C32" s="10" t="s">
        <v>364</v>
      </c>
      <c r="D32" s="10" t="s">
        <v>365</v>
      </c>
      <c r="E32" s="9">
        <v>31322522</v>
      </c>
      <c r="F32" s="9">
        <v>46455000513</v>
      </c>
      <c r="G32" s="9">
        <v>23</v>
      </c>
      <c r="H32" s="9">
        <v>12300</v>
      </c>
      <c r="I32" s="9">
        <v>503201001</v>
      </c>
      <c r="J32" s="10" t="s">
        <v>366</v>
      </c>
      <c r="K32" s="10"/>
      <c r="L32" s="3" t="s">
        <v>367</v>
      </c>
      <c r="M32" s="10" t="s">
        <v>368</v>
      </c>
      <c r="N32" s="10" t="s">
        <v>369</v>
      </c>
      <c r="O32" s="10" t="s">
        <v>370</v>
      </c>
      <c r="P32" s="11">
        <v>771502261562</v>
      </c>
      <c r="Q32" s="10" t="s">
        <v>41</v>
      </c>
      <c r="R32" s="10" t="s">
        <v>371</v>
      </c>
      <c r="S32" s="10" t="s">
        <v>372</v>
      </c>
      <c r="T32" s="10"/>
      <c r="U32" s="10"/>
      <c r="V32" s="3">
        <v>231250250</v>
      </c>
      <c r="W32" s="3">
        <v>121105000</v>
      </c>
      <c r="X32" s="3">
        <v>172255000</v>
      </c>
      <c r="Y32" s="3">
        <v>1684000</v>
      </c>
      <c r="Z32" s="3">
        <v>68216000</v>
      </c>
      <c r="AA32" s="3">
        <v>7322000</v>
      </c>
      <c r="AB32" s="3">
        <v>17000</v>
      </c>
      <c r="AC32" s="3">
        <v>100000</v>
      </c>
      <c r="AD32" s="3">
        <v>24000</v>
      </c>
      <c r="AE32" s="10"/>
      <c r="AF32" s="10" t="s">
        <v>373</v>
      </c>
      <c r="AG32" s="10" t="s">
        <v>46</v>
      </c>
    </row>
    <row r="33" spans="1:33" ht="15.75" x14ac:dyDescent="0.25">
      <c r="A33" s="1">
        <v>1127746400759</v>
      </c>
      <c r="B33" s="6">
        <v>7726697521</v>
      </c>
      <c r="C33" s="7" t="s">
        <v>374</v>
      </c>
      <c r="D33" s="7" t="s">
        <v>375</v>
      </c>
      <c r="E33" s="6">
        <v>9814313</v>
      </c>
      <c r="F33" s="6">
        <v>45296593000</v>
      </c>
      <c r="G33" s="6">
        <v>16</v>
      </c>
      <c r="H33" s="6">
        <v>12300</v>
      </c>
      <c r="I33" s="6">
        <v>772601001</v>
      </c>
      <c r="J33" s="7" t="s">
        <v>376</v>
      </c>
      <c r="K33" s="7"/>
      <c r="L33" s="1" t="s">
        <v>86</v>
      </c>
      <c r="M33" s="7" t="s">
        <v>87</v>
      </c>
      <c r="N33" s="7" t="s">
        <v>377</v>
      </c>
      <c r="O33" s="7" t="s">
        <v>378</v>
      </c>
      <c r="P33" s="8">
        <v>503002547849</v>
      </c>
      <c r="Q33" s="7" t="s">
        <v>41</v>
      </c>
      <c r="R33" s="7" t="s">
        <v>379</v>
      </c>
      <c r="S33" s="7" t="s">
        <v>380</v>
      </c>
      <c r="T33" s="7" t="s">
        <v>381</v>
      </c>
      <c r="U33" s="7"/>
      <c r="V33" s="1">
        <v>393990122</v>
      </c>
      <c r="W33" s="1">
        <v>408872000</v>
      </c>
      <c r="X33" s="1">
        <v>679870000</v>
      </c>
      <c r="Y33" s="1">
        <v>0</v>
      </c>
      <c r="Z33" s="1">
        <v>114218000</v>
      </c>
      <c r="AA33" s="1">
        <v>126359000</v>
      </c>
      <c r="AB33" s="1">
        <v>61141000</v>
      </c>
      <c r="AC33" s="1">
        <v>132120000</v>
      </c>
      <c r="AD33" s="1">
        <v>81520000</v>
      </c>
      <c r="AE33" s="7"/>
      <c r="AF33" s="7" t="s">
        <v>286</v>
      </c>
      <c r="AG33" s="7" t="s">
        <v>46</v>
      </c>
    </row>
    <row r="34" spans="1:33" ht="15.75" x14ac:dyDescent="0.25">
      <c r="A34" s="1">
        <v>1127746460434</v>
      </c>
      <c r="B34" s="6">
        <v>7733805552</v>
      </c>
      <c r="C34" s="7" t="s">
        <v>382</v>
      </c>
      <c r="D34" s="7" t="s">
        <v>383</v>
      </c>
      <c r="E34" s="6">
        <v>9875243</v>
      </c>
      <c r="F34" s="6">
        <v>45286555000</v>
      </c>
      <c r="G34" s="6">
        <v>16</v>
      </c>
      <c r="H34" s="6">
        <v>12300</v>
      </c>
      <c r="I34" s="6">
        <v>770101001</v>
      </c>
      <c r="J34" s="7" t="s">
        <v>384</v>
      </c>
      <c r="K34" s="7"/>
      <c r="L34" s="1" t="s">
        <v>385</v>
      </c>
      <c r="M34" s="7" t="s">
        <v>386</v>
      </c>
      <c r="N34" s="7" t="s">
        <v>387</v>
      </c>
      <c r="O34" s="7" t="s">
        <v>388</v>
      </c>
      <c r="P34" s="8">
        <v>644922752422</v>
      </c>
      <c r="Q34" s="7" t="s">
        <v>41</v>
      </c>
      <c r="R34" s="7" t="s">
        <v>389</v>
      </c>
      <c r="S34" s="7" t="s">
        <v>390</v>
      </c>
      <c r="T34" s="7" t="s">
        <v>391</v>
      </c>
      <c r="U34" s="7"/>
      <c r="V34" s="1">
        <v>203381000</v>
      </c>
      <c r="W34" s="1">
        <v>662903000</v>
      </c>
      <c r="X34" s="1">
        <v>8123000</v>
      </c>
      <c r="Y34" s="1">
        <v>5918000</v>
      </c>
      <c r="Z34" s="1">
        <v>124493000</v>
      </c>
      <c r="AA34" s="1">
        <v>27779000</v>
      </c>
      <c r="AB34" s="1">
        <v>258905000</v>
      </c>
      <c r="AC34" s="1">
        <v>237791000</v>
      </c>
      <c r="AD34" s="1">
        <v>258905000</v>
      </c>
      <c r="AE34" s="7" t="s">
        <v>331</v>
      </c>
      <c r="AF34" s="7" t="s">
        <v>392</v>
      </c>
      <c r="AG34" s="7" t="s">
        <v>46</v>
      </c>
    </row>
    <row r="35" spans="1:33" ht="15.75" x14ac:dyDescent="0.25">
      <c r="A35" s="3">
        <v>1125001005997</v>
      </c>
      <c r="B35" s="9">
        <v>5001091698</v>
      </c>
      <c r="C35" s="10" t="s">
        <v>393</v>
      </c>
      <c r="D35" s="10" t="s">
        <v>394</v>
      </c>
      <c r="E35" s="9">
        <v>18186531</v>
      </c>
      <c r="F35" s="9">
        <v>46478000771</v>
      </c>
      <c r="G35" s="9">
        <v>16</v>
      </c>
      <c r="H35" s="9">
        <v>12300</v>
      </c>
      <c r="I35" s="9">
        <v>507801001</v>
      </c>
      <c r="J35" s="10" t="s">
        <v>395</v>
      </c>
      <c r="K35" s="10"/>
      <c r="L35" s="3" t="s">
        <v>323</v>
      </c>
      <c r="M35" s="10" t="s">
        <v>324</v>
      </c>
      <c r="N35" s="10" t="s">
        <v>396</v>
      </c>
      <c r="O35" s="10" t="s">
        <v>397</v>
      </c>
      <c r="P35" s="11">
        <v>251101083838</v>
      </c>
      <c r="Q35" s="10" t="s">
        <v>41</v>
      </c>
      <c r="R35" s="10" t="s">
        <v>398</v>
      </c>
      <c r="S35" s="10" t="s">
        <v>399</v>
      </c>
      <c r="T35" s="10"/>
      <c r="U35" s="10" t="s">
        <v>400</v>
      </c>
      <c r="V35" s="3">
        <v>168720737</v>
      </c>
      <c r="W35" s="3">
        <v>107202000</v>
      </c>
      <c r="X35" s="3">
        <v>146912000</v>
      </c>
      <c r="Y35" s="3">
        <v>399000</v>
      </c>
      <c r="Z35" s="3">
        <v>13414000</v>
      </c>
      <c r="AA35" s="3">
        <v>311675000</v>
      </c>
      <c r="AB35" s="3">
        <v>312000</v>
      </c>
      <c r="AC35" s="3">
        <v>19057000</v>
      </c>
      <c r="AD35" s="3">
        <v>577000</v>
      </c>
      <c r="AE35" s="10" t="s">
        <v>317</v>
      </c>
      <c r="AF35" s="10" t="s">
        <v>307</v>
      </c>
      <c r="AG35" s="10" t="s">
        <v>46</v>
      </c>
    </row>
    <row r="36" spans="1:33" ht="15.75" x14ac:dyDescent="0.25">
      <c r="A36" s="1">
        <v>1167746525726</v>
      </c>
      <c r="B36" s="6">
        <v>7714391183</v>
      </c>
      <c r="C36" s="7" t="s">
        <v>401</v>
      </c>
      <c r="D36" s="7" t="s">
        <v>402</v>
      </c>
      <c r="E36" s="6">
        <v>2837541</v>
      </c>
      <c r="F36" s="6">
        <v>45277598000</v>
      </c>
      <c r="G36" s="6">
        <v>16</v>
      </c>
      <c r="H36" s="6">
        <v>12300</v>
      </c>
      <c r="I36" s="6">
        <v>771401001</v>
      </c>
      <c r="J36" s="7" t="s">
        <v>403</v>
      </c>
      <c r="K36" s="7"/>
      <c r="L36" s="1" t="s">
        <v>404</v>
      </c>
      <c r="M36" s="7" t="s">
        <v>405</v>
      </c>
      <c r="N36" s="7" t="s">
        <v>406</v>
      </c>
      <c r="O36" s="7" t="s">
        <v>407</v>
      </c>
      <c r="P36" s="8">
        <v>772826566206</v>
      </c>
      <c r="Q36" s="7" t="s">
        <v>41</v>
      </c>
      <c r="R36" s="7" t="s">
        <v>408</v>
      </c>
      <c r="S36" s="7" t="s">
        <v>409</v>
      </c>
      <c r="T36" s="7"/>
      <c r="U36" s="7"/>
      <c r="V36" s="1">
        <v>100100000</v>
      </c>
      <c r="W36" s="1">
        <v>144543000</v>
      </c>
      <c r="X36" s="1">
        <v>141907000</v>
      </c>
      <c r="Y36" s="1">
        <v>2000</v>
      </c>
      <c r="Z36" s="1">
        <v>4927000</v>
      </c>
      <c r="AA36" s="1">
        <v>9593000</v>
      </c>
      <c r="AB36" s="1">
        <v>79375000</v>
      </c>
      <c r="AC36" s="1">
        <v>0</v>
      </c>
      <c r="AD36" s="1">
        <v>0</v>
      </c>
      <c r="AE36" s="7" t="s">
        <v>317</v>
      </c>
      <c r="AF36" s="7" t="s">
        <v>410</v>
      </c>
      <c r="AG36" s="7" t="s">
        <v>46</v>
      </c>
    </row>
    <row r="37" spans="1:33" ht="15.75" x14ac:dyDescent="0.25">
      <c r="A37" s="3">
        <v>1127747086367</v>
      </c>
      <c r="B37" s="9">
        <v>7708773522</v>
      </c>
      <c r="C37" s="10" t="s">
        <v>411</v>
      </c>
      <c r="D37" s="10" t="s">
        <v>412</v>
      </c>
      <c r="E37" s="9">
        <v>13238714</v>
      </c>
      <c r="F37" s="9">
        <v>45296559000</v>
      </c>
      <c r="G37" s="9">
        <v>16</v>
      </c>
      <c r="H37" s="9">
        <v>12300</v>
      </c>
      <c r="I37" s="9">
        <v>772501001</v>
      </c>
      <c r="J37" s="10" t="s">
        <v>413</v>
      </c>
      <c r="K37" s="10"/>
      <c r="L37" s="3" t="s">
        <v>414</v>
      </c>
      <c r="M37" s="10" t="s">
        <v>415</v>
      </c>
      <c r="N37" s="10" t="s">
        <v>416</v>
      </c>
      <c r="O37" s="10" t="s">
        <v>417</v>
      </c>
      <c r="P37" s="11">
        <v>772584155116</v>
      </c>
      <c r="Q37" s="10" t="s">
        <v>41</v>
      </c>
      <c r="R37" s="10" t="s">
        <v>418</v>
      </c>
      <c r="S37" s="10" t="s">
        <v>419</v>
      </c>
      <c r="T37" s="10"/>
      <c r="U37" s="10" t="s">
        <v>420</v>
      </c>
      <c r="V37" s="3">
        <v>200000000</v>
      </c>
      <c r="W37" s="3">
        <v>194446000</v>
      </c>
      <c r="X37" s="3">
        <v>618032000</v>
      </c>
      <c r="Y37" s="3">
        <v>16000</v>
      </c>
      <c r="Z37" s="3">
        <v>133531000</v>
      </c>
      <c r="AA37" s="3">
        <v>14871000</v>
      </c>
      <c r="AB37" s="3">
        <v>-26682000</v>
      </c>
      <c r="AC37" s="3">
        <v>33022000</v>
      </c>
      <c r="AD37" s="3">
        <v>-35486000</v>
      </c>
      <c r="AE37" s="10" t="s">
        <v>317</v>
      </c>
      <c r="AF37" s="10" t="s">
        <v>421</v>
      </c>
      <c r="AG37" s="10" t="s">
        <v>46</v>
      </c>
    </row>
    <row r="38" spans="1:33" ht="15.75" x14ac:dyDescent="0.25">
      <c r="A38" s="1">
        <v>1135042007539</v>
      </c>
      <c r="B38" s="6">
        <v>5042129460</v>
      </c>
      <c r="C38" s="7" t="s">
        <v>422</v>
      </c>
      <c r="D38" s="7" t="s">
        <v>423</v>
      </c>
      <c r="E38" s="6">
        <v>18098784</v>
      </c>
      <c r="F38" s="6">
        <v>45286590000</v>
      </c>
      <c r="G38" s="6">
        <v>16</v>
      </c>
      <c r="H38" s="6">
        <v>12300</v>
      </c>
      <c r="I38" s="6">
        <v>770401001</v>
      </c>
      <c r="J38" s="7" t="s">
        <v>424</v>
      </c>
      <c r="K38" s="7"/>
      <c r="L38" s="1" t="s">
        <v>323</v>
      </c>
      <c r="M38" s="7" t="s">
        <v>324</v>
      </c>
      <c r="N38" s="7" t="s">
        <v>425</v>
      </c>
      <c r="O38" s="7" t="s">
        <v>426</v>
      </c>
      <c r="P38" s="8" t="s">
        <v>90</v>
      </c>
      <c r="Q38" s="7" t="s">
        <v>90</v>
      </c>
      <c r="R38" s="7" t="s">
        <v>427</v>
      </c>
      <c r="S38" s="7" t="s">
        <v>428</v>
      </c>
      <c r="T38" s="7"/>
      <c r="U38" s="7" t="s">
        <v>429</v>
      </c>
      <c r="V38" s="1">
        <v>1716624000</v>
      </c>
      <c r="W38" s="1">
        <v>656240000</v>
      </c>
      <c r="X38" s="1">
        <v>24556000</v>
      </c>
      <c r="Y38" s="1">
        <v>22592000</v>
      </c>
      <c r="Z38" s="1">
        <v>1209608000</v>
      </c>
      <c r="AA38" s="1">
        <v>2005416000</v>
      </c>
      <c r="AB38" s="1">
        <v>-1662061000</v>
      </c>
      <c r="AC38" s="1">
        <v>-422492000</v>
      </c>
      <c r="AD38" s="1">
        <v>-1623384000</v>
      </c>
      <c r="AE38" s="7"/>
      <c r="AF38" s="7" t="s">
        <v>430</v>
      </c>
      <c r="AG38" s="7" t="s">
        <v>46</v>
      </c>
    </row>
    <row r="39" spans="1:33" ht="15.75" x14ac:dyDescent="0.25">
      <c r="A39" s="3">
        <v>1024001175516</v>
      </c>
      <c r="B39" s="9">
        <v>4027055893</v>
      </c>
      <c r="C39" s="10" t="s">
        <v>431</v>
      </c>
      <c r="D39" s="10" t="s">
        <v>432</v>
      </c>
      <c r="E39" s="9">
        <v>25922386</v>
      </c>
      <c r="F39" s="9">
        <v>45296561000</v>
      </c>
      <c r="G39" s="9">
        <v>16</v>
      </c>
      <c r="H39" s="9">
        <v>12300</v>
      </c>
      <c r="I39" s="9">
        <v>772501001</v>
      </c>
      <c r="J39" s="10" t="s">
        <v>433</v>
      </c>
      <c r="K39" s="10"/>
      <c r="L39" s="3" t="s">
        <v>434</v>
      </c>
      <c r="M39" s="10" t="s">
        <v>435</v>
      </c>
      <c r="N39" s="10" t="s">
        <v>436</v>
      </c>
      <c r="O39" s="10" t="s">
        <v>437</v>
      </c>
      <c r="P39" s="11">
        <v>772781534480</v>
      </c>
      <c r="Q39" s="10" t="s">
        <v>41</v>
      </c>
      <c r="R39" s="10" t="s">
        <v>438</v>
      </c>
      <c r="S39" s="10" t="s">
        <v>439</v>
      </c>
      <c r="T39" s="10"/>
      <c r="U39" s="10" t="s">
        <v>440</v>
      </c>
      <c r="V39" s="3">
        <v>8876790289</v>
      </c>
      <c r="W39" s="3">
        <v>553540000</v>
      </c>
      <c r="X39" s="3">
        <v>19488000</v>
      </c>
      <c r="Y39" s="3">
        <v>869000</v>
      </c>
      <c r="Z39" s="3">
        <v>67833000</v>
      </c>
      <c r="AA39" s="3">
        <v>530537000</v>
      </c>
      <c r="AB39" s="3">
        <v>-82064000</v>
      </c>
      <c r="AC39" s="3">
        <v>58458000</v>
      </c>
      <c r="AD39" s="3">
        <v>-88896000</v>
      </c>
      <c r="AE39" s="10"/>
      <c r="AF39" s="10" t="s">
        <v>441</v>
      </c>
      <c r="AG39" s="10" t="s">
        <v>46</v>
      </c>
    </row>
    <row r="40" spans="1:33" ht="15.75" x14ac:dyDescent="0.25">
      <c r="A40" s="1">
        <v>5077746824436</v>
      </c>
      <c r="B40" s="6">
        <v>7703634853</v>
      </c>
      <c r="C40" s="7" t="s">
        <v>442</v>
      </c>
      <c r="D40" s="7" t="s">
        <v>443</v>
      </c>
      <c r="E40" s="6">
        <v>77306436</v>
      </c>
      <c r="F40" s="6">
        <v>45286575000</v>
      </c>
      <c r="G40" s="6">
        <v>16</v>
      </c>
      <c r="H40" s="6">
        <v>12300</v>
      </c>
      <c r="I40" s="6">
        <v>770301001</v>
      </c>
      <c r="J40" s="7" t="s">
        <v>444</v>
      </c>
      <c r="K40" s="7"/>
      <c r="L40" s="1" t="s">
        <v>445</v>
      </c>
      <c r="M40" s="7" t="s">
        <v>446</v>
      </c>
      <c r="N40" s="7" t="s">
        <v>447</v>
      </c>
      <c r="O40" s="7" t="s">
        <v>448</v>
      </c>
      <c r="P40" s="8">
        <v>9703173758</v>
      </c>
      <c r="Q40" s="7" t="s">
        <v>90</v>
      </c>
      <c r="R40" s="7" t="s">
        <v>449</v>
      </c>
      <c r="S40" s="7" t="s">
        <v>450</v>
      </c>
      <c r="T40" s="7" t="s">
        <v>451</v>
      </c>
      <c r="U40" s="7" t="s">
        <v>452</v>
      </c>
      <c r="V40" s="1">
        <v>161000000</v>
      </c>
      <c r="W40" s="1">
        <v>215361000</v>
      </c>
      <c r="X40" s="1">
        <v>2795000</v>
      </c>
      <c r="Y40" s="1">
        <v>5000</v>
      </c>
      <c r="Z40" s="1">
        <v>60760000</v>
      </c>
      <c r="AA40" s="1">
        <v>27484000</v>
      </c>
      <c r="AB40" s="1">
        <v>-177480000</v>
      </c>
      <c r="AC40" s="1">
        <v>-19863000</v>
      </c>
      <c r="AD40" s="1">
        <v>-177480000</v>
      </c>
      <c r="AE40" s="7" t="s">
        <v>331</v>
      </c>
      <c r="AF40" s="7" t="s">
        <v>453</v>
      </c>
      <c r="AG40" s="7" t="s">
        <v>46</v>
      </c>
    </row>
    <row r="41" spans="1:33" ht="15.75" x14ac:dyDescent="0.25">
      <c r="A41" s="3">
        <v>1027739292954</v>
      </c>
      <c r="B41" s="9">
        <v>7704017726</v>
      </c>
      <c r="C41" s="10" t="s">
        <v>454</v>
      </c>
      <c r="D41" s="10" t="s">
        <v>455</v>
      </c>
      <c r="E41" s="9">
        <v>29007000</v>
      </c>
      <c r="F41" s="9">
        <v>45286585000</v>
      </c>
      <c r="G41" s="9">
        <v>16</v>
      </c>
      <c r="H41" s="9">
        <v>12247</v>
      </c>
      <c r="I41" s="9">
        <v>771001001</v>
      </c>
      <c r="J41" s="10" t="s">
        <v>456</v>
      </c>
      <c r="K41" s="10"/>
      <c r="L41" s="3" t="s">
        <v>300</v>
      </c>
      <c r="M41" s="10" t="s">
        <v>301</v>
      </c>
      <c r="N41" s="10" t="s">
        <v>457</v>
      </c>
      <c r="O41" s="10" t="s">
        <v>458</v>
      </c>
      <c r="P41" s="11">
        <v>771703236485</v>
      </c>
      <c r="Q41" s="10" t="s">
        <v>41</v>
      </c>
      <c r="R41" s="10" t="s">
        <v>459</v>
      </c>
      <c r="S41" s="10" t="s">
        <v>460</v>
      </c>
      <c r="T41" s="10"/>
      <c r="U41" s="10"/>
      <c r="V41" s="3">
        <v>127840000</v>
      </c>
      <c r="W41" s="3">
        <v>454491000</v>
      </c>
      <c r="X41" s="3">
        <v>242000</v>
      </c>
      <c r="Y41" s="3">
        <v>1202000</v>
      </c>
      <c r="Z41" s="3">
        <v>116210000</v>
      </c>
      <c r="AA41" s="3">
        <v>140123000</v>
      </c>
      <c r="AB41" s="3">
        <v>161575000</v>
      </c>
      <c r="AC41" s="3">
        <v>174661000</v>
      </c>
      <c r="AD41" s="3">
        <v>215599000</v>
      </c>
      <c r="AE41" s="10"/>
      <c r="AF41" s="10" t="s">
        <v>461</v>
      </c>
      <c r="AG41" s="10" t="s">
        <v>46</v>
      </c>
    </row>
    <row r="42" spans="1:33" ht="15.75" x14ac:dyDescent="0.25">
      <c r="A42" s="1">
        <v>1027739323248</v>
      </c>
      <c r="B42" s="6">
        <v>7704172866</v>
      </c>
      <c r="C42" s="7" t="s">
        <v>462</v>
      </c>
      <c r="D42" s="7" t="s">
        <v>463</v>
      </c>
      <c r="E42" s="6">
        <v>47302889</v>
      </c>
      <c r="F42" s="6">
        <v>45277556000</v>
      </c>
      <c r="G42" s="6">
        <v>42</v>
      </c>
      <c r="H42" s="6">
        <v>12267</v>
      </c>
      <c r="I42" s="6">
        <v>771401001</v>
      </c>
      <c r="J42" s="7" t="s">
        <v>465</v>
      </c>
      <c r="K42" s="7"/>
      <c r="L42" s="1" t="s">
        <v>466</v>
      </c>
      <c r="M42" s="7" t="s">
        <v>467</v>
      </c>
      <c r="N42" s="7" t="s">
        <v>468</v>
      </c>
      <c r="O42" s="7" t="s">
        <v>469</v>
      </c>
      <c r="P42" s="8">
        <v>772774217681</v>
      </c>
      <c r="Q42" s="7" t="s">
        <v>41</v>
      </c>
      <c r="R42" s="7" t="s">
        <v>470</v>
      </c>
      <c r="S42" s="7" t="s">
        <v>471</v>
      </c>
      <c r="T42" s="7" t="s">
        <v>472</v>
      </c>
      <c r="U42" s="7" t="s">
        <v>473</v>
      </c>
      <c r="V42" s="1">
        <v>405263200</v>
      </c>
      <c r="W42" s="1">
        <v>177031000</v>
      </c>
      <c r="X42" s="1">
        <v>806000</v>
      </c>
      <c r="Y42" s="1">
        <v>0</v>
      </c>
      <c r="Z42" s="1">
        <v>34005000</v>
      </c>
      <c r="AA42" s="1">
        <v>23375000</v>
      </c>
      <c r="AB42" s="1">
        <v>-163821000</v>
      </c>
      <c r="AC42" s="1">
        <v>-359402000</v>
      </c>
      <c r="AD42" s="1">
        <v>-217747000</v>
      </c>
      <c r="AE42" s="7"/>
      <c r="AF42" s="7" t="s">
        <v>474</v>
      </c>
      <c r="AG42" s="7" t="s">
        <v>46</v>
      </c>
    </row>
    <row r="43" spans="1:33" ht="15.75" x14ac:dyDescent="0.25">
      <c r="A43" s="3">
        <v>1027739262770</v>
      </c>
      <c r="B43" s="9">
        <v>5024032064</v>
      </c>
      <c r="C43" s="10" t="s">
        <v>475</v>
      </c>
      <c r="D43" s="10" t="s">
        <v>476</v>
      </c>
      <c r="E43" s="9">
        <v>45739820</v>
      </c>
      <c r="F43" s="9">
        <v>45286565000</v>
      </c>
      <c r="G43" s="9">
        <v>16</v>
      </c>
      <c r="H43" s="9">
        <v>12300</v>
      </c>
      <c r="I43" s="9">
        <v>770801001</v>
      </c>
      <c r="J43" s="10" t="s">
        <v>477</v>
      </c>
      <c r="K43" s="10"/>
      <c r="L43" s="3" t="s">
        <v>478</v>
      </c>
      <c r="M43" s="10" t="s">
        <v>479</v>
      </c>
      <c r="N43" s="10" t="s">
        <v>480</v>
      </c>
      <c r="O43" s="10" t="s">
        <v>481</v>
      </c>
      <c r="P43" s="11">
        <v>500108482716</v>
      </c>
      <c r="Q43" s="10" t="s">
        <v>41</v>
      </c>
      <c r="R43" s="10" t="s">
        <v>482</v>
      </c>
      <c r="S43" s="10" t="s">
        <v>483</v>
      </c>
      <c r="T43" s="10" t="s">
        <v>484</v>
      </c>
      <c r="U43" s="10" t="s">
        <v>485</v>
      </c>
      <c r="V43" s="3">
        <v>175000000</v>
      </c>
      <c r="W43" s="3">
        <v>183270000</v>
      </c>
      <c r="X43" s="3">
        <v>77448000</v>
      </c>
      <c r="Y43" s="3">
        <v>465000</v>
      </c>
      <c r="Z43" s="3">
        <v>9553000</v>
      </c>
      <c r="AA43" s="3">
        <v>29636000</v>
      </c>
      <c r="AB43" s="3">
        <v>4533000</v>
      </c>
      <c r="AC43" s="3">
        <v>8109000</v>
      </c>
      <c r="AD43" s="3">
        <v>5428000</v>
      </c>
      <c r="AE43" s="10"/>
      <c r="AF43" s="10" t="s">
        <v>464</v>
      </c>
      <c r="AG43" s="10" t="s">
        <v>46</v>
      </c>
    </row>
    <row r="44" spans="1:33" ht="15.75" x14ac:dyDescent="0.25">
      <c r="A44" s="1">
        <v>1187746267400</v>
      </c>
      <c r="B44" s="6">
        <v>7704452567</v>
      </c>
      <c r="C44" s="7" t="s">
        <v>486</v>
      </c>
      <c r="D44" s="7" t="s">
        <v>487</v>
      </c>
      <c r="E44" s="6">
        <v>27233073</v>
      </c>
      <c r="F44" s="6">
        <v>45286555000</v>
      </c>
      <c r="G44" s="6">
        <v>34</v>
      </c>
      <c r="H44" s="6">
        <v>12300</v>
      </c>
      <c r="I44" s="6">
        <v>770901001</v>
      </c>
      <c r="J44" s="7" t="s">
        <v>488</v>
      </c>
      <c r="K44" s="7"/>
      <c r="L44" s="1" t="s">
        <v>445</v>
      </c>
      <c r="M44" s="7" t="s">
        <v>446</v>
      </c>
      <c r="N44" s="7" t="s">
        <v>489</v>
      </c>
      <c r="O44" s="7" t="s">
        <v>490</v>
      </c>
      <c r="P44" s="8">
        <v>771878729509</v>
      </c>
      <c r="Q44" s="7" t="s">
        <v>41</v>
      </c>
      <c r="R44" s="7" t="s">
        <v>491</v>
      </c>
      <c r="S44" s="7" t="s">
        <v>492</v>
      </c>
      <c r="T44" s="7"/>
      <c r="U44" s="7"/>
      <c r="V44" s="1">
        <v>1041751000</v>
      </c>
      <c r="W44" s="1">
        <v>249318000</v>
      </c>
      <c r="X44" s="1">
        <v>33107000</v>
      </c>
      <c r="Y44" s="1">
        <v>2324000</v>
      </c>
      <c r="Z44" s="1">
        <v>32279000</v>
      </c>
      <c r="AA44" s="1">
        <v>44862000</v>
      </c>
      <c r="AB44" s="1">
        <v>18037000</v>
      </c>
      <c r="AC44" s="1">
        <v>66674000</v>
      </c>
      <c r="AD44" s="1">
        <v>104517000</v>
      </c>
      <c r="AE44" s="7" t="s">
        <v>331</v>
      </c>
      <c r="AF44" s="7" t="s">
        <v>493</v>
      </c>
      <c r="AG44" s="7" t="s">
        <v>46</v>
      </c>
    </row>
    <row r="45" spans="1:33" ht="15.75" x14ac:dyDescent="0.25">
      <c r="A45" s="1">
        <v>1115074015132</v>
      </c>
      <c r="B45" s="6">
        <v>5036118421</v>
      </c>
      <c r="C45" s="7" t="s">
        <v>494</v>
      </c>
      <c r="D45" s="7" t="s">
        <v>495</v>
      </c>
      <c r="E45" s="6">
        <v>92734738</v>
      </c>
      <c r="F45" s="6">
        <v>46460000000</v>
      </c>
      <c r="G45" s="6">
        <v>23</v>
      </c>
      <c r="H45" s="6">
        <v>12300</v>
      </c>
      <c r="I45" s="6">
        <v>503601001</v>
      </c>
      <c r="J45" s="7" t="s">
        <v>496</v>
      </c>
      <c r="K45" s="7"/>
      <c r="L45" s="1" t="s">
        <v>497</v>
      </c>
      <c r="M45" s="7" t="s">
        <v>498</v>
      </c>
      <c r="N45" s="7" t="s">
        <v>499</v>
      </c>
      <c r="O45" s="7" t="s">
        <v>500</v>
      </c>
      <c r="P45" s="8">
        <v>773401716993</v>
      </c>
      <c r="Q45" s="7" t="s">
        <v>150</v>
      </c>
      <c r="R45" s="7" t="s">
        <v>501</v>
      </c>
      <c r="S45" s="7" t="s">
        <v>502</v>
      </c>
      <c r="T45" s="7"/>
      <c r="U45" s="7" t="s">
        <v>503</v>
      </c>
      <c r="V45" s="1">
        <v>149314000</v>
      </c>
      <c r="W45" s="1">
        <v>219254000</v>
      </c>
      <c r="X45" s="1">
        <v>230037000</v>
      </c>
      <c r="Y45" s="1">
        <v>10000</v>
      </c>
      <c r="Z45" s="1">
        <v>13802000</v>
      </c>
      <c r="AA45" s="1">
        <v>12358000</v>
      </c>
      <c r="AB45" s="1">
        <v>182799000</v>
      </c>
      <c r="AC45" s="1">
        <v>184260000</v>
      </c>
      <c r="AD45" s="1">
        <v>245018000</v>
      </c>
      <c r="AE45" s="7"/>
      <c r="AF45" s="7" t="s">
        <v>421</v>
      </c>
      <c r="AG45" s="7" t="s">
        <v>46</v>
      </c>
    </row>
    <row r="46" spans="1:33" ht="15.75" x14ac:dyDescent="0.25">
      <c r="A46" s="3">
        <v>1175053010274</v>
      </c>
      <c r="B46" s="9">
        <v>5012094725</v>
      </c>
      <c r="C46" s="10" t="s">
        <v>504</v>
      </c>
      <c r="D46" s="10" t="s">
        <v>505</v>
      </c>
      <c r="E46" s="9">
        <v>16009813</v>
      </c>
      <c r="F46" s="9">
        <v>45296571000</v>
      </c>
      <c r="G46" s="9">
        <v>16</v>
      </c>
      <c r="H46" s="9">
        <v>12300</v>
      </c>
      <c r="I46" s="9">
        <v>772401001</v>
      </c>
      <c r="J46" s="10" t="s">
        <v>506</v>
      </c>
      <c r="K46" s="10"/>
      <c r="L46" s="3" t="s">
        <v>445</v>
      </c>
      <c r="M46" s="10" t="s">
        <v>446</v>
      </c>
      <c r="N46" s="10" t="s">
        <v>507</v>
      </c>
      <c r="O46" s="10" t="s">
        <v>508</v>
      </c>
      <c r="P46" s="11">
        <v>771000788588</v>
      </c>
      <c r="Q46" s="10" t="s">
        <v>41</v>
      </c>
      <c r="R46" s="10" t="s">
        <v>509</v>
      </c>
      <c r="S46" s="10" t="s">
        <v>510</v>
      </c>
      <c r="T46" s="10"/>
      <c r="U46" s="10" t="s">
        <v>511</v>
      </c>
      <c r="V46" s="3">
        <v>180000000</v>
      </c>
      <c r="W46" s="3">
        <v>1226316000</v>
      </c>
      <c r="X46" s="3">
        <v>15771000</v>
      </c>
      <c r="Y46" s="3">
        <v>11000</v>
      </c>
      <c r="Z46" s="3">
        <v>13549000</v>
      </c>
      <c r="AA46" s="3">
        <v>281976000</v>
      </c>
      <c r="AB46" s="3">
        <v>554551000</v>
      </c>
      <c r="AC46" s="3">
        <v>980668000</v>
      </c>
      <c r="AD46" s="3">
        <v>717771000</v>
      </c>
      <c r="AE46" s="10" t="s">
        <v>331</v>
      </c>
      <c r="AF46" s="10" t="s">
        <v>512</v>
      </c>
      <c r="AG46" s="10" t="s">
        <v>46</v>
      </c>
    </row>
    <row r="47" spans="1:33" ht="15.75" x14ac:dyDescent="0.25">
      <c r="A47" s="3">
        <v>1177746006437</v>
      </c>
      <c r="B47" s="9">
        <v>7703421968</v>
      </c>
      <c r="C47" s="10" t="s">
        <v>513</v>
      </c>
      <c r="D47" s="10" t="s">
        <v>514</v>
      </c>
      <c r="E47" s="9">
        <v>6219952</v>
      </c>
      <c r="F47" s="9">
        <v>45286575000</v>
      </c>
      <c r="G47" s="9">
        <v>16</v>
      </c>
      <c r="H47" s="9">
        <v>12300</v>
      </c>
      <c r="I47" s="9">
        <v>770301001</v>
      </c>
      <c r="J47" s="10" t="s">
        <v>515</v>
      </c>
      <c r="K47" s="10"/>
      <c r="L47" s="3" t="s">
        <v>300</v>
      </c>
      <c r="M47" s="10" t="s">
        <v>301</v>
      </c>
      <c r="N47" s="10" t="s">
        <v>516</v>
      </c>
      <c r="O47" s="10" t="s">
        <v>517</v>
      </c>
      <c r="P47" s="11">
        <v>711601915507</v>
      </c>
      <c r="Q47" s="10" t="s">
        <v>41</v>
      </c>
      <c r="R47" s="10" t="s">
        <v>518</v>
      </c>
      <c r="S47" s="10" t="s">
        <v>519</v>
      </c>
      <c r="T47" s="10"/>
      <c r="U47" s="10"/>
      <c r="V47" s="3">
        <v>587903873</v>
      </c>
      <c r="W47" s="3">
        <v>688857000</v>
      </c>
      <c r="X47" s="3">
        <v>67000</v>
      </c>
      <c r="Y47" s="3">
        <v>120000</v>
      </c>
      <c r="Z47" s="3">
        <v>10440000</v>
      </c>
      <c r="AA47" s="3">
        <v>105679000</v>
      </c>
      <c r="AB47" s="3">
        <v>325100000</v>
      </c>
      <c r="AC47" s="3">
        <v>439494000</v>
      </c>
      <c r="AD47" s="3">
        <v>433467000</v>
      </c>
      <c r="AE47" s="10"/>
      <c r="AF47" s="10" t="s">
        <v>421</v>
      </c>
      <c r="AG47" s="10" t="s">
        <v>46</v>
      </c>
    </row>
    <row r="48" spans="1:33" ht="15.75" x14ac:dyDescent="0.25">
      <c r="A48" s="1">
        <v>1217700608729</v>
      </c>
      <c r="B48" s="6">
        <v>9704106828</v>
      </c>
      <c r="C48" s="7" t="s">
        <v>520</v>
      </c>
      <c r="D48" s="7" t="s">
        <v>521</v>
      </c>
      <c r="E48" s="6">
        <v>54633380</v>
      </c>
      <c r="F48" s="6">
        <v>45286552000</v>
      </c>
      <c r="G48" s="6">
        <v>16</v>
      </c>
      <c r="H48" s="6">
        <v>12300</v>
      </c>
      <c r="I48" s="6">
        <v>770401001</v>
      </c>
      <c r="J48" s="7" t="s">
        <v>522</v>
      </c>
      <c r="K48" s="7"/>
      <c r="L48" s="1" t="s">
        <v>523</v>
      </c>
      <c r="M48" s="7" t="s">
        <v>524</v>
      </c>
      <c r="N48" s="7" t="s">
        <v>525</v>
      </c>
      <c r="O48" s="7" t="s">
        <v>526</v>
      </c>
      <c r="P48" s="8">
        <v>772106508916</v>
      </c>
      <c r="Q48" s="7" t="s">
        <v>41</v>
      </c>
      <c r="R48" s="7" t="s">
        <v>527</v>
      </c>
      <c r="S48" s="7" t="s">
        <v>528</v>
      </c>
      <c r="T48" s="7"/>
      <c r="U48" s="7" t="s">
        <v>529</v>
      </c>
      <c r="V48" s="1">
        <v>111216374</v>
      </c>
      <c r="W48" s="1">
        <v>365907000</v>
      </c>
      <c r="X48" s="1">
        <v>68361000</v>
      </c>
      <c r="Y48" s="1">
        <v>113199000</v>
      </c>
      <c r="Z48" s="1">
        <v>451895000</v>
      </c>
      <c r="AA48" s="1">
        <v>447939000</v>
      </c>
      <c r="AB48" s="1">
        <v>-5116000</v>
      </c>
      <c r="AC48" s="1">
        <v>0</v>
      </c>
      <c r="AD48" s="1">
        <v>0</v>
      </c>
      <c r="AE48" s="7" t="s">
        <v>331</v>
      </c>
      <c r="AF48" s="7" t="s">
        <v>530</v>
      </c>
      <c r="AG48" s="7" t="s">
        <v>46</v>
      </c>
    </row>
    <row r="49" spans="1:33" ht="15.75" x14ac:dyDescent="0.25">
      <c r="A49" s="1">
        <v>1247700304268</v>
      </c>
      <c r="B49" s="6">
        <v>9701284011</v>
      </c>
      <c r="C49" s="7" t="s">
        <v>531</v>
      </c>
      <c r="D49" s="7" t="s">
        <v>532</v>
      </c>
      <c r="E49" s="6">
        <v>85921612</v>
      </c>
      <c r="F49" s="6">
        <v>45286555000</v>
      </c>
      <c r="G49" s="6">
        <v>16</v>
      </c>
      <c r="H49" s="6">
        <v>12267</v>
      </c>
      <c r="I49" s="6">
        <v>770101001</v>
      </c>
      <c r="J49" s="7" t="s">
        <v>533</v>
      </c>
      <c r="K49" s="7"/>
      <c r="L49" s="1" t="s">
        <v>404</v>
      </c>
      <c r="M49" s="7" t="s">
        <v>405</v>
      </c>
      <c r="N49" s="7" t="s">
        <v>534</v>
      </c>
      <c r="O49" s="7" t="s">
        <v>535</v>
      </c>
      <c r="P49" s="8">
        <v>773607732822</v>
      </c>
      <c r="Q49" s="7" t="s">
        <v>41</v>
      </c>
      <c r="R49" s="7" t="s">
        <v>536</v>
      </c>
      <c r="S49" s="7" t="s">
        <v>537</v>
      </c>
      <c r="T49" s="7"/>
      <c r="U49" s="7"/>
      <c r="V49" s="1">
        <v>290630000</v>
      </c>
      <c r="W49" s="1">
        <v>147473000</v>
      </c>
      <c r="X49" s="1">
        <v>282478000</v>
      </c>
      <c r="Y49" s="1">
        <v>54000</v>
      </c>
      <c r="Z49" s="1">
        <v>211003000</v>
      </c>
      <c r="AA49" s="1">
        <v>15635000</v>
      </c>
      <c r="AB49" s="1">
        <v>117344000</v>
      </c>
      <c r="AC49" s="1">
        <v>10922000</v>
      </c>
      <c r="AD49" s="1">
        <v>133085000</v>
      </c>
      <c r="AE49" s="7" t="s">
        <v>331</v>
      </c>
      <c r="AF49" s="7" t="s">
        <v>464</v>
      </c>
      <c r="AG49" s="7" t="s">
        <v>46</v>
      </c>
    </row>
    <row r="50" spans="1:33" ht="15.75" x14ac:dyDescent="0.25">
      <c r="A50" s="1">
        <v>1217700481613</v>
      </c>
      <c r="B50" s="6">
        <v>7714477151</v>
      </c>
      <c r="C50" s="7" t="s">
        <v>538</v>
      </c>
      <c r="D50" s="7" t="s">
        <v>539</v>
      </c>
      <c r="E50" s="6">
        <v>53163653</v>
      </c>
      <c r="F50" s="6">
        <v>45277556000</v>
      </c>
      <c r="G50" s="6">
        <v>16</v>
      </c>
      <c r="H50" s="6">
        <v>12300</v>
      </c>
      <c r="I50" s="6">
        <v>771401001</v>
      </c>
      <c r="J50" s="7" t="s">
        <v>540</v>
      </c>
      <c r="K50" s="7"/>
      <c r="L50" s="1" t="s">
        <v>300</v>
      </c>
      <c r="M50" s="7" t="s">
        <v>301</v>
      </c>
      <c r="N50" s="7" t="s">
        <v>541</v>
      </c>
      <c r="O50" s="7" t="s">
        <v>542</v>
      </c>
      <c r="P50" s="8">
        <v>773127149530</v>
      </c>
      <c r="Q50" s="7" t="s">
        <v>41</v>
      </c>
      <c r="R50" s="7" t="s">
        <v>543</v>
      </c>
      <c r="S50" s="7" t="s">
        <v>544</v>
      </c>
      <c r="T50" s="7"/>
      <c r="U50" s="7"/>
      <c r="V50" s="1">
        <v>2051000000</v>
      </c>
      <c r="W50" s="1">
        <v>77895000</v>
      </c>
      <c r="X50" s="1">
        <v>812788000</v>
      </c>
      <c r="Y50" s="1">
        <v>68850000</v>
      </c>
      <c r="Z50" s="1">
        <v>24832000</v>
      </c>
      <c r="AA50" s="1">
        <v>108315000</v>
      </c>
      <c r="AB50" s="1">
        <v>16632000</v>
      </c>
      <c r="AC50" s="1">
        <v>-82196000</v>
      </c>
      <c r="AD50" s="1">
        <v>46448000</v>
      </c>
      <c r="AE50" s="7"/>
      <c r="AF50" s="7" t="s">
        <v>545</v>
      </c>
      <c r="AG50" s="7" t="s">
        <v>46</v>
      </c>
    </row>
    <row r="51" spans="1:33" ht="15.75" x14ac:dyDescent="0.25">
      <c r="A51" s="3">
        <v>1257700039805</v>
      </c>
      <c r="B51" s="9">
        <v>7743464703</v>
      </c>
      <c r="C51" s="10" t="s">
        <v>546</v>
      </c>
      <c r="D51" s="10" t="s">
        <v>547</v>
      </c>
      <c r="E51" s="9">
        <v>63671758</v>
      </c>
      <c r="F51" s="9">
        <v>45277565000</v>
      </c>
      <c r="G51" s="9">
        <v>16</v>
      </c>
      <c r="H51" s="9">
        <v>12300</v>
      </c>
      <c r="I51" s="9">
        <v>774301001</v>
      </c>
      <c r="J51" s="10" t="s">
        <v>548</v>
      </c>
      <c r="K51" s="10"/>
      <c r="L51" s="3" t="s">
        <v>300</v>
      </c>
      <c r="M51" s="10" t="s">
        <v>301</v>
      </c>
      <c r="N51" s="10" t="s">
        <v>549</v>
      </c>
      <c r="O51" s="10" t="s">
        <v>550</v>
      </c>
      <c r="P51" s="11">
        <v>507601258762</v>
      </c>
      <c r="Q51" s="10" t="s">
        <v>41</v>
      </c>
      <c r="R51" s="10" t="s">
        <v>551</v>
      </c>
      <c r="S51" s="10" t="s">
        <v>552</v>
      </c>
      <c r="T51" s="10"/>
      <c r="U51" s="10"/>
      <c r="V51" s="3">
        <v>103492900</v>
      </c>
      <c r="W51" s="3">
        <v>277591000</v>
      </c>
      <c r="X51" s="3">
        <v>176505000</v>
      </c>
      <c r="Y51" s="3">
        <v>176426000</v>
      </c>
      <c r="Z51" s="3">
        <v>40438000</v>
      </c>
      <c r="AA51" s="3">
        <v>41716000</v>
      </c>
      <c r="AB51" s="3">
        <v>146081000</v>
      </c>
      <c r="AC51" s="3">
        <v>128826000</v>
      </c>
      <c r="AD51" s="3">
        <v>198830000</v>
      </c>
      <c r="AE51" s="10"/>
      <c r="AF51" s="10" t="s">
        <v>421</v>
      </c>
      <c r="AG51" s="10" t="s">
        <v>46</v>
      </c>
    </row>
    <row r="52" spans="1:33" ht="15.75" x14ac:dyDescent="0.25">
      <c r="A52" s="1">
        <v>5167746180135</v>
      </c>
      <c r="B52" s="6">
        <v>7725335021</v>
      </c>
      <c r="C52" s="7" t="s">
        <v>553</v>
      </c>
      <c r="D52" s="7" t="s">
        <v>554</v>
      </c>
      <c r="E52" s="6">
        <v>4952513</v>
      </c>
      <c r="F52" s="6">
        <v>45296561000</v>
      </c>
      <c r="G52" s="6">
        <v>23</v>
      </c>
      <c r="H52" s="6">
        <v>12300</v>
      </c>
      <c r="I52" s="6">
        <v>772501001</v>
      </c>
      <c r="J52" s="7" t="s">
        <v>555</v>
      </c>
      <c r="K52" s="7"/>
      <c r="L52" s="1" t="s">
        <v>404</v>
      </c>
      <c r="M52" s="7" t="s">
        <v>405</v>
      </c>
      <c r="N52" s="7" t="s">
        <v>556</v>
      </c>
      <c r="O52" s="7" t="s">
        <v>557</v>
      </c>
      <c r="P52" s="8">
        <v>502700448290</v>
      </c>
      <c r="Q52" s="7" t="s">
        <v>41</v>
      </c>
      <c r="R52" s="7" t="s">
        <v>558</v>
      </c>
      <c r="S52" s="7" t="s">
        <v>559</v>
      </c>
      <c r="T52" s="7"/>
      <c r="U52" s="7"/>
      <c r="V52" s="1">
        <v>862116748</v>
      </c>
      <c r="W52" s="1">
        <v>127936000</v>
      </c>
      <c r="X52" s="1">
        <v>818262000</v>
      </c>
      <c r="Y52" s="1">
        <v>1000</v>
      </c>
      <c r="Z52" s="1">
        <v>290252000</v>
      </c>
      <c r="AA52" s="1">
        <v>354039000</v>
      </c>
      <c r="AB52" s="1">
        <v>322100000</v>
      </c>
      <c r="AC52" s="1">
        <v>-12997000</v>
      </c>
      <c r="AD52" s="1">
        <v>321375000</v>
      </c>
      <c r="AE52" s="7"/>
      <c r="AF52" s="7" t="s">
        <v>286</v>
      </c>
      <c r="AG52" s="7" t="s">
        <v>46</v>
      </c>
    </row>
    <row r="53" spans="1:33" ht="15.75" x14ac:dyDescent="0.25">
      <c r="A53" s="3">
        <v>1227700484076</v>
      </c>
      <c r="B53" s="9">
        <v>9717118570</v>
      </c>
      <c r="C53" s="10" t="s">
        <v>560</v>
      </c>
      <c r="D53" s="10" t="s">
        <v>561</v>
      </c>
      <c r="E53" s="9">
        <v>98385807</v>
      </c>
      <c r="F53" s="9">
        <v>45280552000</v>
      </c>
      <c r="G53" s="9">
        <v>16</v>
      </c>
      <c r="H53" s="9">
        <v>12300</v>
      </c>
      <c r="I53" s="9">
        <v>771701001</v>
      </c>
      <c r="J53" s="10" t="s">
        <v>562</v>
      </c>
      <c r="K53" s="10"/>
      <c r="L53" s="3" t="s">
        <v>563</v>
      </c>
      <c r="M53" s="10" t="s">
        <v>564</v>
      </c>
      <c r="N53" s="10" t="s">
        <v>565</v>
      </c>
      <c r="O53" s="10" t="s">
        <v>566</v>
      </c>
      <c r="P53" s="11">
        <v>7736328675</v>
      </c>
      <c r="Q53" s="10" t="s">
        <v>90</v>
      </c>
      <c r="R53" s="10" t="s">
        <v>567</v>
      </c>
      <c r="S53" s="10" t="s">
        <v>568</v>
      </c>
      <c r="T53" s="10"/>
      <c r="U53" s="10"/>
      <c r="V53" s="3">
        <v>6382610417</v>
      </c>
      <c r="W53" s="3">
        <v>310779000</v>
      </c>
      <c r="X53" s="3">
        <v>0</v>
      </c>
      <c r="Y53" s="3">
        <v>0</v>
      </c>
      <c r="Z53" s="3">
        <v>93855000</v>
      </c>
      <c r="AA53" s="3">
        <v>1606000</v>
      </c>
      <c r="AB53" s="3">
        <v>166464000</v>
      </c>
      <c r="AC53" s="3">
        <v>306093000</v>
      </c>
      <c r="AD53" s="3">
        <v>165295000</v>
      </c>
      <c r="AE53" s="10"/>
      <c r="AF53" s="10" t="s">
        <v>307</v>
      </c>
      <c r="AG53" s="10" t="s">
        <v>46</v>
      </c>
    </row>
    <row r="54" spans="1:33" ht="15.75" x14ac:dyDescent="0.25">
      <c r="A54" s="1">
        <v>1237700699257</v>
      </c>
      <c r="B54" s="6">
        <v>9725137376</v>
      </c>
      <c r="C54" s="7" t="s">
        <v>569</v>
      </c>
      <c r="D54" s="7" t="s">
        <v>570</v>
      </c>
      <c r="E54" s="6">
        <v>79839527</v>
      </c>
      <c r="F54" s="6">
        <v>45296559000</v>
      </c>
      <c r="G54" s="6">
        <v>16</v>
      </c>
      <c r="H54" s="6">
        <v>12300</v>
      </c>
      <c r="I54" s="6">
        <v>772501001</v>
      </c>
      <c r="J54" s="7" t="s">
        <v>571</v>
      </c>
      <c r="K54" s="7"/>
      <c r="L54" s="1" t="s">
        <v>572</v>
      </c>
      <c r="M54" s="7" t="s">
        <v>573</v>
      </c>
      <c r="N54" s="7" t="s">
        <v>574</v>
      </c>
      <c r="O54" s="7" t="s">
        <v>575</v>
      </c>
      <c r="P54" s="8">
        <v>772729379680</v>
      </c>
      <c r="Q54" s="7" t="s">
        <v>41</v>
      </c>
      <c r="R54" s="7" t="s">
        <v>576</v>
      </c>
      <c r="S54" s="7" t="s">
        <v>577</v>
      </c>
      <c r="T54" s="7"/>
      <c r="U54" s="7" t="s">
        <v>578</v>
      </c>
      <c r="V54" s="1">
        <v>250000000</v>
      </c>
      <c r="W54" s="1">
        <v>273984000</v>
      </c>
      <c r="X54" s="1">
        <v>0</v>
      </c>
      <c r="Y54" s="1">
        <v>6090000</v>
      </c>
      <c r="Z54" s="1">
        <v>200791000</v>
      </c>
      <c r="AA54" s="1">
        <v>58602000</v>
      </c>
      <c r="AB54" s="1">
        <v>-993972000</v>
      </c>
      <c r="AC54" s="1">
        <v>-885920000</v>
      </c>
      <c r="AD54" s="1">
        <v>-1004173000</v>
      </c>
      <c r="AE54" s="7"/>
      <c r="AF54" s="7" t="s">
        <v>579</v>
      </c>
      <c r="AG54" s="7" t="s">
        <v>46</v>
      </c>
    </row>
    <row r="55" spans="1:33" ht="15.75" x14ac:dyDescent="0.25">
      <c r="A55" s="3">
        <v>1227700616626</v>
      </c>
      <c r="B55" s="9">
        <v>9723169975</v>
      </c>
      <c r="C55" s="10" t="s">
        <v>580</v>
      </c>
      <c r="D55" s="10" t="s">
        <v>581</v>
      </c>
      <c r="E55" s="9">
        <v>70374475</v>
      </c>
      <c r="F55" s="9">
        <v>45290582000</v>
      </c>
      <c r="G55" s="9">
        <v>16</v>
      </c>
      <c r="H55" s="9">
        <v>12300</v>
      </c>
      <c r="I55" s="9">
        <v>772301001</v>
      </c>
      <c r="J55" s="10" t="s">
        <v>582</v>
      </c>
      <c r="K55" s="10"/>
      <c r="L55" s="3" t="s">
        <v>158</v>
      </c>
      <c r="M55" s="10" t="s">
        <v>159</v>
      </c>
      <c r="N55" s="10" t="s">
        <v>583</v>
      </c>
      <c r="O55" s="10" t="s">
        <v>584</v>
      </c>
      <c r="P55" s="11">
        <v>666301898376</v>
      </c>
      <c r="Q55" s="10" t="s">
        <v>41</v>
      </c>
      <c r="R55" s="10" t="s">
        <v>585</v>
      </c>
      <c r="S55" s="10" t="s">
        <v>586</v>
      </c>
      <c r="T55" s="10"/>
      <c r="U55" s="10" t="s">
        <v>587</v>
      </c>
      <c r="V55" s="3">
        <v>25283577400</v>
      </c>
      <c r="W55" s="3">
        <v>4137635000</v>
      </c>
      <c r="X55" s="3">
        <v>4419707000</v>
      </c>
      <c r="Y55" s="3">
        <v>20312000</v>
      </c>
      <c r="Z55" s="3">
        <v>50081711000</v>
      </c>
      <c r="AA55" s="3">
        <v>53556544000</v>
      </c>
      <c r="AB55" s="3">
        <v>1121165000</v>
      </c>
      <c r="AC55" s="3">
        <v>268314000</v>
      </c>
      <c r="AD55" s="3">
        <v>1510408000</v>
      </c>
      <c r="AE55" s="10"/>
      <c r="AF55" s="10" t="s">
        <v>588</v>
      </c>
      <c r="AG55" s="10" t="s">
        <v>46</v>
      </c>
    </row>
    <row r="56" spans="1:33" ht="15.75" x14ac:dyDescent="0.25">
      <c r="A56" s="3">
        <v>1077746296550</v>
      </c>
      <c r="B56" s="9">
        <v>7717580421</v>
      </c>
      <c r="C56" s="10" t="s">
        <v>589</v>
      </c>
      <c r="D56" s="10" t="s">
        <v>590</v>
      </c>
      <c r="E56" s="9">
        <v>99058068</v>
      </c>
      <c r="F56" s="9">
        <v>45286570000</v>
      </c>
      <c r="G56" s="9">
        <v>16</v>
      </c>
      <c r="H56" s="9">
        <v>12267</v>
      </c>
      <c r="I56" s="9">
        <v>770201001</v>
      </c>
      <c r="J56" s="10" t="s">
        <v>591</v>
      </c>
      <c r="K56" s="10"/>
      <c r="L56" s="3" t="s">
        <v>478</v>
      </c>
      <c r="M56" s="10" t="s">
        <v>479</v>
      </c>
      <c r="N56" s="10" t="s">
        <v>592</v>
      </c>
      <c r="O56" s="10" t="s">
        <v>593</v>
      </c>
      <c r="P56" s="11">
        <v>9710014685</v>
      </c>
      <c r="Q56" s="10" t="s">
        <v>90</v>
      </c>
      <c r="R56" s="10" t="s">
        <v>594</v>
      </c>
      <c r="S56" s="10" t="s">
        <v>595</v>
      </c>
      <c r="T56" s="10"/>
      <c r="U56" s="10"/>
      <c r="V56" s="3">
        <v>5308900000</v>
      </c>
      <c r="W56" s="3">
        <v>377661000</v>
      </c>
      <c r="X56" s="3">
        <v>73816000</v>
      </c>
      <c r="Y56" s="3">
        <v>0</v>
      </c>
      <c r="Z56" s="3">
        <v>11030000</v>
      </c>
      <c r="AA56" s="3">
        <v>3001023000</v>
      </c>
      <c r="AB56" s="3">
        <v>231764000</v>
      </c>
      <c r="AC56" s="3">
        <v>301247000</v>
      </c>
      <c r="AD56" s="3">
        <v>308933000</v>
      </c>
      <c r="AE56" s="10"/>
      <c r="AF56" s="10" t="s">
        <v>421</v>
      </c>
      <c r="AG56" s="10" t="s">
        <v>46</v>
      </c>
    </row>
    <row r="57" spans="1:33" ht="15.75" x14ac:dyDescent="0.25">
      <c r="A57" s="1">
        <v>1077746381624</v>
      </c>
      <c r="B57" s="6">
        <v>7717582274</v>
      </c>
      <c r="C57" s="7" t="s">
        <v>596</v>
      </c>
      <c r="D57" s="7" t="s">
        <v>597</v>
      </c>
      <c r="E57" s="6">
        <v>99572859</v>
      </c>
      <c r="F57" s="6">
        <v>45286570000</v>
      </c>
      <c r="G57" s="6">
        <v>16</v>
      </c>
      <c r="H57" s="6">
        <v>12267</v>
      </c>
      <c r="I57" s="6">
        <v>770201001</v>
      </c>
      <c r="J57" s="7" t="s">
        <v>598</v>
      </c>
      <c r="K57" s="7"/>
      <c r="L57" s="1" t="s">
        <v>404</v>
      </c>
      <c r="M57" s="7" t="s">
        <v>405</v>
      </c>
      <c r="N57" s="7" t="s">
        <v>599</v>
      </c>
      <c r="O57" s="7" t="s">
        <v>593</v>
      </c>
      <c r="P57" s="8">
        <v>9710014685</v>
      </c>
      <c r="Q57" s="7" t="s">
        <v>90</v>
      </c>
      <c r="R57" s="7" t="s">
        <v>594</v>
      </c>
      <c r="S57" s="7" t="s">
        <v>600</v>
      </c>
      <c r="T57" s="7"/>
      <c r="U57" s="7"/>
      <c r="V57" s="1">
        <v>4307740000</v>
      </c>
      <c r="W57" s="1">
        <v>104714000</v>
      </c>
      <c r="X57" s="1">
        <v>57971000</v>
      </c>
      <c r="Y57" s="1">
        <v>0</v>
      </c>
      <c r="Z57" s="1">
        <v>1340000</v>
      </c>
      <c r="AA57" s="1">
        <v>1242409000</v>
      </c>
      <c r="AB57" s="1">
        <v>121315000</v>
      </c>
      <c r="AC57" s="1">
        <v>69733000</v>
      </c>
      <c r="AD57" s="1">
        <v>162421000</v>
      </c>
      <c r="AE57" s="7"/>
      <c r="AF57" s="7" t="s">
        <v>307</v>
      </c>
      <c r="AG57" s="7" t="s">
        <v>46</v>
      </c>
    </row>
    <row r="58" spans="1:33" ht="15.75" x14ac:dyDescent="0.25">
      <c r="A58" s="3">
        <v>1077759685717</v>
      </c>
      <c r="B58" s="9">
        <v>7726575587</v>
      </c>
      <c r="C58" s="10" t="s">
        <v>601</v>
      </c>
      <c r="D58" s="10" t="s">
        <v>602</v>
      </c>
      <c r="E58" s="9">
        <v>82537942</v>
      </c>
      <c r="F58" s="9">
        <v>45296593000</v>
      </c>
      <c r="G58" s="9">
        <v>16</v>
      </c>
      <c r="H58" s="9">
        <v>12267</v>
      </c>
      <c r="I58" s="9">
        <v>772601001</v>
      </c>
      <c r="J58" s="10" t="s">
        <v>603</v>
      </c>
      <c r="K58" s="10"/>
      <c r="L58" s="3" t="s">
        <v>604</v>
      </c>
      <c r="M58" s="10" t="s">
        <v>605</v>
      </c>
      <c r="N58" s="10" t="s">
        <v>606</v>
      </c>
      <c r="O58" s="10" t="s">
        <v>607</v>
      </c>
      <c r="P58" s="11">
        <v>500113143395</v>
      </c>
      <c r="Q58" s="10" t="s">
        <v>41</v>
      </c>
      <c r="R58" s="10" t="s">
        <v>608</v>
      </c>
      <c r="S58" s="10" t="s">
        <v>609</v>
      </c>
      <c r="T58" s="10" t="s">
        <v>610</v>
      </c>
      <c r="U58" s="10"/>
      <c r="V58" s="3">
        <v>150000000</v>
      </c>
      <c r="W58" s="3">
        <v>483101000</v>
      </c>
      <c r="X58" s="3">
        <v>8554000</v>
      </c>
      <c r="Y58" s="3">
        <v>0</v>
      </c>
      <c r="Z58" s="3">
        <v>35893000</v>
      </c>
      <c r="AA58" s="3">
        <v>70740000</v>
      </c>
      <c r="AB58" s="3">
        <v>14102000</v>
      </c>
      <c r="AC58" s="3">
        <v>-63702000</v>
      </c>
      <c r="AD58" s="3">
        <v>26991000</v>
      </c>
      <c r="AE58" s="10"/>
      <c r="AF58" s="10" t="s">
        <v>611</v>
      </c>
      <c r="AG58" s="10" t="s">
        <v>46</v>
      </c>
    </row>
    <row r="59" spans="1:33" ht="15.75" x14ac:dyDescent="0.25">
      <c r="A59" s="1">
        <v>1077760250974</v>
      </c>
      <c r="B59" s="6">
        <v>7708648850</v>
      </c>
      <c r="C59" s="7" t="s">
        <v>612</v>
      </c>
      <c r="D59" s="7" t="s">
        <v>613</v>
      </c>
      <c r="E59" s="6">
        <v>82563129</v>
      </c>
      <c r="F59" s="6">
        <v>45286560000</v>
      </c>
      <c r="G59" s="6">
        <v>16</v>
      </c>
      <c r="H59" s="6">
        <v>12300</v>
      </c>
      <c r="I59" s="6">
        <v>770501001</v>
      </c>
      <c r="J59" s="7" t="s">
        <v>614</v>
      </c>
      <c r="K59" s="7"/>
      <c r="L59" s="1" t="s">
        <v>615</v>
      </c>
      <c r="M59" s="7" t="s">
        <v>616</v>
      </c>
      <c r="N59" s="7" t="s">
        <v>617</v>
      </c>
      <c r="O59" s="7" t="s">
        <v>618</v>
      </c>
      <c r="P59" s="8">
        <v>254002327775</v>
      </c>
      <c r="Q59" s="7" t="s">
        <v>41</v>
      </c>
      <c r="R59" s="7" t="s">
        <v>619</v>
      </c>
      <c r="S59" s="7" t="s">
        <v>620</v>
      </c>
      <c r="T59" s="7"/>
      <c r="U59" s="7"/>
      <c r="V59" s="1">
        <v>145010000</v>
      </c>
      <c r="W59" s="1">
        <v>595618000</v>
      </c>
      <c r="X59" s="1">
        <v>716031000</v>
      </c>
      <c r="Y59" s="1">
        <v>47999000</v>
      </c>
      <c r="Z59" s="1">
        <v>172119000</v>
      </c>
      <c r="AA59" s="1">
        <v>151663000</v>
      </c>
      <c r="AB59" s="1">
        <v>-1153000</v>
      </c>
      <c r="AC59" s="1">
        <v>107252000</v>
      </c>
      <c r="AD59" s="1">
        <v>7560000</v>
      </c>
      <c r="AE59" s="7"/>
      <c r="AF59" s="7" t="s">
        <v>579</v>
      </c>
      <c r="AG59" s="7" t="s">
        <v>46</v>
      </c>
    </row>
    <row r="60" spans="1:33" ht="15.75" x14ac:dyDescent="0.25">
      <c r="A60" s="3">
        <v>1077764075399</v>
      </c>
      <c r="B60" s="9">
        <v>7721607323</v>
      </c>
      <c r="C60" s="10" t="s">
        <v>621</v>
      </c>
      <c r="D60" s="10" t="s">
        <v>622</v>
      </c>
      <c r="E60" s="9">
        <v>84153950</v>
      </c>
      <c r="F60" s="9">
        <v>45290586000</v>
      </c>
      <c r="G60" s="9">
        <v>16</v>
      </c>
      <c r="H60" s="9">
        <v>12267</v>
      </c>
      <c r="I60" s="9">
        <v>772101001</v>
      </c>
      <c r="J60" s="10" t="s">
        <v>623</v>
      </c>
      <c r="K60" s="10"/>
      <c r="L60" s="3" t="s">
        <v>624</v>
      </c>
      <c r="M60" s="10" t="s">
        <v>625</v>
      </c>
      <c r="N60" s="10" t="s">
        <v>626</v>
      </c>
      <c r="O60" s="10" t="s">
        <v>627</v>
      </c>
      <c r="P60" s="11">
        <v>772157795465</v>
      </c>
      <c r="Q60" s="10" t="s">
        <v>41</v>
      </c>
      <c r="R60" s="10" t="s">
        <v>628</v>
      </c>
      <c r="S60" s="10" t="s">
        <v>629</v>
      </c>
      <c r="T60" s="10"/>
      <c r="U60" s="10"/>
      <c r="V60" s="3">
        <v>416240800</v>
      </c>
      <c r="W60" s="3">
        <v>205834000</v>
      </c>
      <c r="X60" s="3">
        <v>1080619000</v>
      </c>
      <c r="Y60" s="3">
        <v>564000</v>
      </c>
      <c r="Z60" s="3">
        <v>35635000</v>
      </c>
      <c r="AA60" s="3">
        <v>25189000</v>
      </c>
      <c r="AB60" s="3">
        <v>-3949000</v>
      </c>
      <c r="AC60" s="3">
        <v>2555000</v>
      </c>
      <c r="AD60" s="3">
        <v>-4590000</v>
      </c>
      <c r="AE60" s="10" t="s">
        <v>331</v>
      </c>
      <c r="AF60" s="10" t="s">
        <v>474</v>
      </c>
      <c r="AG60" s="10" t="s">
        <v>46</v>
      </c>
    </row>
    <row r="61" spans="1:33" ht="15.75" x14ac:dyDescent="0.25">
      <c r="A61" s="1">
        <v>1077762607450</v>
      </c>
      <c r="B61" s="6">
        <v>7703649183</v>
      </c>
      <c r="C61" s="7" t="s">
        <v>630</v>
      </c>
      <c r="D61" s="7" t="s">
        <v>631</v>
      </c>
      <c r="E61" s="6">
        <v>84011894</v>
      </c>
      <c r="F61" s="6">
        <v>45286575000</v>
      </c>
      <c r="G61" s="6">
        <v>42</v>
      </c>
      <c r="H61" s="6">
        <v>12267</v>
      </c>
      <c r="I61" s="6">
        <v>770301001</v>
      </c>
      <c r="J61" s="7" t="s">
        <v>632</v>
      </c>
      <c r="K61" s="7"/>
      <c r="L61" s="1" t="s">
        <v>633</v>
      </c>
      <c r="M61" s="7" t="s">
        <v>634</v>
      </c>
      <c r="N61" s="7" t="s">
        <v>635</v>
      </c>
      <c r="O61" s="7" t="s">
        <v>636</v>
      </c>
      <c r="P61" s="8">
        <v>500401846919</v>
      </c>
      <c r="Q61" s="7" t="s">
        <v>41</v>
      </c>
      <c r="R61" s="7" t="s">
        <v>637</v>
      </c>
      <c r="S61" s="7" t="s">
        <v>638</v>
      </c>
      <c r="T61" s="7" t="s">
        <v>639</v>
      </c>
      <c r="U61" s="7" t="s">
        <v>640</v>
      </c>
      <c r="V61" s="1">
        <v>1404846275</v>
      </c>
      <c r="W61" s="1">
        <v>812407000</v>
      </c>
      <c r="X61" s="1">
        <v>650832000</v>
      </c>
      <c r="Y61" s="1">
        <v>177438000</v>
      </c>
      <c r="Z61" s="1">
        <v>32609000</v>
      </c>
      <c r="AA61" s="1">
        <v>72901000</v>
      </c>
      <c r="AB61" s="1">
        <v>110070000</v>
      </c>
      <c r="AC61" s="1">
        <v>-18917000</v>
      </c>
      <c r="AD61" s="1">
        <v>147076000</v>
      </c>
      <c r="AE61" s="7"/>
      <c r="AF61" s="7" t="s">
        <v>641</v>
      </c>
      <c r="AG61" s="7" t="s">
        <v>46</v>
      </c>
    </row>
    <row r="62" spans="1:33" ht="15.75" x14ac:dyDescent="0.25">
      <c r="A62" s="3">
        <v>1067746734318</v>
      </c>
      <c r="B62" s="9">
        <v>7701666049</v>
      </c>
      <c r="C62" s="10" t="s">
        <v>642</v>
      </c>
      <c r="D62" s="10" t="s">
        <v>643</v>
      </c>
      <c r="E62" s="9">
        <v>96024519</v>
      </c>
      <c r="F62" s="9">
        <v>45286555000</v>
      </c>
      <c r="G62" s="9">
        <v>16</v>
      </c>
      <c r="H62" s="9">
        <v>12300</v>
      </c>
      <c r="I62" s="9">
        <v>770101001</v>
      </c>
      <c r="J62" s="10" t="s">
        <v>644</v>
      </c>
      <c r="K62" s="10"/>
      <c r="L62" s="3" t="s">
        <v>645</v>
      </c>
      <c r="M62" s="10" t="s">
        <v>646</v>
      </c>
      <c r="N62" s="10" t="s">
        <v>647</v>
      </c>
      <c r="O62" s="10" t="s">
        <v>648</v>
      </c>
      <c r="P62" s="11">
        <v>524701756783</v>
      </c>
      <c r="Q62" s="10" t="s">
        <v>138</v>
      </c>
      <c r="R62" s="10" t="s">
        <v>649</v>
      </c>
      <c r="S62" s="10" t="s">
        <v>650</v>
      </c>
      <c r="T62" s="10"/>
      <c r="U62" s="10" t="s">
        <v>651</v>
      </c>
      <c r="V62" s="3">
        <v>15010000100</v>
      </c>
      <c r="W62" s="3">
        <v>108449000</v>
      </c>
      <c r="X62" s="3">
        <v>2000</v>
      </c>
      <c r="Y62" s="3">
        <v>49719289000</v>
      </c>
      <c r="Z62" s="3">
        <v>5189071000</v>
      </c>
      <c r="AA62" s="3">
        <v>22338277000</v>
      </c>
      <c r="AB62" s="3">
        <v>13546000</v>
      </c>
      <c r="AC62" s="3">
        <v>20347000</v>
      </c>
      <c r="AD62" s="3">
        <v>18062000</v>
      </c>
      <c r="AE62" s="10"/>
      <c r="AF62" s="10" t="s">
        <v>318</v>
      </c>
      <c r="AG62" s="10" t="s">
        <v>46</v>
      </c>
    </row>
    <row r="63" spans="1:33" ht="15.75" x14ac:dyDescent="0.25">
      <c r="A63" s="1">
        <v>1117746349324</v>
      </c>
      <c r="B63" s="6">
        <v>7701917479</v>
      </c>
      <c r="C63" s="7" t="s">
        <v>652</v>
      </c>
      <c r="D63" s="7" t="s">
        <v>653</v>
      </c>
      <c r="E63" s="6">
        <v>91530502</v>
      </c>
      <c r="F63" s="6">
        <v>45286555000</v>
      </c>
      <c r="G63" s="6">
        <v>16</v>
      </c>
      <c r="H63" s="6">
        <v>12267</v>
      </c>
      <c r="I63" s="6">
        <v>770101001</v>
      </c>
      <c r="J63" s="7" t="s">
        <v>654</v>
      </c>
      <c r="K63" s="7"/>
      <c r="L63" s="1" t="s">
        <v>655</v>
      </c>
      <c r="M63" s="7" t="s">
        <v>656</v>
      </c>
      <c r="N63" s="7" t="s">
        <v>657</v>
      </c>
      <c r="O63" s="7" t="s">
        <v>658</v>
      </c>
      <c r="P63" s="8">
        <v>773604239545</v>
      </c>
      <c r="Q63" s="7" t="s">
        <v>41</v>
      </c>
      <c r="R63" s="7" t="s">
        <v>659</v>
      </c>
      <c r="S63" s="7" t="s">
        <v>660</v>
      </c>
      <c r="T63" s="7"/>
      <c r="U63" s="7"/>
      <c r="V63" s="1">
        <v>316625000</v>
      </c>
      <c r="W63" s="1">
        <v>568891000</v>
      </c>
      <c r="X63" s="1">
        <v>375000</v>
      </c>
      <c r="Y63" s="1">
        <v>11765000</v>
      </c>
      <c r="Z63" s="1">
        <v>333292000</v>
      </c>
      <c r="AA63" s="1">
        <v>166000</v>
      </c>
      <c r="AB63" s="1">
        <v>253000</v>
      </c>
      <c r="AC63" s="1">
        <v>-7514000</v>
      </c>
      <c r="AD63" s="1">
        <v>611000</v>
      </c>
      <c r="AE63" s="7" t="s">
        <v>331</v>
      </c>
      <c r="AF63" s="7" t="s">
        <v>318</v>
      </c>
      <c r="AG63" s="7" t="s">
        <v>46</v>
      </c>
    </row>
    <row r="64" spans="1:33" ht="15.75" x14ac:dyDescent="0.25">
      <c r="A64" s="3">
        <v>1025006033040</v>
      </c>
      <c r="B64" s="9">
        <v>5046062009</v>
      </c>
      <c r="C64" s="10" t="s">
        <v>661</v>
      </c>
      <c r="D64" s="10" t="s">
        <v>662</v>
      </c>
      <c r="E64" s="9">
        <v>56844460</v>
      </c>
      <c r="F64" s="9">
        <v>46460000126</v>
      </c>
      <c r="G64" s="9">
        <v>16</v>
      </c>
      <c r="H64" s="9">
        <v>12300</v>
      </c>
      <c r="I64" s="9">
        <v>507401001</v>
      </c>
      <c r="J64" s="10" t="s">
        <v>663</v>
      </c>
      <c r="K64" s="10"/>
      <c r="L64" s="3" t="s">
        <v>404</v>
      </c>
      <c r="M64" s="10" t="s">
        <v>405</v>
      </c>
      <c r="N64" s="10" t="s">
        <v>664</v>
      </c>
      <c r="O64" s="10" t="s">
        <v>665</v>
      </c>
      <c r="P64" s="11">
        <v>561506906844</v>
      </c>
      <c r="Q64" s="10" t="s">
        <v>41</v>
      </c>
      <c r="R64" s="10" t="s">
        <v>666</v>
      </c>
      <c r="S64" s="10" t="s">
        <v>667</v>
      </c>
      <c r="T64" s="10" t="s">
        <v>668</v>
      </c>
      <c r="U64" s="10"/>
      <c r="V64" s="3">
        <v>110594087</v>
      </c>
      <c r="W64" s="3">
        <v>324395000</v>
      </c>
      <c r="X64" s="3">
        <v>890768000</v>
      </c>
      <c r="Y64" s="3">
        <v>456000</v>
      </c>
      <c r="Z64" s="3">
        <v>247145000</v>
      </c>
      <c r="AA64" s="3">
        <v>91389000</v>
      </c>
      <c r="AB64" s="3">
        <v>86520000</v>
      </c>
      <c r="AC64" s="3">
        <v>107236000</v>
      </c>
      <c r="AD64" s="3">
        <v>115364000</v>
      </c>
      <c r="AE64" s="10" t="s">
        <v>331</v>
      </c>
      <c r="AF64" s="10" t="s">
        <v>669</v>
      </c>
      <c r="AG64" s="10" t="s">
        <v>46</v>
      </c>
    </row>
    <row r="65" spans="1:33" ht="15.75" x14ac:dyDescent="0.25">
      <c r="A65" s="1">
        <v>1025007269583</v>
      </c>
      <c r="B65" s="6">
        <v>5056000964</v>
      </c>
      <c r="C65" s="7" t="s">
        <v>670</v>
      </c>
      <c r="D65" s="7" t="s">
        <v>671</v>
      </c>
      <c r="E65" s="6">
        <v>113052</v>
      </c>
      <c r="F65" s="6">
        <v>46411000000</v>
      </c>
      <c r="G65" s="6">
        <v>16</v>
      </c>
      <c r="H65" s="6">
        <v>12267</v>
      </c>
      <c r="I65" s="6">
        <v>502701001</v>
      </c>
      <c r="J65" s="7" t="s">
        <v>672</v>
      </c>
      <c r="K65" s="7"/>
      <c r="L65" s="1" t="s">
        <v>445</v>
      </c>
      <c r="M65" s="7" t="s">
        <v>446</v>
      </c>
      <c r="N65" s="7" t="s">
        <v>673</v>
      </c>
      <c r="O65" s="7" t="s">
        <v>674</v>
      </c>
      <c r="P65" s="8">
        <v>860222999577</v>
      </c>
      <c r="Q65" s="7" t="s">
        <v>41</v>
      </c>
      <c r="R65" s="7" t="s">
        <v>675</v>
      </c>
      <c r="S65" s="7" t="s">
        <v>676</v>
      </c>
      <c r="T65" s="7"/>
      <c r="U65" s="7"/>
      <c r="V65" s="1">
        <v>110011000</v>
      </c>
      <c r="W65" s="1">
        <v>266912000</v>
      </c>
      <c r="X65" s="1">
        <v>85020000</v>
      </c>
      <c r="Y65" s="1">
        <v>1008000</v>
      </c>
      <c r="Z65" s="1">
        <v>45867000</v>
      </c>
      <c r="AA65" s="1">
        <v>13655000</v>
      </c>
      <c r="AB65" s="1">
        <v>11036000</v>
      </c>
      <c r="AC65" s="1">
        <v>27150000</v>
      </c>
      <c r="AD65" s="1">
        <v>17803000</v>
      </c>
      <c r="AE65" s="7" t="s">
        <v>331</v>
      </c>
      <c r="AF65" s="7" t="s">
        <v>512</v>
      </c>
      <c r="AG65" s="7" t="s">
        <v>46</v>
      </c>
    </row>
    <row r="66" spans="1:33" ht="15.75" x14ac:dyDescent="0.25">
      <c r="A66" s="1">
        <v>1047796071344</v>
      </c>
      <c r="B66" s="6">
        <v>7727504170</v>
      </c>
      <c r="C66" s="7" t="s">
        <v>677</v>
      </c>
      <c r="D66" s="7" t="s">
        <v>678</v>
      </c>
      <c r="E66" s="6">
        <v>72042263</v>
      </c>
      <c r="F66" s="6">
        <v>45286560000</v>
      </c>
      <c r="G66" s="6">
        <v>16</v>
      </c>
      <c r="H66" s="6">
        <v>12300</v>
      </c>
      <c r="I66" s="6">
        <v>770501001</v>
      </c>
      <c r="J66" s="7" t="s">
        <v>679</v>
      </c>
      <c r="K66" s="7"/>
      <c r="L66" s="1" t="s">
        <v>565</v>
      </c>
      <c r="M66" s="7" t="s">
        <v>680</v>
      </c>
      <c r="N66" s="7" t="s">
        <v>681</v>
      </c>
      <c r="O66" s="7" t="s">
        <v>682</v>
      </c>
      <c r="P66" s="8" t="s">
        <v>683</v>
      </c>
      <c r="Q66" s="7" t="s">
        <v>684</v>
      </c>
      <c r="R66" s="7" t="s">
        <v>685</v>
      </c>
      <c r="S66" s="7" t="s">
        <v>686</v>
      </c>
      <c r="T66" s="7"/>
      <c r="U66" s="7"/>
      <c r="V66" s="1">
        <v>480100000</v>
      </c>
      <c r="W66" s="1">
        <v>82911000</v>
      </c>
      <c r="X66" s="1">
        <v>755000</v>
      </c>
      <c r="Y66" s="1">
        <v>0</v>
      </c>
      <c r="Z66" s="1">
        <v>645251000</v>
      </c>
      <c r="AA66" s="1">
        <v>99370000</v>
      </c>
      <c r="AB66" s="1">
        <v>-11807000</v>
      </c>
      <c r="AC66" s="1">
        <v>-8041000</v>
      </c>
      <c r="AD66" s="1">
        <v>-17825000</v>
      </c>
      <c r="AE66" s="7"/>
      <c r="AF66" s="7" t="s">
        <v>421</v>
      </c>
      <c r="AG66" s="7" t="s">
        <v>46</v>
      </c>
    </row>
    <row r="67" spans="1:33" ht="15.75" x14ac:dyDescent="0.25">
      <c r="A67" s="3">
        <v>1095019001220</v>
      </c>
      <c r="B67" s="9">
        <v>5019021966</v>
      </c>
      <c r="C67" s="10" t="s">
        <v>687</v>
      </c>
      <c r="D67" s="10" t="s">
        <v>688</v>
      </c>
      <c r="E67" s="9">
        <v>11749497</v>
      </c>
      <c r="F67" s="9">
        <v>46435000000</v>
      </c>
      <c r="G67" s="9">
        <v>61</v>
      </c>
      <c r="H67" s="9">
        <v>12267</v>
      </c>
      <c r="I67" s="9">
        <v>501901001</v>
      </c>
      <c r="J67" s="10" t="s">
        <v>689</v>
      </c>
      <c r="K67" s="10"/>
      <c r="L67" s="3" t="s">
        <v>690</v>
      </c>
      <c r="M67" s="10" t="s">
        <v>691</v>
      </c>
      <c r="N67" s="10" t="s">
        <v>692</v>
      </c>
      <c r="O67" s="10" t="s">
        <v>693</v>
      </c>
      <c r="P67" s="11">
        <v>501903344103</v>
      </c>
      <c r="Q67" s="10" t="s">
        <v>150</v>
      </c>
      <c r="R67" s="10" t="s">
        <v>694</v>
      </c>
      <c r="S67" s="10" t="s">
        <v>695</v>
      </c>
      <c r="T67" s="10" t="s">
        <v>696</v>
      </c>
      <c r="U67" s="10" t="s">
        <v>697</v>
      </c>
      <c r="V67" s="3">
        <v>187022000</v>
      </c>
      <c r="W67" s="3">
        <v>165517000</v>
      </c>
      <c r="X67" s="3">
        <v>179727000</v>
      </c>
      <c r="Y67" s="3">
        <v>1091000</v>
      </c>
      <c r="Z67" s="3">
        <v>32204000</v>
      </c>
      <c r="AA67" s="3">
        <v>26511000</v>
      </c>
      <c r="AB67" s="3">
        <v>22001000</v>
      </c>
      <c r="AC67" s="3">
        <v>3870000</v>
      </c>
      <c r="AD67" s="3">
        <v>30376000</v>
      </c>
      <c r="AE67" s="10"/>
      <c r="AF67" s="10" t="s">
        <v>698</v>
      </c>
      <c r="AG67" s="10" t="s">
        <v>46</v>
      </c>
    </row>
    <row r="68" spans="1:33" ht="15.75" x14ac:dyDescent="0.25">
      <c r="A68" s="1">
        <v>1087746628903</v>
      </c>
      <c r="B68" s="6">
        <v>7708671295</v>
      </c>
      <c r="C68" s="7" t="s">
        <v>699</v>
      </c>
      <c r="D68" s="7" t="s">
        <v>700</v>
      </c>
      <c r="E68" s="6">
        <v>86469806</v>
      </c>
      <c r="F68" s="6">
        <v>45286580000</v>
      </c>
      <c r="G68" s="6">
        <v>16</v>
      </c>
      <c r="H68" s="6">
        <v>12300</v>
      </c>
      <c r="I68" s="6">
        <v>770901001</v>
      </c>
      <c r="J68" s="7" t="s">
        <v>701</v>
      </c>
      <c r="K68" s="7"/>
      <c r="L68" s="1" t="s">
        <v>645</v>
      </c>
      <c r="M68" s="7" t="s">
        <v>646</v>
      </c>
      <c r="N68" s="7" t="s">
        <v>702</v>
      </c>
      <c r="O68" s="7" t="s">
        <v>703</v>
      </c>
      <c r="P68" s="8">
        <v>770474483248</v>
      </c>
      <c r="Q68" s="7" t="s">
        <v>41</v>
      </c>
      <c r="R68" s="7" t="s">
        <v>704</v>
      </c>
      <c r="S68" s="7" t="s">
        <v>705</v>
      </c>
      <c r="T68" s="7" t="s">
        <v>706</v>
      </c>
      <c r="U68" s="7" t="s">
        <v>707</v>
      </c>
      <c r="V68" s="1">
        <v>176000000</v>
      </c>
      <c r="W68" s="1">
        <v>496487000</v>
      </c>
      <c r="X68" s="1">
        <v>71178000</v>
      </c>
      <c r="Y68" s="1">
        <v>375000</v>
      </c>
      <c r="Z68" s="1">
        <v>364283000</v>
      </c>
      <c r="AA68" s="1">
        <v>281932000</v>
      </c>
      <c r="AB68" s="1">
        <v>-962000</v>
      </c>
      <c r="AC68" s="1">
        <v>-14996000</v>
      </c>
      <c r="AD68" s="1">
        <v>-436000</v>
      </c>
      <c r="AE68" s="7"/>
      <c r="AF68" s="7" t="s">
        <v>708</v>
      </c>
      <c r="AG68" s="7" t="s">
        <v>46</v>
      </c>
    </row>
    <row r="69" spans="1:33" ht="15.75" x14ac:dyDescent="0.25">
      <c r="A69" s="3">
        <v>1057748725352</v>
      </c>
      <c r="B69" s="9">
        <v>7724558466</v>
      </c>
      <c r="C69" s="10" t="s">
        <v>709</v>
      </c>
      <c r="D69" s="10" t="s">
        <v>710</v>
      </c>
      <c r="E69" s="9">
        <v>7622472</v>
      </c>
      <c r="F69" s="9">
        <v>45296569000</v>
      </c>
      <c r="G69" s="9">
        <v>16</v>
      </c>
      <c r="H69" s="9">
        <v>12267</v>
      </c>
      <c r="I69" s="9">
        <v>772401001</v>
      </c>
      <c r="J69" s="10" t="s">
        <v>711</v>
      </c>
      <c r="K69" s="10"/>
      <c r="L69" s="3" t="s">
        <v>712</v>
      </c>
      <c r="M69" s="10" t="s">
        <v>713</v>
      </c>
      <c r="N69" s="10" t="s">
        <v>714</v>
      </c>
      <c r="O69" s="10" t="s">
        <v>715</v>
      </c>
      <c r="P69" s="11">
        <v>220901290279</v>
      </c>
      <c r="Q69" s="10" t="s">
        <v>41</v>
      </c>
      <c r="R69" s="10" t="s">
        <v>716</v>
      </c>
      <c r="S69" s="10" t="s">
        <v>717</v>
      </c>
      <c r="T69" s="10" t="s">
        <v>718</v>
      </c>
      <c r="U69" s="10" t="s">
        <v>719</v>
      </c>
      <c r="V69" s="3">
        <v>1229926000</v>
      </c>
      <c r="W69" s="3">
        <v>588946000</v>
      </c>
      <c r="X69" s="3">
        <v>732836000</v>
      </c>
      <c r="Y69" s="3">
        <v>3744000</v>
      </c>
      <c r="Z69" s="3">
        <v>146540000</v>
      </c>
      <c r="AA69" s="3">
        <v>114756000</v>
      </c>
      <c r="AB69" s="3">
        <v>179070000</v>
      </c>
      <c r="AC69" s="3">
        <v>19275000</v>
      </c>
      <c r="AD69" s="3">
        <v>243149000</v>
      </c>
      <c r="AE69" s="10"/>
      <c r="AF69" s="10"/>
      <c r="AG69" s="10" t="s">
        <v>46</v>
      </c>
    </row>
    <row r="70" spans="1:33" ht="15.75" x14ac:dyDescent="0.25">
      <c r="A70" s="1">
        <v>1125031002634</v>
      </c>
      <c r="B70" s="6">
        <v>5031101696</v>
      </c>
      <c r="C70" s="7" t="s">
        <v>720</v>
      </c>
      <c r="D70" s="7" t="s">
        <v>721</v>
      </c>
      <c r="E70" s="6">
        <v>3421972</v>
      </c>
      <c r="F70" s="6">
        <v>46451000000</v>
      </c>
      <c r="G70" s="6">
        <v>12</v>
      </c>
      <c r="H70" s="6">
        <v>12267</v>
      </c>
      <c r="I70" s="6">
        <v>503101001</v>
      </c>
      <c r="J70" s="7" t="s">
        <v>722</v>
      </c>
      <c r="K70" s="7"/>
      <c r="L70" s="1" t="s">
        <v>723</v>
      </c>
      <c r="M70" s="7" t="s">
        <v>724</v>
      </c>
      <c r="N70" s="7"/>
      <c r="O70" s="7" t="s">
        <v>725</v>
      </c>
      <c r="P70" s="8">
        <v>503211067701</v>
      </c>
      <c r="Q70" s="7" t="s">
        <v>41</v>
      </c>
      <c r="R70" s="7" t="s">
        <v>726</v>
      </c>
      <c r="S70" s="7" t="s">
        <v>727</v>
      </c>
      <c r="T70" s="7" t="s">
        <v>728</v>
      </c>
      <c r="U70" s="7" t="s">
        <v>729</v>
      </c>
      <c r="V70" s="1">
        <v>103813000</v>
      </c>
      <c r="W70" s="1">
        <v>281930000</v>
      </c>
      <c r="X70" s="1">
        <v>120925000</v>
      </c>
      <c r="Y70" s="1">
        <v>49061000</v>
      </c>
      <c r="Z70" s="1">
        <v>40972000</v>
      </c>
      <c r="AA70" s="1">
        <v>18999000</v>
      </c>
      <c r="AB70" s="1">
        <v>3049000</v>
      </c>
      <c r="AC70" s="1">
        <v>-3728000</v>
      </c>
      <c r="AD70" s="1">
        <v>4065000</v>
      </c>
      <c r="AE70" s="7" t="s">
        <v>730</v>
      </c>
      <c r="AF70" s="7" t="s">
        <v>731</v>
      </c>
      <c r="AG70" s="7" t="s">
        <v>46</v>
      </c>
    </row>
    <row r="71" spans="1:33" ht="15.75" x14ac:dyDescent="0.25">
      <c r="A71" s="3">
        <v>1057746552115</v>
      </c>
      <c r="B71" s="9">
        <v>7743555005</v>
      </c>
      <c r="C71" s="10" t="s">
        <v>732</v>
      </c>
      <c r="D71" s="10" t="s">
        <v>733</v>
      </c>
      <c r="E71" s="9">
        <v>4005951</v>
      </c>
      <c r="F71" s="9">
        <v>45277577000</v>
      </c>
      <c r="G71" s="9">
        <v>16</v>
      </c>
      <c r="H71" s="9">
        <v>12267</v>
      </c>
      <c r="I71" s="9">
        <v>771301001</v>
      </c>
      <c r="J71" s="10" t="s">
        <v>200</v>
      </c>
      <c r="K71" s="10"/>
      <c r="L71" s="3" t="s">
        <v>300</v>
      </c>
      <c r="M71" s="10" t="s">
        <v>301</v>
      </c>
      <c r="N71" s="10" t="s">
        <v>734</v>
      </c>
      <c r="O71" s="10" t="s">
        <v>735</v>
      </c>
      <c r="P71" s="11">
        <v>502912958550</v>
      </c>
      <c r="Q71" s="10" t="s">
        <v>41</v>
      </c>
      <c r="R71" s="10" t="s">
        <v>736</v>
      </c>
      <c r="S71" s="10" t="s">
        <v>737</v>
      </c>
      <c r="T71" s="10" t="s">
        <v>738</v>
      </c>
      <c r="U71" s="10" t="s">
        <v>739</v>
      </c>
      <c r="V71" s="3">
        <v>190831000</v>
      </c>
      <c r="W71" s="3">
        <v>63013000</v>
      </c>
      <c r="X71" s="3">
        <v>166144000</v>
      </c>
      <c r="Y71" s="3">
        <v>28696944000</v>
      </c>
      <c r="Z71" s="3">
        <v>1136061000</v>
      </c>
      <c r="AA71" s="3">
        <v>13844170000</v>
      </c>
      <c r="AB71" s="3">
        <v>306344000</v>
      </c>
      <c r="AC71" s="3">
        <v>-412991000</v>
      </c>
      <c r="AD71" s="3">
        <v>414525000</v>
      </c>
      <c r="AE71" s="10"/>
      <c r="AF71" s="10" t="s">
        <v>740</v>
      </c>
      <c r="AG71" s="10" t="s">
        <v>46</v>
      </c>
    </row>
    <row r="72" spans="1:33" ht="15.75" x14ac:dyDescent="0.25">
      <c r="A72" s="1">
        <v>1057747813837</v>
      </c>
      <c r="B72" s="6">
        <v>7705680245</v>
      </c>
      <c r="C72" s="7" t="s">
        <v>741</v>
      </c>
      <c r="D72" s="7" t="s">
        <v>742</v>
      </c>
      <c r="E72" s="6">
        <v>78499986</v>
      </c>
      <c r="F72" s="6">
        <v>45268560000</v>
      </c>
      <c r="G72" s="6">
        <v>34</v>
      </c>
      <c r="H72" s="6">
        <v>12300</v>
      </c>
      <c r="I72" s="6">
        <v>773101001</v>
      </c>
      <c r="J72" s="7" t="s">
        <v>743</v>
      </c>
      <c r="K72" s="7"/>
      <c r="L72" s="1" t="s">
        <v>744</v>
      </c>
      <c r="M72" s="7" t="s">
        <v>745</v>
      </c>
      <c r="N72" s="7" t="s">
        <v>746</v>
      </c>
      <c r="O72" s="7" t="s">
        <v>747</v>
      </c>
      <c r="P72" s="8">
        <v>332800597605</v>
      </c>
      <c r="Q72" s="7" t="s">
        <v>41</v>
      </c>
      <c r="R72" s="7" t="s">
        <v>748</v>
      </c>
      <c r="S72" s="7" t="s">
        <v>749</v>
      </c>
      <c r="T72" s="7" t="s">
        <v>750</v>
      </c>
      <c r="U72" s="7" t="s">
        <v>751</v>
      </c>
      <c r="V72" s="1">
        <v>140942639</v>
      </c>
      <c r="W72" s="1">
        <v>594873000</v>
      </c>
      <c r="X72" s="1">
        <v>4755000</v>
      </c>
      <c r="Y72" s="1">
        <v>18000</v>
      </c>
      <c r="Z72" s="1">
        <v>162163000</v>
      </c>
      <c r="AA72" s="1">
        <v>86733000</v>
      </c>
      <c r="AB72" s="1">
        <v>431955000</v>
      </c>
      <c r="AC72" s="1">
        <v>448791000</v>
      </c>
      <c r="AD72" s="1">
        <v>587961000</v>
      </c>
      <c r="AE72" s="7"/>
      <c r="AF72" s="7"/>
      <c r="AG72" s="7" t="s">
        <v>46</v>
      </c>
    </row>
    <row r="73" spans="1:33" ht="15.75" x14ac:dyDescent="0.25">
      <c r="A73" s="3">
        <v>1057748830644</v>
      </c>
      <c r="B73" s="9">
        <v>7727557887</v>
      </c>
      <c r="C73" s="10" t="s">
        <v>752</v>
      </c>
      <c r="D73" s="10" t="s">
        <v>753</v>
      </c>
      <c r="E73" s="9">
        <v>79442155</v>
      </c>
      <c r="F73" s="9">
        <v>45286596000</v>
      </c>
      <c r="G73" s="9">
        <v>16</v>
      </c>
      <c r="H73" s="9">
        <v>12300</v>
      </c>
      <c r="I73" s="9">
        <v>770601001</v>
      </c>
      <c r="J73" s="10" t="s">
        <v>754</v>
      </c>
      <c r="K73" s="10"/>
      <c r="L73" s="3" t="s">
        <v>755</v>
      </c>
      <c r="M73" s="10" t="s">
        <v>756</v>
      </c>
      <c r="N73" s="10" t="s">
        <v>757</v>
      </c>
      <c r="O73" s="10" t="s">
        <v>426</v>
      </c>
      <c r="P73" s="11" t="s">
        <v>90</v>
      </c>
      <c r="Q73" s="10" t="s">
        <v>90</v>
      </c>
      <c r="R73" s="10" t="s">
        <v>758</v>
      </c>
      <c r="S73" s="10" t="s">
        <v>759</v>
      </c>
      <c r="T73" s="10"/>
      <c r="U73" s="10" t="s">
        <v>760</v>
      </c>
      <c r="V73" s="3">
        <v>762735740</v>
      </c>
      <c r="W73" s="3">
        <v>1242968000</v>
      </c>
      <c r="X73" s="3">
        <v>2315175000</v>
      </c>
      <c r="Y73" s="3">
        <v>4000</v>
      </c>
      <c r="Z73" s="3">
        <v>274975000</v>
      </c>
      <c r="AA73" s="3">
        <v>140156000</v>
      </c>
      <c r="AB73" s="3">
        <v>173226000</v>
      </c>
      <c r="AC73" s="3">
        <v>500355000</v>
      </c>
      <c r="AD73" s="3">
        <v>231070000</v>
      </c>
      <c r="AE73" s="10"/>
      <c r="AF73" s="10" t="s">
        <v>84</v>
      </c>
      <c r="AG73" s="10" t="s">
        <v>46</v>
      </c>
    </row>
    <row r="74" spans="1:33" ht="15.75" x14ac:dyDescent="0.25">
      <c r="A74" s="1">
        <v>1057749422994</v>
      </c>
      <c r="B74" s="6">
        <v>7714629291</v>
      </c>
      <c r="C74" s="7" t="s">
        <v>761</v>
      </c>
      <c r="D74" s="7" t="s">
        <v>762</v>
      </c>
      <c r="E74" s="6">
        <v>79417981</v>
      </c>
      <c r="F74" s="6">
        <v>45277592000</v>
      </c>
      <c r="G74" s="6">
        <v>24</v>
      </c>
      <c r="H74" s="6">
        <v>12300</v>
      </c>
      <c r="I74" s="6">
        <v>771301001</v>
      </c>
      <c r="J74" s="7" t="s">
        <v>763</v>
      </c>
      <c r="K74" s="7"/>
      <c r="L74" s="1" t="s">
        <v>404</v>
      </c>
      <c r="M74" s="7" t="s">
        <v>405</v>
      </c>
      <c r="N74" s="7" t="s">
        <v>764</v>
      </c>
      <c r="O74" s="7" t="s">
        <v>765</v>
      </c>
      <c r="P74" s="8">
        <v>503210468348</v>
      </c>
      <c r="Q74" s="7" t="s">
        <v>41</v>
      </c>
      <c r="R74" s="7" t="s">
        <v>766</v>
      </c>
      <c r="S74" s="7" t="s">
        <v>767</v>
      </c>
      <c r="T74" s="7"/>
      <c r="U74" s="7"/>
      <c r="V74" s="1">
        <v>156181669</v>
      </c>
      <c r="W74" s="1">
        <v>286234000</v>
      </c>
      <c r="X74" s="1">
        <v>7496000</v>
      </c>
      <c r="Y74" s="1">
        <v>19953000</v>
      </c>
      <c r="Z74" s="1">
        <v>1370000</v>
      </c>
      <c r="AA74" s="1">
        <v>99426000</v>
      </c>
      <c r="AB74" s="1">
        <v>115008000</v>
      </c>
      <c r="AC74" s="1">
        <v>150473000</v>
      </c>
      <c r="AD74" s="1">
        <v>153515000</v>
      </c>
      <c r="AE74" s="7" t="s">
        <v>331</v>
      </c>
      <c r="AF74" s="7" t="s">
        <v>545</v>
      </c>
      <c r="AG74" s="7" t="s">
        <v>46</v>
      </c>
    </row>
    <row r="75" spans="1:33" ht="15.75" x14ac:dyDescent="0.25">
      <c r="A75" s="3">
        <v>1115024004413</v>
      </c>
      <c r="B75" s="9">
        <v>5024121620</v>
      </c>
      <c r="C75" s="10" t="s">
        <v>768</v>
      </c>
      <c r="D75" s="10" t="s">
        <v>769</v>
      </c>
      <c r="E75" s="9">
        <v>92670228</v>
      </c>
      <c r="F75" s="9">
        <v>46439000000</v>
      </c>
      <c r="G75" s="9">
        <v>16</v>
      </c>
      <c r="H75" s="9">
        <v>12300</v>
      </c>
      <c r="I75" s="9">
        <v>502401001</v>
      </c>
      <c r="J75" s="10" t="s">
        <v>770</v>
      </c>
      <c r="K75" s="10"/>
      <c r="L75" s="3" t="s">
        <v>771</v>
      </c>
      <c r="M75" s="10" t="s">
        <v>289</v>
      </c>
      <c r="N75" s="10" t="s">
        <v>772</v>
      </c>
      <c r="O75" s="10" t="s">
        <v>773</v>
      </c>
      <c r="P75" s="11">
        <v>7814486174</v>
      </c>
      <c r="Q75" s="10" t="s">
        <v>90</v>
      </c>
      <c r="R75" s="10" t="s">
        <v>774</v>
      </c>
      <c r="S75" s="10" t="s">
        <v>775</v>
      </c>
      <c r="T75" s="10"/>
      <c r="U75" s="10"/>
      <c r="V75" s="3">
        <v>186100000</v>
      </c>
      <c r="W75" s="3">
        <v>181246000</v>
      </c>
      <c r="X75" s="3">
        <v>24119000</v>
      </c>
      <c r="Y75" s="3">
        <v>5000000</v>
      </c>
      <c r="Z75" s="3">
        <v>107266000</v>
      </c>
      <c r="AA75" s="3">
        <v>2596000</v>
      </c>
      <c r="AB75" s="3">
        <v>-69359000</v>
      </c>
      <c r="AC75" s="3">
        <v>6126000</v>
      </c>
      <c r="AD75" s="3">
        <v>-117384000</v>
      </c>
      <c r="AE75" s="10"/>
      <c r="AF75" s="10" t="s">
        <v>776</v>
      </c>
      <c r="AG75" s="10" t="s">
        <v>46</v>
      </c>
    </row>
    <row r="76" spans="1:33" ht="15.75" x14ac:dyDescent="0.25">
      <c r="A76" s="1">
        <v>1037704002588</v>
      </c>
      <c r="B76" s="6">
        <v>7704251349</v>
      </c>
      <c r="C76" s="7" t="s">
        <v>777</v>
      </c>
      <c r="D76" s="7" t="s">
        <v>778</v>
      </c>
      <c r="E76" s="6">
        <v>59847542</v>
      </c>
      <c r="F76" s="6">
        <v>45286552000</v>
      </c>
      <c r="G76" s="6">
        <v>12</v>
      </c>
      <c r="H76" s="6">
        <v>12267</v>
      </c>
      <c r="I76" s="6">
        <v>770401001</v>
      </c>
      <c r="J76" s="7" t="s">
        <v>779</v>
      </c>
      <c r="K76" s="7"/>
      <c r="L76" s="1" t="s">
        <v>780</v>
      </c>
      <c r="M76" s="7" t="s">
        <v>781</v>
      </c>
      <c r="N76" s="7" t="s">
        <v>782</v>
      </c>
      <c r="O76" s="7" t="s">
        <v>783</v>
      </c>
      <c r="P76" s="8">
        <v>500405305420</v>
      </c>
      <c r="Q76" s="7" t="s">
        <v>41</v>
      </c>
      <c r="R76" s="7" t="s">
        <v>784</v>
      </c>
      <c r="S76" s="7" t="s">
        <v>785</v>
      </c>
      <c r="T76" s="7"/>
      <c r="U76" s="7" t="s">
        <v>786</v>
      </c>
      <c r="V76" s="1">
        <v>203130000</v>
      </c>
      <c r="W76" s="1">
        <v>691332000</v>
      </c>
      <c r="X76" s="1">
        <v>273769000</v>
      </c>
      <c r="Y76" s="1">
        <v>46100000</v>
      </c>
      <c r="Z76" s="1">
        <v>41100000</v>
      </c>
      <c r="AA76" s="1">
        <v>81929000</v>
      </c>
      <c r="AB76" s="1">
        <v>-28385000</v>
      </c>
      <c r="AC76" s="1">
        <v>-91088000</v>
      </c>
      <c r="AD76" s="1">
        <v>-37401000</v>
      </c>
      <c r="AE76" s="7"/>
      <c r="AF76" s="7" t="s">
        <v>787</v>
      </c>
      <c r="AG76" s="7" t="s">
        <v>46</v>
      </c>
    </row>
    <row r="77" spans="1:33" ht="15.75" x14ac:dyDescent="0.25">
      <c r="A77" s="3">
        <v>1037714012907</v>
      </c>
      <c r="B77" s="9">
        <v>7714299413</v>
      </c>
      <c r="C77" s="10" t="s">
        <v>788</v>
      </c>
      <c r="D77" s="10" t="s">
        <v>789</v>
      </c>
      <c r="E77" s="9">
        <v>59895601</v>
      </c>
      <c r="F77" s="9">
        <v>45290586000</v>
      </c>
      <c r="G77" s="9">
        <v>16</v>
      </c>
      <c r="H77" s="9">
        <v>12300</v>
      </c>
      <c r="I77" s="9">
        <v>772101001</v>
      </c>
      <c r="J77" s="10" t="s">
        <v>790</v>
      </c>
      <c r="K77" s="10"/>
      <c r="L77" s="3" t="s">
        <v>497</v>
      </c>
      <c r="M77" s="10" t="s">
        <v>498</v>
      </c>
      <c r="N77" s="10" t="s">
        <v>791</v>
      </c>
      <c r="O77" s="10" t="s">
        <v>792</v>
      </c>
      <c r="P77" s="11">
        <v>772160102953</v>
      </c>
      <c r="Q77" s="10" t="s">
        <v>41</v>
      </c>
      <c r="R77" s="10" t="s">
        <v>793</v>
      </c>
      <c r="S77" s="10" t="s">
        <v>794</v>
      </c>
      <c r="T77" s="10" t="s">
        <v>795</v>
      </c>
      <c r="U77" s="10" t="s">
        <v>796</v>
      </c>
      <c r="V77" s="3">
        <v>109010000</v>
      </c>
      <c r="W77" s="3">
        <v>172356000</v>
      </c>
      <c r="X77" s="3">
        <v>875632000</v>
      </c>
      <c r="Y77" s="3">
        <v>2196000</v>
      </c>
      <c r="Z77" s="3">
        <v>38954000</v>
      </c>
      <c r="AA77" s="3">
        <v>13729000</v>
      </c>
      <c r="AB77" s="3">
        <v>89258000</v>
      </c>
      <c r="AC77" s="3">
        <v>54436000</v>
      </c>
      <c r="AD77" s="3">
        <v>112972000</v>
      </c>
      <c r="AE77" s="10" t="s">
        <v>730</v>
      </c>
      <c r="AF77" s="10" t="s">
        <v>797</v>
      </c>
      <c r="AG77" s="10" t="s">
        <v>46</v>
      </c>
    </row>
    <row r="78" spans="1:33" ht="15.75" x14ac:dyDescent="0.25">
      <c r="A78" s="1">
        <v>1037700134823</v>
      </c>
      <c r="B78" s="6">
        <v>7704180070</v>
      </c>
      <c r="C78" s="7" t="s">
        <v>798</v>
      </c>
      <c r="D78" s="7" t="s">
        <v>799</v>
      </c>
      <c r="E78" s="6">
        <v>18310445</v>
      </c>
      <c r="F78" s="6">
        <v>45286552000</v>
      </c>
      <c r="G78" s="6">
        <v>16</v>
      </c>
      <c r="H78" s="6">
        <v>12267</v>
      </c>
      <c r="I78" s="6">
        <v>770401001</v>
      </c>
      <c r="J78" s="7" t="s">
        <v>800</v>
      </c>
      <c r="K78" s="7"/>
      <c r="L78" s="1" t="s">
        <v>404</v>
      </c>
      <c r="M78" s="7" t="s">
        <v>405</v>
      </c>
      <c r="N78" s="7" t="s">
        <v>801</v>
      </c>
      <c r="O78" s="7" t="s">
        <v>802</v>
      </c>
      <c r="P78" s="8">
        <v>772728497297</v>
      </c>
      <c r="Q78" s="7" t="s">
        <v>41</v>
      </c>
      <c r="R78" s="7" t="s">
        <v>803</v>
      </c>
      <c r="S78" s="7" t="s">
        <v>804</v>
      </c>
      <c r="T78" s="7" t="s">
        <v>805</v>
      </c>
      <c r="U78" s="7" t="s">
        <v>806</v>
      </c>
      <c r="V78" s="1">
        <v>930497000</v>
      </c>
      <c r="W78" s="1">
        <v>473438000</v>
      </c>
      <c r="X78" s="1">
        <v>356146000</v>
      </c>
      <c r="Y78" s="1">
        <v>24115000</v>
      </c>
      <c r="Z78" s="1">
        <v>68211000</v>
      </c>
      <c r="AA78" s="1">
        <v>95133000</v>
      </c>
      <c r="AB78" s="1">
        <v>-33454000</v>
      </c>
      <c r="AC78" s="1">
        <v>145489000</v>
      </c>
      <c r="AD78" s="1">
        <v>-10221000</v>
      </c>
      <c r="AE78" s="7" t="s">
        <v>331</v>
      </c>
      <c r="AF78" s="7" t="s">
        <v>530</v>
      </c>
      <c r="AG78" s="7" t="s">
        <v>46</v>
      </c>
    </row>
    <row r="79" spans="1:33" ht="15.75" x14ac:dyDescent="0.25">
      <c r="A79" s="3">
        <v>1037722007070</v>
      </c>
      <c r="B79" s="9">
        <v>7722281113</v>
      </c>
      <c r="C79" s="10" t="s">
        <v>807</v>
      </c>
      <c r="D79" s="10" t="s">
        <v>808</v>
      </c>
      <c r="E79" s="9">
        <v>59871233</v>
      </c>
      <c r="F79" s="9">
        <v>45290564000</v>
      </c>
      <c r="G79" s="9">
        <v>16</v>
      </c>
      <c r="H79" s="9">
        <v>12300</v>
      </c>
      <c r="I79" s="9">
        <v>772201001</v>
      </c>
      <c r="J79" s="10" t="s">
        <v>809</v>
      </c>
      <c r="K79" s="10"/>
      <c r="L79" s="3" t="s">
        <v>445</v>
      </c>
      <c r="M79" s="10" t="s">
        <v>446</v>
      </c>
      <c r="N79" s="10"/>
      <c r="O79" s="10" t="s">
        <v>810</v>
      </c>
      <c r="P79" s="11">
        <v>771525220555</v>
      </c>
      <c r="Q79" s="10" t="s">
        <v>41</v>
      </c>
      <c r="R79" s="10" t="s">
        <v>811</v>
      </c>
      <c r="S79" s="10" t="s">
        <v>812</v>
      </c>
      <c r="T79" s="10"/>
      <c r="U79" s="10"/>
      <c r="V79" s="3">
        <v>104173447</v>
      </c>
      <c r="W79" s="3">
        <v>177189000</v>
      </c>
      <c r="X79" s="3">
        <v>58998000</v>
      </c>
      <c r="Y79" s="3">
        <v>0</v>
      </c>
      <c r="Z79" s="3">
        <v>31752000</v>
      </c>
      <c r="AA79" s="3">
        <v>37653000</v>
      </c>
      <c r="AB79" s="3">
        <v>81719000</v>
      </c>
      <c r="AC79" s="3">
        <v>0</v>
      </c>
      <c r="AD79" s="3">
        <v>0</v>
      </c>
      <c r="AE79" s="10" t="s">
        <v>331</v>
      </c>
      <c r="AF79" s="10" t="s">
        <v>669</v>
      </c>
      <c r="AG79" s="10" t="s">
        <v>319</v>
      </c>
    </row>
    <row r="80" spans="1:33" ht="15.75" x14ac:dyDescent="0.25">
      <c r="A80" s="1">
        <v>1037722024262</v>
      </c>
      <c r="B80" s="6">
        <v>7722291263</v>
      </c>
      <c r="C80" s="7" t="s">
        <v>813</v>
      </c>
      <c r="D80" s="7" t="s">
        <v>814</v>
      </c>
      <c r="E80" s="6">
        <v>14235273</v>
      </c>
      <c r="F80" s="6">
        <v>45290594000</v>
      </c>
      <c r="G80" s="6">
        <v>23</v>
      </c>
      <c r="H80" s="6">
        <v>12267</v>
      </c>
      <c r="I80" s="6">
        <v>772201001</v>
      </c>
      <c r="J80" s="7" t="s">
        <v>815</v>
      </c>
      <c r="K80" s="7"/>
      <c r="L80" s="1" t="s">
        <v>478</v>
      </c>
      <c r="M80" s="7" t="s">
        <v>479</v>
      </c>
      <c r="N80" s="7" t="s">
        <v>404</v>
      </c>
      <c r="O80" s="7" t="s">
        <v>816</v>
      </c>
      <c r="P80" s="8">
        <v>773166992165</v>
      </c>
      <c r="Q80" s="7" t="s">
        <v>41</v>
      </c>
      <c r="R80" s="7" t="s">
        <v>817</v>
      </c>
      <c r="S80" s="7" t="s">
        <v>818</v>
      </c>
      <c r="T80" s="7" t="s">
        <v>819</v>
      </c>
      <c r="U80" s="7" t="s">
        <v>820</v>
      </c>
      <c r="V80" s="1">
        <v>799105300</v>
      </c>
      <c r="W80" s="1">
        <v>448992000</v>
      </c>
      <c r="X80" s="1">
        <v>25267000</v>
      </c>
      <c r="Y80" s="1">
        <v>7000</v>
      </c>
      <c r="Z80" s="1">
        <v>50021000</v>
      </c>
      <c r="AA80" s="1">
        <v>50956000</v>
      </c>
      <c r="AB80" s="1">
        <v>394805000</v>
      </c>
      <c r="AC80" s="1">
        <v>301103000</v>
      </c>
      <c r="AD80" s="1">
        <v>302543000</v>
      </c>
      <c r="AE80" s="7"/>
      <c r="AF80" s="7" t="s">
        <v>821</v>
      </c>
      <c r="AG80" s="7" t="s">
        <v>46</v>
      </c>
    </row>
    <row r="81" spans="1:33" ht="15.75" x14ac:dyDescent="0.25">
      <c r="A81" s="3">
        <v>1021101005870</v>
      </c>
      <c r="B81" s="9">
        <v>1112003019</v>
      </c>
      <c r="C81" s="10" t="s">
        <v>822</v>
      </c>
      <c r="D81" s="10" t="s">
        <v>823</v>
      </c>
      <c r="E81" s="9">
        <v>44765850</v>
      </c>
      <c r="F81" s="9">
        <v>45268569000</v>
      </c>
      <c r="G81" s="9">
        <v>16</v>
      </c>
      <c r="H81" s="9">
        <v>12300</v>
      </c>
      <c r="I81" s="9">
        <v>773101001</v>
      </c>
      <c r="J81" s="10" t="s">
        <v>824</v>
      </c>
      <c r="K81" s="10"/>
      <c r="L81" s="3" t="s">
        <v>825</v>
      </c>
      <c r="M81" s="10" t="s">
        <v>826</v>
      </c>
      <c r="N81" s="10" t="s">
        <v>827</v>
      </c>
      <c r="O81" s="10" t="s">
        <v>828</v>
      </c>
      <c r="P81" s="11">
        <v>270302454441</v>
      </c>
      <c r="Q81" s="10" t="s">
        <v>41</v>
      </c>
      <c r="R81" s="10" t="s">
        <v>829</v>
      </c>
      <c r="S81" s="10" t="s">
        <v>830</v>
      </c>
      <c r="T81" s="10"/>
      <c r="U81" s="10"/>
      <c r="V81" s="3">
        <v>125155000</v>
      </c>
      <c r="W81" s="3">
        <v>926360000</v>
      </c>
      <c r="X81" s="3">
        <v>197226000</v>
      </c>
      <c r="Y81" s="3">
        <v>126571000</v>
      </c>
      <c r="Z81" s="3">
        <v>62434000</v>
      </c>
      <c r="AA81" s="3">
        <v>408929000</v>
      </c>
      <c r="AB81" s="3">
        <v>-227962000</v>
      </c>
      <c r="AC81" s="3">
        <v>-265750000</v>
      </c>
      <c r="AD81" s="3">
        <v>-300899000</v>
      </c>
      <c r="AE81" s="10"/>
      <c r="AF81" s="10" t="s">
        <v>831</v>
      </c>
      <c r="AG81" s="10" t="s">
        <v>46</v>
      </c>
    </row>
    <row r="82" spans="1:33" ht="15.75" x14ac:dyDescent="0.25">
      <c r="A82" s="1">
        <v>1187746701493</v>
      </c>
      <c r="B82" s="6">
        <v>9709034542</v>
      </c>
      <c r="C82" s="7" t="s">
        <v>832</v>
      </c>
      <c r="D82" s="7" t="s">
        <v>833</v>
      </c>
      <c r="E82" s="6">
        <v>31842201</v>
      </c>
      <c r="F82" s="6">
        <v>45286555000</v>
      </c>
      <c r="G82" s="6">
        <v>16</v>
      </c>
      <c r="H82" s="6">
        <v>12300</v>
      </c>
      <c r="I82" s="6">
        <v>770901001</v>
      </c>
      <c r="J82" s="7" t="s">
        <v>834</v>
      </c>
      <c r="K82" s="7"/>
      <c r="L82" s="1" t="s">
        <v>404</v>
      </c>
      <c r="M82" s="7" t="s">
        <v>405</v>
      </c>
      <c r="N82" s="7" t="s">
        <v>835</v>
      </c>
      <c r="O82" s="7" t="s">
        <v>836</v>
      </c>
      <c r="P82" s="8">
        <v>772012461606</v>
      </c>
      <c r="Q82" s="7" t="s">
        <v>41</v>
      </c>
      <c r="R82" s="7" t="s">
        <v>837</v>
      </c>
      <c r="S82" s="7" t="s">
        <v>838</v>
      </c>
      <c r="T82" s="7"/>
      <c r="U82" s="7" t="s">
        <v>839</v>
      </c>
      <c r="V82" s="1">
        <v>678099000</v>
      </c>
      <c r="W82" s="1">
        <v>183752000</v>
      </c>
      <c r="X82" s="1">
        <v>219837000</v>
      </c>
      <c r="Y82" s="1">
        <v>0</v>
      </c>
      <c r="Z82" s="1">
        <v>3737000</v>
      </c>
      <c r="AA82" s="1">
        <v>7931000</v>
      </c>
      <c r="AB82" s="1">
        <v>354000</v>
      </c>
      <c r="AC82" s="1">
        <v>46895000</v>
      </c>
      <c r="AD82" s="1">
        <v>472000</v>
      </c>
      <c r="AE82" s="7"/>
      <c r="AF82" s="7" t="s">
        <v>352</v>
      </c>
      <c r="AG82" s="7" t="s">
        <v>46</v>
      </c>
    </row>
    <row r="83" spans="1:33" ht="15.75" x14ac:dyDescent="0.25">
      <c r="A83" s="3">
        <v>1027739031462</v>
      </c>
      <c r="B83" s="9">
        <v>7701229747</v>
      </c>
      <c r="C83" s="10" t="s">
        <v>840</v>
      </c>
      <c r="D83" s="10" t="s">
        <v>841</v>
      </c>
      <c r="E83" s="9">
        <v>52422851</v>
      </c>
      <c r="F83" s="9">
        <v>45286555000</v>
      </c>
      <c r="G83" s="9">
        <v>16</v>
      </c>
      <c r="H83" s="9">
        <v>12300</v>
      </c>
      <c r="I83" s="9">
        <v>770101001</v>
      </c>
      <c r="J83" s="10" t="s">
        <v>842</v>
      </c>
      <c r="K83" s="10"/>
      <c r="L83" s="3" t="s">
        <v>565</v>
      </c>
      <c r="M83" s="10" t="s">
        <v>680</v>
      </c>
      <c r="N83" s="10" t="s">
        <v>843</v>
      </c>
      <c r="O83" s="10" t="s">
        <v>844</v>
      </c>
      <c r="P83" s="11">
        <v>772634671912</v>
      </c>
      <c r="Q83" s="10" t="s">
        <v>41</v>
      </c>
      <c r="R83" s="10" t="s">
        <v>845</v>
      </c>
      <c r="S83" s="10" t="s">
        <v>846</v>
      </c>
      <c r="T83" s="10" t="s">
        <v>847</v>
      </c>
      <c r="U83" s="10"/>
      <c r="V83" s="3">
        <v>3709110000</v>
      </c>
      <c r="W83" s="3">
        <v>636458000</v>
      </c>
      <c r="X83" s="3">
        <v>6204000</v>
      </c>
      <c r="Y83" s="3">
        <v>373240000</v>
      </c>
      <c r="Z83" s="3">
        <v>122516000</v>
      </c>
      <c r="AA83" s="3">
        <v>84391000</v>
      </c>
      <c r="AB83" s="3">
        <v>1036567000</v>
      </c>
      <c r="AC83" s="3">
        <v>183449000</v>
      </c>
      <c r="AD83" s="3">
        <v>1032030000</v>
      </c>
      <c r="AE83" s="10" t="s">
        <v>331</v>
      </c>
      <c r="AF83" s="10" t="s">
        <v>35</v>
      </c>
      <c r="AG83" s="10" t="s">
        <v>46</v>
      </c>
    </row>
    <row r="84" spans="1:33" ht="15.75" x14ac:dyDescent="0.25">
      <c r="A84" s="1">
        <v>1027739225205</v>
      </c>
      <c r="B84" s="6">
        <v>7704235643</v>
      </c>
      <c r="C84" s="7" t="s">
        <v>848</v>
      </c>
      <c r="D84" s="7" t="s">
        <v>849</v>
      </c>
      <c r="E84" s="6">
        <v>58199905</v>
      </c>
      <c r="F84" s="6">
        <v>45286590000</v>
      </c>
      <c r="G84" s="6">
        <v>16</v>
      </c>
      <c r="H84" s="6">
        <v>12300</v>
      </c>
      <c r="I84" s="6">
        <v>770401001</v>
      </c>
      <c r="J84" s="7" t="s">
        <v>850</v>
      </c>
      <c r="K84" s="7"/>
      <c r="L84" s="1" t="s">
        <v>851</v>
      </c>
      <c r="M84" s="7" t="s">
        <v>852</v>
      </c>
      <c r="N84" s="7" t="s">
        <v>853</v>
      </c>
      <c r="O84" s="7" t="s">
        <v>854</v>
      </c>
      <c r="P84" s="8">
        <v>890404392715</v>
      </c>
      <c r="Q84" s="7" t="s">
        <v>41</v>
      </c>
      <c r="R84" s="7" t="s">
        <v>855</v>
      </c>
      <c r="S84" s="7" t="s">
        <v>856</v>
      </c>
      <c r="T84" s="7"/>
      <c r="U84" s="7" t="s">
        <v>857</v>
      </c>
      <c r="V84" s="1">
        <v>287200000</v>
      </c>
      <c r="W84" s="1">
        <v>128198000</v>
      </c>
      <c r="X84" s="1">
        <v>2144000</v>
      </c>
      <c r="Y84" s="1">
        <v>0</v>
      </c>
      <c r="Z84" s="1">
        <v>6958000</v>
      </c>
      <c r="AA84" s="1">
        <v>6171000</v>
      </c>
      <c r="AB84" s="1">
        <v>-216099000</v>
      </c>
      <c r="AC84" s="1">
        <v>59087000</v>
      </c>
      <c r="AD84" s="1">
        <v>-285422000</v>
      </c>
      <c r="AE84" s="7" t="s">
        <v>317</v>
      </c>
      <c r="AF84" s="7" t="s">
        <v>740</v>
      </c>
      <c r="AG84" s="7" t="s">
        <v>46</v>
      </c>
    </row>
    <row r="85" spans="1:33" ht="15.75" x14ac:dyDescent="0.25">
      <c r="A85" s="3">
        <v>1167746418707</v>
      </c>
      <c r="B85" s="9">
        <v>9701038827</v>
      </c>
      <c r="C85" s="10" t="s">
        <v>858</v>
      </c>
      <c r="D85" s="10" t="s">
        <v>859</v>
      </c>
      <c r="E85" s="9">
        <v>2219027</v>
      </c>
      <c r="F85" s="9">
        <v>45286555000</v>
      </c>
      <c r="G85" s="9">
        <v>16</v>
      </c>
      <c r="H85" s="9">
        <v>12300</v>
      </c>
      <c r="I85" s="9">
        <v>770101001</v>
      </c>
      <c r="J85" s="10" t="s">
        <v>860</v>
      </c>
      <c r="K85" s="10"/>
      <c r="L85" s="3" t="s">
        <v>861</v>
      </c>
      <c r="M85" s="10" t="s">
        <v>862</v>
      </c>
      <c r="N85" s="10" t="s">
        <v>863</v>
      </c>
      <c r="O85" s="10" t="s">
        <v>864</v>
      </c>
      <c r="P85" s="11">
        <v>600400487441</v>
      </c>
      <c r="Q85" s="10" t="s">
        <v>41</v>
      </c>
      <c r="R85" s="10" t="s">
        <v>865</v>
      </c>
      <c r="S85" s="10" t="s">
        <v>866</v>
      </c>
      <c r="T85" s="10"/>
      <c r="U85" s="10" t="s">
        <v>867</v>
      </c>
      <c r="V85" s="3">
        <v>753621804</v>
      </c>
      <c r="W85" s="3">
        <v>1103133000</v>
      </c>
      <c r="X85" s="3">
        <v>387057000</v>
      </c>
      <c r="Y85" s="3">
        <v>14398000</v>
      </c>
      <c r="Z85" s="3">
        <v>437208000</v>
      </c>
      <c r="AA85" s="3">
        <v>195059000</v>
      </c>
      <c r="AB85" s="3">
        <v>146476000</v>
      </c>
      <c r="AC85" s="3">
        <v>189566000</v>
      </c>
      <c r="AD85" s="3">
        <v>206930000</v>
      </c>
      <c r="AE85" s="10"/>
      <c r="AF85" s="10" t="s">
        <v>868</v>
      </c>
      <c r="AG85" s="10" t="s">
        <v>46</v>
      </c>
    </row>
    <row r="86" spans="1:33" ht="15.75" x14ac:dyDescent="0.25">
      <c r="A86" s="3">
        <v>1105032007761</v>
      </c>
      <c r="B86" s="9">
        <v>5032229441</v>
      </c>
      <c r="C86" s="10" t="s">
        <v>869</v>
      </c>
      <c r="D86" s="10" t="s">
        <v>870</v>
      </c>
      <c r="E86" s="9">
        <v>68176779</v>
      </c>
      <c r="F86" s="9">
        <v>46455000000</v>
      </c>
      <c r="G86" s="9">
        <v>16</v>
      </c>
      <c r="H86" s="9">
        <v>12300</v>
      </c>
      <c r="I86" s="9">
        <v>503201001</v>
      </c>
      <c r="J86" s="10" t="s">
        <v>871</v>
      </c>
      <c r="K86" s="10"/>
      <c r="L86" s="3" t="s">
        <v>872</v>
      </c>
      <c r="M86" s="10" t="s">
        <v>873</v>
      </c>
      <c r="N86" s="10" t="s">
        <v>874</v>
      </c>
      <c r="O86" s="10" t="s">
        <v>426</v>
      </c>
      <c r="P86" s="11" t="s">
        <v>90</v>
      </c>
      <c r="Q86" s="10" t="s">
        <v>90</v>
      </c>
      <c r="R86" s="10" t="s">
        <v>875</v>
      </c>
      <c r="S86" s="10" t="s">
        <v>876</v>
      </c>
      <c r="T86" s="10"/>
      <c r="U86" s="10" t="s">
        <v>877</v>
      </c>
      <c r="V86" s="3">
        <v>8180946956</v>
      </c>
      <c r="W86" s="3">
        <v>234940000</v>
      </c>
      <c r="X86" s="3">
        <v>11820000</v>
      </c>
      <c r="Y86" s="3">
        <v>0</v>
      </c>
      <c r="Z86" s="3">
        <v>834213000</v>
      </c>
      <c r="AA86" s="3">
        <v>1343622000</v>
      </c>
      <c r="AB86" s="3">
        <v>16644499000</v>
      </c>
      <c r="AC86" s="3">
        <v>-320193000</v>
      </c>
      <c r="AD86" s="3">
        <v>26916935000</v>
      </c>
      <c r="AE86" s="10"/>
      <c r="AF86" s="10" t="s">
        <v>878</v>
      </c>
      <c r="AG86" s="10" t="s">
        <v>46</v>
      </c>
    </row>
    <row r="87" spans="1:33" ht="15.75" x14ac:dyDescent="0.25">
      <c r="A87" s="1">
        <v>1165045050312</v>
      </c>
      <c r="B87" s="6">
        <v>5045059204</v>
      </c>
      <c r="C87" s="7" t="s">
        <v>879</v>
      </c>
      <c r="D87" s="7" t="s">
        <v>880</v>
      </c>
      <c r="E87" s="6">
        <v>484498</v>
      </c>
      <c r="F87" s="6">
        <v>46476000682</v>
      </c>
      <c r="G87" s="6">
        <v>23</v>
      </c>
      <c r="H87" s="6">
        <v>12300</v>
      </c>
      <c r="I87" s="6">
        <v>504501001</v>
      </c>
      <c r="J87" s="7" t="s">
        <v>881</v>
      </c>
      <c r="K87" s="7"/>
      <c r="L87" s="1" t="s">
        <v>882</v>
      </c>
      <c r="M87" s="7" t="s">
        <v>883</v>
      </c>
      <c r="N87" s="7" t="s">
        <v>884</v>
      </c>
      <c r="O87" s="7" t="s">
        <v>885</v>
      </c>
      <c r="P87" s="8" t="s">
        <v>886</v>
      </c>
      <c r="Q87" s="7" t="s">
        <v>887</v>
      </c>
      <c r="R87" s="7" t="s">
        <v>888</v>
      </c>
      <c r="S87" s="7" t="s">
        <v>889</v>
      </c>
      <c r="T87" s="7"/>
      <c r="U87" s="7" t="s">
        <v>890</v>
      </c>
      <c r="V87" s="1">
        <v>667000000</v>
      </c>
      <c r="W87" s="1">
        <v>672887000</v>
      </c>
      <c r="X87" s="1">
        <v>456244000</v>
      </c>
      <c r="Y87" s="1">
        <v>154602000</v>
      </c>
      <c r="Z87" s="1">
        <v>63003000</v>
      </c>
      <c r="AA87" s="1">
        <v>67946000</v>
      </c>
      <c r="AB87" s="1">
        <v>34639000</v>
      </c>
      <c r="AC87" s="1">
        <v>21626000</v>
      </c>
      <c r="AD87" s="1">
        <v>30151000</v>
      </c>
      <c r="AE87" s="7"/>
      <c r="AF87" s="7" t="s">
        <v>891</v>
      </c>
      <c r="AG87" s="7" t="s">
        <v>46</v>
      </c>
    </row>
    <row r="88" spans="1:33" ht="15.75" x14ac:dyDescent="0.25">
      <c r="A88" s="3">
        <v>1167746887835</v>
      </c>
      <c r="B88" s="9">
        <v>7708300340</v>
      </c>
      <c r="C88" s="10" t="s">
        <v>892</v>
      </c>
      <c r="D88" s="10" t="s">
        <v>893</v>
      </c>
      <c r="E88" s="9">
        <v>4678265</v>
      </c>
      <c r="F88" s="9">
        <v>46468000000</v>
      </c>
      <c r="G88" s="9">
        <v>16</v>
      </c>
      <c r="H88" s="9">
        <v>12300</v>
      </c>
      <c r="I88" s="9">
        <v>504001001</v>
      </c>
      <c r="J88" s="10" t="s">
        <v>894</v>
      </c>
      <c r="K88" s="10"/>
      <c r="L88" s="3" t="s">
        <v>895</v>
      </c>
      <c r="M88" s="10" t="s">
        <v>896</v>
      </c>
      <c r="N88" s="10" t="s">
        <v>897</v>
      </c>
      <c r="O88" s="10" t="s">
        <v>898</v>
      </c>
      <c r="P88" s="11">
        <v>500705115935</v>
      </c>
      <c r="Q88" s="10" t="s">
        <v>41</v>
      </c>
      <c r="R88" s="10" t="s">
        <v>899</v>
      </c>
      <c r="S88" s="10" t="s">
        <v>900</v>
      </c>
      <c r="T88" s="10"/>
      <c r="U88" s="10" t="s">
        <v>901</v>
      </c>
      <c r="V88" s="3">
        <v>734579000</v>
      </c>
      <c r="W88" s="3">
        <v>270413000</v>
      </c>
      <c r="X88" s="3">
        <v>85543000</v>
      </c>
      <c r="Y88" s="3">
        <v>59742000</v>
      </c>
      <c r="Z88" s="3">
        <v>89238000</v>
      </c>
      <c r="AA88" s="3">
        <v>4991000</v>
      </c>
      <c r="AB88" s="3">
        <v>-3825000</v>
      </c>
      <c r="AC88" s="3">
        <v>10409000</v>
      </c>
      <c r="AD88" s="3">
        <v>-4839000</v>
      </c>
      <c r="AE88" s="10"/>
      <c r="AF88" s="10" t="s">
        <v>307</v>
      </c>
      <c r="AG88" s="10" t="s">
        <v>46</v>
      </c>
    </row>
    <row r="89" spans="1:33" ht="15.75" x14ac:dyDescent="0.25">
      <c r="A89" s="1">
        <v>1247700363525</v>
      </c>
      <c r="B89" s="6">
        <v>9706045458</v>
      </c>
      <c r="C89" s="7" t="s">
        <v>902</v>
      </c>
      <c r="D89" s="7" t="s">
        <v>903</v>
      </c>
      <c r="E89" s="6">
        <v>83305375</v>
      </c>
      <c r="F89" s="6">
        <v>45286596000</v>
      </c>
      <c r="G89" s="6">
        <v>16</v>
      </c>
      <c r="H89" s="6">
        <v>12300</v>
      </c>
      <c r="I89" s="6">
        <v>770601001</v>
      </c>
      <c r="J89" s="7" t="s">
        <v>904</v>
      </c>
      <c r="K89" s="7"/>
      <c r="L89" s="1" t="s">
        <v>905</v>
      </c>
      <c r="M89" s="7" t="s">
        <v>906</v>
      </c>
      <c r="N89" s="7" t="s">
        <v>907</v>
      </c>
      <c r="O89" s="7" t="s">
        <v>426</v>
      </c>
      <c r="P89" s="8" t="s">
        <v>90</v>
      </c>
      <c r="Q89" s="7" t="s">
        <v>90</v>
      </c>
      <c r="R89" s="7" t="s">
        <v>908</v>
      </c>
      <c r="S89" s="7" t="s">
        <v>909</v>
      </c>
      <c r="T89" s="7"/>
      <c r="U89" s="7"/>
      <c r="V89" s="1">
        <v>433000000</v>
      </c>
      <c r="W89" s="1">
        <v>2259060000</v>
      </c>
      <c r="X89" s="1">
        <v>2612577000</v>
      </c>
      <c r="Y89" s="1">
        <v>436610000</v>
      </c>
      <c r="Z89" s="1">
        <v>176471000</v>
      </c>
      <c r="AA89" s="1">
        <v>218669000</v>
      </c>
      <c r="AB89" s="1">
        <v>-3608774000</v>
      </c>
      <c r="AC89" s="1">
        <v>-3006907000</v>
      </c>
      <c r="AD89" s="1">
        <v>-4777158000</v>
      </c>
      <c r="AE89" s="7"/>
      <c r="AF89" s="7" t="s">
        <v>910</v>
      </c>
      <c r="AG89" s="7" t="s">
        <v>46</v>
      </c>
    </row>
    <row r="90" spans="1:33" ht="15.75" x14ac:dyDescent="0.25">
      <c r="A90" s="3">
        <v>1137746396633</v>
      </c>
      <c r="B90" s="9">
        <v>7709928666</v>
      </c>
      <c r="C90" s="10" t="s">
        <v>911</v>
      </c>
      <c r="D90" s="10" t="s">
        <v>912</v>
      </c>
      <c r="E90" s="9">
        <v>17551000</v>
      </c>
      <c r="F90" s="9">
        <v>45268569000</v>
      </c>
      <c r="G90" s="9">
        <v>16</v>
      </c>
      <c r="H90" s="9">
        <v>12300</v>
      </c>
      <c r="I90" s="9">
        <v>773101001</v>
      </c>
      <c r="J90" s="10" t="s">
        <v>913</v>
      </c>
      <c r="K90" s="10"/>
      <c r="L90" s="3" t="s">
        <v>914</v>
      </c>
      <c r="M90" s="10" t="s">
        <v>915</v>
      </c>
      <c r="N90" s="10" t="s">
        <v>916</v>
      </c>
      <c r="O90" s="10" t="s">
        <v>917</v>
      </c>
      <c r="P90" s="11">
        <v>666200576943</v>
      </c>
      <c r="Q90" s="10" t="s">
        <v>41</v>
      </c>
      <c r="R90" s="10" t="s">
        <v>918</v>
      </c>
      <c r="S90" s="10" t="s">
        <v>919</v>
      </c>
      <c r="T90" s="10"/>
      <c r="U90" s="10"/>
      <c r="V90" s="3">
        <v>1110000000</v>
      </c>
      <c r="W90" s="3">
        <v>303514000</v>
      </c>
      <c r="X90" s="3">
        <v>571753000</v>
      </c>
      <c r="Y90" s="3">
        <v>237474000</v>
      </c>
      <c r="Z90" s="3">
        <v>68720000</v>
      </c>
      <c r="AA90" s="3">
        <v>143407000</v>
      </c>
      <c r="AB90" s="3">
        <v>17862000</v>
      </c>
      <c r="AC90" s="3">
        <v>16987000</v>
      </c>
      <c r="AD90" s="3">
        <v>27212000</v>
      </c>
      <c r="AE90" s="10"/>
      <c r="AF90" s="10" t="s">
        <v>35</v>
      </c>
      <c r="AG90" s="10" t="s">
        <v>46</v>
      </c>
    </row>
    <row r="91" spans="1:33" ht="15.75" x14ac:dyDescent="0.25">
      <c r="A91" s="1">
        <v>1221600079205</v>
      </c>
      <c r="B91" s="6">
        <v>9705179378</v>
      </c>
      <c r="C91" s="7" t="s">
        <v>920</v>
      </c>
      <c r="D91" s="7" t="s">
        <v>921</v>
      </c>
      <c r="E91" s="6">
        <v>78367138</v>
      </c>
      <c r="F91" s="6">
        <v>45286560000</v>
      </c>
      <c r="G91" s="6">
        <v>16</v>
      </c>
      <c r="H91" s="6">
        <v>12267</v>
      </c>
      <c r="I91" s="6">
        <v>770501001</v>
      </c>
      <c r="J91" s="7" t="s">
        <v>922</v>
      </c>
      <c r="K91" s="7"/>
      <c r="L91" s="1" t="s">
        <v>923</v>
      </c>
      <c r="M91" s="7" t="s">
        <v>924</v>
      </c>
      <c r="N91" s="7" t="s">
        <v>925</v>
      </c>
      <c r="O91" s="7" t="s">
        <v>926</v>
      </c>
      <c r="P91" s="8">
        <v>502807521224</v>
      </c>
      <c r="Q91" s="7" t="s">
        <v>41</v>
      </c>
      <c r="R91" s="7" t="s">
        <v>927</v>
      </c>
      <c r="S91" s="7" t="s">
        <v>928</v>
      </c>
      <c r="T91" s="7"/>
      <c r="U91" s="7" t="s">
        <v>929</v>
      </c>
      <c r="V91" s="1">
        <v>8394000000</v>
      </c>
      <c r="W91" s="1">
        <v>502364000</v>
      </c>
      <c r="X91" s="1">
        <v>62121000</v>
      </c>
      <c r="Y91" s="1">
        <v>4336000</v>
      </c>
      <c r="Z91" s="1">
        <v>1881281000</v>
      </c>
      <c r="AA91" s="1">
        <v>531662000</v>
      </c>
      <c r="AB91" s="1">
        <v>267657000</v>
      </c>
      <c r="AC91" s="1">
        <v>126410000</v>
      </c>
      <c r="AD91" s="1">
        <v>368110000</v>
      </c>
      <c r="AE91" s="7"/>
      <c r="AF91" s="7" t="s">
        <v>930</v>
      </c>
      <c r="AG91" s="7" t="s">
        <v>46</v>
      </c>
    </row>
    <row r="92" spans="1:33" ht="15.75" x14ac:dyDescent="0.25">
      <c r="A92" s="3">
        <v>1195081029857</v>
      </c>
      <c r="B92" s="9">
        <v>5012099794</v>
      </c>
      <c r="C92" s="10" t="s">
        <v>931</v>
      </c>
      <c r="D92" s="10" t="s">
        <v>932</v>
      </c>
      <c r="E92" s="9">
        <v>39312141</v>
      </c>
      <c r="F92" s="9">
        <v>46404000000</v>
      </c>
      <c r="G92" s="9">
        <v>16</v>
      </c>
      <c r="H92" s="9">
        <v>12300</v>
      </c>
      <c r="I92" s="9">
        <v>501201001</v>
      </c>
      <c r="J92" s="10" t="s">
        <v>933</v>
      </c>
      <c r="K92" s="10"/>
      <c r="L92" s="3" t="s">
        <v>445</v>
      </c>
      <c r="M92" s="10" t="s">
        <v>446</v>
      </c>
      <c r="N92" s="10" t="s">
        <v>934</v>
      </c>
      <c r="O92" s="10" t="s">
        <v>935</v>
      </c>
      <c r="P92" s="11">
        <v>773602815553</v>
      </c>
      <c r="Q92" s="10" t="s">
        <v>41</v>
      </c>
      <c r="R92" s="10" t="s">
        <v>936</v>
      </c>
      <c r="S92" s="10" t="s">
        <v>937</v>
      </c>
      <c r="T92" s="10"/>
      <c r="U92" s="10"/>
      <c r="V92" s="3">
        <v>550000000</v>
      </c>
      <c r="W92" s="3">
        <v>283439000</v>
      </c>
      <c r="X92" s="3">
        <v>29240000</v>
      </c>
      <c r="Y92" s="3">
        <v>0</v>
      </c>
      <c r="Z92" s="3">
        <v>17132000</v>
      </c>
      <c r="AA92" s="3">
        <v>52771000</v>
      </c>
      <c r="AB92" s="3">
        <v>127633000</v>
      </c>
      <c r="AC92" s="3">
        <v>165842000</v>
      </c>
      <c r="AD92" s="3">
        <v>170230000</v>
      </c>
      <c r="AE92" s="10" t="s">
        <v>331</v>
      </c>
      <c r="AF92" s="10" t="s">
        <v>669</v>
      </c>
      <c r="AG92" s="10" t="s">
        <v>46</v>
      </c>
    </row>
    <row r="93" spans="1:33" ht="15.75" x14ac:dyDescent="0.25">
      <c r="A93" s="1">
        <v>1130280039922</v>
      </c>
      <c r="B93" s="6">
        <v>223005179</v>
      </c>
      <c r="C93" s="7" t="s">
        <v>938</v>
      </c>
      <c r="D93" s="7" t="s">
        <v>939</v>
      </c>
      <c r="E93" s="6">
        <v>16811427</v>
      </c>
      <c r="F93" s="6">
        <v>45293566000</v>
      </c>
      <c r="G93" s="6">
        <v>16</v>
      </c>
      <c r="H93" s="6">
        <v>12300</v>
      </c>
      <c r="I93" s="6">
        <v>772801001</v>
      </c>
      <c r="J93" s="7" t="s">
        <v>940</v>
      </c>
      <c r="K93" s="7"/>
      <c r="L93" s="1" t="s">
        <v>941</v>
      </c>
      <c r="M93" s="7" t="s">
        <v>942</v>
      </c>
      <c r="N93" s="7" t="s">
        <v>943</v>
      </c>
      <c r="O93" s="7" t="s">
        <v>944</v>
      </c>
      <c r="P93" s="8">
        <v>501705774859</v>
      </c>
      <c r="Q93" s="7" t="s">
        <v>150</v>
      </c>
      <c r="R93" s="7" t="s">
        <v>945</v>
      </c>
      <c r="S93" s="7" t="s">
        <v>946</v>
      </c>
      <c r="T93" s="7"/>
      <c r="U93" s="7"/>
      <c r="V93" s="1">
        <v>1056450401</v>
      </c>
      <c r="W93" s="1">
        <v>211308000</v>
      </c>
      <c r="X93" s="1">
        <v>1462503000</v>
      </c>
      <c r="Y93" s="1">
        <v>582268000</v>
      </c>
      <c r="Z93" s="1">
        <v>422437000</v>
      </c>
      <c r="AA93" s="1">
        <v>708376000</v>
      </c>
      <c r="AB93" s="1">
        <v>-200826000</v>
      </c>
      <c r="AC93" s="1">
        <v>-19264000</v>
      </c>
      <c r="AD93" s="1">
        <v>-253742000</v>
      </c>
      <c r="AE93" s="7"/>
      <c r="AF93" s="7" t="s">
        <v>947</v>
      </c>
      <c r="AG93" s="7" t="s">
        <v>46</v>
      </c>
    </row>
    <row r="94" spans="1:33" ht="15.75" x14ac:dyDescent="0.25">
      <c r="A94" s="1">
        <v>1155020002059</v>
      </c>
      <c r="B94" s="6">
        <v>5020079505</v>
      </c>
      <c r="C94" s="7" t="s">
        <v>948</v>
      </c>
      <c r="D94" s="7" t="s">
        <v>949</v>
      </c>
      <c r="E94" s="6">
        <v>1547806</v>
      </c>
      <c r="F94" s="6">
        <v>46437000000</v>
      </c>
      <c r="G94" s="6">
        <v>14</v>
      </c>
      <c r="H94" s="6">
        <v>65243</v>
      </c>
      <c r="I94" s="6">
        <v>502001001</v>
      </c>
      <c r="J94" s="7" t="s">
        <v>950</v>
      </c>
      <c r="K94" s="7"/>
      <c r="L94" s="1" t="s">
        <v>951</v>
      </c>
      <c r="M94" s="7" t="s">
        <v>952</v>
      </c>
      <c r="N94" s="7" t="s">
        <v>953</v>
      </c>
      <c r="O94" s="7" t="s">
        <v>954</v>
      </c>
      <c r="P94" s="8">
        <v>502004542900</v>
      </c>
      <c r="Q94" s="7" t="s">
        <v>150</v>
      </c>
      <c r="R94" s="7" t="s">
        <v>955</v>
      </c>
      <c r="S94" s="7" t="s">
        <v>956</v>
      </c>
      <c r="T94" s="7"/>
      <c r="U94" s="7" t="s">
        <v>957</v>
      </c>
      <c r="V94" s="1">
        <v>424959716</v>
      </c>
      <c r="W94" s="1">
        <v>119307000</v>
      </c>
      <c r="X94" s="1">
        <v>213447000</v>
      </c>
      <c r="Y94" s="1">
        <v>2174000</v>
      </c>
      <c r="Z94" s="1">
        <v>150873000</v>
      </c>
      <c r="AA94" s="1">
        <v>32017000</v>
      </c>
      <c r="AB94" s="1">
        <v>-5543000</v>
      </c>
      <c r="AC94" s="1">
        <v>-77900000</v>
      </c>
      <c r="AD94" s="1">
        <v>-5039000</v>
      </c>
      <c r="AE94" s="7"/>
      <c r="AF94" s="7"/>
      <c r="AG94" s="7" t="s">
        <v>46</v>
      </c>
    </row>
    <row r="95" spans="1:33" ht="15.75" x14ac:dyDescent="0.25">
      <c r="A95" s="3">
        <v>1067760772419</v>
      </c>
      <c r="B95" s="9">
        <v>7708621985</v>
      </c>
      <c r="C95" s="10" t="s">
        <v>958</v>
      </c>
      <c r="D95" s="10" t="s">
        <v>959</v>
      </c>
      <c r="E95" s="9">
        <v>98911851</v>
      </c>
      <c r="F95" s="9">
        <v>45286565000</v>
      </c>
      <c r="G95" s="9">
        <v>16</v>
      </c>
      <c r="H95" s="9">
        <v>12267</v>
      </c>
      <c r="I95" s="9">
        <v>770801001</v>
      </c>
      <c r="J95" s="10" t="s">
        <v>960</v>
      </c>
      <c r="K95" s="10"/>
      <c r="L95" s="3" t="s">
        <v>961</v>
      </c>
      <c r="M95" s="10" t="s">
        <v>962</v>
      </c>
      <c r="N95" s="10" t="s">
        <v>963</v>
      </c>
      <c r="O95" s="10" t="s">
        <v>964</v>
      </c>
      <c r="P95" s="11">
        <v>695005990026</v>
      </c>
      <c r="Q95" s="10" t="s">
        <v>41</v>
      </c>
      <c r="R95" s="10" t="s">
        <v>965</v>
      </c>
      <c r="S95" s="10" t="s">
        <v>966</v>
      </c>
      <c r="T95" s="10" t="s">
        <v>967</v>
      </c>
      <c r="U95" s="10" t="s">
        <v>968</v>
      </c>
      <c r="V95" s="3">
        <v>253150000</v>
      </c>
      <c r="W95" s="3">
        <v>100100000</v>
      </c>
      <c r="X95" s="3">
        <v>170000</v>
      </c>
      <c r="Y95" s="3">
        <v>1000</v>
      </c>
      <c r="Z95" s="3">
        <v>42556000</v>
      </c>
      <c r="AA95" s="3">
        <v>43053000</v>
      </c>
      <c r="AB95" s="3">
        <v>104321000</v>
      </c>
      <c r="AC95" s="3">
        <v>87586000</v>
      </c>
      <c r="AD95" s="3">
        <v>107030000</v>
      </c>
      <c r="AE95" s="10" t="s">
        <v>331</v>
      </c>
      <c r="AF95" s="10" t="s">
        <v>421</v>
      </c>
      <c r="AG95" s="10" t="s">
        <v>46</v>
      </c>
    </row>
    <row r="96" spans="1:33" ht="15.75" x14ac:dyDescent="0.25">
      <c r="A96" s="3">
        <v>1045001302367</v>
      </c>
      <c r="B96" s="9">
        <v>5005038631</v>
      </c>
      <c r="C96" s="10" t="s">
        <v>969</v>
      </c>
      <c r="D96" s="10" t="s">
        <v>970</v>
      </c>
      <c r="E96" s="9">
        <v>73017712</v>
      </c>
      <c r="F96" s="9">
        <v>46410000000</v>
      </c>
      <c r="G96" s="9">
        <v>14</v>
      </c>
      <c r="H96" s="9">
        <v>65243</v>
      </c>
      <c r="I96" s="9">
        <v>500501001</v>
      </c>
      <c r="J96" s="10" t="s">
        <v>971</v>
      </c>
      <c r="K96" s="10"/>
      <c r="L96" s="3" t="s">
        <v>972</v>
      </c>
      <c r="M96" s="10" t="s">
        <v>973</v>
      </c>
      <c r="N96" s="10" t="s">
        <v>974</v>
      </c>
      <c r="O96" s="10" t="s">
        <v>975</v>
      </c>
      <c r="P96" s="11">
        <v>773008312829</v>
      </c>
      <c r="Q96" s="10" t="s">
        <v>150</v>
      </c>
      <c r="R96" s="10" t="s">
        <v>976</v>
      </c>
      <c r="S96" s="10" t="s">
        <v>977</v>
      </c>
      <c r="T96" s="10" t="s">
        <v>978</v>
      </c>
      <c r="U96" s="10" t="s">
        <v>979</v>
      </c>
      <c r="V96" s="3">
        <v>347164042</v>
      </c>
      <c r="W96" s="3">
        <v>823167000</v>
      </c>
      <c r="X96" s="3">
        <v>248357000</v>
      </c>
      <c r="Y96" s="3">
        <v>20515000</v>
      </c>
      <c r="Z96" s="3">
        <v>425760000</v>
      </c>
      <c r="AA96" s="3">
        <v>230085000</v>
      </c>
      <c r="AB96" s="3">
        <v>-135039000</v>
      </c>
      <c r="AC96" s="3">
        <v>-110061000</v>
      </c>
      <c r="AD96" s="3">
        <v>-163963000</v>
      </c>
      <c r="AE96" s="10"/>
      <c r="AF96" s="10"/>
      <c r="AG96" s="10" t="s">
        <v>46</v>
      </c>
    </row>
    <row r="97" spans="1:33" ht="15.75" x14ac:dyDescent="0.25">
      <c r="A97" s="1">
        <v>1155032010825</v>
      </c>
      <c r="B97" s="6">
        <v>5032217904</v>
      </c>
      <c r="C97" s="7" t="s">
        <v>980</v>
      </c>
      <c r="D97" s="7" t="s">
        <v>981</v>
      </c>
      <c r="E97" s="6">
        <v>11738045</v>
      </c>
      <c r="F97" s="6">
        <v>45286552000</v>
      </c>
      <c r="G97" s="6">
        <v>16</v>
      </c>
      <c r="H97" s="6">
        <v>12300</v>
      </c>
      <c r="I97" s="6">
        <v>770401001</v>
      </c>
      <c r="J97" s="7" t="s">
        <v>982</v>
      </c>
      <c r="K97" s="7"/>
      <c r="L97" s="1" t="s">
        <v>983</v>
      </c>
      <c r="M97" s="7" t="s">
        <v>984</v>
      </c>
      <c r="N97" s="7" t="s">
        <v>985</v>
      </c>
      <c r="O97" s="7" t="s">
        <v>986</v>
      </c>
      <c r="P97" s="8">
        <v>773395181779</v>
      </c>
      <c r="Q97" s="7" t="s">
        <v>150</v>
      </c>
      <c r="R97" s="7" t="s">
        <v>987</v>
      </c>
      <c r="S97" s="7" t="s">
        <v>988</v>
      </c>
      <c r="T97" s="7"/>
      <c r="U97" s="7"/>
      <c r="V97" s="1">
        <v>123894000</v>
      </c>
      <c r="W97" s="1">
        <v>292613000</v>
      </c>
      <c r="X97" s="1">
        <v>10641000</v>
      </c>
      <c r="Y97" s="1">
        <v>383000</v>
      </c>
      <c r="Z97" s="1">
        <v>3715000</v>
      </c>
      <c r="AA97" s="1">
        <v>56269000</v>
      </c>
      <c r="AB97" s="1">
        <v>1037000</v>
      </c>
      <c r="AC97" s="1">
        <v>23802000</v>
      </c>
      <c r="AD97" s="1">
        <v>6385000</v>
      </c>
      <c r="AE97" s="7" t="s">
        <v>331</v>
      </c>
      <c r="AF97" s="7" t="s">
        <v>410</v>
      </c>
      <c r="AG97" s="7" t="s">
        <v>46</v>
      </c>
    </row>
    <row r="98" spans="1:33" ht="15.75" x14ac:dyDescent="0.25">
      <c r="A98" s="3">
        <v>1045011805244</v>
      </c>
      <c r="B98" s="9">
        <v>5039008071</v>
      </c>
      <c r="C98" s="10" t="s">
        <v>989</v>
      </c>
      <c r="D98" s="10" t="s">
        <v>990</v>
      </c>
      <c r="E98" s="9">
        <v>4783967</v>
      </c>
      <c r="F98" s="9">
        <v>46470000506</v>
      </c>
      <c r="G98" s="9">
        <v>14</v>
      </c>
      <c r="H98" s="9">
        <v>65243</v>
      </c>
      <c r="I98" s="9">
        <v>503901001</v>
      </c>
      <c r="J98" s="10" t="s">
        <v>991</v>
      </c>
      <c r="K98" s="10"/>
      <c r="L98" s="3" t="s">
        <v>992</v>
      </c>
      <c r="M98" s="10" t="s">
        <v>993</v>
      </c>
      <c r="N98" s="10" t="s">
        <v>994</v>
      </c>
      <c r="O98" s="10" t="s">
        <v>995</v>
      </c>
      <c r="P98" s="11">
        <v>331602813080</v>
      </c>
      <c r="Q98" s="10" t="s">
        <v>150</v>
      </c>
      <c r="R98" s="10" t="s">
        <v>996</v>
      </c>
      <c r="S98" s="10" t="s">
        <v>997</v>
      </c>
      <c r="T98" s="10" t="s">
        <v>998</v>
      </c>
      <c r="U98" s="10" t="s">
        <v>999</v>
      </c>
      <c r="V98" s="3">
        <v>218786000</v>
      </c>
      <c r="W98" s="3">
        <v>459586000</v>
      </c>
      <c r="X98" s="3">
        <v>148077000</v>
      </c>
      <c r="Y98" s="3">
        <v>32684000</v>
      </c>
      <c r="Z98" s="3">
        <v>180526000</v>
      </c>
      <c r="AA98" s="3">
        <v>135041000</v>
      </c>
      <c r="AB98" s="3">
        <v>-42572000</v>
      </c>
      <c r="AC98" s="3">
        <v>-75038000</v>
      </c>
      <c r="AD98" s="3">
        <v>-49156000</v>
      </c>
      <c r="AE98" s="10"/>
      <c r="AF98" s="10"/>
      <c r="AG98" s="10" t="s">
        <v>46</v>
      </c>
    </row>
    <row r="99" spans="1:33" ht="15.75" x14ac:dyDescent="0.25">
      <c r="A99" s="1">
        <v>1045010215623</v>
      </c>
      <c r="B99" s="6">
        <v>5050050180</v>
      </c>
      <c r="C99" s="7" t="s">
        <v>1000</v>
      </c>
      <c r="D99" s="7" t="s">
        <v>1001</v>
      </c>
      <c r="E99" s="6">
        <v>75211815</v>
      </c>
      <c r="F99" s="6">
        <v>46488000000</v>
      </c>
      <c r="G99" s="6">
        <v>16</v>
      </c>
      <c r="H99" s="6">
        <v>12300</v>
      </c>
      <c r="I99" s="6">
        <v>505001001</v>
      </c>
      <c r="J99" s="7" t="s">
        <v>1002</v>
      </c>
      <c r="K99" s="7"/>
      <c r="L99" s="1" t="s">
        <v>404</v>
      </c>
      <c r="M99" s="7" t="s">
        <v>405</v>
      </c>
      <c r="N99" s="7"/>
      <c r="O99" s="7" t="s">
        <v>1003</v>
      </c>
      <c r="P99" s="8">
        <v>344810272701</v>
      </c>
      <c r="Q99" s="7" t="s">
        <v>150</v>
      </c>
      <c r="R99" s="7" t="s">
        <v>1004</v>
      </c>
      <c r="S99" s="7" t="s">
        <v>1005</v>
      </c>
      <c r="T99" s="7"/>
      <c r="U99" s="7"/>
      <c r="V99" s="1">
        <v>120000000</v>
      </c>
      <c r="W99" s="1">
        <v>117392000</v>
      </c>
      <c r="X99" s="1">
        <v>52940000</v>
      </c>
      <c r="Y99" s="1">
        <v>6823000</v>
      </c>
      <c r="Z99" s="1">
        <v>227495000</v>
      </c>
      <c r="AA99" s="1">
        <v>12399000</v>
      </c>
      <c r="AB99" s="1">
        <v>60399000</v>
      </c>
      <c r="AC99" s="1">
        <v>0</v>
      </c>
      <c r="AD99" s="1">
        <v>0</v>
      </c>
      <c r="AE99" s="7" t="s">
        <v>317</v>
      </c>
      <c r="AF99" s="7" t="s">
        <v>461</v>
      </c>
      <c r="AG99" s="7" t="s">
        <v>319</v>
      </c>
    </row>
    <row r="100" spans="1:33" ht="15.75" x14ac:dyDescent="0.25">
      <c r="A100" s="1">
        <v>1157746606445</v>
      </c>
      <c r="B100" s="6">
        <v>7707345330</v>
      </c>
      <c r="C100" s="7" t="s">
        <v>1006</v>
      </c>
      <c r="D100" s="7" t="s">
        <v>1007</v>
      </c>
      <c r="E100" s="6">
        <v>11422833</v>
      </c>
      <c r="F100" s="6">
        <v>45286585000</v>
      </c>
      <c r="G100" s="6">
        <v>23</v>
      </c>
      <c r="H100" s="6">
        <v>12300</v>
      </c>
      <c r="I100" s="6">
        <v>770701001</v>
      </c>
      <c r="J100" s="7" t="s">
        <v>1008</v>
      </c>
      <c r="K100" s="7"/>
      <c r="L100" s="1" t="s">
        <v>445</v>
      </c>
      <c r="M100" s="7" t="s">
        <v>446</v>
      </c>
      <c r="N100" s="7" t="s">
        <v>1009</v>
      </c>
      <c r="O100" s="7" t="s">
        <v>1010</v>
      </c>
      <c r="P100" s="8">
        <v>772393040837</v>
      </c>
      <c r="Q100" s="7" t="s">
        <v>41</v>
      </c>
      <c r="R100" s="7" t="s">
        <v>1011</v>
      </c>
      <c r="S100" s="7" t="s">
        <v>1012</v>
      </c>
      <c r="T100" s="7" t="s">
        <v>1013</v>
      </c>
      <c r="U100" s="7" t="s">
        <v>1014</v>
      </c>
      <c r="V100" s="1">
        <v>108000000</v>
      </c>
      <c r="W100" s="1">
        <v>1042240000</v>
      </c>
      <c r="X100" s="1">
        <v>80000</v>
      </c>
      <c r="Y100" s="1">
        <v>24118000</v>
      </c>
      <c r="Z100" s="1">
        <v>9469000</v>
      </c>
      <c r="AA100" s="1">
        <v>249087000</v>
      </c>
      <c r="AB100" s="1">
        <v>571367000</v>
      </c>
      <c r="AC100" s="1">
        <v>755743000</v>
      </c>
      <c r="AD100" s="1">
        <v>761813000</v>
      </c>
      <c r="AE100" s="7"/>
      <c r="AF100" s="7" t="s">
        <v>1015</v>
      </c>
      <c r="AG100" s="7" t="s">
        <v>46</v>
      </c>
    </row>
    <row r="101" spans="1:33" ht="15.75" x14ac:dyDescent="0.25">
      <c r="A101" s="1">
        <v>1157746650225</v>
      </c>
      <c r="B101" s="6">
        <v>7722334453</v>
      </c>
      <c r="C101" s="7" t="s">
        <v>1016</v>
      </c>
      <c r="D101" s="7" t="s">
        <v>1017</v>
      </c>
      <c r="E101" s="6">
        <v>46791892</v>
      </c>
      <c r="F101" s="6">
        <v>45290564000</v>
      </c>
      <c r="G101" s="6">
        <v>16</v>
      </c>
      <c r="H101" s="6">
        <v>12300</v>
      </c>
      <c r="I101" s="6">
        <v>772201001</v>
      </c>
      <c r="J101" s="7" t="s">
        <v>1018</v>
      </c>
      <c r="K101" s="7"/>
      <c r="L101" s="1" t="s">
        <v>404</v>
      </c>
      <c r="M101" s="7" t="s">
        <v>405</v>
      </c>
      <c r="N101" s="7" t="s">
        <v>1019</v>
      </c>
      <c r="O101" s="7" t="s">
        <v>1020</v>
      </c>
      <c r="P101" s="8">
        <v>772372003464</v>
      </c>
      <c r="Q101" s="7" t="s">
        <v>41</v>
      </c>
      <c r="R101" s="7" t="s">
        <v>1021</v>
      </c>
      <c r="S101" s="7" t="s">
        <v>1022</v>
      </c>
      <c r="T101" s="7"/>
      <c r="U101" s="7"/>
      <c r="V101" s="1">
        <v>1130010000</v>
      </c>
      <c r="W101" s="1">
        <v>165082000</v>
      </c>
      <c r="X101" s="1">
        <v>50845000</v>
      </c>
      <c r="Y101" s="1">
        <v>0</v>
      </c>
      <c r="Z101" s="1">
        <v>23858000</v>
      </c>
      <c r="AA101" s="1">
        <v>39673000</v>
      </c>
      <c r="AB101" s="1">
        <v>36806000</v>
      </c>
      <c r="AC101" s="1">
        <v>53952000</v>
      </c>
      <c r="AD101" s="1">
        <v>49123000</v>
      </c>
      <c r="AE101" s="7"/>
      <c r="AF101" s="7" t="s">
        <v>1023</v>
      </c>
      <c r="AG101" s="7" t="s">
        <v>46</v>
      </c>
    </row>
    <row r="102" spans="1:33" ht="15.75" x14ac:dyDescent="0.25">
      <c r="A102" s="3">
        <v>1047796039862</v>
      </c>
      <c r="B102" s="9">
        <v>7735501334</v>
      </c>
      <c r="C102" s="10" t="s">
        <v>1024</v>
      </c>
      <c r="D102" s="10" t="s">
        <v>1025</v>
      </c>
      <c r="E102" s="9">
        <v>73876510</v>
      </c>
      <c r="F102" s="9">
        <v>45272580000</v>
      </c>
      <c r="G102" s="9">
        <v>16</v>
      </c>
      <c r="H102" s="9">
        <v>12300</v>
      </c>
      <c r="I102" s="9">
        <v>773501001</v>
      </c>
      <c r="J102" s="10" t="s">
        <v>1026</v>
      </c>
      <c r="K102" s="10"/>
      <c r="L102" s="3" t="s">
        <v>1027</v>
      </c>
      <c r="M102" s="10" t="s">
        <v>1028</v>
      </c>
      <c r="N102" s="10" t="s">
        <v>1029</v>
      </c>
      <c r="O102" s="10" t="s">
        <v>1030</v>
      </c>
      <c r="P102" s="11">
        <v>773571155657</v>
      </c>
      <c r="Q102" s="10" t="s">
        <v>340</v>
      </c>
      <c r="R102" s="10" t="s">
        <v>1031</v>
      </c>
      <c r="S102" s="10" t="s">
        <v>1032</v>
      </c>
      <c r="T102" s="10" t="s">
        <v>1033</v>
      </c>
      <c r="U102" s="10" t="s">
        <v>1034</v>
      </c>
      <c r="V102" s="3">
        <v>265550000</v>
      </c>
      <c r="W102" s="3">
        <v>260372000</v>
      </c>
      <c r="X102" s="3">
        <v>177792000</v>
      </c>
      <c r="Y102" s="3">
        <v>29450000</v>
      </c>
      <c r="Z102" s="3">
        <v>95241000</v>
      </c>
      <c r="AA102" s="3">
        <v>60959000</v>
      </c>
      <c r="AB102" s="3">
        <v>4878000</v>
      </c>
      <c r="AC102" s="3">
        <v>35538000</v>
      </c>
      <c r="AD102" s="3">
        <v>7028000</v>
      </c>
      <c r="AE102" s="10" t="s">
        <v>331</v>
      </c>
      <c r="AF102" s="10" t="s">
        <v>132</v>
      </c>
      <c r="AG102" s="10" t="s">
        <v>46</v>
      </c>
    </row>
    <row r="103" spans="1:33" ht="15.75" x14ac:dyDescent="0.25">
      <c r="A103" s="1">
        <v>1047729023913</v>
      </c>
      <c r="B103" s="6">
        <v>7714318698</v>
      </c>
      <c r="C103" s="7" t="s">
        <v>1035</v>
      </c>
      <c r="D103" s="7" t="s">
        <v>1036</v>
      </c>
      <c r="E103" s="6">
        <v>74629736</v>
      </c>
      <c r="F103" s="6">
        <v>45293562000</v>
      </c>
      <c r="G103" s="6">
        <v>16</v>
      </c>
      <c r="H103" s="6">
        <v>12300</v>
      </c>
      <c r="I103" s="6">
        <v>772701001</v>
      </c>
      <c r="J103" s="7" t="s">
        <v>1037</v>
      </c>
      <c r="K103" s="7"/>
      <c r="L103" s="1" t="s">
        <v>478</v>
      </c>
      <c r="M103" s="7" t="s">
        <v>479</v>
      </c>
      <c r="N103" s="7" t="s">
        <v>1038</v>
      </c>
      <c r="O103" s="7" t="s">
        <v>1039</v>
      </c>
      <c r="P103" s="8">
        <v>505078361862</v>
      </c>
      <c r="Q103" s="7" t="s">
        <v>41</v>
      </c>
      <c r="R103" s="7" t="s">
        <v>1040</v>
      </c>
      <c r="S103" s="7" t="s">
        <v>1041</v>
      </c>
      <c r="T103" s="7"/>
      <c r="U103" s="7"/>
      <c r="V103" s="1">
        <v>906720000</v>
      </c>
      <c r="W103" s="1">
        <v>322115000</v>
      </c>
      <c r="X103" s="1">
        <v>16535000</v>
      </c>
      <c r="Y103" s="1">
        <v>432000</v>
      </c>
      <c r="Z103" s="1">
        <v>2692000</v>
      </c>
      <c r="AA103" s="1">
        <v>86547000</v>
      </c>
      <c r="AB103" s="1">
        <v>-32076000</v>
      </c>
      <c r="AC103" s="1">
        <v>202279000</v>
      </c>
      <c r="AD103" s="1">
        <v>-41071000</v>
      </c>
      <c r="AE103" s="7"/>
      <c r="AF103" s="7" t="s">
        <v>318</v>
      </c>
      <c r="AG103" s="7" t="s">
        <v>46</v>
      </c>
    </row>
    <row r="104" spans="1:33" ht="15.75" x14ac:dyDescent="0.25">
      <c r="A104" s="3">
        <v>1207700079113</v>
      </c>
      <c r="B104" s="9">
        <v>9724006067</v>
      </c>
      <c r="C104" s="10" t="s">
        <v>1042</v>
      </c>
      <c r="D104" s="10" t="s">
        <v>1043</v>
      </c>
      <c r="E104" s="9">
        <v>43525888</v>
      </c>
      <c r="F104" s="9">
        <v>45296579000</v>
      </c>
      <c r="G104" s="9">
        <v>16</v>
      </c>
      <c r="H104" s="9">
        <v>12300</v>
      </c>
      <c r="I104" s="9">
        <v>772401001</v>
      </c>
      <c r="J104" s="10" t="s">
        <v>1044</v>
      </c>
      <c r="K104" s="10"/>
      <c r="L104" s="3" t="s">
        <v>1045</v>
      </c>
      <c r="M104" s="10" t="s">
        <v>1046</v>
      </c>
      <c r="N104" s="10" t="s">
        <v>1047</v>
      </c>
      <c r="O104" s="10" t="s">
        <v>1048</v>
      </c>
      <c r="P104" s="11">
        <v>771504107809</v>
      </c>
      <c r="Q104" s="10" t="s">
        <v>41</v>
      </c>
      <c r="R104" s="10" t="s">
        <v>1049</v>
      </c>
      <c r="S104" s="10" t="s">
        <v>1050</v>
      </c>
      <c r="T104" s="10"/>
      <c r="U104" s="10" t="s">
        <v>1051</v>
      </c>
      <c r="V104" s="3">
        <v>122223000</v>
      </c>
      <c r="W104" s="3">
        <v>111053000</v>
      </c>
      <c r="X104" s="3">
        <v>479000</v>
      </c>
      <c r="Y104" s="3">
        <v>131920000</v>
      </c>
      <c r="Z104" s="3">
        <v>66475000</v>
      </c>
      <c r="AA104" s="3">
        <v>14081000</v>
      </c>
      <c r="AB104" s="3">
        <v>1107000</v>
      </c>
      <c r="AC104" s="3">
        <v>-10528000</v>
      </c>
      <c r="AD104" s="3">
        <v>1562000</v>
      </c>
      <c r="AE104" s="10" t="s">
        <v>331</v>
      </c>
      <c r="AF104" s="10" t="s">
        <v>493</v>
      </c>
      <c r="AG104" s="10" t="s">
        <v>46</v>
      </c>
    </row>
    <row r="105" spans="1:33" ht="15.75" x14ac:dyDescent="0.25">
      <c r="A105" s="1">
        <v>1047796745457</v>
      </c>
      <c r="B105" s="6">
        <v>7702539815</v>
      </c>
      <c r="C105" s="7" t="s">
        <v>1052</v>
      </c>
      <c r="D105" s="7" t="s">
        <v>1053</v>
      </c>
      <c r="E105" s="6">
        <v>74467570</v>
      </c>
      <c r="F105" s="6">
        <v>45286555000</v>
      </c>
      <c r="G105" s="6">
        <v>16</v>
      </c>
      <c r="H105" s="6">
        <v>12300</v>
      </c>
      <c r="I105" s="6">
        <v>770101001</v>
      </c>
      <c r="J105" s="7" t="s">
        <v>1054</v>
      </c>
      <c r="K105" s="7"/>
      <c r="L105" s="1" t="s">
        <v>1055</v>
      </c>
      <c r="M105" s="7" t="s">
        <v>1056</v>
      </c>
      <c r="N105" s="7" t="s">
        <v>1057</v>
      </c>
      <c r="O105" s="7" t="s">
        <v>426</v>
      </c>
      <c r="P105" s="8" t="s">
        <v>90</v>
      </c>
      <c r="Q105" s="7" t="s">
        <v>90</v>
      </c>
      <c r="R105" s="7" t="s">
        <v>1058</v>
      </c>
      <c r="S105" s="7" t="s">
        <v>1059</v>
      </c>
      <c r="T105" s="7"/>
      <c r="U105" s="7" t="s">
        <v>1060</v>
      </c>
      <c r="V105" s="1">
        <v>214000000</v>
      </c>
      <c r="W105" s="1">
        <v>383646000</v>
      </c>
      <c r="X105" s="1">
        <v>494971000</v>
      </c>
      <c r="Y105" s="1">
        <v>7181000</v>
      </c>
      <c r="Z105" s="1">
        <v>44326000</v>
      </c>
      <c r="AA105" s="1">
        <v>110730000</v>
      </c>
      <c r="AB105" s="1">
        <v>33671000</v>
      </c>
      <c r="AC105" s="1">
        <v>77527000</v>
      </c>
      <c r="AD105" s="1">
        <v>33671000</v>
      </c>
      <c r="AE105" s="7" t="s">
        <v>331</v>
      </c>
      <c r="AF105" s="7" t="s">
        <v>1061</v>
      </c>
      <c r="AG105" s="7" t="s">
        <v>46</v>
      </c>
    </row>
    <row r="106" spans="1:33" ht="15.75" x14ac:dyDescent="0.25">
      <c r="A106" s="3">
        <v>1047796627845</v>
      </c>
      <c r="B106" s="9">
        <v>7709563302</v>
      </c>
      <c r="C106" s="10" t="s">
        <v>1062</v>
      </c>
      <c r="D106" s="10" t="s">
        <v>1063</v>
      </c>
      <c r="E106" s="9">
        <v>74116053</v>
      </c>
      <c r="F106" s="9">
        <v>45286580000</v>
      </c>
      <c r="G106" s="9">
        <v>34</v>
      </c>
      <c r="H106" s="9">
        <v>12300</v>
      </c>
      <c r="I106" s="9">
        <v>770901001</v>
      </c>
      <c r="J106" s="10" t="s">
        <v>1064</v>
      </c>
      <c r="K106" s="10"/>
      <c r="L106" s="3" t="s">
        <v>300</v>
      </c>
      <c r="M106" s="10" t="s">
        <v>301</v>
      </c>
      <c r="N106" s="10" t="s">
        <v>1065</v>
      </c>
      <c r="O106" s="10" t="s">
        <v>1066</v>
      </c>
      <c r="P106" s="11">
        <v>773203198059</v>
      </c>
      <c r="Q106" s="10" t="s">
        <v>41</v>
      </c>
      <c r="R106" s="10" t="s">
        <v>1067</v>
      </c>
      <c r="S106" s="10" t="s">
        <v>1068</v>
      </c>
      <c r="T106" s="10"/>
      <c r="U106" s="10"/>
      <c r="V106" s="3">
        <v>214258529</v>
      </c>
      <c r="W106" s="3">
        <v>131775000</v>
      </c>
      <c r="X106" s="3">
        <v>105056000</v>
      </c>
      <c r="Y106" s="3">
        <v>628000</v>
      </c>
      <c r="Z106" s="3">
        <v>29555000</v>
      </c>
      <c r="AA106" s="3">
        <v>46979000</v>
      </c>
      <c r="AB106" s="3">
        <v>-7603000</v>
      </c>
      <c r="AC106" s="3">
        <v>1082000</v>
      </c>
      <c r="AD106" s="3">
        <v>-22205000</v>
      </c>
      <c r="AE106" s="10" t="s">
        <v>331</v>
      </c>
      <c r="AF106" s="10" t="s">
        <v>35</v>
      </c>
      <c r="AG106" s="10" t="s">
        <v>46</v>
      </c>
    </row>
    <row r="107" spans="1:33" ht="15.75" x14ac:dyDescent="0.25">
      <c r="A107" s="1">
        <v>1207700477918</v>
      </c>
      <c r="B107" s="6">
        <v>7716951948</v>
      </c>
      <c r="C107" s="7" t="s">
        <v>1069</v>
      </c>
      <c r="D107" s="7" t="s">
        <v>1070</v>
      </c>
      <c r="E107" s="6">
        <v>46697437</v>
      </c>
      <c r="F107" s="6">
        <v>45277598000</v>
      </c>
      <c r="G107" s="6">
        <v>16</v>
      </c>
      <c r="H107" s="6">
        <v>12300</v>
      </c>
      <c r="I107" s="6">
        <v>771401001</v>
      </c>
      <c r="J107" s="7" t="s">
        <v>1071</v>
      </c>
      <c r="K107" s="7"/>
      <c r="L107" s="1" t="s">
        <v>1072</v>
      </c>
      <c r="M107" s="7" t="s">
        <v>1073</v>
      </c>
      <c r="N107" s="7" t="s">
        <v>1074</v>
      </c>
      <c r="O107" s="7" t="s">
        <v>1075</v>
      </c>
      <c r="P107" s="8">
        <v>631102692703</v>
      </c>
      <c r="Q107" s="7" t="s">
        <v>1076</v>
      </c>
      <c r="R107" s="7" t="s">
        <v>1077</v>
      </c>
      <c r="S107" s="7" t="s">
        <v>1078</v>
      </c>
      <c r="T107" s="7"/>
      <c r="U107" s="7"/>
      <c r="V107" s="1">
        <v>501669000</v>
      </c>
      <c r="W107" s="1">
        <v>780047000</v>
      </c>
      <c r="X107" s="1">
        <v>5533000</v>
      </c>
      <c r="Y107" s="1">
        <v>7013000</v>
      </c>
      <c r="Z107" s="1">
        <v>242632000</v>
      </c>
      <c r="AA107" s="1">
        <v>219310000</v>
      </c>
      <c r="AB107" s="1">
        <v>105209000</v>
      </c>
      <c r="AC107" s="1">
        <v>73804000</v>
      </c>
      <c r="AD107" s="1">
        <v>113862000</v>
      </c>
      <c r="AE107" s="7"/>
      <c r="AF107" s="7" t="s">
        <v>797</v>
      </c>
      <c r="AG107" s="7" t="s">
        <v>46</v>
      </c>
    </row>
    <row r="108" spans="1:33" ht="15.75" x14ac:dyDescent="0.25">
      <c r="A108" s="1">
        <v>1197746473231</v>
      </c>
      <c r="B108" s="6">
        <v>7728482105</v>
      </c>
      <c r="C108" s="7" t="s">
        <v>1079</v>
      </c>
      <c r="D108" s="7" t="s">
        <v>1080</v>
      </c>
      <c r="E108" s="6">
        <v>40838167</v>
      </c>
      <c r="F108" s="6">
        <v>45293590000</v>
      </c>
      <c r="G108" s="6">
        <v>23</v>
      </c>
      <c r="H108" s="6">
        <v>12300</v>
      </c>
      <c r="I108" s="6">
        <v>772801001</v>
      </c>
      <c r="J108" s="7" t="s">
        <v>1081</v>
      </c>
      <c r="K108" s="7"/>
      <c r="L108" s="1" t="s">
        <v>1045</v>
      </c>
      <c r="M108" s="7" t="s">
        <v>1046</v>
      </c>
      <c r="N108" s="7" t="s">
        <v>1082</v>
      </c>
      <c r="O108" s="7" t="s">
        <v>1083</v>
      </c>
      <c r="P108" s="8">
        <v>972905795959</v>
      </c>
      <c r="Q108" s="7" t="s">
        <v>41</v>
      </c>
      <c r="R108" s="7" t="s">
        <v>1084</v>
      </c>
      <c r="S108" s="7" t="s">
        <v>1085</v>
      </c>
      <c r="T108" s="7"/>
      <c r="U108" s="7"/>
      <c r="V108" s="1">
        <v>338665000</v>
      </c>
      <c r="W108" s="1">
        <v>852351000</v>
      </c>
      <c r="X108" s="1">
        <v>0</v>
      </c>
      <c r="Y108" s="1">
        <v>320953000</v>
      </c>
      <c r="Z108" s="1">
        <v>91868000</v>
      </c>
      <c r="AA108" s="1">
        <v>249674000</v>
      </c>
      <c r="AB108" s="1">
        <v>76711000</v>
      </c>
      <c r="AC108" s="1">
        <v>20298000</v>
      </c>
      <c r="AD108" s="1">
        <v>114395000</v>
      </c>
      <c r="AE108" s="7"/>
      <c r="AF108" s="7" t="s">
        <v>740</v>
      </c>
      <c r="AG108" s="7" t="s">
        <v>46</v>
      </c>
    </row>
    <row r="109" spans="1:33" ht="15.75" x14ac:dyDescent="0.25">
      <c r="A109" s="3">
        <v>1197746724790</v>
      </c>
      <c r="B109" s="9">
        <v>9703006098</v>
      </c>
      <c r="C109" s="10" t="s">
        <v>1086</v>
      </c>
      <c r="D109" s="10" t="s">
        <v>1087</v>
      </c>
      <c r="E109" s="9">
        <v>42684030</v>
      </c>
      <c r="F109" s="9">
        <v>45286575000</v>
      </c>
      <c r="G109" s="9">
        <v>16</v>
      </c>
      <c r="H109" s="9">
        <v>12300</v>
      </c>
      <c r="I109" s="9">
        <v>770301001</v>
      </c>
      <c r="J109" s="10" t="s">
        <v>1088</v>
      </c>
      <c r="K109" s="10"/>
      <c r="L109" s="3" t="s">
        <v>1089</v>
      </c>
      <c r="M109" s="10" t="s">
        <v>1090</v>
      </c>
      <c r="N109" s="10" t="s">
        <v>1091</v>
      </c>
      <c r="O109" s="10" t="s">
        <v>1092</v>
      </c>
      <c r="P109" s="11">
        <v>27721786805</v>
      </c>
      <c r="Q109" s="10" t="s">
        <v>41</v>
      </c>
      <c r="R109" s="10" t="s">
        <v>1093</v>
      </c>
      <c r="S109" s="10" t="s">
        <v>1094</v>
      </c>
      <c r="T109" s="10"/>
      <c r="U109" s="10" t="s">
        <v>1095</v>
      </c>
      <c r="V109" s="3">
        <v>200000000</v>
      </c>
      <c r="W109" s="3">
        <v>212740000</v>
      </c>
      <c r="X109" s="3">
        <v>0</v>
      </c>
      <c r="Y109" s="3">
        <v>0</v>
      </c>
      <c r="Z109" s="3">
        <v>65592000</v>
      </c>
      <c r="AA109" s="3">
        <v>32325000</v>
      </c>
      <c r="AB109" s="3">
        <v>15538000</v>
      </c>
      <c r="AC109" s="3">
        <v>-33421000</v>
      </c>
      <c r="AD109" s="3">
        <v>14402000</v>
      </c>
      <c r="AE109" s="10" t="s">
        <v>331</v>
      </c>
      <c r="AF109" s="10" t="s">
        <v>352</v>
      </c>
      <c r="AG109" s="10" t="s">
        <v>46</v>
      </c>
    </row>
    <row r="110" spans="1:33" ht="15.75" x14ac:dyDescent="0.25">
      <c r="A110" s="1">
        <v>1135029000182</v>
      </c>
      <c r="B110" s="6">
        <v>5029169930</v>
      </c>
      <c r="C110" s="7" t="s">
        <v>1096</v>
      </c>
      <c r="D110" s="7" t="s">
        <v>1097</v>
      </c>
      <c r="E110" s="6">
        <v>23350406</v>
      </c>
      <c r="F110" s="6">
        <v>46446000000</v>
      </c>
      <c r="G110" s="6">
        <v>16</v>
      </c>
      <c r="H110" s="6">
        <v>12300</v>
      </c>
      <c r="I110" s="6">
        <v>502901001</v>
      </c>
      <c r="J110" s="7" t="s">
        <v>1098</v>
      </c>
      <c r="K110" s="7"/>
      <c r="L110" s="1" t="s">
        <v>158</v>
      </c>
      <c r="M110" s="7" t="s">
        <v>159</v>
      </c>
      <c r="N110" s="7" t="s">
        <v>1099</v>
      </c>
      <c r="O110" s="7" t="s">
        <v>1100</v>
      </c>
      <c r="P110" s="8">
        <v>502985128769</v>
      </c>
      <c r="Q110" s="7" t="s">
        <v>41</v>
      </c>
      <c r="R110" s="7" t="s">
        <v>1101</v>
      </c>
      <c r="S110" s="7" t="s">
        <v>1102</v>
      </c>
      <c r="T110" s="7"/>
      <c r="U110" s="7" t="s">
        <v>1103</v>
      </c>
      <c r="V110" s="1">
        <v>400165348</v>
      </c>
      <c r="W110" s="1">
        <v>716527000</v>
      </c>
      <c r="X110" s="1">
        <v>388612000</v>
      </c>
      <c r="Y110" s="1">
        <v>3898867000</v>
      </c>
      <c r="Z110" s="1">
        <v>607717000</v>
      </c>
      <c r="AA110" s="1">
        <v>176612000</v>
      </c>
      <c r="AB110" s="1">
        <v>95517000</v>
      </c>
      <c r="AC110" s="1">
        <v>184795000</v>
      </c>
      <c r="AD110" s="1">
        <v>129039000</v>
      </c>
      <c r="AE110" s="7" t="s">
        <v>331</v>
      </c>
      <c r="AF110" s="7" t="s">
        <v>1104</v>
      </c>
      <c r="AG110" s="7" t="s">
        <v>46</v>
      </c>
    </row>
    <row r="111" spans="1:33" ht="15.75" x14ac:dyDescent="0.25">
      <c r="A111" s="3">
        <v>1135001007041</v>
      </c>
      <c r="B111" s="9">
        <v>5001097019</v>
      </c>
      <c r="C111" s="10" t="s">
        <v>1105</v>
      </c>
      <c r="D111" s="10" t="s">
        <v>1106</v>
      </c>
      <c r="E111" s="9">
        <v>51950861</v>
      </c>
      <c r="F111" s="9">
        <v>45293590000</v>
      </c>
      <c r="G111" s="9">
        <v>16</v>
      </c>
      <c r="H111" s="9">
        <v>12300</v>
      </c>
      <c r="I111" s="9">
        <v>772701001</v>
      </c>
      <c r="J111" s="10" t="s">
        <v>1107</v>
      </c>
      <c r="K111" s="10"/>
      <c r="L111" s="3" t="s">
        <v>1055</v>
      </c>
      <c r="M111" s="10" t="s">
        <v>1056</v>
      </c>
      <c r="N111" s="10" t="s">
        <v>1108</v>
      </c>
      <c r="O111" s="10" t="s">
        <v>1109</v>
      </c>
      <c r="P111" s="11">
        <v>526306089003</v>
      </c>
      <c r="Q111" s="10" t="s">
        <v>41</v>
      </c>
      <c r="R111" s="10" t="s">
        <v>1110</v>
      </c>
      <c r="S111" s="10" t="s">
        <v>1111</v>
      </c>
      <c r="T111" s="10"/>
      <c r="U111" s="10" t="s">
        <v>1112</v>
      </c>
      <c r="V111" s="3">
        <v>172098000</v>
      </c>
      <c r="W111" s="3">
        <v>262174000</v>
      </c>
      <c r="X111" s="3">
        <v>710000</v>
      </c>
      <c r="Y111" s="3">
        <v>40000</v>
      </c>
      <c r="Z111" s="3">
        <v>25874000</v>
      </c>
      <c r="AA111" s="3">
        <v>12900000</v>
      </c>
      <c r="AB111" s="3">
        <v>8202000</v>
      </c>
      <c r="AC111" s="3">
        <v>3193000</v>
      </c>
      <c r="AD111" s="3">
        <v>11031000</v>
      </c>
      <c r="AE111" s="10"/>
      <c r="AF111" s="10" t="s">
        <v>669</v>
      </c>
      <c r="AG111" s="10" t="s">
        <v>46</v>
      </c>
    </row>
    <row r="112" spans="1:33" ht="15.75" x14ac:dyDescent="0.25">
      <c r="A112" s="1">
        <v>1215000036723</v>
      </c>
      <c r="B112" s="6">
        <v>5007112792</v>
      </c>
      <c r="C112" s="7" t="s">
        <v>1113</v>
      </c>
      <c r="D112" s="7" t="s">
        <v>1114</v>
      </c>
      <c r="E112" s="6">
        <v>54956539</v>
      </c>
      <c r="F112" s="6">
        <v>46415000587</v>
      </c>
      <c r="G112" s="6">
        <v>16</v>
      </c>
      <c r="H112" s="6">
        <v>12300</v>
      </c>
      <c r="I112" s="6">
        <v>500701001</v>
      </c>
      <c r="J112" s="7" t="s">
        <v>1115</v>
      </c>
      <c r="K112" s="7"/>
      <c r="L112" s="1" t="s">
        <v>1116</v>
      </c>
      <c r="M112" s="7" t="s">
        <v>1117</v>
      </c>
      <c r="N112" s="7" t="s">
        <v>1118</v>
      </c>
      <c r="O112" s="7" t="s">
        <v>1119</v>
      </c>
      <c r="P112" s="8">
        <v>500801514202</v>
      </c>
      <c r="Q112" s="7" t="s">
        <v>41</v>
      </c>
      <c r="R112" s="7" t="s">
        <v>1120</v>
      </c>
      <c r="S112" s="7" t="s">
        <v>1121</v>
      </c>
      <c r="T112" s="7"/>
      <c r="U112" s="7"/>
      <c r="V112" s="1">
        <v>350000000</v>
      </c>
      <c r="W112" s="1">
        <v>159837000</v>
      </c>
      <c r="X112" s="1">
        <v>730530000</v>
      </c>
      <c r="Y112" s="1">
        <v>1168000</v>
      </c>
      <c r="Z112" s="1">
        <v>22095000</v>
      </c>
      <c r="AA112" s="1">
        <v>32602000</v>
      </c>
      <c r="AB112" s="1">
        <v>4006000</v>
      </c>
      <c r="AC112" s="1">
        <v>75319000</v>
      </c>
      <c r="AD112" s="1">
        <v>-5250000</v>
      </c>
      <c r="AE112" s="7" t="s">
        <v>331</v>
      </c>
      <c r="AF112" s="7" t="s">
        <v>84</v>
      </c>
      <c r="AG112" s="7" t="s">
        <v>46</v>
      </c>
    </row>
    <row r="113" spans="1:33" ht="15.75" x14ac:dyDescent="0.25">
      <c r="A113" s="1">
        <v>1217700286154</v>
      </c>
      <c r="B113" s="6">
        <v>9703037811</v>
      </c>
      <c r="C113" s="7" t="s">
        <v>1122</v>
      </c>
      <c r="D113" s="7" t="s">
        <v>1123</v>
      </c>
      <c r="E113" s="6">
        <v>50207491</v>
      </c>
      <c r="F113" s="6">
        <v>45286575000</v>
      </c>
      <c r="G113" s="6">
        <v>16</v>
      </c>
      <c r="H113" s="6">
        <v>12300</v>
      </c>
      <c r="I113" s="6">
        <v>770301001</v>
      </c>
      <c r="J113" s="7" t="s">
        <v>1124</v>
      </c>
      <c r="K113" s="7"/>
      <c r="L113" s="1" t="s">
        <v>445</v>
      </c>
      <c r="M113" s="7" t="s">
        <v>446</v>
      </c>
      <c r="N113" s="7" t="s">
        <v>1125</v>
      </c>
      <c r="O113" s="7" t="s">
        <v>1126</v>
      </c>
      <c r="P113" s="8">
        <v>770471174996</v>
      </c>
      <c r="Q113" s="7" t="s">
        <v>41</v>
      </c>
      <c r="R113" s="7" t="s">
        <v>1127</v>
      </c>
      <c r="S113" s="7" t="s">
        <v>1128</v>
      </c>
      <c r="T113" s="7"/>
      <c r="U113" s="7" t="s">
        <v>1129</v>
      </c>
      <c r="V113" s="1">
        <v>525000000</v>
      </c>
      <c r="W113" s="1">
        <v>136915000</v>
      </c>
      <c r="X113" s="1">
        <v>232706000</v>
      </c>
      <c r="Y113" s="1">
        <v>0</v>
      </c>
      <c r="Z113" s="1">
        <v>558975000</v>
      </c>
      <c r="AA113" s="1">
        <v>310923000</v>
      </c>
      <c r="AB113" s="1">
        <v>30664000</v>
      </c>
      <c r="AC113" s="1">
        <v>0</v>
      </c>
      <c r="AD113" s="1">
        <v>0</v>
      </c>
      <c r="AE113" s="7" t="s">
        <v>317</v>
      </c>
      <c r="AF113" s="7" t="s">
        <v>1023</v>
      </c>
      <c r="AG113" s="7" t="s">
        <v>46</v>
      </c>
    </row>
    <row r="114" spans="1:33" ht="15.75" x14ac:dyDescent="0.25">
      <c r="A114" s="3">
        <v>5067746134990</v>
      </c>
      <c r="B114" s="9">
        <v>7710640128</v>
      </c>
      <c r="C114" s="10" t="s">
        <v>1130</v>
      </c>
      <c r="D114" s="10" t="s">
        <v>1131</v>
      </c>
      <c r="E114" s="9">
        <v>96592548</v>
      </c>
      <c r="F114" s="9">
        <v>45290594000</v>
      </c>
      <c r="G114" s="9">
        <v>16</v>
      </c>
      <c r="H114" s="9">
        <v>12267</v>
      </c>
      <c r="I114" s="9">
        <v>772301001</v>
      </c>
      <c r="J114" s="10" t="s">
        <v>1132</v>
      </c>
      <c r="K114" s="10"/>
      <c r="L114" s="3" t="s">
        <v>445</v>
      </c>
      <c r="M114" s="10" t="s">
        <v>446</v>
      </c>
      <c r="N114" s="10" t="s">
        <v>1133</v>
      </c>
      <c r="O114" s="10" t="s">
        <v>1134</v>
      </c>
      <c r="P114" s="11">
        <v>7723326840</v>
      </c>
      <c r="Q114" s="10" t="s">
        <v>90</v>
      </c>
      <c r="R114" s="10" t="s">
        <v>1135</v>
      </c>
      <c r="S114" s="10" t="s">
        <v>1136</v>
      </c>
      <c r="T114" s="10"/>
      <c r="U114" s="10"/>
      <c r="V114" s="3">
        <v>321262000</v>
      </c>
      <c r="W114" s="3">
        <v>161645000</v>
      </c>
      <c r="X114" s="3">
        <v>11294000</v>
      </c>
      <c r="Y114" s="3">
        <v>73000</v>
      </c>
      <c r="Z114" s="3">
        <v>7338000</v>
      </c>
      <c r="AA114" s="3">
        <v>15969000</v>
      </c>
      <c r="AB114" s="3">
        <v>68196000</v>
      </c>
      <c r="AC114" s="3">
        <v>83974000</v>
      </c>
      <c r="AD114" s="3">
        <v>90989000</v>
      </c>
      <c r="AE114" s="10" t="s">
        <v>317</v>
      </c>
      <c r="AF114" s="10" t="s">
        <v>421</v>
      </c>
      <c r="AG114" s="10" t="s">
        <v>46</v>
      </c>
    </row>
    <row r="115" spans="1:33" ht="15.75" x14ac:dyDescent="0.25">
      <c r="A115" s="1">
        <v>1037739851995</v>
      </c>
      <c r="B115" s="6">
        <v>7701500702</v>
      </c>
      <c r="C115" s="7" t="s">
        <v>1137</v>
      </c>
      <c r="D115" s="7" t="s">
        <v>1138</v>
      </c>
      <c r="E115" s="6">
        <v>70209670</v>
      </c>
      <c r="F115" s="6">
        <v>45297552000</v>
      </c>
      <c r="G115" s="6">
        <v>16</v>
      </c>
      <c r="H115" s="6">
        <v>12300</v>
      </c>
      <c r="I115" s="6">
        <v>775101001</v>
      </c>
      <c r="J115" s="7" t="s">
        <v>1139</v>
      </c>
      <c r="K115" s="7"/>
      <c r="L115" s="1" t="s">
        <v>565</v>
      </c>
      <c r="M115" s="7" t="s">
        <v>680</v>
      </c>
      <c r="N115" s="7" t="s">
        <v>1140</v>
      </c>
      <c r="O115" s="7" t="s">
        <v>1141</v>
      </c>
      <c r="P115" s="8">
        <v>772608125096</v>
      </c>
      <c r="Q115" s="7" t="s">
        <v>340</v>
      </c>
      <c r="R115" s="7" t="s">
        <v>1142</v>
      </c>
      <c r="S115" s="7" t="s">
        <v>1143</v>
      </c>
      <c r="T115" s="7"/>
      <c r="U115" s="7"/>
      <c r="V115" s="1">
        <v>625000000</v>
      </c>
      <c r="W115" s="1">
        <v>190197000</v>
      </c>
      <c r="X115" s="1">
        <v>21590000</v>
      </c>
      <c r="Y115" s="1">
        <v>3000</v>
      </c>
      <c r="Z115" s="1">
        <v>40852000</v>
      </c>
      <c r="AA115" s="1">
        <v>12181000</v>
      </c>
      <c r="AB115" s="1">
        <v>25416000</v>
      </c>
      <c r="AC115" s="1">
        <v>-17485000</v>
      </c>
      <c r="AD115" s="1">
        <v>26100000</v>
      </c>
      <c r="AE115" s="7" t="s">
        <v>331</v>
      </c>
      <c r="AF115" s="7" t="s">
        <v>1144</v>
      </c>
      <c r="AG115" s="7" t="s">
        <v>46</v>
      </c>
    </row>
    <row r="116" spans="1:33" ht="15.75" x14ac:dyDescent="0.25">
      <c r="A116" s="3">
        <v>1097746344222</v>
      </c>
      <c r="B116" s="9">
        <v>7715762120</v>
      </c>
      <c r="C116" s="10" t="s">
        <v>1145</v>
      </c>
      <c r="D116" s="10" t="s">
        <v>1146</v>
      </c>
      <c r="E116" s="9">
        <v>61785357</v>
      </c>
      <c r="F116" s="9">
        <v>45286575000</v>
      </c>
      <c r="G116" s="9">
        <v>16</v>
      </c>
      <c r="H116" s="9">
        <v>12300</v>
      </c>
      <c r="I116" s="9">
        <v>770301001</v>
      </c>
      <c r="J116" s="10" t="s">
        <v>1147</v>
      </c>
      <c r="K116" s="10"/>
      <c r="L116" s="3" t="s">
        <v>983</v>
      </c>
      <c r="M116" s="10" t="s">
        <v>984</v>
      </c>
      <c r="N116" s="10" t="s">
        <v>1148</v>
      </c>
      <c r="O116" s="10" t="s">
        <v>1149</v>
      </c>
      <c r="P116" s="11">
        <v>771912938030</v>
      </c>
      <c r="Q116" s="10" t="s">
        <v>41</v>
      </c>
      <c r="R116" s="10" t="s">
        <v>1150</v>
      </c>
      <c r="S116" s="10" t="s">
        <v>1151</v>
      </c>
      <c r="T116" s="10"/>
      <c r="U116" s="10" t="s">
        <v>1152</v>
      </c>
      <c r="V116" s="3">
        <v>100001000</v>
      </c>
      <c r="W116" s="3">
        <v>600320000</v>
      </c>
      <c r="X116" s="3">
        <v>32739000</v>
      </c>
      <c r="Y116" s="3">
        <v>6579000</v>
      </c>
      <c r="Z116" s="3">
        <v>270896000</v>
      </c>
      <c r="AA116" s="3">
        <v>87193000</v>
      </c>
      <c r="AB116" s="3">
        <v>-61593000</v>
      </c>
      <c r="AC116" s="3">
        <v>12092000</v>
      </c>
      <c r="AD116" s="3">
        <v>-61261000</v>
      </c>
      <c r="AE116" s="10" t="s">
        <v>331</v>
      </c>
      <c r="AF116" s="10" t="s">
        <v>132</v>
      </c>
      <c r="AG116" s="10" t="s">
        <v>46</v>
      </c>
    </row>
    <row r="117" spans="1:33" ht="15.75" x14ac:dyDescent="0.25">
      <c r="A117" s="1">
        <v>5137746201467</v>
      </c>
      <c r="B117" s="6">
        <v>7734714587</v>
      </c>
      <c r="C117" s="7" t="s">
        <v>1153</v>
      </c>
      <c r="D117" s="7" t="s">
        <v>1154</v>
      </c>
      <c r="E117" s="6">
        <v>26139480</v>
      </c>
      <c r="F117" s="6">
        <v>45290582000</v>
      </c>
      <c r="G117" s="6">
        <v>16</v>
      </c>
      <c r="H117" s="6">
        <v>12300</v>
      </c>
      <c r="I117" s="6">
        <v>772301001</v>
      </c>
      <c r="J117" s="7" t="s">
        <v>1155</v>
      </c>
      <c r="K117" s="7"/>
      <c r="L117" s="1" t="s">
        <v>445</v>
      </c>
      <c r="M117" s="7" t="s">
        <v>446</v>
      </c>
      <c r="N117" s="7" t="s">
        <v>1156</v>
      </c>
      <c r="O117" s="7" t="s">
        <v>1157</v>
      </c>
      <c r="P117" s="8">
        <v>130102019108</v>
      </c>
      <c r="Q117" s="7" t="s">
        <v>41</v>
      </c>
      <c r="R117" s="7" t="s">
        <v>1158</v>
      </c>
      <c r="S117" s="7" t="s">
        <v>1159</v>
      </c>
      <c r="T117" s="7"/>
      <c r="U117" s="7"/>
      <c r="V117" s="1">
        <v>120439866</v>
      </c>
      <c r="W117" s="1">
        <v>304007000</v>
      </c>
      <c r="X117" s="1">
        <v>98022000</v>
      </c>
      <c r="Y117" s="1">
        <v>16000</v>
      </c>
      <c r="Z117" s="1">
        <v>10148000</v>
      </c>
      <c r="AA117" s="1">
        <v>61993000</v>
      </c>
      <c r="AB117" s="1">
        <v>110566000</v>
      </c>
      <c r="AC117" s="1">
        <v>145057000</v>
      </c>
      <c r="AD117" s="1">
        <v>147655000</v>
      </c>
      <c r="AE117" s="7" t="s">
        <v>331</v>
      </c>
      <c r="AF117" s="7" t="s">
        <v>318</v>
      </c>
      <c r="AG117" s="7" t="s">
        <v>46</v>
      </c>
    </row>
    <row r="118" spans="1:33" ht="15.75" x14ac:dyDescent="0.25">
      <c r="A118" s="1">
        <v>1027700420076</v>
      </c>
      <c r="B118" s="6">
        <v>7710430219</v>
      </c>
      <c r="C118" s="7" t="s">
        <v>1160</v>
      </c>
      <c r="D118" s="7" t="s">
        <v>1161</v>
      </c>
      <c r="E118" s="6">
        <v>59044211</v>
      </c>
      <c r="F118" s="6">
        <v>45286585000</v>
      </c>
      <c r="G118" s="6">
        <v>16</v>
      </c>
      <c r="H118" s="6">
        <v>12300</v>
      </c>
      <c r="I118" s="6">
        <v>770701001</v>
      </c>
      <c r="J118" s="7" t="s">
        <v>1162</v>
      </c>
      <c r="K118" s="7"/>
      <c r="L118" s="1" t="s">
        <v>1163</v>
      </c>
      <c r="M118" s="7" t="s">
        <v>1164</v>
      </c>
      <c r="N118" s="7" t="s">
        <v>1163</v>
      </c>
      <c r="O118" s="7" t="s">
        <v>1165</v>
      </c>
      <c r="P118" s="8">
        <v>631704374803</v>
      </c>
      <c r="Q118" s="7" t="s">
        <v>41</v>
      </c>
      <c r="R118" s="7" t="s">
        <v>1166</v>
      </c>
      <c r="S118" s="7" t="s">
        <v>1167</v>
      </c>
      <c r="T118" s="7" t="s">
        <v>1168</v>
      </c>
      <c r="U118" s="7" t="s">
        <v>1169</v>
      </c>
      <c r="V118" s="1">
        <v>314644769</v>
      </c>
      <c r="W118" s="1">
        <v>546318000</v>
      </c>
      <c r="X118" s="1">
        <v>357439000</v>
      </c>
      <c r="Y118" s="1">
        <v>5444000</v>
      </c>
      <c r="Z118" s="1">
        <v>32501000</v>
      </c>
      <c r="AA118" s="1">
        <v>148205000</v>
      </c>
      <c r="AB118" s="1">
        <v>-125340000</v>
      </c>
      <c r="AC118" s="1">
        <v>-55062000</v>
      </c>
      <c r="AD118" s="1">
        <v>-125340000</v>
      </c>
      <c r="AE118" s="7"/>
      <c r="AF118" s="7" t="s">
        <v>1170</v>
      </c>
      <c r="AG118" s="7" t="s">
        <v>46</v>
      </c>
    </row>
    <row r="119" spans="1:33" ht="15.75" x14ac:dyDescent="0.25">
      <c r="A119" s="3">
        <v>1075003010334</v>
      </c>
      <c r="B119" s="9">
        <v>5003073060</v>
      </c>
      <c r="C119" s="10" t="s">
        <v>1171</v>
      </c>
      <c r="D119" s="10" t="s">
        <v>1172</v>
      </c>
      <c r="E119" s="9">
        <v>84341963</v>
      </c>
      <c r="F119" s="9">
        <v>45290582000</v>
      </c>
      <c r="G119" s="9">
        <v>16</v>
      </c>
      <c r="H119" s="9">
        <v>12300</v>
      </c>
      <c r="I119" s="9">
        <v>772301001</v>
      </c>
      <c r="J119" s="10" t="s">
        <v>1173</v>
      </c>
      <c r="K119" s="10"/>
      <c r="L119" s="3" t="s">
        <v>1174</v>
      </c>
      <c r="M119" s="10" t="s">
        <v>1175</v>
      </c>
      <c r="N119" s="10" t="s">
        <v>1176</v>
      </c>
      <c r="O119" s="10" t="s">
        <v>1177</v>
      </c>
      <c r="P119" s="11">
        <v>500403736990</v>
      </c>
      <c r="Q119" s="10" t="s">
        <v>41</v>
      </c>
      <c r="R119" s="10" t="s">
        <v>1178</v>
      </c>
      <c r="S119" s="10" t="s">
        <v>1179</v>
      </c>
      <c r="T119" s="10"/>
      <c r="U119" s="10"/>
      <c r="V119" s="3">
        <v>104560000</v>
      </c>
      <c r="W119" s="3">
        <v>64825000</v>
      </c>
      <c r="X119" s="3">
        <v>104550000</v>
      </c>
      <c r="Y119" s="3">
        <v>101174000</v>
      </c>
      <c r="Z119" s="3">
        <v>33319000</v>
      </c>
      <c r="AA119" s="3">
        <v>60941000</v>
      </c>
      <c r="AB119" s="3">
        <v>183000</v>
      </c>
      <c r="AC119" s="3">
        <v>-631000</v>
      </c>
      <c r="AD119" s="3">
        <v>244000</v>
      </c>
      <c r="AE119" s="10" t="s">
        <v>317</v>
      </c>
      <c r="AF119" s="10" t="s">
        <v>421</v>
      </c>
      <c r="AG119" s="10" t="s">
        <v>46</v>
      </c>
    </row>
    <row r="120" spans="1:33" ht="15.75" x14ac:dyDescent="0.25">
      <c r="A120" s="1">
        <v>1075029002707</v>
      </c>
      <c r="B120" s="6">
        <v>5029098943</v>
      </c>
      <c r="C120" s="7" t="s">
        <v>1180</v>
      </c>
      <c r="D120" s="7" t="s">
        <v>1181</v>
      </c>
      <c r="E120" s="6">
        <v>99133611</v>
      </c>
      <c r="F120" s="6">
        <v>46446000436</v>
      </c>
      <c r="G120" s="6">
        <v>16</v>
      </c>
      <c r="H120" s="6">
        <v>12300</v>
      </c>
      <c r="I120" s="6">
        <v>502901001</v>
      </c>
      <c r="J120" s="7" t="s">
        <v>1182</v>
      </c>
      <c r="K120" s="7"/>
      <c r="L120" s="1" t="s">
        <v>445</v>
      </c>
      <c r="M120" s="7" t="s">
        <v>446</v>
      </c>
      <c r="N120" s="7" t="s">
        <v>1183</v>
      </c>
      <c r="O120" s="7" t="s">
        <v>1184</v>
      </c>
      <c r="P120" s="8">
        <v>770171132963</v>
      </c>
      <c r="Q120" s="7" t="s">
        <v>41</v>
      </c>
      <c r="R120" s="7" t="s">
        <v>1185</v>
      </c>
      <c r="S120" s="7" t="s">
        <v>1186</v>
      </c>
      <c r="T120" s="7"/>
      <c r="U120" s="7"/>
      <c r="V120" s="1">
        <v>964160118</v>
      </c>
      <c r="W120" s="1">
        <v>816407000</v>
      </c>
      <c r="X120" s="1">
        <v>4564031000</v>
      </c>
      <c r="Y120" s="1">
        <v>3000</v>
      </c>
      <c r="Z120" s="1">
        <v>58145000</v>
      </c>
      <c r="AA120" s="1">
        <v>106334000</v>
      </c>
      <c r="AB120" s="1">
        <v>424522000</v>
      </c>
      <c r="AC120" s="1">
        <v>505841000</v>
      </c>
      <c r="AD120" s="1">
        <v>566226000</v>
      </c>
      <c r="AE120" s="7" t="s">
        <v>331</v>
      </c>
      <c r="AF120" s="7" t="s">
        <v>84</v>
      </c>
      <c r="AG120" s="7" t="s">
        <v>46</v>
      </c>
    </row>
    <row r="121" spans="1:33" ht="15.75" x14ac:dyDescent="0.25">
      <c r="A121" s="3">
        <v>5147746250890</v>
      </c>
      <c r="B121" s="9">
        <v>7704877746</v>
      </c>
      <c r="C121" s="10" t="s">
        <v>1187</v>
      </c>
      <c r="D121" s="10" t="s">
        <v>1188</v>
      </c>
      <c r="E121" s="9">
        <v>75606631</v>
      </c>
      <c r="F121" s="9">
        <v>45286552000</v>
      </c>
      <c r="G121" s="9">
        <v>16</v>
      </c>
      <c r="H121" s="9">
        <v>12300</v>
      </c>
      <c r="I121" s="9">
        <v>770401001</v>
      </c>
      <c r="J121" s="10" t="s">
        <v>1189</v>
      </c>
      <c r="K121" s="10"/>
      <c r="L121" s="3" t="s">
        <v>300</v>
      </c>
      <c r="M121" s="10" t="s">
        <v>301</v>
      </c>
      <c r="N121" s="10" t="s">
        <v>1190</v>
      </c>
      <c r="O121" s="10" t="s">
        <v>1191</v>
      </c>
      <c r="P121" s="11">
        <v>772822551079</v>
      </c>
      <c r="Q121" s="10" t="s">
        <v>41</v>
      </c>
      <c r="R121" s="10" t="s">
        <v>1192</v>
      </c>
      <c r="S121" s="10" t="s">
        <v>1193</v>
      </c>
      <c r="T121" s="10"/>
      <c r="U121" s="10" t="s">
        <v>1194</v>
      </c>
      <c r="V121" s="3">
        <v>432945825</v>
      </c>
      <c r="W121" s="3">
        <v>175776000</v>
      </c>
      <c r="X121" s="3">
        <v>5091000</v>
      </c>
      <c r="Y121" s="3">
        <v>2233000</v>
      </c>
      <c r="Z121" s="3">
        <v>4554000</v>
      </c>
      <c r="AA121" s="3">
        <v>15898000</v>
      </c>
      <c r="AB121" s="3">
        <v>84075000</v>
      </c>
      <c r="AC121" s="3">
        <v>62778000</v>
      </c>
      <c r="AD121" s="3">
        <v>112820000</v>
      </c>
      <c r="AE121" s="10"/>
      <c r="AF121" s="10" t="s">
        <v>410</v>
      </c>
      <c r="AG121" s="10" t="s">
        <v>46</v>
      </c>
    </row>
    <row r="122" spans="1:33" ht="15.75" x14ac:dyDescent="0.25">
      <c r="A122" s="1">
        <v>1075003010290</v>
      </c>
      <c r="B122" s="6">
        <v>5003073006</v>
      </c>
      <c r="C122" s="7" t="s">
        <v>1195</v>
      </c>
      <c r="D122" s="7" t="s">
        <v>1196</v>
      </c>
      <c r="E122" s="6">
        <v>84341574</v>
      </c>
      <c r="F122" s="6">
        <v>45297555000</v>
      </c>
      <c r="G122" s="6">
        <v>23</v>
      </c>
      <c r="H122" s="6">
        <v>12300</v>
      </c>
      <c r="I122" s="6">
        <v>775101001</v>
      </c>
      <c r="J122" s="7" t="s">
        <v>1197</v>
      </c>
      <c r="K122" s="7"/>
      <c r="L122" s="1" t="s">
        <v>1198</v>
      </c>
      <c r="M122" s="7" t="s">
        <v>1199</v>
      </c>
      <c r="N122" s="7" t="s">
        <v>1200</v>
      </c>
      <c r="O122" s="7" t="s">
        <v>1201</v>
      </c>
      <c r="P122" s="8" t="s">
        <v>1202</v>
      </c>
      <c r="Q122" s="7" t="s">
        <v>887</v>
      </c>
      <c r="R122" s="7" t="s">
        <v>1203</v>
      </c>
      <c r="S122" s="7" t="s">
        <v>1204</v>
      </c>
      <c r="T122" s="7"/>
      <c r="U122" s="7"/>
      <c r="V122" s="1">
        <v>120491000</v>
      </c>
      <c r="W122" s="1">
        <v>907965000</v>
      </c>
      <c r="X122" s="1">
        <v>111735000</v>
      </c>
      <c r="Y122" s="1">
        <v>37789000</v>
      </c>
      <c r="Z122" s="1">
        <v>145681000</v>
      </c>
      <c r="AA122" s="1">
        <v>17197000</v>
      </c>
      <c r="AB122" s="1">
        <v>23841000</v>
      </c>
      <c r="AC122" s="1">
        <v>40006000</v>
      </c>
      <c r="AD122" s="1">
        <v>34752000</v>
      </c>
      <c r="AE122" s="7"/>
      <c r="AF122" s="7" t="s">
        <v>1015</v>
      </c>
      <c r="AG122" s="7" t="s">
        <v>46</v>
      </c>
    </row>
    <row r="123" spans="1:33" ht="15.75" x14ac:dyDescent="0.25">
      <c r="A123" s="3">
        <v>1075004000070</v>
      </c>
      <c r="B123" s="9">
        <v>5071004963</v>
      </c>
      <c r="C123" s="10" t="s">
        <v>1205</v>
      </c>
      <c r="D123" s="10" t="s">
        <v>1206</v>
      </c>
      <c r="E123" s="9">
        <v>614185</v>
      </c>
      <c r="F123" s="9">
        <v>46452000216</v>
      </c>
      <c r="G123" s="9">
        <v>16</v>
      </c>
      <c r="H123" s="9">
        <v>12267</v>
      </c>
      <c r="I123" s="9">
        <v>507101001</v>
      </c>
      <c r="J123" s="10" t="s">
        <v>1207</v>
      </c>
      <c r="K123" s="10"/>
      <c r="L123" s="3" t="s">
        <v>1208</v>
      </c>
      <c r="M123" s="10" t="s">
        <v>1209</v>
      </c>
      <c r="N123" s="10" t="s">
        <v>1210</v>
      </c>
      <c r="O123" s="10" t="s">
        <v>1211</v>
      </c>
      <c r="P123" s="11">
        <v>502715624928</v>
      </c>
      <c r="Q123" s="10" t="s">
        <v>41</v>
      </c>
      <c r="R123" s="10" t="s">
        <v>1212</v>
      </c>
      <c r="S123" s="10" t="s">
        <v>1213</v>
      </c>
      <c r="T123" s="10" t="s">
        <v>1214</v>
      </c>
      <c r="U123" s="10" t="s">
        <v>1215</v>
      </c>
      <c r="V123" s="3">
        <v>174598000</v>
      </c>
      <c r="W123" s="3">
        <v>470670000</v>
      </c>
      <c r="X123" s="3">
        <v>342698000</v>
      </c>
      <c r="Y123" s="3">
        <v>164875000</v>
      </c>
      <c r="Z123" s="3">
        <v>43398000</v>
      </c>
      <c r="AA123" s="3">
        <v>41819000</v>
      </c>
      <c r="AB123" s="3">
        <v>65497000</v>
      </c>
      <c r="AC123" s="3">
        <v>-17572000</v>
      </c>
      <c r="AD123" s="3">
        <v>66836000</v>
      </c>
      <c r="AE123" s="10" t="s">
        <v>730</v>
      </c>
      <c r="AF123" s="10" t="s">
        <v>579</v>
      </c>
      <c r="AG123" s="10" t="s">
        <v>46</v>
      </c>
    </row>
    <row r="124" spans="1:33" ht="15.75" x14ac:dyDescent="0.25">
      <c r="A124" s="1">
        <v>5157746021043</v>
      </c>
      <c r="B124" s="6">
        <v>7723416596</v>
      </c>
      <c r="C124" s="7" t="s">
        <v>1216</v>
      </c>
      <c r="D124" s="7" t="s">
        <v>1217</v>
      </c>
      <c r="E124" s="6">
        <v>13531667</v>
      </c>
      <c r="F124" s="6">
        <v>45268579000</v>
      </c>
      <c r="G124" s="6">
        <v>16</v>
      </c>
      <c r="H124" s="6">
        <v>12300</v>
      </c>
      <c r="I124" s="6">
        <v>772901001</v>
      </c>
      <c r="J124" s="7" t="s">
        <v>1218</v>
      </c>
      <c r="K124" s="7"/>
      <c r="L124" s="1" t="s">
        <v>1219</v>
      </c>
      <c r="M124" s="7" t="s">
        <v>1220</v>
      </c>
      <c r="N124" s="7" t="s">
        <v>1221</v>
      </c>
      <c r="O124" s="7" t="s">
        <v>1222</v>
      </c>
      <c r="P124" s="8">
        <v>772326165277</v>
      </c>
      <c r="Q124" s="7" t="s">
        <v>41</v>
      </c>
      <c r="R124" s="7" t="s">
        <v>1223</v>
      </c>
      <c r="S124" s="7" t="s">
        <v>1224</v>
      </c>
      <c r="T124" s="7"/>
      <c r="U124" s="7" t="s">
        <v>1225</v>
      </c>
      <c r="V124" s="1">
        <v>682054000</v>
      </c>
      <c r="W124" s="1">
        <v>185658000</v>
      </c>
      <c r="X124" s="1">
        <v>885778000</v>
      </c>
      <c r="Y124" s="1">
        <v>2000000</v>
      </c>
      <c r="Z124" s="1">
        <v>182302000</v>
      </c>
      <c r="AA124" s="1">
        <v>14810000</v>
      </c>
      <c r="AB124" s="1">
        <v>-139145000</v>
      </c>
      <c r="AC124" s="1">
        <v>-158255000</v>
      </c>
      <c r="AD124" s="1">
        <v>-195659000</v>
      </c>
      <c r="AE124" s="7" t="s">
        <v>317</v>
      </c>
      <c r="AF124" s="7" t="s">
        <v>1226</v>
      </c>
      <c r="AG124" s="7" t="s">
        <v>46</v>
      </c>
    </row>
    <row r="125" spans="1:33" ht="15.75" x14ac:dyDescent="0.25">
      <c r="A125" s="3">
        <v>5167746197108</v>
      </c>
      <c r="B125" s="9">
        <v>7708301833</v>
      </c>
      <c r="C125" s="10" t="s">
        <v>1227</v>
      </c>
      <c r="D125" s="10" t="s">
        <v>1228</v>
      </c>
      <c r="E125" s="9">
        <v>4997832</v>
      </c>
      <c r="F125" s="9">
        <v>45286575000</v>
      </c>
      <c r="G125" s="9">
        <v>61</v>
      </c>
      <c r="H125" s="9">
        <v>12300</v>
      </c>
      <c r="I125" s="9">
        <v>770301001</v>
      </c>
      <c r="J125" s="10" t="s">
        <v>1229</v>
      </c>
      <c r="K125" s="10"/>
      <c r="L125" s="3" t="s">
        <v>497</v>
      </c>
      <c r="M125" s="10" t="s">
        <v>498</v>
      </c>
      <c r="N125" s="10" t="s">
        <v>1230</v>
      </c>
      <c r="O125" s="10" t="s">
        <v>1231</v>
      </c>
      <c r="P125" s="11">
        <v>402500808224</v>
      </c>
      <c r="Q125" s="10" t="s">
        <v>41</v>
      </c>
      <c r="R125" s="10" t="s">
        <v>1232</v>
      </c>
      <c r="S125" s="10" t="s">
        <v>1233</v>
      </c>
      <c r="T125" s="10"/>
      <c r="U125" s="10" t="s">
        <v>1234</v>
      </c>
      <c r="V125" s="3">
        <v>2841681989</v>
      </c>
      <c r="W125" s="3">
        <v>668124000</v>
      </c>
      <c r="X125" s="3">
        <v>1011816000</v>
      </c>
      <c r="Y125" s="3">
        <v>0</v>
      </c>
      <c r="Z125" s="3">
        <v>48879000</v>
      </c>
      <c r="AA125" s="3">
        <v>77727000</v>
      </c>
      <c r="AB125" s="3">
        <v>368707000</v>
      </c>
      <c r="AC125" s="3">
        <v>293769000</v>
      </c>
      <c r="AD125" s="3">
        <v>494510000</v>
      </c>
      <c r="AE125" s="10" t="s">
        <v>331</v>
      </c>
      <c r="AF125" s="10" t="s">
        <v>1235</v>
      </c>
      <c r="AG125" s="10" t="s">
        <v>46</v>
      </c>
    </row>
    <row r="126" spans="1:33" ht="15.75" x14ac:dyDescent="0.25">
      <c r="A126" s="1">
        <v>1027703024733</v>
      </c>
      <c r="B126" s="6">
        <v>7703363177</v>
      </c>
      <c r="C126" s="7" t="s">
        <v>1236</v>
      </c>
      <c r="D126" s="7" t="s">
        <v>1237</v>
      </c>
      <c r="E126" s="6">
        <v>13529038</v>
      </c>
      <c r="F126" s="6">
        <v>45286580000</v>
      </c>
      <c r="G126" s="6">
        <v>16</v>
      </c>
      <c r="H126" s="6">
        <v>12300</v>
      </c>
      <c r="I126" s="6">
        <v>770901001</v>
      </c>
      <c r="J126" s="7" t="s">
        <v>1238</v>
      </c>
      <c r="K126" s="7"/>
      <c r="L126" s="1" t="s">
        <v>923</v>
      </c>
      <c r="M126" s="7" t="s">
        <v>924</v>
      </c>
      <c r="N126" s="7" t="s">
        <v>1239</v>
      </c>
      <c r="O126" s="7" t="s">
        <v>1240</v>
      </c>
      <c r="P126" s="8">
        <v>773374071430</v>
      </c>
      <c r="Q126" s="7" t="s">
        <v>41</v>
      </c>
      <c r="R126" s="7" t="s">
        <v>1241</v>
      </c>
      <c r="S126" s="7" t="s">
        <v>1242</v>
      </c>
      <c r="T126" s="7"/>
      <c r="U126" s="7" t="s">
        <v>1243</v>
      </c>
      <c r="V126" s="1">
        <v>550000000</v>
      </c>
      <c r="W126" s="1">
        <v>795013000</v>
      </c>
      <c r="X126" s="1">
        <v>26003000</v>
      </c>
      <c r="Y126" s="1">
        <v>138417000</v>
      </c>
      <c r="Z126" s="1">
        <v>990699000</v>
      </c>
      <c r="AA126" s="1">
        <v>227646000</v>
      </c>
      <c r="AB126" s="1">
        <v>1622000</v>
      </c>
      <c r="AC126" s="1">
        <v>-44184000</v>
      </c>
      <c r="AD126" s="1">
        <v>1991000</v>
      </c>
      <c r="AE126" s="7"/>
      <c r="AF126" s="7" t="s">
        <v>1235</v>
      </c>
      <c r="AG126" s="7" t="s">
        <v>46</v>
      </c>
    </row>
    <row r="127" spans="1:33" ht="15.75" x14ac:dyDescent="0.25">
      <c r="A127" s="3">
        <v>5177746030039</v>
      </c>
      <c r="B127" s="9">
        <v>7731385648</v>
      </c>
      <c r="C127" s="10" t="s">
        <v>1244</v>
      </c>
      <c r="D127" s="10" t="s">
        <v>1245</v>
      </c>
      <c r="E127" s="9">
        <v>19712128</v>
      </c>
      <c r="F127" s="9">
        <v>45268569000</v>
      </c>
      <c r="G127" s="9">
        <v>16</v>
      </c>
      <c r="H127" s="9">
        <v>12300</v>
      </c>
      <c r="I127" s="9">
        <v>773101001</v>
      </c>
      <c r="J127" s="10" t="s">
        <v>1246</v>
      </c>
      <c r="K127" s="10"/>
      <c r="L127" s="3" t="s">
        <v>914</v>
      </c>
      <c r="M127" s="10" t="s">
        <v>915</v>
      </c>
      <c r="N127" s="10" t="s">
        <v>1247</v>
      </c>
      <c r="O127" s="10" t="s">
        <v>1248</v>
      </c>
      <c r="P127" s="11">
        <v>772815211480</v>
      </c>
      <c r="Q127" s="10" t="s">
        <v>41</v>
      </c>
      <c r="R127" s="10" t="s">
        <v>1249</v>
      </c>
      <c r="S127" s="10" t="s">
        <v>1250</v>
      </c>
      <c r="T127" s="10"/>
      <c r="U127" s="10"/>
      <c r="V127" s="3">
        <v>2973867154</v>
      </c>
      <c r="W127" s="3">
        <v>129000000</v>
      </c>
      <c r="X127" s="3">
        <v>0</v>
      </c>
      <c r="Y127" s="3">
        <v>67581000</v>
      </c>
      <c r="Z127" s="3">
        <v>115515000</v>
      </c>
      <c r="AA127" s="3">
        <v>16812000</v>
      </c>
      <c r="AB127" s="3">
        <v>-134000</v>
      </c>
      <c r="AC127" s="3">
        <v>4069000</v>
      </c>
      <c r="AD127" s="3">
        <v>-40000</v>
      </c>
      <c r="AE127" s="10"/>
      <c r="AF127" s="10" t="s">
        <v>421</v>
      </c>
      <c r="AG127" s="10" t="s">
        <v>46</v>
      </c>
    </row>
    <row r="128" spans="1:33" ht="15.75" x14ac:dyDescent="0.25">
      <c r="A128" s="3">
        <v>1027700037573</v>
      </c>
      <c r="B128" s="9">
        <v>7722146516</v>
      </c>
      <c r="C128" s="10" t="s">
        <v>1251</v>
      </c>
      <c r="D128" s="10" t="s">
        <v>1252</v>
      </c>
      <c r="E128" s="9">
        <v>18406694</v>
      </c>
      <c r="F128" s="9">
        <v>45290564000</v>
      </c>
      <c r="G128" s="9">
        <v>23</v>
      </c>
      <c r="H128" s="9">
        <v>12300</v>
      </c>
      <c r="I128" s="9">
        <v>772201001</v>
      </c>
      <c r="J128" s="10" t="s">
        <v>1253</v>
      </c>
      <c r="K128" s="10"/>
      <c r="L128" s="3" t="s">
        <v>300</v>
      </c>
      <c r="M128" s="10" t="s">
        <v>301</v>
      </c>
      <c r="N128" s="10" t="s">
        <v>1254</v>
      </c>
      <c r="O128" s="10" t="s">
        <v>1255</v>
      </c>
      <c r="P128" s="11">
        <v>772976656508</v>
      </c>
      <c r="Q128" s="10" t="s">
        <v>41</v>
      </c>
      <c r="R128" s="10" t="s">
        <v>1256</v>
      </c>
      <c r="S128" s="10" t="s">
        <v>1257</v>
      </c>
      <c r="T128" s="10" t="s">
        <v>1258</v>
      </c>
      <c r="U128" s="10" t="s">
        <v>1259</v>
      </c>
      <c r="V128" s="3">
        <v>2337975952</v>
      </c>
      <c r="W128" s="3">
        <v>662889000</v>
      </c>
      <c r="X128" s="3">
        <v>944889000</v>
      </c>
      <c r="Y128" s="3">
        <v>38033000</v>
      </c>
      <c r="Z128" s="3">
        <v>44719000</v>
      </c>
      <c r="AA128" s="3">
        <v>130715000</v>
      </c>
      <c r="AB128" s="3">
        <v>64590000</v>
      </c>
      <c r="AC128" s="3">
        <v>159540000</v>
      </c>
      <c r="AD128" s="3">
        <v>114347000</v>
      </c>
      <c r="AE128" s="10"/>
      <c r="AF128" s="10" t="s">
        <v>1260</v>
      </c>
      <c r="AG128" s="10" t="s">
        <v>46</v>
      </c>
    </row>
    <row r="129" spans="1:33" ht="15.75" x14ac:dyDescent="0.25">
      <c r="A129" s="1">
        <v>1027700040279</v>
      </c>
      <c r="B129" s="6">
        <v>7735093237</v>
      </c>
      <c r="C129" s="7" t="s">
        <v>1261</v>
      </c>
      <c r="D129" s="7" t="s">
        <v>1262</v>
      </c>
      <c r="E129" s="6">
        <v>18688712</v>
      </c>
      <c r="F129" s="6">
        <v>45272562000</v>
      </c>
      <c r="G129" s="6">
        <v>16</v>
      </c>
      <c r="H129" s="6">
        <v>12267</v>
      </c>
      <c r="I129" s="6">
        <v>773501001</v>
      </c>
      <c r="J129" s="7" t="s">
        <v>1263</v>
      </c>
      <c r="K129" s="7"/>
      <c r="L129" s="1" t="s">
        <v>300</v>
      </c>
      <c r="M129" s="7" t="s">
        <v>301</v>
      </c>
      <c r="N129" s="7" t="s">
        <v>1264</v>
      </c>
      <c r="O129" s="7" t="s">
        <v>1265</v>
      </c>
      <c r="P129" s="8">
        <v>272052111509</v>
      </c>
      <c r="Q129" s="7" t="s">
        <v>41</v>
      </c>
      <c r="R129" s="7" t="s">
        <v>1266</v>
      </c>
      <c r="S129" s="7" t="s">
        <v>1267</v>
      </c>
      <c r="T129" s="7"/>
      <c r="U129" s="7"/>
      <c r="V129" s="1">
        <v>2279808846</v>
      </c>
      <c r="W129" s="1">
        <v>416545000</v>
      </c>
      <c r="X129" s="1">
        <v>175497000</v>
      </c>
      <c r="Y129" s="1">
        <v>1042000</v>
      </c>
      <c r="Z129" s="1">
        <v>79500000</v>
      </c>
      <c r="AA129" s="1">
        <v>55964000</v>
      </c>
      <c r="AB129" s="1">
        <v>465582000</v>
      </c>
      <c r="AC129" s="1">
        <v>194187000</v>
      </c>
      <c r="AD129" s="1">
        <v>940514000</v>
      </c>
      <c r="AE129" s="7"/>
      <c r="AF129" s="7" t="s">
        <v>1268</v>
      </c>
      <c r="AG129" s="7" t="s">
        <v>46</v>
      </c>
    </row>
    <row r="130" spans="1:33" ht="15.75" x14ac:dyDescent="0.25">
      <c r="A130" s="3">
        <v>1027700155064</v>
      </c>
      <c r="B130" s="9">
        <v>7723193075</v>
      </c>
      <c r="C130" s="10" t="s">
        <v>1269</v>
      </c>
      <c r="D130" s="10" t="s">
        <v>1270</v>
      </c>
      <c r="E130" s="9">
        <v>58116345</v>
      </c>
      <c r="F130" s="9">
        <v>45277556000</v>
      </c>
      <c r="G130" s="9">
        <v>42</v>
      </c>
      <c r="H130" s="9">
        <v>12247</v>
      </c>
      <c r="I130" s="9">
        <v>771401001</v>
      </c>
      <c r="J130" s="10" t="s">
        <v>1271</v>
      </c>
      <c r="K130" s="10"/>
      <c r="L130" s="3" t="s">
        <v>633</v>
      </c>
      <c r="M130" s="10" t="s">
        <v>634</v>
      </c>
      <c r="N130" s="10" t="s">
        <v>1219</v>
      </c>
      <c r="O130" s="10" t="s">
        <v>550</v>
      </c>
      <c r="P130" s="11">
        <v>507601258762</v>
      </c>
      <c r="Q130" s="10" t="s">
        <v>41</v>
      </c>
      <c r="R130" s="10" t="s">
        <v>1272</v>
      </c>
      <c r="S130" s="10" t="s">
        <v>1273</v>
      </c>
      <c r="T130" s="10" t="s">
        <v>1274</v>
      </c>
      <c r="U130" s="10" t="s">
        <v>1275</v>
      </c>
      <c r="V130" s="3">
        <v>173800000</v>
      </c>
      <c r="W130" s="3">
        <v>182013000</v>
      </c>
      <c r="X130" s="3">
        <v>2471000</v>
      </c>
      <c r="Y130" s="3">
        <v>159043000</v>
      </c>
      <c r="Z130" s="3">
        <v>25583000</v>
      </c>
      <c r="AA130" s="3">
        <v>3586000</v>
      </c>
      <c r="AB130" s="3">
        <v>-193353000</v>
      </c>
      <c r="AC130" s="3">
        <v>-25728000</v>
      </c>
      <c r="AD130" s="3">
        <v>-179919000</v>
      </c>
      <c r="AE130" s="10"/>
      <c r="AF130" s="10" t="s">
        <v>1023</v>
      </c>
      <c r="AG130" s="10" t="s">
        <v>46</v>
      </c>
    </row>
    <row r="131" spans="1:33" ht="15.75" x14ac:dyDescent="0.25">
      <c r="A131" s="1">
        <v>1147746291846</v>
      </c>
      <c r="B131" s="6">
        <v>7718972679</v>
      </c>
      <c r="C131" s="7" t="s">
        <v>1276</v>
      </c>
      <c r="D131" s="7" t="s">
        <v>1277</v>
      </c>
      <c r="E131" s="6">
        <v>29162769</v>
      </c>
      <c r="F131" s="6">
        <v>45263581000</v>
      </c>
      <c r="G131" s="6">
        <v>16</v>
      </c>
      <c r="H131" s="6">
        <v>12300</v>
      </c>
      <c r="I131" s="6">
        <v>771801001</v>
      </c>
      <c r="J131" s="7" t="s">
        <v>1278</v>
      </c>
      <c r="K131" s="7"/>
      <c r="L131" s="1" t="s">
        <v>300</v>
      </c>
      <c r="M131" s="7" t="s">
        <v>301</v>
      </c>
      <c r="N131" s="7" t="s">
        <v>1279</v>
      </c>
      <c r="O131" s="7" t="s">
        <v>1280</v>
      </c>
      <c r="P131" s="8">
        <v>772581549585</v>
      </c>
      <c r="Q131" s="7" t="s">
        <v>41</v>
      </c>
      <c r="R131" s="7" t="s">
        <v>1281</v>
      </c>
      <c r="S131" s="7" t="s">
        <v>1282</v>
      </c>
      <c r="T131" s="7"/>
      <c r="U131" s="7"/>
      <c r="V131" s="1">
        <v>150200000</v>
      </c>
      <c r="W131" s="1">
        <v>139243000</v>
      </c>
      <c r="X131" s="1">
        <v>171380000</v>
      </c>
      <c r="Y131" s="1">
        <v>0</v>
      </c>
      <c r="Z131" s="1">
        <v>26538000</v>
      </c>
      <c r="AA131" s="1">
        <v>43897000</v>
      </c>
      <c r="AB131" s="1">
        <v>-36444000</v>
      </c>
      <c r="AC131" s="1">
        <v>-5414000</v>
      </c>
      <c r="AD131" s="1">
        <v>-47336000</v>
      </c>
      <c r="AE131" s="7"/>
      <c r="AF131" s="7" t="s">
        <v>318</v>
      </c>
      <c r="AG131" s="7" t="s">
        <v>46</v>
      </c>
    </row>
    <row r="132" spans="1:33" ht="15.75" x14ac:dyDescent="0.25">
      <c r="A132" s="3">
        <v>1217700394867</v>
      </c>
      <c r="B132" s="9">
        <v>7743365477</v>
      </c>
      <c r="C132" s="10" t="s">
        <v>1283</v>
      </c>
      <c r="D132" s="10" t="s">
        <v>1284</v>
      </c>
      <c r="E132" s="9">
        <v>70772394</v>
      </c>
      <c r="F132" s="9">
        <v>45277565000</v>
      </c>
      <c r="G132" s="9">
        <v>16</v>
      </c>
      <c r="H132" s="9">
        <v>12300</v>
      </c>
      <c r="I132" s="9">
        <v>774301001</v>
      </c>
      <c r="J132" s="10" t="s">
        <v>1285</v>
      </c>
      <c r="K132" s="10"/>
      <c r="L132" s="3" t="s">
        <v>1286</v>
      </c>
      <c r="M132" s="10" t="s">
        <v>1287</v>
      </c>
      <c r="N132" s="10" t="s">
        <v>1288</v>
      </c>
      <c r="O132" s="10" t="s">
        <v>550</v>
      </c>
      <c r="P132" s="11">
        <v>507601258762</v>
      </c>
      <c r="Q132" s="10" t="s">
        <v>41</v>
      </c>
      <c r="R132" s="10" t="s">
        <v>1289</v>
      </c>
      <c r="S132" s="10" t="s">
        <v>1290</v>
      </c>
      <c r="T132" s="10"/>
      <c r="U132" s="10" t="s">
        <v>1291</v>
      </c>
      <c r="V132" s="3">
        <v>300010000</v>
      </c>
      <c r="W132" s="3">
        <v>340309000</v>
      </c>
      <c r="X132" s="3">
        <v>393015000</v>
      </c>
      <c r="Y132" s="3">
        <v>0</v>
      </c>
      <c r="Z132" s="3">
        <v>24597000</v>
      </c>
      <c r="AA132" s="3">
        <v>75162000</v>
      </c>
      <c r="AB132" s="3">
        <v>167804000</v>
      </c>
      <c r="AC132" s="3">
        <v>194467000</v>
      </c>
      <c r="AD132" s="3">
        <v>226578000</v>
      </c>
      <c r="AE132" s="10"/>
      <c r="AF132" s="10" t="s">
        <v>421</v>
      </c>
      <c r="AG132" s="10" t="s">
        <v>46</v>
      </c>
    </row>
    <row r="133" spans="1:33" ht="15.75" x14ac:dyDescent="0.25">
      <c r="A133" s="1">
        <v>1167746678109</v>
      </c>
      <c r="B133" s="6">
        <v>7704364977</v>
      </c>
      <c r="C133" s="7" t="s">
        <v>1292</v>
      </c>
      <c r="D133" s="7" t="s">
        <v>1293</v>
      </c>
      <c r="E133" s="6">
        <v>3582876</v>
      </c>
      <c r="F133" s="6">
        <v>45286590000</v>
      </c>
      <c r="G133" s="6">
        <v>16</v>
      </c>
      <c r="H133" s="6">
        <v>12300</v>
      </c>
      <c r="I133" s="6">
        <v>770401001</v>
      </c>
      <c r="J133" s="7" t="s">
        <v>1294</v>
      </c>
      <c r="K133" s="7"/>
      <c r="L133" s="1" t="s">
        <v>404</v>
      </c>
      <c r="M133" s="7" t="s">
        <v>405</v>
      </c>
      <c r="N133" s="7" t="s">
        <v>1295</v>
      </c>
      <c r="O133" s="7" t="s">
        <v>1296</v>
      </c>
      <c r="P133" s="8">
        <v>420500314440</v>
      </c>
      <c r="Q133" s="7" t="s">
        <v>41</v>
      </c>
      <c r="R133" s="7" t="s">
        <v>1297</v>
      </c>
      <c r="S133" s="7" t="s">
        <v>1298</v>
      </c>
      <c r="T133" s="7"/>
      <c r="U133" s="7"/>
      <c r="V133" s="1">
        <v>2127000000</v>
      </c>
      <c r="W133" s="1">
        <v>168933000</v>
      </c>
      <c r="X133" s="1">
        <v>703000</v>
      </c>
      <c r="Y133" s="1">
        <v>387939000</v>
      </c>
      <c r="Z133" s="1">
        <v>25902000</v>
      </c>
      <c r="AA133" s="1">
        <v>351105000</v>
      </c>
      <c r="AB133" s="1">
        <v>-329755000</v>
      </c>
      <c r="AC133" s="1">
        <v>-419372000</v>
      </c>
      <c r="AD133" s="1">
        <v>-432791000</v>
      </c>
      <c r="AE133" s="7"/>
      <c r="AF133" s="7" t="s">
        <v>1023</v>
      </c>
      <c r="AG133" s="7" t="s">
        <v>46</v>
      </c>
    </row>
    <row r="134" spans="1:33" ht="15.75" x14ac:dyDescent="0.25">
      <c r="A134" s="3">
        <v>1107746600950</v>
      </c>
      <c r="B134" s="9">
        <v>7721699740</v>
      </c>
      <c r="C134" s="10" t="s">
        <v>1299</v>
      </c>
      <c r="D134" s="10" t="s">
        <v>1300</v>
      </c>
      <c r="E134" s="9">
        <v>66993244</v>
      </c>
      <c r="F134" s="9">
        <v>45290554000</v>
      </c>
      <c r="G134" s="9">
        <v>61</v>
      </c>
      <c r="H134" s="9">
        <v>12267</v>
      </c>
      <c r="I134" s="9">
        <v>772101001</v>
      </c>
      <c r="J134" s="10" t="s">
        <v>1301</v>
      </c>
      <c r="K134" s="10"/>
      <c r="L134" s="3" t="s">
        <v>565</v>
      </c>
      <c r="M134" s="10" t="s">
        <v>680</v>
      </c>
      <c r="N134" s="10" t="s">
        <v>1302</v>
      </c>
      <c r="O134" s="10" t="s">
        <v>1303</v>
      </c>
      <c r="P134" s="11">
        <v>363101601240</v>
      </c>
      <c r="Q134" s="10" t="s">
        <v>150</v>
      </c>
      <c r="R134" s="10" t="s">
        <v>103</v>
      </c>
      <c r="S134" s="10" t="s">
        <v>1304</v>
      </c>
      <c r="T134" s="10"/>
      <c r="U134" s="10" t="s">
        <v>1305</v>
      </c>
      <c r="V134" s="3">
        <v>125000000</v>
      </c>
      <c r="W134" s="3">
        <v>718072000</v>
      </c>
      <c r="X134" s="3">
        <v>27495000</v>
      </c>
      <c r="Y134" s="3">
        <v>560000</v>
      </c>
      <c r="Z134" s="3">
        <v>249260000</v>
      </c>
      <c r="AA134" s="3">
        <v>74118000</v>
      </c>
      <c r="AB134" s="3">
        <v>33830000</v>
      </c>
      <c r="AC134" s="3">
        <v>27016000</v>
      </c>
      <c r="AD134" s="3">
        <v>45832000</v>
      </c>
      <c r="AE134" s="10"/>
      <c r="AF134" s="10" t="s">
        <v>1306</v>
      </c>
      <c r="AG134" s="10" t="s">
        <v>46</v>
      </c>
    </row>
    <row r="135" spans="1:33" ht="15.75" x14ac:dyDescent="0.25">
      <c r="A135" s="1">
        <v>1065074061579</v>
      </c>
      <c r="B135" s="6">
        <v>5036072424</v>
      </c>
      <c r="C135" s="7" t="s">
        <v>1307</v>
      </c>
      <c r="D135" s="7" t="s">
        <v>1308</v>
      </c>
      <c r="E135" s="6">
        <v>93703510</v>
      </c>
      <c r="F135" s="6">
        <v>46451000000</v>
      </c>
      <c r="G135" s="6">
        <v>16</v>
      </c>
      <c r="H135" s="6">
        <v>12247</v>
      </c>
      <c r="I135" s="6">
        <v>503101001</v>
      </c>
      <c r="J135" s="7" t="s">
        <v>1309</v>
      </c>
      <c r="K135" s="7"/>
      <c r="L135" s="1" t="s">
        <v>404</v>
      </c>
      <c r="M135" s="7" t="s">
        <v>405</v>
      </c>
      <c r="N135" s="7" t="s">
        <v>1310</v>
      </c>
      <c r="O135" s="7" t="s">
        <v>1311</v>
      </c>
      <c r="P135" s="8">
        <v>781612814576</v>
      </c>
      <c r="Q135" s="7" t="s">
        <v>1312</v>
      </c>
      <c r="R135" s="7" t="s">
        <v>1313</v>
      </c>
      <c r="S135" s="7" t="s">
        <v>1314</v>
      </c>
      <c r="T135" s="7" t="s">
        <v>1315</v>
      </c>
      <c r="U135" s="7" t="s">
        <v>1316</v>
      </c>
      <c r="V135" s="1">
        <v>2000000000</v>
      </c>
      <c r="W135" s="1">
        <v>870289000</v>
      </c>
      <c r="X135" s="1">
        <v>4985741000</v>
      </c>
      <c r="Y135" s="1">
        <v>4461000</v>
      </c>
      <c r="Z135" s="1">
        <v>722117000</v>
      </c>
      <c r="AA135" s="1">
        <v>496290000</v>
      </c>
      <c r="AB135" s="1">
        <v>-112257000</v>
      </c>
      <c r="AC135" s="1">
        <v>-216325000</v>
      </c>
      <c r="AD135" s="1">
        <v>-153865000</v>
      </c>
      <c r="AE135" s="7"/>
      <c r="AF135" s="7" t="s">
        <v>1317</v>
      </c>
      <c r="AG135" s="7" t="s">
        <v>46</v>
      </c>
    </row>
    <row r="136" spans="1:33" ht="15.75" x14ac:dyDescent="0.25">
      <c r="A136" s="3">
        <v>1065042071137</v>
      </c>
      <c r="B136" s="9">
        <v>5042086312</v>
      </c>
      <c r="C136" s="10" t="s">
        <v>1318</v>
      </c>
      <c r="D136" s="10" t="s">
        <v>1319</v>
      </c>
      <c r="E136" s="9">
        <v>93698755</v>
      </c>
      <c r="F136" s="9">
        <v>46428556000</v>
      </c>
      <c r="G136" s="9">
        <v>16</v>
      </c>
      <c r="H136" s="9">
        <v>12267</v>
      </c>
      <c r="I136" s="9">
        <v>504201001</v>
      </c>
      <c r="J136" s="10" t="s">
        <v>1320</v>
      </c>
      <c r="K136" s="10"/>
      <c r="L136" s="3" t="s">
        <v>158</v>
      </c>
      <c r="M136" s="10" t="s">
        <v>159</v>
      </c>
      <c r="N136" s="10" t="s">
        <v>1321</v>
      </c>
      <c r="O136" s="10" t="s">
        <v>1322</v>
      </c>
      <c r="P136" s="11">
        <v>5260096381</v>
      </c>
      <c r="Q136" s="10" t="s">
        <v>90</v>
      </c>
      <c r="R136" s="10" t="s">
        <v>1323</v>
      </c>
      <c r="S136" s="10" t="s">
        <v>1324</v>
      </c>
      <c r="T136" s="10" t="s">
        <v>1325</v>
      </c>
      <c r="U136" s="10" t="s">
        <v>1326</v>
      </c>
      <c r="V136" s="3">
        <v>62681508646</v>
      </c>
      <c r="W136" s="3">
        <v>127643000</v>
      </c>
      <c r="X136" s="3">
        <v>73026789000</v>
      </c>
      <c r="Y136" s="3">
        <v>4884000</v>
      </c>
      <c r="Z136" s="3">
        <v>2164534000</v>
      </c>
      <c r="AA136" s="3">
        <v>388438000</v>
      </c>
      <c r="AB136" s="3">
        <v>-1019598000</v>
      </c>
      <c r="AC136" s="3">
        <v>25917000</v>
      </c>
      <c r="AD136" s="3">
        <v>-1355605000</v>
      </c>
      <c r="AE136" s="10"/>
      <c r="AF136" s="10" t="s">
        <v>891</v>
      </c>
      <c r="AG136" s="10" t="s">
        <v>46</v>
      </c>
    </row>
    <row r="137" spans="1:33" ht="15.75" x14ac:dyDescent="0.25">
      <c r="A137" s="1">
        <v>1097746248357</v>
      </c>
      <c r="B137" s="6">
        <v>7715757320</v>
      </c>
      <c r="C137" s="7" t="s">
        <v>1327</v>
      </c>
      <c r="D137" s="7" t="s">
        <v>1328</v>
      </c>
      <c r="E137" s="6">
        <v>11352728</v>
      </c>
      <c r="F137" s="6">
        <v>45290578000</v>
      </c>
      <c r="G137" s="6">
        <v>13</v>
      </c>
      <c r="H137" s="6">
        <v>12267</v>
      </c>
      <c r="I137" s="6">
        <v>772101001</v>
      </c>
      <c r="J137" s="7" t="s">
        <v>1330</v>
      </c>
      <c r="K137" s="7"/>
      <c r="L137" s="1" t="s">
        <v>300</v>
      </c>
      <c r="M137" s="7" t="s">
        <v>301</v>
      </c>
      <c r="N137" s="7" t="s">
        <v>1331</v>
      </c>
      <c r="O137" s="7" t="s">
        <v>1332</v>
      </c>
      <c r="P137" s="8">
        <v>504305719538</v>
      </c>
      <c r="Q137" s="7" t="s">
        <v>41</v>
      </c>
      <c r="R137" s="7" t="s">
        <v>1333</v>
      </c>
      <c r="S137" s="7" t="s">
        <v>1334</v>
      </c>
      <c r="T137" s="7"/>
      <c r="U137" s="7" t="s">
        <v>1335</v>
      </c>
      <c r="V137" s="1">
        <v>3006008325</v>
      </c>
      <c r="W137" s="1">
        <v>495496000</v>
      </c>
      <c r="X137" s="1">
        <v>1146190000</v>
      </c>
      <c r="Y137" s="1">
        <v>3950000</v>
      </c>
      <c r="Z137" s="1">
        <v>1198547000</v>
      </c>
      <c r="AA137" s="1">
        <v>1099947000</v>
      </c>
      <c r="AB137" s="1">
        <v>1073058000</v>
      </c>
      <c r="AC137" s="1">
        <v>81553000</v>
      </c>
      <c r="AD137" s="1">
        <v>1087612000</v>
      </c>
      <c r="AE137" s="7"/>
      <c r="AF137" s="7" t="s">
        <v>120</v>
      </c>
      <c r="AG137" s="7" t="s">
        <v>46</v>
      </c>
    </row>
    <row r="138" spans="1:33" ht="15.75" x14ac:dyDescent="0.25">
      <c r="A138" s="3">
        <v>1227700850970</v>
      </c>
      <c r="B138" s="9">
        <v>9703123605</v>
      </c>
      <c r="C138" s="10" t="s">
        <v>1336</v>
      </c>
      <c r="D138" s="10" t="s">
        <v>1337</v>
      </c>
      <c r="E138" s="9">
        <v>57094848</v>
      </c>
      <c r="F138" s="9">
        <v>45286585000</v>
      </c>
      <c r="G138" s="9">
        <v>16</v>
      </c>
      <c r="H138" s="9">
        <v>12300</v>
      </c>
      <c r="I138" s="9">
        <v>771001001</v>
      </c>
      <c r="J138" s="10" t="s">
        <v>1338</v>
      </c>
      <c r="K138" s="10"/>
      <c r="L138" s="3" t="s">
        <v>755</v>
      </c>
      <c r="M138" s="10" t="s">
        <v>756</v>
      </c>
      <c r="N138" s="10" t="s">
        <v>1339</v>
      </c>
      <c r="O138" s="10" t="s">
        <v>1340</v>
      </c>
      <c r="P138" s="11">
        <v>381200741818</v>
      </c>
      <c r="Q138" s="10" t="s">
        <v>41</v>
      </c>
      <c r="R138" s="10" t="s">
        <v>1341</v>
      </c>
      <c r="S138" s="10" t="s">
        <v>1342</v>
      </c>
      <c r="T138" s="10"/>
      <c r="U138" s="10" t="s">
        <v>1343</v>
      </c>
      <c r="V138" s="3">
        <v>1000000</v>
      </c>
      <c r="W138" s="3">
        <v>423150000</v>
      </c>
      <c r="X138" s="3">
        <v>165734000</v>
      </c>
      <c r="Y138" s="3">
        <v>180000</v>
      </c>
      <c r="Z138" s="3">
        <v>79886000</v>
      </c>
      <c r="AA138" s="3">
        <v>253278000</v>
      </c>
      <c r="AB138" s="3">
        <v>2330000</v>
      </c>
      <c r="AC138" s="3">
        <v>0</v>
      </c>
      <c r="AD138" s="3">
        <v>0</v>
      </c>
      <c r="AE138" s="10" t="s">
        <v>317</v>
      </c>
      <c r="AF138" s="10" t="s">
        <v>530</v>
      </c>
      <c r="AG138" s="10" t="s">
        <v>46</v>
      </c>
    </row>
    <row r="139" spans="1:33" ht="15.75" x14ac:dyDescent="0.25">
      <c r="A139" s="1">
        <v>1045010200465</v>
      </c>
      <c r="B139" s="6">
        <v>5050046539</v>
      </c>
      <c r="C139" s="7" t="s">
        <v>1344</v>
      </c>
      <c r="D139" s="7" t="s">
        <v>1345</v>
      </c>
      <c r="E139" s="6">
        <v>70446861</v>
      </c>
      <c r="F139" s="6">
        <v>46488000000</v>
      </c>
      <c r="G139" s="6">
        <v>23</v>
      </c>
      <c r="H139" s="6">
        <v>12300</v>
      </c>
      <c r="I139" s="6">
        <v>505001001</v>
      </c>
      <c r="J139" s="7" t="s">
        <v>1346</v>
      </c>
      <c r="K139" s="7"/>
      <c r="L139" s="1" t="s">
        <v>1347</v>
      </c>
      <c r="M139" s="7" t="s">
        <v>1348</v>
      </c>
      <c r="N139" s="7" t="s">
        <v>1349</v>
      </c>
      <c r="O139" s="7" t="s">
        <v>1350</v>
      </c>
      <c r="P139" s="8">
        <v>501804022056</v>
      </c>
      <c r="Q139" s="7" t="s">
        <v>41</v>
      </c>
      <c r="R139" s="7" t="s">
        <v>1351</v>
      </c>
      <c r="S139" s="7" t="s">
        <v>1352</v>
      </c>
      <c r="T139" s="7" t="s">
        <v>1353</v>
      </c>
      <c r="U139" s="7" t="s">
        <v>1354</v>
      </c>
      <c r="V139" s="1">
        <v>82930031</v>
      </c>
      <c r="W139" s="1">
        <v>416447000</v>
      </c>
      <c r="X139" s="1">
        <v>190409000</v>
      </c>
      <c r="Y139" s="1">
        <v>148049000</v>
      </c>
      <c r="Z139" s="1">
        <v>59390000</v>
      </c>
      <c r="AA139" s="1">
        <v>99214000</v>
      </c>
      <c r="AB139" s="1">
        <v>13001000</v>
      </c>
      <c r="AC139" s="1">
        <v>16972000</v>
      </c>
      <c r="AD139" s="1">
        <v>17660000</v>
      </c>
      <c r="AE139" s="7" t="s">
        <v>331</v>
      </c>
      <c r="AF139" s="7" t="s">
        <v>1355</v>
      </c>
      <c r="AG139" s="7" t="s">
        <v>46</v>
      </c>
    </row>
    <row r="140" spans="1:33" ht="15.75" x14ac:dyDescent="0.25">
      <c r="A140" s="3">
        <v>1067746319794</v>
      </c>
      <c r="B140" s="9">
        <v>7725562754</v>
      </c>
      <c r="C140" s="10" t="s">
        <v>1356</v>
      </c>
      <c r="D140" s="10" t="s">
        <v>1357</v>
      </c>
      <c r="E140" s="9">
        <v>93325338</v>
      </c>
      <c r="F140" s="9">
        <v>45268562000</v>
      </c>
      <c r="G140" s="9">
        <v>16</v>
      </c>
      <c r="H140" s="9">
        <v>12267</v>
      </c>
      <c r="I140" s="9">
        <v>773101001</v>
      </c>
      <c r="J140" s="10" t="s">
        <v>1358</v>
      </c>
      <c r="K140" s="10"/>
      <c r="L140" s="3" t="s">
        <v>563</v>
      </c>
      <c r="M140" s="10" t="s">
        <v>564</v>
      </c>
      <c r="N140" s="10" t="s">
        <v>1359</v>
      </c>
      <c r="O140" s="10" t="s">
        <v>1360</v>
      </c>
      <c r="P140" s="11">
        <v>770700091494</v>
      </c>
      <c r="Q140" s="10" t="s">
        <v>41</v>
      </c>
      <c r="R140" s="10" t="s">
        <v>1361</v>
      </c>
      <c r="S140" s="10" t="s">
        <v>1362</v>
      </c>
      <c r="T140" s="10"/>
      <c r="U140" s="10" t="s">
        <v>1363</v>
      </c>
      <c r="V140" s="3">
        <v>189810000</v>
      </c>
      <c r="W140" s="3">
        <v>70830000</v>
      </c>
      <c r="X140" s="3">
        <v>19859000</v>
      </c>
      <c r="Y140" s="3">
        <v>17000</v>
      </c>
      <c r="Z140" s="3">
        <v>2052000</v>
      </c>
      <c r="AA140" s="3">
        <v>19167000</v>
      </c>
      <c r="AB140" s="3">
        <v>-53814000</v>
      </c>
      <c r="AC140" s="3">
        <v>34077000</v>
      </c>
      <c r="AD140" s="3">
        <v>52491000</v>
      </c>
      <c r="AE140" s="10" t="s">
        <v>317</v>
      </c>
      <c r="AF140" s="10" t="s">
        <v>1329</v>
      </c>
      <c r="AG140" s="10" t="s">
        <v>46</v>
      </c>
    </row>
    <row r="141" spans="1:33" ht="15.75" x14ac:dyDescent="0.25">
      <c r="A141" s="1">
        <v>1035004262545</v>
      </c>
      <c r="B141" s="6">
        <v>5022030914</v>
      </c>
      <c r="C141" s="7" t="s">
        <v>1364</v>
      </c>
      <c r="D141" s="7" t="s">
        <v>1365</v>
      </c>
      <c r="E141" s="6">
        <v>56890075</v>
      </c>
      <c r="F141" s="6">
        <v>46438000000</v>
      </c>
      <c r="G141" s="6">
        <v>16</v>
      </c>
      <c r="H141" s="6">
        <v>12267</v>
      </c>
      <c r="I141" s="6">
        <v>502201001</v>
      </c>
      <c r="J141" s="7" t="s">
        <v>1366</v>
      </c>
      <c r="K141" s="7"/>
      <c r="L141" s="1" t="s">
        <v>445</v>
      </c>
      <c r="M141" s="7" t="s">
        <v>446</v>
      </c>
      <c r="N141" s="7" t="s">
        <v>1367</v>
      </c>
      <c r="O141" s="7" t="s">
        <v>1368</v>
      </c>
      <c r="P141" s="8">
        <v>7703712332</v>
      </c>
      <c r="Q141" s="7" t="s">
        <v>90</v>
      </c>
      <c r="R141" s="7" t="s">
        <v>1369</v>
      </c>
      <c r="S141" s="7" t="s">
        <v>1370</v>
      </c>
      <c r="T141" s="7"/>
      <c r="U141" s="7" t="s">
        <v>1371</v>
      </c>
      <c r="V141" s="1">
        <v>141786682</v>
      </c>
      <c r="W141" s="1">
        <v>77886000</v>
      </c>
      <c r="X141" s="1">
        <v>924000</v>
      </c>
      <c r="Y141" s="1">
        <v>6000</v>
      </c>
      <c r="Z141" s="1">
        <v>153928000</v>
      </c>
      <c r="AA141" s="1">
        <v>682303000</v>
      </c>
      <c r="AB141" s="1">
        <v>-12137000</v>
      </c>
      <c r="AC141" s="1">
        <v>-20550000</v>
      </c>
      <c r="AD141" s="1">
        <v>7359000</v>
      </c>
      <c r="AE141" s="7"/>
      <c r="AF141" s="7" t="s">
        <v>421</v>
      </c>
      <c r="AG141" s="7" t="s">
        <v>46</v>
      </c>
    </row>
    <row r="142" spans="1:33" ht="15.75" x14ac:dyDescent="0.25">
      <c r="A142" s="3">
        <v>1035005503730</v>
      </c>
      <c r="B142" s="9">
        <v>5029023761</v>
      </c>
      <c r="C142" s="10" t="s">
        <v>1372</v>
      </c>
      <c r="D142" s="10" t="s">
        <v>1373</v>
      </c>
      <c r="E142" s="9">
        <v>23525142</v>
      </c>
      <c r="F142" s="9">
        <v>46446000000</v>
      </c>
      <c r="G142" s="9">
        <v>16</v>
      </c>
      <c r="H142" s="9">
        <v>12300</v>
      </c>
      <c r="I142" s="9">
        <v>502901001</v>
      </c>
      <c r="J142" s="10" t="s">
        <v>1374</v>
      </c>
      <c r="K142" s="10"/>
      <c r="L142" s="3" t="s">
        <v>1375</v>
      </c>
      <c r="M142" s="10" t="s">
        <v>1376</v>
      </c>
      <c r="N142" s="10" t="s">
        <v>1377</v>
      </c>
      <c r="O142" s="10" t="s">
        <v>1378</v>
      </c>
      <c r="P142" s="11">
        <v>501902579663</v>
      </c>
      <c r="Q142" s="10" t="s">
        <v>1379</v>
      </c>
      <c r="R142" s="10" t="s">
        <v>1380</v>
      </c>
      <c r="S142" s="10" t="s">
        <v>1381</v>
      </c>
      <c r="T142" s="10"/>
      <c r="U142" s="10" t="s">
        <v>1382</v>
      </c>
      <c r="V142" s="3">
        <v>282823524</v>
      </c>
      <c r="W142" s="3">
        <v>83654000</v>
      </c>
      <c r="X142" s="3">
        <v>0</v>
      </c>
      <c r="Y142" s="3">
        <v>212060000</v>
      </c>
      <c r="Z142" s="3">
        <v>340210000</v>
      </c>
      <c r="AA142" s="3">
        <v>554302000</v>
      </c>
      <c r="AB142" s="3">
        <v>-3474000</v>
      </c>
      <c r="AC142" s="3">
        <v>0</v>
      </c>
      <c r="AD142" s="3">
        <v>0</v>
      </c>
      <c r="AE142" s="10" t="s">
        <v>317</v>
      </c>
      <c r="AF142" s="10" t="s">
        <v>410</v>
      </c>
      <c r="AG142" s="10" t="s">
        <v>46</v>
      </c>
    </row>
    <row r="143" spans="1:33" ht="15.75" x14ac:dyDescent="0.25">
      <c r="A143" s="1">
        <v>1125029000580</v>
      </c>
      <c r="B143" s="6">
        <v>5029159233</v>
      </c>
      <c r="C143" s="7" t="s">
        <v>1383</v>
      </c>
      <c r="D143" s="7" t="s">
        <v>1384</v>
      </c>
      <c r="E143" s="6">
        <v>37571460</v>
      </c>
      <c r="F143" s="6">
        <v>46446000306</v>
      </c>
      <c r="G143" s="6">
        <v>16</v>
      </c>
      <c r="H143" s="6">
        <v>12300</v>
      </c>
      <c r="I143" s="6">
        <v>502901001</v>
      </c>
      <c r="J143" s="7" t="s">
        <v>1385</v>
      </c>
      <c r="K143" s="7"/>
      <c r="L143" s="1" t="s">
        <v>300</v>
      </c>
      <c r="M143" s="7" t="s">
        <v>301</v>
      </c>
      <c r="N143" s="7" t="s">
        <v>1386</v>
      </c>
      <c r="O143" s="7" t="s">
        <v>1387</v>
      </c>
      <c r="P143" s="8">
        <v>771374859097</v>
      </c>
      <c r="Q143" s="7" t="s">
        <v>41</v>
      </c>
      <c r="R143" s="7" t="s">
        <v>1388</v>
      </c>
      <c r="S143" s="7" t="s">
        <v>1389</v>
      </c>
      <c r="T143" s="7"/>
      <c r="U143" s="7" t="s">
        <v>1390</v>
      </c>
      <c r="V143" s="1">
        <v>300000000</v>
      </c>
      <c r="W143" s="1">
        <v>65683000</v>
      </c>
      <c r="X143" s="1">
        <v>493230000</v>
      </c>
      <c r="Y143" s="1">
        <v>49000</v>
      </c>
      <c r="Z143" s="1">
        <v>1543000</v>
      </c>
      <c r="AA143" s="1">
        <v>40699000</v>
      </c>
      <c r="AB143" s="1">
        <v>6563000</v>
      </c>
      <c r="AC143" s="1">
        <v>6051000</v>
      </c>
      <c r="AD143" s="1">
        <v>7284000</v>
      </c>
      <c r="AE143" s="7"/>
      <c r="AF143" s="7" t="s">
        <v>410</v>
      </c>
      <c r="AG143" s="7" t="s">
        <v>46</v>
      </c>
    </row>
    <row r="144" spans="1:33" ht="15.75" x14ac:dyDescent="0.25">
      <c r="A144" s="1">
        <v>1037739904586</v>
      </c>
      <c r="B144" s="6">
        <v>7703502840</v>
      </c>
      <c r="C144" s="7" t="s">
        <v>1391</v>
      </c>
      <c r="D144" s="7" t="s">
        <v>1392</v>
      </c>
      <c r="E144" s="6">
        <v>70256534</v>
      </c>
      <c r="F144" s="6">
        <v>45280572000</v>
      </c>
      <c r="G144" s="6">
        <v>23</v>
      </c>
      <c r="H144" s="6">
        <v>12300</v>
      </c>
      <c r="I144" s="6">
        <v>771701001</v>
      </c>
      <c r="J144" s="7" t="s">
        <v>1393</v>
      </c>
      <c r="K144" s="7"/>
      <c r="L144" s="1" t="s">
        <v>1286</v>
      </c>
      <c r="M144" s="7" t="s">
        <v>1287</v>
      </c>
      <c r="N144" s="7" t="s">
        <v>1394</v>
      </c>
      <c r="O144" s="7" t="s">
        <v>1395</v>
      </c>
      <c r="P144" s="8">
        <v>770374069509</v>
      </c>
      <c r="Q144" s="7" t="s">
        <v>41</v>
      </c>
      <c r="R144" s="7" t="s">
        <v>1396</v>
      </c>
      <c r="S144" s="7" t="s">
        <v>1397</v>
      </c>
      <c r="T144" s="7"/>
      <c r="U144" s="7"/>
      <c r="V144" s="1">
        <v>285253334</v>
      </c>
      <c r="W144" s="1">
        <v>78490000</v>
      </c>
      <c r="X144" s="1">
        <v>0</v>
      </c>
      <c r="Y144" s="1">
        <v>1609000</v>
      </c>
      <c r="Z144" s="1">
        <v>61740000</v>
      </c>
      <c r="AA144" s="1">
        <v>59892000</v>
      </c>
      <c r="AB144" s="1">
        <v>349238000</v>
      </c>
      <c r="AC144" s="1">
        <v>-16448000</v>
      </c>
      <c r="AD144" s="1">
        <v>523430000</v>
      </c>
      <c r="AE144" s="7"/>
      <c r="AF144" s="7" t="s">
        <v>352</v>
      </c>
      <c r="AG144" s="7" t="s">
        <v>46</v>
      </c>
    </row>
    <row r="145" spans="1:33" ht="15.75" x14ac:dyDescent="0.25">
      <c r="A145" s="3">
        <v>1227700466950</v>
      </c>
      <c r="B145" s="9">
        <v>9723163518</v>
      </c>
      <c r="C145" s="10" t="s">
        <v>1398</v>
      </c>
      <c r="D145" s="10" t="s">
        <v>1399</v>
      </c>
      <c r="E145" s="9">
        <v>51124413</v>
      </c>
      <c r="F145" s="9">
        <v>45290572000</v>
      </c>
      <c r="G145" s="9">
        <v>16</v>
      </c>
      <c r="H145" s="9">
        <v>12300</v>
      </c>
      <c r="I145" s="9">
        <v>772301001</v>
      </c>
      <c r="J145" s="10" t="s">
        <v>1400</v>
      </c>
      <c r="K145" s="10"/>
      <c r="L145" s="3" t="s">
        <v>1401</v>
      </c>
      <c r="M145" s="10" t="s">
        <v>1402</v>
      </c>
      <c r="N145" s="10" t="s">
        <v>1403</v>
      </c>
      <c r="O145" s="10" t="s">
        <v>1404</v>
      </c>
      <c r="P145" s="11">
        <v>525600681029</v>
      </c>
      <c r="Q145" s="10" t="s">
        <v>41</v>
      </c>
      <c r="R145" s="10" t="s">
        <v>1405</v>
      </c>
      <c r="S145" s="10" t="s">
        <v>1406</v>
      </c>
      <c r="T145" s="10"/>
      <c r="U145" s="10"/>
      <c r="V145" s="3">
        <v>109199000</v>
      </c>
      <c r="W145" s="3">
        <v>174168000</v>
      </c>
      <c r="X145" s="3">
        <v>0</v>
      </c>
      <c r="Y145" s="3">
        <v>1941000</v>
      </c>
      <c r="Z145" s="3">
        <v>42161000</v>
      </c>
      <c r="AA145" s="3">
        <v>13839000</v>
      </c>
      <c r="AB145" s="3">
        <v>6798000</v>
      </c>
      <c r="AC145" s="3">
        <v>0</v>
      </c>
      <c r="AD145" s="3">
        <v>0</v>
      </c>
      <c r="AE145" s="10" t="s">
        <v>317</v>
      </c>
      <c r="AF145" s="10" t="s">
        <v>1023</v>
      </c>
      <c r="AG145" s="10" t="s">
        <v>46</v>
      </c>
    </row>
    <row r="146" spans="1:33" ht="15.75" x14ac:dyDescent="0.25">
      <c r="A146" s="3">
        <v>1087746103280</v>
      </c>
      <c r="B146" s="9">
        <v>7730576103</v>
      </c>
      <c r="C146" s="10" t="s">
        <v>1407</v>
      </c>
      <c r="D146" s="10" t="s">
        <v>1408</v>
      </c>
      <c r="E146" s="9">
        <v>84725292</v>
      </c>
      <c r="F146" s="9">
        <v>45268554000</v>
      </c>
      <c r="G146" s="9">
        <v>16</v>
      </c>
      <c r="H146" s="9">
        <v>12300</v>
      </c>
      <c r="I146" s="9">
        <v>773001001</v>
      </c>
      <c r="J146" s="10" t="s">
        <v>1409</v>
      </c>
      <c r="K146" s="10"/>
      <c r="L146" s="3" t="s">
        <v>851</v>
      </c>
      <c r="M146" s="10" t="s">
        <v>852</v>
      </c>
      <c r="N146" s="10" t="s">
        <v>1410</v>
      </c>
      <c r="O146" s="10" t="s">
        <v>1411</v>
      </c>
      <c r="P146" s="11">
        <v>771476021219</v>
      </c>
      <c r="Q146" s="10" t="s">
        <v>41</v>
      </c>
      <c r="R146" s="10" t="s">
        <v>1412</v>
      </c>
      <c r="S146" s="10" t="s">
        <v>1413</v>
      </c>
      <c r="T146" s="10"/>
      <c r="U146" s="10"/>
      <c r="V146" s="3">
        <v>294488347</v>
      </c>
      <c r="W146" s="3">
        <v>72635000</v>
      </c>
      <c r="X146" s="3">
        <v>14921000</v>
      </c>
      <c r="Y146" s="3">
        <v>0</v>
      </c>
      <c r="Z146" s="3">
        <v>1739000</v>
      </c>
      <c r="AA146" s="3">
        <v>163894000</v>
      </c>
      <c r="AB146" s="3">
        <v>158026000</v>
      </c>
      <c r="AC146" s="3">
        <v>-8117000</v>
      </c>
      <c r="AD146" s="3">
        <v>248466000</v>
      </c>
      <c r="AE146" s="10" t="s">
        <v>317</v>
      </c>
      <c r="AF146" s="10" t="s">
        <v>318</v>
      </c>
      <c r="AG146" s="10" t="s">
        <v>46</v>
      </c>
    </row>
    <row r="147" spans="1:33" ht="15.75" x14ac:dyDescent="0.25">
      <c r="A147" s="3">
        <v>1235000141683</v>
      </c>
      <c r="B147" s="9">
        <v>5074085086</v>
      </c>
      <c r="C147" s="10" t="s">
        <v>1414</v>
      </c>
      <c r="D147" s="10" t="s">
        <v>1415</v>
      </c>
      <c r="E147" s="9">
        <v>99147004</v>
      </c>
      <c r="F147" s="9">
        <v>46460000000</v>
      </c>
      <c r="G147" s="9">
        <v>16</v>
      </c>
      <c r="H147" s="9">
        <v>12300</v>
      </c>
      <c r="I147" s="9">
        <v>507401001</v>
      </c>
      <c r="J147" s="10" t="s">
        <v>1416</v>
      </c>
      <c r="K147" s="10"/>
      <c r="L147" s="3" t="s">
        <v>300</v>
      </c>
      <c r="M147" s="10" t="s">
        <v>301</v>
      </c>
      <c r="N147" s="10" t="s">
        <v>445</v>
      </c>
      <c r="O147" s="10" t="s">
        <v>1417</v>
      </c>
      <c r="P147" s="11">
        <v>772446324426</v>
      </c>
      <c r="Q147" s="10" t="s">
        <v>41</v>
      </c>
      <c r="R147" s="10" t="s">
        <v>1418</v>
      </c>
      <c r="S147" s="10" t="s">
        <v>1419</v>
      </c>
      <c r="T147" s="10"/>
      <c r="U147" s="10" t="s">
        <v>503</v>
      </c>
      <c r="V147" s="3">
        <v>393250000</v>
      </c>
      <c r="W147" s="3">
        <v>61205000</v>
      </c>
      <c r="X147" s="3">
        <v>369478000</v>
      </c>
      <c r="Y147" s="3">
        <v>0</v>
      </c>
      <c r="Z147" s="3">
        <v>1319000</v>
      </c>
      <c r="AA147" s="3">
        <v>4964000</v>
      </c>
      <c r="AB147" s="3">
        <v>35368000</v>
      </c>
      <c r="AC147" s="3">
        <v>38718000</v>
      </c>
      <c r="AD147" s="3">
        <v>47157000</v>
      </c>
      <c r="AE147" s="10"/>
      <c r="AF147" s="10" t="s">
        <v>307</v>
      </c>
      <c r="AG147" s="10" t="s">
        <v>46</v>
      </c>
    </row>
    <row r="148" spans="1:33" ht="15.75" x14ac:dyDescent="0.25">
      <c r="A148" s="1">
        <v>1067746806181</v>
      </c>
      <c r="B148" s="6">
        <v>7729552387</v>
      </c>
      <c r="C148" s="7" t="s">
        <v>1420</v>
      </c>
      <c r="D148" s="7" t="s">
        <v>1421</v>
      </c>
      <c r="E148" s="6">
        <v>1860319</v>
      </c>
      <c r="F148" s="6">
        <v>45286580000</v>
      </c>
      <c r="G148" s="6">
        <v>34</v>
      </c>
      <c r="H148" s="6">
        <v>12267</v>
      </c>
      <c r="I148" s="6">
        <v>770901001</v>
      </c>
      <c r="J148" s="7" t="s">
        <v>1422</v>
      </c>
      <c r="K148" s="7"/>
      <c r="L148" s="1" t="s">
        <v>1045</v>
      </c>
      <c r="M148" s="7" t="s">
        <v>1046</v>
      </c>
      <c r="N148" s="7" t="s">
        <v>1423</v>
      </c>
      <c r="O148" s="7" t="s">
        <v>1424</v>
      </c>
      <c r="P148" s="8">
        <v>771588443307</v>
      </c>
      <c r="Q148" s="7" t="s">
        <v>41</v>
      </c>
      <c r="R148" s="7" t="s">
        <v>1425</v>
      </c>
      <c r="S148" s="7" t="s">
        <v>1426</v>
      </c>
      <c r="T148" s="7" t="s">
        <v>1427</v>
      </c>
      <c r="U148" s="7" t="s">
        <v>1428</v>
      </c>
      <c r="V148" s="1">
        <v>238795000</v>
      </c>
      <c r="W148" s="1">
        <v>93806000</v>
      </c>
      <c r="X148" s="1">
        <v>169998000</v>
      </c>
      <c r="Y148" s="1">
        <v>21844000</v>
      </c>
      <c r="Z148" s="1">
        <v>201201000</v>
      </c>
      <c r="AA148" s="1">
        <v>43689000</v>
      </c>
      <c r="AB148" s="1">
        <v>-53454000</v>
      </c>
      <c r="AC148" s="1">
        <v>-51261000</v>
      </c>
      <c r="AD148" s="1">
        <v>-53454000</v>
      </c>
      <c r="AE148" s="7"/>
      <c r="AF148" s="7" t="s">
        <v>930</v>
      </c>
      <c r="AG148" s="7" t="s">
        <v>46</v>
      </c>
    </row>
    <row r="149" spans="1:33" ht="15.75" x14ac:dyDescent="0.25">
      <c r="A149" s="3">
        <v>1067759826815</v>
      </c>
      <c r="B149" s="9">
        <v>7702624820</v>
      </c>
      <c r="C149" s="10" t="s">
        <v>1429</v>
      </c>
      <c r="D149" s="10" t="s">
        <v>1430</v>
      </c>
      <c r="E149" s="9">
        <v>98249797</v>
      </c>
      <c r="F149" s="9">
        <v>45280572000</v>
      </c>
      <c r="G149" s="9">
        <v>23</v>
      </c>
      <c r="H149" s="9">
        <v>12300</v>
      </c>
      <c r="I149" s="9">
        <v>771701001</v>
      </c>
      <c r="J149" s="10" t="s">
        <v>1431</v>
      </c>
      <c r="K149" s="10"/>
      <c r="L149" s="3" t="s">
        <v>1432</v>
      </c>
      <c r="M149" s="10" t="s">
        <v>1433</v>
      </c>
      <c r="N149" s="10" t="s">
        <v>1434</v>
      </c>
      <c r="O149" s="10" t="s">
        <v>1435</v>
      </c>
      <c r="P149" s="11">
        <v>772392114243</v>
      </c>
      <c r="Q149" s="10" t="s">
        <v>41</v>
      </c>
      <c r="R149" s="10" t="s">
        <v>1436</v>
      </c>
      <c r="S149" s="10" t="s">
        <v>1437</v>
      </c>
      <c r="T149" s="10"/>
      <c r="U149" s="10"/>
      <c r="V149" s="3">
        <v>113440400</v>
      </c>
      <c r="W149" s="3">
        <v>60280000</v>
      </c>
      <c r="X149" s="3">
        <v>68194000</v>
      </c>
      <c r="Y149" s="3">
        <v>25637000</v>
      </c>
      <c r="Z149" s="3">
        <v>4610000</v>
      </c>
      <c r="AA149" s="3">
        <v>69231000</v>
      </c>
      <c r="AB149" s="3">
        <v>19048000</v>
      </c>
      <c r="AC149" s="3">
        <v>-9114000</v>
      </c>
      <c r="AD149" s="3">
        <v>25110000</v>
      </c>
      <c r="AE149" s="10"/>
      <c r="AF149" s="10" t="s">
        <v>669</v>
      </c>
      <c r="AG149" s="10" t="s">
        <v>46</v>
      </c>
    </row>
    <row r="150" spans="1:33" ht="15.75" x14ac:dyDescent="0.25">
      <c r="A150" s="1">
        <v>1117746897498</v>
      </c>
      <c r="B150" s="6">
        <v>7704794708</v>
      </c>
      <c r="C150" s="7" t="s">
        <v>1438</v>
      </c>
      <c r="D150" s="7" t="s">
        <v>1439</v>
      </c>
      <c r="E150" s="6">
        <v>37204766</v>
      </c>
      <c r="F150" s="6">
        <v>45283582000</v>
      </c>
      <c r="G150" s="6">
        <v>16</v>
      </c>
      <c r="H150" s="6">
        <v>12300</v>
      </c>
      <c r="I150" s="6">
        <v>773401001</v>
      </c>
      <c r="J150" s="7" t="s">
        <v>1440</v>
      </c>
      <c r="K150" s="7"/>
      <c r="L150" s="1" t="s">
        <v>404</v>
      </c>
      <c r="M150" s="7" t="s">
        <v>405</v>
      </c>
      <c r="N150" s="7" t="s">
        <v>1441</v>
      </c>
      <c r="O150" s="7" t="s">
        <v>1442</v>
      </c>
      <c r="P150" s="8">
        <v>616504212079</v>
      </c>
      <c r="Q150" s="7" t="s">
        <v>41</v>
      </c>
      <c r="R150" s="7" t="s">
        <v>1443</v>
      </c>
      <c r="S150" s="7" t="s">
        <v>1444</v>
      </c>
      <c r="T150" s="7"/>
      <c r="U150" s="7"/>
      <c r="V150" s="1">
        <v>163010000</v>
      </c>
      <c r="W150" s="1">
        <v>103547000</v>
      </c>
      <c r="X150" s="1">
        <v>102332000</v>
      </c>
      <c r="Y150" s="1">
        <v>29599000</v>
      </c>
      <c r="Z150" s="1">
        <v>24504000</v>
      </c>
      <c r="AA150" s="1">
        <v>3752000</v>
      </c>
      <c r="AB150" s="1">
        <v>29864000</v>
      </c>
      <c r="AC150" s="1">
        <v>0</v>
      </c>
      <c r="AD150" s="1">
        <v>0</v>
      </c>
      <c r="AE150" s="7" t="s">
        <v>317</v>
      </c>
      <c r="AF150" s="7" t="s">
        <v>1023</v>
      </c>
      <c r="AG150" s="7" t="s">
        <v>46</v>
      </c>
    </row>
    <row r="151" spans="1:33" ht="15.75" x14ac:dyDescent="0.25">
      <c r="A151" s="3">
        <v>1025001414745</v>
      </c>
      <c r="B151" s="9">
        <v>5010025437</v>
      </c>
      <c r="C151" s="10" t="s">
        <v>1445</v>
      </c>
      <c r="D151" s="10" t="s">
        <v>1446</v>
      </c>
      <c r="E151" s="9">
        <v>53985881</v>
      </c>
      <c r="F151" s="9">
        <v>46418000000</v>
      </c>
      <c r="G151" s="9">
        <v>23</v>
      </c>
      <c r="H151" s="9">
        <v>12300</v>
      </c>
      <c r="I151" s="9">
        <v>501001001</v>
      </c>
      <c r="J151" s="10" t="s">
        <v>1447</v>
      </c>
      <c r="K151" s="10"/>
      <c r="L151" s="3" t="s">
        <v>1448</v>
      </c>
      <c r="M151" s="10" t="s">
        <v>1449</v>
      </c>
      <c r="N151" s="10" t="s">
        <v>1450</v>
      </c>
      <c r="O151" s="10" t="s">
        <v>1451</v>
      </c>
      <c r="P151" s="11">
        <v>263504265291</v>
      </c>
      <c r="Q151" s="10" t="s">
        <v>1452</v>
      </c>
      <c r="R151" s="10" t="s">
        <v>1453</v>
      </c>
      <c r="S151" s="10" t="s">
        <v>1454</v>
      </c>
      <c r="T151" s="10" t="s">
        <v>1455</v>
      </c>
      <c r="U151" s="10" t="s">
        <v>1456</v>
      </c>
      <c r="V151" s="3">
        <v>150300000</v>
      </c>
      <c r="W151" s="3">
        <v>99556000</v>
      </c>
      <c r="X151" s="3">
        <v>141381000</v>
      </c>
      <c r="Y151" s="3">
        <v>90952000</v>
      </c>
      <c r="Z151" s="3">
        <v>31907000</v>
      </c>
      <c r="AA151" s="3">
        <v>20251000</v>
      </c>
      <c r="AB151" s="3">
        <v>1502000</v>
      </c>
      <c r="AC151" s="3">
        <v>-27076000</v>
      </c>
      <c r="AD151" s="3">
        <v>6495000</v>
      </c>
      <c r="AE151" s="10"/>
      <c r="AF151" s="10" t="s">
        <v>373</v>
      </c>
      <c r="AG151" s="10" t="s">
        <v>46</v>
      </c>
    </row>
    <row r="152" spans="1:33" ht="15.75" x14ac:dyDescent="0.25">
      <c r="A152" s="1">
        <v>1025002869484</v>
      </c>
      <c r="B152" s="6">
        <v>5024041478</v>
      </c>
      <c r="C152" s="7" t="s">
        <v>1457</v>
      </c>
      <c r="D152" s="7" t="s">
        <v>1458</v>
      </c>
      <c r="E152" s="6">
        <v>53136509</v>
      </c>
      <c r="F152" s="6">
        <v>45286590000</v>
      </c>
      <c r="G152" s="6">
        <v>16</v>
      </c>
      <c r="H152" s="6">
        <v>12300</v>
      </c>
      <c r="I152" s="6">
        <v>770401001</v>
      </c>
      <c r="J152" s="7" t="s">
        <v>1459</v>
      </c>
      <c r="K152" s="7"/>
      <c r="L152" s="1" t="s">
        <v>404</v>
      </c>
      <c r="M152" s="7" t="s">
        <v>405</v>
      </c>
      <c r="N152" s="7" t="s">
        <v>1460</v>
      </c>
      <c r="O152" s="7" t="s">
        <v>1461</v>
      </c>
      <c r="P152" s="8">
        <v>344544085804</v>
      </c>
      <c r="Q152" s="7" t="s">
        <v>41</v>
      </c>
      <c r="R152" s="7" t="s">
        <v>1462</v>
      </c>
      <c r="S152" s="7" t="s">
        <v>1463</v>
      </c>
      <c r="T152" s="7"/>
      <c r="U152" s="7" t="s">
        <v>1464</v>
      </c>
      <c r="V152" s="1">
        <v>108000000</v>
      </c>
      <c r="W152" s="1">
        <v>92152000</v>
      </c>
      <c r="X152" s="1">
        <v>48473000</v>
      </c>
      <c r="Y152" s="1">
        <v>29000</v>
      </c>
      <c r="Z152" s="1">
        <v>38923000</v>
      </c>
      <c r="AA152" s="1">
        <v>5108000</v>
      </c>
      <c r="AB152" s="1">
        <v>2491000</v>
      </c>
      <c r="AC152" s="1">
        <v>0</v>
      </c>
      <c r="AD152" s="1">
        <v>0</v>
      </c>
      <c r="AE152" s="7" t="s">
        <v>331</v>
      </c>
      <c r="AF152" s="7" t="s">
        <v>1465</v>
      </c>
      <c r="AG152" s="7" t="s">
        <v>319</v>
      </c>
    </row>
    <row r="153" spans="1:33" ht="15.75" x14ac:dyDescent="0.25">
      <c r="A153" s="1">
        <v>1057746087156</v>
      </c>
      <c r="B153" s="6">
        <v>7705641310</v>
      </c>
      <c r="C153" s="7" t="s">
        <v>1466</v>
      </c>
      <c r="D153" s="7" t="s">
        <v>1467</v>
      </c>
      <c r="E153" s="6">
        <v>76006436</v>
      </c>
      <c r="F153" s="6">
        <v>45296559000</v>
      </c>
      <c r="G153" s="6">
        <v>16</v>
      </c>
      <c r="H153" s="6">
        <v>12300</v>
      </c>
      <c r="I153" s="6">
        <v>772501001</v>
      </c>
      <c r="J153" s="7" t="s">
        <v>1468</v>
      </c>
      <c r="K153" s="7"/>
      <c r="L153" s="1" t="s">
        <v>1089</v>
      </c>
      <c r="M153" s="7" t="s">
        <v>1090</v>
      </c>
      <c r="N153" s="7" t="s">
        <v>1469</v>
      </c>
      <c r="O153" s="7" t="s">
        <v>1470</v>
      </c>
      <c r="P153" s="8">
        <v>501301412691</v>
      </c>
      <c r="Q153" s="7" t="s">
        <v>340</v>
      </c>
      <c r="R153" s="7" t="s">
        <v>1471</v>
      </c>
      <c r="S153" s="7" t="s">
        <v>1472</v>
      </c>
      <c r="T153" s="7"/>
      <c r="U153" s="7" t="s">
        <v>1473</v>
      </c>
      <c r="V153" s="1">
        <v>255013580</v>
      </c>
      <c r="W153" s="1">
        <v>60978000</v>
      </c>
      <c r="X153" s="1">
        <v>0</v>
      </c>
      <c r="Y153" s="1">
        <v>54294000</v>
      </c>
      <c r="Z153" s="1">
        <v>486090000</v>
      </c>
      <c r="AA153" s="1">
        <v>104954000</v>
      </c>
      <c r="AB153" s="1">
        <v>742000</v>
      </c>
      <c r="AC153" s="1">
        <v>42379000</v>
      </c>
      <c r="AD153" s="1">
        <v>1299000</v>
      </c>
      <c r="AE153" s="7"/>
      <c r="AF153" s="7" t="s">
        <v>318</v>
      </c>
      <c r="AG153" s="7" t="s">
        <v>46</v>
      </c>
    </row>
    <row r="154" spans="1:33" ht="15.75" x14ac:dyDescent="0.25">
      <c r="A154" s="3">
        <v>1037703051902</v>
      </c>
      <c r="B154" s="9">
        <v>7703378279</v>
      </c>
      <c r="C154" s="10" t="s">
        <v>1474</v>
      </c>
      <c r="D154" s="10" t="s">
        <v>1475</v>
      </c>
      <c r="E154" s="9">
        <v>8900424</v>
      </c>
      <c r="F154" s="9">
        <v>45286565000</v>
      </c>
      <c r="G154" s="9">
        <v>16</v>
      </c>
      <c r="H154" s="9">
        <v>12267</v>
      </c>
      <c r="I154" s="9">
        <v>770801001</v>
      </c>
      <c r="J154" s="10" t="s">
        <v>1476</v>
      </c>
      <c r="K154" s="10"/>
      <c r="L154" s="3" t="s">
        <v>288</v>
      </c>
      <c r="M154" s="10" t="s">
        <v>289</v>
      </c>
      <c r="N154" s="10" t="s">
        <v>1477</v>
      </c>
      <c r="O154" s="10" t="s">
        <v>1478</v>
      </c>
      <c r="P154" s="11">
        <v>550148649321</v>
      </c>
      <c r="Q154" s="10" t="s">
        <v>41</v>
      </c>
      <c r="R154" s="10" t="s">
        <v>1479</v>
      </c>
      <c r="S154" s="10" t="s">
        <v>1480</v>
      </c>
      <c r="T154" s="10" t="s">
        <v>1481</v>
      </c>
      <c r="U154" s="10" t="s">
        <v>1482</v>
      </c>
      <c r="V154" s="3">
        <v>445866000</v>
      </c>
      <c r="W154" s="3">
        <v>89319000</v>
      </c>
      <c r="X154" s="3">
        <v>1013000</v>
      </c>
      <c r="Y154" s="3">
        <v>66885000</v>
      </c>
      <c r="Z154" s="3">
        <v>37789000</v>
      </c>
      <c r="AA154" s="3">
        <v>77868000</v>
      </c>
      <c r="AB154" s="3">
        <v>478000</v>
      </c>
      <c r="AC154" s="3">
        <v>-2733000</v>
      </c>
      <c r="AD154" s="3">
        <v>3187000</v>
      </c>
      <c r="AE154" s="10" t="s">
        <v>317</v>
      </c>
      <c r="AF154" s="10" t="s">
        <v>493</v>
      </c>
      <c r="AG154" s="10" t="s">
        <v>46</v>
      </c>
    </row>
    <row r="155" spans="1:33" ht="15.75" x14ac:dyDescent="0.25">
      <c r="A155" s="1">
        <v>1037717021517</v>
      </c>
      <c r="B155" s="6">
        <v>7717146398</v>
      </c>
      <c r="C155" s="7" t="s">
        <v>1483</v>
      </c>
      <c r="D155" s="7" t="s">
        <v>1484</v>
      </c>
      <c r="E155" s="6">
        <v>70073302</v>
      </c>
      <c r="F155" s="6">
        <v>45280552000</v>
      </c>
      <c r="G155" s="6">
        <v>16</v>
      </c>
      <c r="H155" s="6">
        <v>12300</v>
      </c>
      <c r="I155" s="6">
        <v>771701001</v>
      </c>
      <c r="J155" s="7" t="s">
        <v>1485</v>
      </c>
      <c r="K155" s="7"/>
      <c r="L155" s="1" t="s">
        <v>445</v>
      </c>
      <c r="M155" s="7" t="s">
        <v>446</v>
      </c>
      <c r="N155" s="7" t="s">
        <v>1486</v>
      </c>
      <c r="O155" s="7" t="s">
        <v>1487</v>
      </c>
      <c r="P155" s="8">
        <v>781624067336</v>
      </c>
      <c r="Q155" s="7" t="s">
        <v>41</v>
      </c>
      <c r="R155" s="7" t="s">
        <v>1488</v>
      </c>
      <c r="S155" s="7" t="s">
        <v>1489</v>
      </c>
      <c r="T155" s="7"/>
      <c r="U155" s="7" t="s">
        <v>1490</v>
      </c>
      <c r="V155" s="1">
        <v>300000000</v>
      </c>
      <c r="W155" s="1">
        <v>81075000</v>
      </c>
      <c r="X155" s="1">
        <v>183404000</v>
      </c>
      <c r="Y155" s="1">
        <v>0</v>
      </c>
      <c r="Z155" s="1">
        <v>11491000</v>
      </c>
      <c r="AA155" s="1">
        <v>10366000</v>
      </c>
      <c r="AB155" s="1">
        <v>6754000</v>
      </c>
      <c r="AC155" s="1">
        <v>26102000</v>
      </c>
      <c r="AD155" s="1">
        <v>5307000</v>
      </c>
      <c r="AE155" s="7" t="s">
        <v>317</v>
      </c>
      <c r="AF155" s="7" t="s">
        <v>318</v>
      </c>
      <c r="AG155" s="7" t="s">
        <v>46</v>
      </c>
    </row>
    <row r="156" spans="1:33" ht="15.75" x14ac:dyDescent="0.25">
      <c r="A156" s="3">
        <v>1167746169975</v>
      </c>
      <c r="B156" s="9">
        <v>7706433961</v>
      </c>
      <c r="C156" s="10" t="s">
        <v>1491</v>
      </c>
      <c r="D156" s="10" t="s">
        <v>1492</v>
      </c>
      <c r="E156" s="9">
        <v>53820424</v>
      </c>
      <c r="F156" s="9">
        <v>45286596000</v>
      </c>
      <c r="G156" s="9">
        <v>61</v>
      </c>
      <c r="H156" s="9">
        <v>12300</v>
      </c>
      <c r="I156" s="9">
        <v>770601001</v>
      </c>
      <c r="J156" s="10" t="s">
        <v>1493</v>
      </c>
      <c r="K156" s="10"/>
      <c r="L156" s="3" t="s">
        <v>1494</v>
      </c>
      <c r="M156" s="10" t="s">
        <v>1495</v>
      </c>
      <c r="N156" s="10" t="s">
        <v>1496</v>
      </c>
      <c r="O156" s="10" t="s">
        <v>1497</v>
      </c>
      <c r="P156" s="11">
        <v>773475188473</v>
      </c>
      <c r="Q156" s="10" t="s">
        <v>41</v>
      </c>
      <c r="R156" s="10" t="s">
        <v>1498</v>
      </c>
      <c r="S156" s="10" t="s">
        <v>1499</v>
      </c>
      <c r="T156" s="10"/>
      <c r="U156" s="10" t="s">
        <v>1500</v>
      </c>
      <c r="V156" s="3">
        <v>222700000</v>
      </c>
      <c r="W156" s="3">
        <v>250376000</v>
      </c>
      <c r="X156" s="3">
        <v>1002000</v>
      </c>
      <c r="Y156" s="3">
        <v>40236000</v>
      </c>
      <c r="Z156" s="3">
        <v>38814000</v>
      </c>
      <c r="AA156" s="3">
        <v>78285000</v>
      </c>
      <c r="AB156" s="3">
        <v>-20329000</v>
      </c>
      <c r="AC156" s="3">
        <v>32049000</v>
      </c>
      <c r="AD156" s="3">
        <v>-21524000</v>
      </c>
      <c r="AE156" s="10"/>
      <c r="AF156" s="10" t="s">
        <v>307</v>
      </c>
      <c r="AG156" s="10" t="s">
        <v>46</v>
      </c>
    </row>
    <row r="157" spans="1:33" ht="15.75" x14ac:dyDescent="0.25">
      <c r="A157" s="1">
        <v>1175024030114</v>
      </c>
      <c r="B157" s="6">
        <v>5017115104</v>
      </c>
      <c r="C157" s="7" t="s">
        <v>1501</v>
      </c>
      <c r="D157" s="7" t="s">
        <v>1502</v>
      </c>
      <c r="E157" s="6">
        <v>19961200</v>
      </c>
      <c r="F157" s="6">
        <v>46433000049</v>
      </c>
      <c r="G157" s="6">
        <v>16</v>
      </c>
      <c r="H157" s="6">
        <v>12300</v>
      </c>
      <c r="I157" s="6">
        <v>501701001</v>
      </c>
      <c r="J157" s="7" t="s">
        <v>1503</v>
      </c>
      <c r="K157" s="7"/>
      <c r="L157" s="1" t="s">
        <v>404</v>
      </c>
      <c r="M157" s="7" t="s">
        <v>405</v>
      </c>
      <c r="N157" s="7" t="s">
        <v>1504</v>
      </c>
      <c r="O157" s="7" t="s">
        <v>1505</v>
      </c>
      <c r="P157" s="8">
        <v>773421487371</v>
      </c>
      <c r="Q157" s="7" t="s">
        <v>41</v>
      </c>
      <c r="R157" s="7" t="s">
        <v>1506</v>
      </c>
      <c r="S157" s="7" t="s">
        <v>1507</v>
      </c>
      <c r="T157" s="7"/>
      <c r="U157" s="7"/>
      <c r="V157" s="1">
        <v>133373000</v>
      </c>
      <c r="W157" s="1">
        <v>62770000</v>
      </c>
      <c r="X157" s="1">
        <v>101689000</v>
      </c>
      <c r="Y157" s="1">
        <v>0</v>
      </c>
      <c r="Z157" s="1">
        <v>277067000</v>
      </c>
      <c r="AA157" s="1">
        <v>30688000</v>
      </c>
      <c r="AB157" s="1">
        <v>25927000</v>
      </c>
      <c r="AC157" s="1">
        <v>0</v>
      </c>
      <c r="AD157" s="1">
        <v>0</v>
      </c>
      <c r="AE157" s="7" t="s">
        <v>317</v>
      </c>
      <c r="AF157" s="7" t="s">
        <v>421</v>
      </c>
      <c r="AG157" s="7" t="s">
        <v>319</v>
      </c>
    </row>
    <row r="158" spans="1:33" ht="15.75" x14ac:dyDescent="0.25">
      <c r="A158" s="1">
        <v>1105029011735</v>
      </c>
      <c r="B158" s="6">
        <v>5029143120</v>
      </c>
      <c r="C158" s="7" t="s">
        <v>1508</v>
      </c>
      <c r="D158" s="7" t="s">
        <v>1509</v>
      </c>
      <c r="E158" s="6">
        <v>68150426</v>
      </c>
      <c r="F158" s="6">
        <v>46446000306</v>
      </c>
      <c r="G158" s="6">
        <v>16</v>
      </c>
      <c r="H158" s="6">
        <v>12300</v>
      </c>
      <c r="I158" s="6">
        <v>502901001</v>
      </c>
      <c r="J158" s="7" t="s">
        <v>229</v>
      </c>
      <c r="K158" s="7"/>
      <c r="L158" s="1" t="s">
        <v>300</v>
      </c>
      <c r="M158" s="7" t="s">
        <v>301</v>
      </c>
      <c r="N158" s="7" t="s">
        <v>1510</v>
      </c>
      <c r="O158" s="7" t="s">
        <v>1511</v>
      </c>
      <c r="P158" s="8">
        <v>771300345900</v>
      </c>
      <c r="Q158" s="7" t="s">
        <v>150</v>
      </c>
      <c r="R158" s="7" t="s">
        <v>1512</v>
      </c>
      <c r="S158" s="7" t="s">
        <v>1513</v>
      </c>
      <c r="T158" s="7"/>
      <c r="U158" s="7" t="s">
        <v>1514</v>
      </c>
      <c r="V158" s="1">
        <v>300000000</v>
      </c>
      <c r="W158" s="1">
        <v>70236000</v>
      </c>
      <c r="X158" s="1">
        <v>5001000</v>
      </c>
      <c r="Y158" s="1">
        <v>0</v>
      </c>
      <c r="Z158" s="1">
        <v>41888000</v>
      </c>
      <c r="AA158" s="1">
        <v>7041000</v>
      </c>
      <c r="AB158" s="1">
        <v>5327000</v>
      </c>
      <c r="AC158" s="1">
        <v>1117000</v>
      </c>
      <c r="AD158" s="1">
        <v>7211000</v>
      </c>
      <c r="AE158" s="7"/>
      <c r="AF158" s="7" t="s">
        <v>318</v>
      </c>
      <c r="AG158" s="7" t="s">
        <v>46</v>
      </c>
    </row>
    <row r="159" spans="1:33" ht="15.75" x14ac:dyDescent="0.25">
      <c r="A159" s="3">
        <v>1036914003180</v>
      </c>
      <c r="B159" s="9">
        <v>6942007851</v>
      </c>
      <c r="C159" s="10" t="s">
        <v>1515</v>
      </c>
      <c r="D159" s="10" t="s">
        <v>1516</v>
      </c>
      <c r="E159" s="9">
        <v>14942013</v>
      </c>
      <c r="F159" s="9">
        <v>46418000000</v>
      </c>
      <c r="G159" s="9">
        <v>16</v>
      </c>
      <c r="H159" s="9">
        <v>12300</v>
      </c>
      <c r="I159" s="9">
        <v>501001001</v>
      </c>
      <c r="J159" s="10" t="s">
        <v>1517</v>
      </c>
      <c r="K159" s="10"/>
      <c r="L159" s="3" t="s">
        <v>1518</v>
      </c>
      <c r="M159" s="10" t="s">
        <v>1519</v>
      </c>
      <c r="N159" s="10" t="s">
        <v>1520</v>
      </c>
      <c r="O159" s="10" t="s">
        <v>1521</v>
      </c>
      <c r="P159" s="11">
        <v>501004029327</v>
      </c>
      <c r="Q159" s="10" t="s">
        <v>41</v>
      </c>
      <c r="R159" s="10" t="s">
        <v>1522</v>
      </c>
      <c r="S159" s="10" t="s">
        <v>1523</v>
      </c>
      <c r="T159" s="10"/>
      <c r="U159" s="10" t="s">
        <v>1524</v>
      </c>
      <c r="V159" s="3">
        <v>300000000</v>
      </c>
      <c r="W159" s="3">
        <v>73706000</v>
      </c>
      <c r="X159" s="3">
        <v>222699000</v>
      </c>
      <c r="Y159" s="3">
        <v>243131000</v>
      </c>
      <c r="Z159" s="3">
        <v>248967000</v>
      </c>
      <c r="AA159" s="3">
        <v>39118000</v>
      </c>
      <c r="AB159" s="3">
        <v>5334000</v>
      </c>
      <c r="AC159" s="3">
        <v>14826000</v>
      </c>
      <c r="AD159" s="3">
        <v>5334000</v>
      </c>
      <c r="AE159" s="10" t="s">
        <v>331</v>
      </c>
      <c r="AF159" s="10" t="s">
        <v>1104</v>
      </c>
      <c r="AG159" s="10" t="s">
        <v>1525</v>
      </c>
    </row>
    <row r="160" spans="1:33" ht="15.75" x14ac:dyDescent="0.25">
      <c r="A160" s="1">
        <v>1155004000381</v>
      </c>
      <c r="B160" s="6">
        <v>5079013409</v>
      </c>
      <c r="C160" s="7" t="s">
        <v>1526</v>
      </c>
      <c r="D160" s="7" t="s">
        <v>1527</v>
      </c>
      <c r="E160" s="6">
        <v>34911581</v>
      </c>
      <c r="F160" s="6">
        <v>46487000000</v>
      </c>
      <c r="G160" s="6">
        <v>16</v>
      </c>
      <c r="H160" s="6">
        <v>12300</v>
      </c>
      <c r="I160" s="6">
        <v>507901001</v>
      </c>
      <c r="J160" s="7" t="s">
        <v>1528</v>
      </c>
      <c r="K160" s="7"/>
      <c r="L160" s="1" t="s">
        <v>404</v>
      </c>
      <c r="M160" s="7" t="s">
        <v>405</v>
      </c>
      <c r="N160" s="7" t="s">
        <v>1529</v>
      </c>
      <c r="O160" s="7" t="s">
        <v>1530</v>
      </c>
      <c r="P160" s="8">
        <v>612504535403</v>
      </c>
      <c r="Q160" s="7" t="s">
        <v>41</v>
      </c>
      <c r="R160" s="7" t="s">
        <v>1531</v>
      </c>
      <c r="S160" s="7" t="s">
        <v>1532</v>
      </c>
      <c r="T160" s="7"/>
      <c r="U160" s="7" t="s">
        <v>1533</v>
      </c>
      <c r="V160" s="1">
        <v>132145700</v>
      </c>
      <c r="W160" s="1">
        <v>84266000</v>
      </c>
      <c r="X160" s="1">
        <v>124223000</v>
      </c>
      <c r="Y160" s="1">
        <v>211000</v>
      </c>
      <c r="Z160" s="1">
        <v>51801000</v>
      </c>
      <c r="AA160" s="1">
        <v>4339000</v>
      </c>
      <c r="AB160" s="1">
        <v>2389000</v>
      </c>
      <c r="AC160" s="1">
        <v>18258000</v>
      </c>
      <c r="AD160" s="1">
        <v>3186000</v>
      </c>
      <c r="AE160" s="7" t="s">
        <v>317</v>
      </c>
      <c r="AF160" s="7" t="s">
        <v>1534</v>
      </c>
      <c r="AG160" s="7" t="s">
        <v>46</v>
      </c>
    </row>
    <row r="161" spans="1:33" ht="15.75" x14ac:dyDescent="0.25">
      <c r="A161" s="3">
        <v>1137746164742</v>
      </c>
      <c r="B161" s="9">
        <v>7704828876</v>
      </c>
      <c r="C161" s="10" t="s">
        <v>1535</v>
      </c>
      <c r="D161" s="10" t="s">
        <v>1536</v>
      </c>
      <c r="E161" s="9">
        <v>17192920</v>
      </c>
      <c r="F161" s="9">
        <v>45286555000</v>
      </c>
      <c r="G161" s="9">
        <v>16</v>
      </c>
      <c r="H161" s="9">
        <v>12300</v>
      </c>
      <c r="I161" s="9">
        <v>770101001</v>
      </c>
      <c r="J161" s="10" t="s">
        <v>1537</v>
      </c>
      <c r="K161" s="10"/>
      <c r="L161" s="3" t="s">
        <v>1538</v>
      </c>
      <c r="M161" s="10" t="s">
        <v>1539</v>
      </c>
      <c r="N161" s="10" t="s">
        <v>1540</v>
      </c>
      <c r="O161" s="10" t="s">
        <v>1541</v>
      </c>
      <c r="P161" s="11">
        <v>773308394727</v>
      </c>
      <c r="Q161" s="10" t="s">
        <v>41</v>
      </c>
      <c r="R161" s="10" t="s">
        <v>1542</v>
      </c>
      <c r="S161" s="10" t="s">
        <v>1543</v>
      </c>
      <c r="T161" s="10"/>
      <c r="U161" s="10"/>
      <c r="V161" s="3">
        <v>265000000</v>
      </c>
      <c r="W161" s="3">
        <v>84500000</v>
      </c>
      <c r="X161" s="3">
        <v>132650000</v>
      </c>
      <c r="Y161" s="3">
        <v>0</v>
      </c>
      <c r="Z161" s="3">
        <v>174994000</v>
      </c>
      <c r="AA161" s="3">
        <v>7240000</v>
      </c>
      <c r="AB161" s="3">
        <v>2004000</v>
      </c>
      <c r="AC161" s="3">
        <v>3363000</v>
      </c>
      <c r="AD161" s="3">
        <v>3439000</v>
      </c>
      <c r="AE161" s="10" t="s">
        <v>331</v>
      </c>
      <c r="AF161" s="10" t="s">
        <v>947</v>
      </c>
      <c r="AG161" s="10" t="s">
        <v>46</v>
      </c>
    </row>
    <row r="162" spans="1:33" ht="15.75" x14ac:dyDescent="0.25">
      <c r="A162" s="1">
        <v>1145032011024</v>
      </c>
      <c r="B162" s="6">
        <v>5032287838</v>
      </c>
      <c r="C162" s="7" t="s">
        <v>1544</v>
      </c>
      <c r="D162" s="7" t="s">
        <v>1545</v>
      </c>
      <c r="E162" s="6">
        <v>39856119</v>
      </c>
      <c r="F162" s="6">
        <v>45286575000</v>
      </c>
      <c r="G162" s="6">
        <v>16</v>
      </c>
      <c r="H162" s="6">
        <v>12300</v>
      </c>
      <c r="I162" s="6">
        <v>770301001</v>
      </c>
      <c r="J162" s="7" t="s">
        <v>1546</v>
      </c>
      <c r="K162" s="7"/>
      <c r="L162" s="1" t="s">
        <v>404</v>
      </c>
      <c r="M162" s="7" t="s">
        <v>405</v>
      </c>
      <c r="N162" s="7" t="s">
        <v>934</v>
      </c>
      <c r="O162" s="7" t="s">
        <v>935</v>
      </c>
      <c r="P162" s="8">
        <v>773602815553</v>
      </c>
      <c r="Q162" s="7" t="s">
        <v>41</v>
      </c>
      <c r="R162" s="7" t="s">
        <v>1547</v>
      </c>
      <c r="S162" s="7" t="s">
        <v>1548</v>
      </c>
      <c r="T162" s="7"/>
      <c r="U162" s="7"/>
      <c r="V162" s="1">
        <v>250000000</v>
      </c>
      <c r="W162" s="1">
        <v>98448000</v>
      </c>
      <c r="X162" s="1">
        <v>634000</v>
      </c>
      <c r="Y162" s="1">
        <v>8000</v>
      </c>
      <c r="Z162" s="1">
        <v>7703000</v>
      </c>
      <c r="AA162" s="1">
        <v>13613000</v>
      </c>
      <c r="AB162" s="1">
        <v>21519000</v>
      </c>
      <c r="AC162" s="1">
        <v>26290000</v>
      </c>
      <c r="AD162" s="1">
        <v>28721000</v>
      </c>
      <c r="AE162" s="7" t="s">
        <v>317</v>
      </c>
      <c r="AF162" s="7" t="s">
        <v>286</v>
      </c>
      <c r="AG162" s="7" t="s">
        <v>46</v>
      </c>
    </row>
    <row r="163" spans="1:33" ht="15.75" x14ac:dyDescent="0.25">
      <c r="A163" s="1">
        <v>1207700318847</v>
      </c>
      <c r="B163" s="6">
        <v>9728011653</v>
      </c>
      <c r="C163" s="7" t="s">
        <v>1549</v>
      </c>
      <c r="D163" s="7" t="s">
        <v>1550</v>
      </c>
      <c r="E163" s="6">
        <v>45441121</v>
      </c>
      <c r="F163" s="6">
        <v>45286560000</v>
      </c>
      <c r="G163" s="6">
        <v>16</v>
      </c>
      <c r="H163" s="6">
        <v>12300</v>
      </c>
      <c r="I163" s="6">
        <v>770501001</v>
      </c>
      <c r="J163" s="7" t="s">
        <v>1551</v>
      </c>
      <c r="K163" s="7"/>
      <c r="L163" s="1" t="s">
        <v>563</v>
      </c>
      <c r="M163" s="7" t="s">
        <v>564</v>
      </c>
      <c r="N163" s="7" t="s">
        <v>1552</v>
      </c>
      <c r="O163" s="7" t="s">
        <v>1553</v>
      </c>
      <c r="P163" s="8">
        <v>501208745008</v>
      </c>
      <c r="Q163" s="7" t="s">
        <v>41</v>
      </c>
      <c r="R163" s="7" t="s">
        <v>1554</v>
      </c>
      <c r="S163" s="7" t="s">
        <v>1555</v>
      </c>
      <c r="T163" s="7"/>
      <c r="U163" s="7" t="s">
        <v>1556</v>
      </c>
      <c r="V163" s="1">
        <v>3985974324</v>
      </c>
      <c r="W163" s="1">
        <v>671908000</v>
      </c>
      <c r="X163" s="1">
        <v>3494000</v>
      </c>
      <c r="Y163" s="1">
        <v>0</v>
      </c>
      <c r="Z163" s="1">
        <v>6519000</v>
      </c>
      <c r="AA163" s="1">
        <v>55934000</v>
      </c>
      <c r="AB163" s="1">
        <v>611445000</v>
      </c>
      <c r="AC163" s="1">
        <v>589316000</v>
      </c>
      <c r="AD163" s="1">
        <v>610710000</v>
      </c>
      <c r="AE163" s="7"/>
      <c r="AF163" s="7" t="s">
        <v>493</v>
      </c>
      <c r="AG163" s="7" t="s">
        <v>46</v>
      </c>
    </row>
    <row r="164" spans="1:33" ht="15.75" x14ac:dyDescent="0.25">
      <c r="A164" s="1">
        <v>1207700484782</v>
      </c>
      <c r="B164" s="6">
        <v>9703023632</v>
      </c>
      <c r="C164" s="7" t="s">
        <v>1557</v>
      </c>
      <c r="D164" s="7" t="s">
        <v>1558</v>
      </c>
      <c r="E164" s="6">
        <v>46735037</v>
      </c>
      <c r="F164" s="6">
        <v>45286575000</v>
      </c>
      <c r="G164" s="6">
        <v>12</v>
      </c>
      <c r="H164" s="6">
        <v>12267</v>
      </c>
      <c r="I164" s="6">
        <v>770301001</v>
      </c>
      <c r="J164" s="7" t="s">
        <v>1559</v>
      </c>
      <c r="K164" s="7"/>
      <c r="L164" s="1" t="s">
        <v>434</v>
      </c>
      <c r="M164" s="7" t="s">
        <v>435</v>
      </c>
      <c r="N164" s="7" t="s">
        <v>1560</v>
      </c>
      <c r="O164" s="7" t="s">
        <v>1561</v>
      </c>
      <c r="P164" s="8">
        <v>232003749325</v>
      </c>
      <c r="Q164" s="7" t="s">
        <v>41</v>
      </c>
      <c r="R164" s="7" t="s">
        <v>1562</v>
      </c>
      <c r="S164" s="7" t="s">
        <v>1563</v>
      </c>
      <c r="T164" s="7"/>
      <c r="U164" s="7" t="s">
        <v>1564</v>
      </c>
      <c r="V164" s="1">
        <v>47330697000</v>
      </c>
      <c r="W164" s="1">
        <v>1021539000</v>
      </c>
      <c r="X164" s="1">
        <v>145095000</v>
      </c>
      <c r="Y164" s="1">
        <v>4414000</v>
      </c>
      <c r="Z164" s="1">
        <v>540668000</v>
      </c>
      <c r="AA164" s="1">
        <v>115022000</v>
      </c>
      <c r="AB164" s="1">
        <v>-2676972000</v>
      </c>
      <c r="AC164" s="1">
        <v>-726167000</v>
      </c>
      <c r="AD164" s="1">
        <v>-2603662000</v>
      </c>
      <c r="AE164" s="7"/>
      <c r="AF164" s="7" t="s">
        <v>1565</v>
      </c>
      <c r="AG164" s="7" t="s">
        <v>46</v>
      </c>
    </row>
    <row r="165" spans="1:33" ht="15.75" x14ac:dyDescent="0.25">
      <c r="A165" s="3">
        <v>5167746253208</v>
      </c>
      <c r="B165" s="9">
        <v>7731333047</v>
      </c>
      <c r="C165" s="10" t="s">
        <v>1566</v>
      </c>
      <c r="D165" s="10" t="s">
        <v>1567</v>
      </c>
      <c r="E165" s="9">
        <v>5286001</v>
      </c>
      <c r="F165" s="9">
        <v>45268569000</v>
      </c>
      <c r="G165" s="9">
        <v>16</v>
      </c>
      <c r="H165" s="9">
        <v>12300</v>
      </c>
      <c r="I165" s="9">
        <v>773101001</v>
      </c>
      <c r="J165" s="10" t="s">
        <v>1568</v>
      </c>
      <c r="K165" s="10"/>
      <c r="L165" s="3" t="s">
        <v>404</v>
      </c>
      <c r="M165" s="10" t="s">
        <v>405</v>
      </c>
      <c r="N165" s="10" t="s">
        <v>1569</v>
      </c>
      <c r="O165" s="10" t="s">
        <v>1570</v>
      </c>
      <c r="P165" s="11">
        <v>772129029395</v>
      </c>
      <c r="Q165" s="10" t="s">
        <v>41</v>
      </c>
      <c r="R165" s="10" t="s">
        <v>1571</v>
      </c>
      <c r="S165" s="10" t="s">
        <v>1572</v>
      </c>
      <c r="T165" s="10"/>
      <c r="U165" s="10"/>
      <c r="V165" s="3">
        <v>637648162</v>
      </c>
      <c r="W165" s="3">
        <v>80640000</v>
      </c>
      <c r="X165" s="3">
        <v>20493000</v>
      </c>
      <c r="Y165" s="3">
        <v>157000</v>
      </c>
      <c r="Z165" s="3">
        <v>146741000</v>
      </c>
      <c r="AA165" s="3">
        <v>184763000</v>
      </c>
      <c r="AB165" s="3">
        <v>1224000</v>
      </c>
      <c r="AC165" s="3">
        <v>14449000</v>
      </c>
      <c r="AD165" s="3">
        <v>9842000</v>
      </c>
      <c r="AE165" s="10" t="s">
        <v>317</v>
      </c>
      <c r="AF165" s="10" t="s">
        <v>1465</v>
      </c>
      <c r="AG165" s="10" t="s">
        <v>46</v>
      </c>
    </row>
    <row r="166" spans="1:33" ht="15.75" x14ac:dyDescent="0.25">
      <c r="A166" s="1">
        <v>1177746427913</v>
      </c>
      <c r="B166" s="6">
        <v>7708316149</v>
      </c>
      <c r="C166" s="7" t="s">
        <v>1573</v>
      </c>
      <c r="D166" s="7" t="s">
        <v>1574</v>
      </c>
      <c r="E166" s="6">
        <v>15471998</v>
      </c>
      <c r="F166" s="6">
        <v>45286585000</v>
      </c>
      <c r="G166" s="6">
        <v>16</v>
      </c>
      <c r="H166" s="6">
        <v>12300</v>
      </c>
      <c r="I166" s="6">
        <v>770701001</v>
      </c>
      <c r="J166" s="7" t="s">
        <v>1575</v>
      </c>
      <c r="K166" s="7"/>
      <c r="L166" s="1" t="s">
        <v>1576</v>
      </c>
      <c r="M166" s="7" t="s">
        <v>1577</v>
      </c>
      <c r="N166" s="7" t="s">
        <v>1578</v>
      </c>
      <c r="O166" s="7" t="s">
        <v>1579</v>
      </c>
      <c r="P166" s="8">
        <v>666101346145</v>
      </c>
      <c r="Q166" s="7" t="s">
        <v>150</v>
      </c>
      <c r="R166" s="7" t="s">
        <v>1580</v>
      </c>
      <c r="S166" s="7" t="s">
        <v>1581</v>
      </c>
      <c r="T166" s="7"/>
      <c r="U166" s="7"/>
      <c r="V166" s="1">
        <v>213000000</v>
      </c>
      <c r="W166" s="1">
        <v>78270000</v>
      </c>
      <c r="X166" s="1">
        <v>35581000</v>
      </c>
      <c r="Y166" s="1">
        <v>0</v>
      </c>
      <c r="Z166" s="1">
        <v>580520000</v>
      </c>
      <c r="AA166" s="1">
        <v>13505000</v>
      </c>
      <c r="AB166" s="1">
        <v>2072484000</v>
      </c>
      <c r="AC166" s="1">
        <v>-297100000</v>
      </c>
      <c r="AD166" s="1">
        <v>2104282000</v>
      </c>
      <c r="AE166" s="7"/>
      <c r="AF166" s="7" t="s">
        <v>1582</v>
      </c>
      <c r="AG166" s="7" t="s">
        <v>46</v>
      </c>
    </row>
    <row r="167" spans="1:33" ht="15.75" x14ac:dyDescent="0.25">
      <c r="A167" s="3">
        <v>1217700220385</v>
      </c>
      <c r="B167" s="9">
        <v>7730264601</v>
      </c>
      <c r="C167" s="10" t="s">
        <v>1583</v>
      </c>
      <c r="D167" s="10" t="s">
        <v>1584</v>
      </c>
      <c r="E167" s="9">
        <v>60027287</v>
      </c>
      <c r="F167" s="9">
        <v>45268554000</v>
      </c>
      <c r="G167" s="9">
        <v>16</v>
      </c>
      <c r="H167" s="9">
        <v>12300</v>
      </c>
      <c r="I167" s="9">
        <v>773001001</v>
      </c>
      <c r="J167" s="10" t="s">
        <v>1585</v>
      </c>
      <c r="K167" s="10"/>
      <c r="L167" s="3" t="s">
        <v>434</v>
      </c>
      <c r="M167" s="10" t="s">
        <v>435</v>
      </c>
      <c r="N167" s="10" t="s">
        <v>1586</v>
      </c>
      <c r="O167" s="10" t="s">
        <v>1587</v>
      </c>
      <c r="P167" s="11">
        <v>772900851770</v>
      </c>
      <c r="Q167" s="10" t="s">
        <v>41</v>
      </c>
      <c r="R167" s="10" t="s">
        <v>1588</v>
      </c>
      <c r="S167" s="10" t="s">
        <v>1589</v>
      </c>
      <c r="T167" s="10"/>
      <c r="U167" s="10" t="s">
        <v>1590</v>
      </c>
      <c r="V167" s="3">
        <v>334385000</v>
      </c>
      <c r="W167" s="3">
        <v>1847026000</v>
      </c>
      <c r="X167" s="3">
        <v>0</v>
      </c>
      <c r="Y167" s="3">
        <v>0</v>
      </c>
      <c r="Z167" s="3">
        <v>473000</v>
      </c>
      <c r="AA167" s="3">
        <v>66000</v>
      </c>
      <c r="AB167" s="3">
        <v>1821000</v>
      </c>
      <c r="AC167" s="3">
        <v>24451000</v>
      </c>
      <c r="AD167" s="3">
        <v>2428000</v>
      </c>
      <c r="AE167" s="10" t="s">
        <v>317</v>
      </c>
      <c r="AF167" s="10" t="s">
        <v>421</v>
      </c>
      <c r="AG167" s="10" t="s">
        <v>46</v>
      </c>
    </row>
    <row r="168" spans="1:33" ht="15.75" x14ac:dyDescent="0.25">
      <c r="A168" s="1">
        <v>5137746202886</v>
      </c>
      <c r="B168" s="6">
        <v>7725813207</v>
      </c>
      <c r="C168" s="7" t="s">
        <v>1591</v>
      </c>
      <c r="D168" s="7" t="s">
        <v>1592</v>
      </c>
      <c r="E168" s="6">
        <v>26362947</v>
      </c>
      <c r="F168" s="6">
        <v>45280552000</v>
      </c>
      <c r="G168" s="6">
        <v>16</v>
      </c>
      <c r="H168" s="6">
        <v>12300</v>
      </c>
      <c r="I168" s="6">
        <v>771701001</v>
      </c>
      <c r="J168" s="7" t="s">
        <v>1593</v>
      </c>
      <c r="K168" s="7"/>
      <c r="L168" s="1" t="s">
        <v>288</v>
      </c>
      <c r="M168" s="7" t="s">
        <v>289</v>
      </c>
      <c r="N168" s="7" t="s">
        <v>1594</v>
      </c>
      <c r="O168" s="7" t="s">
        <v>773</v>
      </c>
      <c r="P168" s="8">
        <v>7814486174</v>
      </c>
      <c r="Q168" s="7" t="s">
        <v>90</v>
      </c>
      <c r="R168" s="7" t="s">
        <v>1595</v>
      </c>
      <c r="S168" s="7" t="s">
        <v>1596</v>
      </c>
      <c r="T168" s="7"/>
      <c r="U168" s="7"/>
      <c r="V168" s="1">
        <v>192907076</v>
      </c>
      <c r="W168" s="1">
        <v>105794000</v>
      </c>
      <c r="X168" s="1">
        <v>0</v>
      </c>
      <c r="Y168" s="1">
        <v>207613000</v>
      </c>
      <c r="Z168" s="1">
        <v>7929000</v>
      </c>
      <c r="AA168" s="1">
        <v>189776000</v>
      </c>
      <c r="AB168" s="1">
        <v>44909000</v>
      </c>
      <c r="AC168" s="1">
        <v>53542000</v>
      </c>
      <c r="AD168" s="1">
        <v>59875000</v>
      </c>
      <c r="AE168" s="7"/>
      <c r="AF168" s="7" t="s">
        <v>307</v>
      </c>
      <c r="AG168" s="7" t="s">
        <v>46</v>
      </c>
    </row>
    <row r="169" spans="1:33" ht="15.75" x14ac:dyDescent="0.25">
      <c r="A169" s="3">
        <v>5177746194720</v>
      </c>
      <c r="B169" s="9">
        <v>7722419114</v>
      </c>
      <c r="C169" s="10" t="s">
        <v>1597</v>
      </c>
      <c r="D169" s="10" t="s">
        <v>1598</v>
      </c>
      <c r="E169" s="9">
        <v>20166748</v>
      </c>
      <c r="F169" s="9">
        <v>45286560000</v>
      </c>
      <c r="G169" s="9">
        <v>16</v>
      </c>
      <c r="H169" s="9">
        <v>12300</v>
      </c>
      <c r="I169" s="9">
        <v>770501001</v>
      </c>
      <c r="J169" s="10" t="s">
        <v>1599</v>
      </c>
      <c r="K169" s="10"/>
      <c r="L169" s="3" t="s">
        <v>478</v>
      </c>
      <c r="M169" s="10" t="s">
        <v>479</v>
      </c>
      <c r="N169" s="10" t="s">
        <v>1600</v>
      </c>
      <c r="O169" s="10" t="s">
        <v>1601</v>
      </c>
      <c r="P169" s="11">
        <v>860806423308</v>
      </c>
      <c r="Q169" s="10" t="s">
        <v>41</v>
      </c>
      <c r="R169" s="10" t="s">
        <v>1602</v>
      </c>
      <c r="S169" s="10" t="s">
        <v>1603</v>
      </c>
      <c r="T169" s="10"/>
      <c r="U169" s="10" t="s">
        <v>1604</v>
      </c>
      <c r="V169" s="3">
        <v>845542203</v>
      </c>
      <c r="W169" s="3">
        <v>80103000</v>
      </c>
      <c r="X169" s="3">
        <v>7513000</v>
      </c>
      <c r="Y169" s="3">
        <v>0</v>
      </c>
      <c r="Z169" s="3">
        <v>4855000</v>
      </c>
      <c r="AA169" s="3">
        <v>48456000</v>
      </c>
      <c r="AB169" s="3">
        <v>-12205000</v>
      </c>
      <c r="AC169" s="3">
        <v>-17136000</v>
      </c>
      <c r="AD169" s="3">
        <v>-11924000</v>
      </c>
      <c r="AE169" s="10"/>
      <c r="AF169" s="10" t="s">
        <v>421</v>
      </c>
      <c r="AG169" s="10" t="s">
        <v>46</v>
      </c>
    </row>
    <row r="170" spans="1:33" ht="15.75" x14ac:dyDescent="0.25">
      <c r="A170" s="3">
        <v>1055008712770</v>
      </c>
      <c r="B170" s="9">
        <v>5044048873</v>
      </c>
      <c r="C170" s="10" t="s">
        <v>1605</v>
      </c>
      <c r="D170" s="10" t="s">
        <v>1606</v>
      </c>
      <c r="E170" s="9">
        <v>78049987</v>
      </c>
      <c r="F170" s="9">
        <v>46471563000</v>
      </c>
      <c r="G170" s="9">
        <v>16</v>
      </c>
      <c r="H170" s="9">
        <v>12300</v>
      </c>
      <c r="I170" s="9">
        <v>504401001</v>
      </c>
      <c r="J170" s="10" t="s">
        <v>1607</v>
      </c>
      <c r="K170" s="10"/>
      <c r="L170" s="3" t="s">
        <v>1608</v>
      </c>
      <c r="M170" s="10" t="s">
        <v>1609</v>
      </c>
      <c r="N170" s="10" t="s">
        <v>1610</v>
      </c>
      <c r="O170" s="10" t="s">
        <v>1611</v>
      </c>
      <c r="P170" s="11">
        <v>772486983633</v>
      </c>
      <c r="Q170" s="10" t="s">
        <v>41</v>
      </c>
      <c r="R170" s="10" t="s">
        <v>1612</v>
      </c>
      <c r="S170" s="10" t="s">
        <v>1613</v>
      </c>
      <c r="T170" s="10"/>
      <c r="U170" s="10" t="s">
        <v>1614</v>
      </c>
      <c r="V170" s="3">
        <v>166006829</v>
      </c>
      <c r="W170" s="3">
        <v>99900000</v>
      </c>
      <c r="X170" s="3">
        <v>56452000</v>
      </c>
      <c r="Y170" s="3">
        <v>0</v>
      </c>
      <c r="Z170" s="3">
        <v>523505000</v>
      </c>
      <c r="AA170" s="3">
        <v>63000</v>
      </c>
      <c r="AB170" s="3">
        <v>77145000</v>
      </c>
      <c r="AC170" s="3">
        <v>77411000</v>
      </c>
      <c r="AD170" s="3">
        <v>77285000</v>
      </c>
      <c r="AE170" s="10" t="s">
        <v>317</v>
      </c>
      <c r="AF170" s="10" t="s">
        <v>421</v>
      </c>
      <c r="AG170" s="10" t="s">
        <v>319</v>
      </c>
    </row>
    <row r="171" spans="1:33" ht="15.75" x14ac:dyDescent="0.25">
      <c r="A171" s="1">
        <v>1027739648837</v>
      </c>
      <c r="B171" s="6">
        <v>7706131537</v>
      </c>
      <c r="C171" s="7" t="s">
        <v>1615</v>
      </c>
      <c r="D171" s="7" t="s">
        <v>1616</v>
      </c>
      <c r="E171" s="6">
        <v>45194473</v>
      </c>
      <c r="F171" s="6">
        <v>45296561000</v>
      </c>
      <c r="G171" s="6">
        <v>41</v>
      </c>
      <c r="H171" s="6">
        <v>12267</v>
      </c>
      <c r="I171" s="6">
        <v>772501001</v>
      </c>
      <c r="J171" s="7" t="s">
        <v>1617</v>
      </c>
      <c r="K171" s="7"/>
      <c r="L171" s="1" t="s">
        <v>300</v>
      </c>
      <c r="M171" s="7" t="s">
        <v>301</v>
      </c>
      <c r="N171" s="7" t="s">
        <v>1618</v>
      </c>
      <c r="O171" s="7" t="s">
        <v>1619</v>
      </c>
      <c r="P171" s="8">
        <v>773136071047</v>
      </c>
      <c r="Q171" s="7" t="s">
        <v>41</v>
      </c>
      <c r="R171" s="7" t="s">
        <v>1620</v>
      </c>
      <c r="S171" s="7" t="s">
        <v>1621</v>
      </c>
      <c r="T171" s="7" t="s">
        <v>1622</v>
      </c>
      <c r="U171" s="7" t="s">
        <v>1623</v>
      </c>
      <c r="V171" s="1">
        <v>214710000</v>
      </c>
      <c r="W171" s="1">
        <v>79807000</v>
      </c>
      <c r="X171" s="1">
        <v>267828000</v>
      </c>
      <c r="Y171" s="1">
        <v>0</v>
      </c>
      <c r="Z171" s="1">
        <v>2563000</v>
      </c>
      <c r="AA171" s="1">
        <v>12683000</v>
      </c>
      <c r="AB171" s="1">
        <v>-24453000</v>
      </c>
      <c r="AC171" s="1">
        <v>-18481000</v>
      </c>
      <c r="AD171" s="1">
        <v>-22505000</v>
      </c>
      <c r="AE171" s="7"/>
      <c r="AF171" s="7" t="s">
        <v>1624</v>
      </c>
      <c r="AG171" s="7" t="s">
        <v>46</v>
      </c>
    </row>
    <row r="172" spans="1:33" ht="15.75" x14ac:dyDescent="0.25">
      <c r="A172" s="3">
        <v>1107746734446</v>
      </c>
      <c r="B172" s="9">
        <v>7729663312</v>
      </c>
      <c r="C172" s="10" t="s">
        <v>1625</v>
      </c>
      <c r="D172" s="10" t="s">
        <v>1626</v>
      </c>
      <c r="E172" s="9">
        <v>68054438</v>
      </c>
      <c r="F172" s="9">
        <v>45293562000</v>
      </c>
      <c r="G172" s="9">
        <v>16</v>
      </c>
      <c r="H172" s="9">
        <v>12300</v>
      </c>
      <c r="I172" s="9">
        <v>772701001</v>
      </c>
      <c r="J172" s="10" t="s">
        <v>1627</v>
      </c>
      <c r="K172" s="10"/>
      <c r="L172" s="3" t="s">
        <v>624</v>
      </c>
      <c r="M172" s="10" t="s">
        <v>625</v>
      </c>
      <c r="N172" s="10" t="s">
        <v>1628</v>
      </c>
      <c r="O172" s="10" t="s">
        <v>1629</v>
      </c>
      <c r="P172" s="11">
        <v>162900369109</v>
      </c>
      <c r="Q172" s="10" t="s">
        <v>41</v>
      </c>
      <c r="R172" s="10" t="s">
        <v>1630</v>
      </c>
      <c r="S172" s="10" t="s">
        <v>1631</v>
      </c>
      <c r="T172" s="10"/>
      <c r="U172" s="10"/>
      <c r="V172" s="3">
        <v>1374128229</v>
      </c>
      <c r="W172" s="3">
        <v>110271000</v>
      </c>
      <c r="X172" s="3">
        <v>74000</v>
      </c>
      <c r="Y172" s="3">
        <v>67381000</v>
      </c>
      <c r="Z172" s="3">
        <v>34620000</v>
      </c>
      <c r="AA172" s="3">
        <v>17134000</v>
      </c>
      <c r="AB172" s="3">
        <v>-22576000</v>
      </c>
      <c r="AC172" s="3">
        <v>-47854000</v>
      </c>
      <c r="AD172" s="3">
        <v>-27330000</v>
      </c>
      <c r="AE172" s="10"/>
      <c r="AF172" s="10" t="s">
        <v>1023</v>
      </c>
      <c r="AG172" s="10" t="s">
        <v>46</v>
      </c>
    </row>
    <row r="173" spans="1:33" ht="15.75" x14ac:dyDescent="0.25">
      <c r="A173" s="1">
        <v>1065029129318</v>
      </c>
      <c r="B173" s="6">
        <v>5029096061</v>
      </c>
      <c r="C173" s="7" t="s">
        <v>1632</v>
      </c>
      <c r="D173" s="7" t="s">
        <v>1633</v>
      </c>
      <c r="E173" s="6">
        <v>96321430</v>
      </c>
      <c r="F173" s="6">
        <v>46446000000</v>
      </c>
      <c r="G173" s="6">
        <v>16</v>
      </c>
      <c r="H173" s="6">
        <v>12300</v>
      </c>
      <c r="I173" s="6">
        <v>502901001</v>
      </c>
      <c r="J173" s="7" t="s">
        <v>1634</v>
      </c>
      <c r="K173" s="7"/>
      <c r="L173" s="1" t="s">
        <v>311</v>
      </c>
      <c r="M173" s="7" t="s">
        <v>312</v>
      </c>
      <c r="N173" s="7" t="s">
        <v>1635</v>
      </c>
      <c r="O173" s="7" t="s">
        <v>1636</v>
      </c>
      <c r="P173" s="8">
        <v>772027511987</v>
      </c>
      <c r="Q173" s="7" t="s">
        <v>41</v>
      </c>
      <c r="R173" s="7" t="s">
        <v>1637</v>
      </c>
      <c r="S173" s="7" t="s">
        <v>1638</v>
      </c>
      <c r="T173" s="7"/>
      <c r="U173" s="7"/>
      <c r="V173" s="1">
        <v>128000000</v>
      </c>
      <c r="W173" s="1">
        <v>102188000</v>
      </c>
      <c r="X173" s="1">
        <v>146207000</v>
      </c>
      <c r="Y173" s="1">
        <v>0</v>
      </c>
      <c r="Z173" s="1">
        <v>11905000</v>
      </c>
      <c r="AA173" s="1">
        <v>11071000</v>
      </c>
      <c r="AB173" s="1">
        <v>74909000</v>
      </c>
      <c r="AC173" s="1">
        <v>0</v>
      </c>
      <c r="AD173" s="1">
        <v>0</v>
      </c>
      <c r="AE173" s="7" t="s">
        <v>317</v>
      </c>
      <c r="AF173" s="7" t="s">
        <v>1023</v>
      </c>
      <c r="AG173" s="7" t="s">
        <v>319</v>
      </c>
    </row>
    <row r="174" spans="1:33" ht="15.75" x14ac:dyDescent="0.25">
      <c r="A174" s="3">
        <v>1097746862355</v>
      </c>
      <c r="B174" s="9">
        <v>7736612446</v>
      </c>
      <c r="C174" s="10" t="s">
        <v>1639</v>
      </c>
      <c r="D174" s="10" t="s">
        <v>1640</v>
      </c>
      <c r="E174" s="9">
        <v>64549203</v>
      </c>
      <c r="F174" s="9">
        <v>45293558000</v>
      </c>
      <c r="G174" s="9">
        <v>34</v>
      </c>
      <c r="H174" s="9">
        <v>12300</v>
      </c>
      <c r="I174" s="9">
        <v>773601001</v>
      </c>
      <c r="J174" s="10" t="s">
        <v>1641</v>
      </c>
      <c r="K174" s="10"/>
      <c r="L174" s="3" t="s">
        <v>1642</v>
      </c>
      <c r="M174" s="10" t="s">
        <v>1643</v>
      </c>
      <c r="N174" s="10" t="s">
        <v>1644</v>
      </c>
      <c r="O174" s="10" t="s">
        <v>1645</v>
      </c>
      <c r="P174" s="11">
        <v>501005256523</v>
      </c>
      <c r="Q174" s="10" t="s">
        <v>41</v>
      </c>
      <c r="R174" s="10" t="s">
        <v>1646</v>
      </c>
      <c r="S174" s="10" t="s">
        <v>1647</v>
      </c>
      <c r="T174" s="10"/>
      <c r="U174" s="10" t="s">
        <v>1648</v>
      </c>
      <c r="V174" s="3">
        <v>700000</v>
      </c>
      <c r="W174" s="3">
        <v>95760000</v>
      </c>
      <c r="X174" s="3">
        <v>11389000</v>
      </c>
      <c r="Y174" s="3">
        <v>11812000</v>
      </c>
      <c r="Z174" s="3">
        <v>57282000</v>
      </c>
      <c r="AA174" s="3">
        <v>3702000</v>
      </c>
      <c r="AB174" s="3">
        <v>1766000</v>
      </c>
      <c r="AC174" s="3">
        <v>0</v>
      </c>
      <c r="AD174" s="3">
        <v>0</v>
      </c>
      <c r="AE174" s="10" t="s">
        <v>317</v>
      </c>
      <c r="AF174" s="10" t="s">
        <v>878</v>
      </c>
      <c r="AG174" s="10" t="s">
        <v>46</v>
      </c>
    </row>
    <row r="175" spans="1:33" ht="15.75" x14ac:dyDescent="0.25">
      <c r="A175" s="1">
        <v>1027739043023</v>
      </c>
      <c r="B175" s="6">
        <v>7710293280</v>
      </c>
      <c r="C175" s="7" t="s">
        <v>1649</v>
      </c>
      <c r="D175" s="7" t="s">
        <v>1650</v>
      </c>
      <c r="E175" s="6">
        <v>49883821</v>
      </c>
      <c r="F175" s="6">
        <v>45286560000</v>
      </c>
      <c r="G175" s="6">
        <v>16</v>
      </c>
      <c r="H175" s="6">
        <v>12300</v>
      </c>
      <c r="I175" s="6">
        <v>770501001</v>
      </c>
      <c r="J175" s="7" t="s">
        <v>1651</v>
      </c>
      <c r="K175" s="7"/>
      <c r="L175" s="1" t="s">
        <v>50</v>
      </c>
      <c r="M175" s="7" t="s">
        <v>51</v>
      </c>
      <c r="N175" s="7" t="s">
        <v>1652</v>
      </c>
      <c r="O175" s="7" t="s">
        <v>1653</v>
      </c>
      <c r="P175" s="8">
        <v>2540047110</v>
      </c>
      <c r="Q175" s="7" t="s">
        <v>90</v>
      </c>
      <c r="R175" s="7" t="s">
        <v>1654</v>
      </c>
      <c r="S175" s="7" t="s">
        <v>1655</v>
      </c>
      <c r="T175" s="7" t="s">
        <v>1656</v>
      </c>
      <c r="U175" s="7" t="s">
        <v>1657</v>
      </c>
      <c r="V175" s="1">
        <v>100000</v>
      </c>
      <c r="W175" s="1">
        <v>118208808000</v>
      </c>
      <c r="X175" s="1">
        <v>381947000</v>
      </c>
      <c r="Y175" s="1">
        <v>3903671000</v>
      </c>
      <c r="Z175" s="1">
        <v>36234926000</v>
      </c>
      <c r="AA175" s="1">
        <v>38038760000</v>
      </c>
      <c r="AB175" s="1">
        <v>-4758958000</v>
      </c>
      <c r="AC175" s="1">
        <v>-9798823000</v>
      </c>
      <c r="AD175" s="1">
        <v>-4432022000</v>
      </c>
      <c r="AE175" s="7"/>
      <c r="AF175" s="7"/>
      <c r="AG175" s="7" t="s">
        <v>46</v>
      </c>
    </row>
    <row r="176" spans="1:33" ht="15.75" x14ac:dyDescent="0.25">
      <c r="A176" s="1">
        <v>1067746158083</v>
      </c>
      <c r="B176" s="6">
        <v>7701639976</v>
      </c>
      <c r="C176" s="7" t="s">
        <v>1658</v>
      </c>
      <c r="D176" s="7" t="s">
        <v>1659</v>
      </c>
      <c r="E176" s="6">
        <v>93420640</v>
      </c>
      <c r="F176" s="6">
        <v>45277565000</v>
      </c>
      <c r="G176" s="6">
        <v>23</v>
      </c>
      <c r="H176" s="6">
        <v>12300</v>
      </c>
      <c r="I176" s="6">
        <v>774301001</v>
      </c>
      <c r="J176" s="7" t="s">
        <v>1660</v>
      </c>
      <c r="K176" s="7"/>
      <c r="L176" s="1" t="s">
        <v>1661</v>
      </c>
      <c r="M176" s="7" t="s">
        <v>1662</v>
      </c>
      <c r="N176" s="7" t="s">
        <v>1663</v>
      </c>
      <c r="O176" s="7" t="s">
        <v>1664</v>
      </c>
      <c r="P176" s="8">
        <v>772904913940</v>
      </c>
      <c r="Q176" s="7" t="s">
        <v>41</v>
      </c>
      <c r="R176" s="7" t="s">
        <v>1665</v>
      </c>
      <c r="S176" s="7" t="s">
        <v>1666</v>
      </c>
      <c r="T176" s="7" t="s">
        <v>1667</v>
      </c>
      <c r="U176" s="7"/>
      <c r="V176" s="1">
        <v>9000000</v>
      </c>
      <c r="W176" s="1">
        <v>108477150000</v>
      </c>
      <c r="X176" s="1">
        <v>114527000</v>
      </c>
      <c r="Y176" s="1">
        <v>13283932000</v>
      </c>
      <c r="Z176" s="1">
        <v>15488014000</v>
      </c>
      <c r="AA176" s="1">
        <v>27839451000</v>
      </c>
      <c r="AB176" s="1">
        <v>1972593000</v>
      </c>
      <c r="AC176" s="1">
        <v>4613709000</v>
      </c>
      <c r="AD176" s="1">
        <v>2825100000</v>
      </c>
      <c r="AE176" s="7"/>
      <c r="AF176" s="7"/>
      <c r="AG176" s="7" t="s">
        <v>46</v>
      </c>
    </row>
    <row r="177" spans="1:33" ht="15.75" x14ac:dyDescent="0.25">
      <c r="A177" s="3">
        <v>1025002032384</v>
      </c>
      <c r="B177" s="9">
        <v>5018053524</v>
      </c>
      <c r="C177" s="10" t="s">
        <v>1668</v>
      </c>
      <c r="D177" s="10" t="s">
        <v>1669</v>
      </c>
      <c r="E177" s="9">
        <v>50183402</v>
      </c>
      <c r="F177" s="9">
        <v>46434000000</v>
      </c>
      <c r="G177" s="9">
        <v>16</v>
      </c>
      <c r="H177" s="9">
        <v>12300</v>
      </c>
      <c r="I177" s="9">
        <v>501801001</v>
      </c>
      <c r="J177" s="10" t="s">
        <v>1670</v>
      </c>
      <c r="K177" s="10"/>
      <c r="L177" s="3" t="s">
        <v>1671</v>
      </c>
      <c r="M177" s="10" t="s">
        <v>1672</v>
      </c>
      <c r="N177" s="10" t="s">
        <v>1673</v>
      </c>
      <c r="O177" s="10" t="s">
        <v>1674</v>
      </c>
      <c r="P177" s="11">
        <v>505400058304</v>
      </c>
      <c r="Q177" s="10" t="s">
        <v>41</v>
      </c>
      <c r="R177" s="10" t="s">
        <v>1675</v>
      </c>
      <c r="S177" s="10" t="s">
        <v>1676</v>
      </c>
      <c r="T177" s="10" t="s">
        <v>1677</v>
      </c>
      <c r="U177" s="10" t="s">
        <v>1678</v>
      </c>
      <c r="V177" s="3">
        <v>10000000</v>
      </c>
      <c r="W177" s="3">
        <v>1294079000</v>
      </c>
      <c r="X177" s="3">
        <v>709061000</v>
      </c>
      <c r="Y177" s="3">
        <v>1449000</v>
      </c>
      <c r="Z177" s="3">
        <v>229740000</v>
      </c>
      <c r="AA177" s="3">
        <v>319384000</v>
      </c>
      <c r="AB177" s="3">
        <v>75258000</v>
      </c>
      <c r="AC177" s="3">
        <v>110949000</v>
      </c>
      <c r="AD177" s="3">
        <v>101874000</v>
      </c>
      <c r="AE177" s="10" t="s">
        <v>730</v>
      </c>
      <c r="AF177" s="10" t="s">
        <v>1679</v>
      </c>
      <c r="AG177" s="10" t="s">
        <v>46</v>
      </c>
    </row>
    <row r="178" spans="1:33" ht="15.75" x14ac:dyDescent="0.25">
      <c r="A178" s="1">
        <v>1047796485626</v>
      </c>
      <c r="B178" s="6">
        <v>7705606435</v>
      </c>
      <c r="C178" s="7" t="s">
        <v>1680</v>
      </c>
      <c r="D178" s="7" t="s">
        <v>1681</v>
      </c>
      <c r="E178" s="6">
        <v>73559293</v>
      </c>
      <c r="F178" s="6">
        <v>45286560000</v>
      </c>
      <c r="G178" s="6">
        <v>34</v>
      </c>
      <c r="H178" s="6">
        <v>12300</v>
      </c>
      <c r="I178" s="6">
        <v>770501001</v>
      </c>
      <c r="J178" s="7" t="s">
        <v>1682</v>
      </c>
      <c r="K178" s="7"/>
      <c r="L178" s="1" t="s">
        <v>1683</v>
      </c>
      <c r="M178" s="7" t="s">
        <v>1684</v>
      </c>
      <c r="N178" s="7" t="s">
        <v>1685</v>
      </c>
      <c r="O178" s="7" t="s">
        <v>1686</v>
      </c>
      <c r="P178" s="8">
        <v>502478076173</v>
      </c>
      <c r="Q178" s="7" t="s">
        <v>41</v>
      </c>
      <c r="R178" s="7" t="s">
        <v>1687</v>
      </c>
      <c r="S178" s="7" t="s">
        <v>1688</v>
      </c>
      <c r="T178" s="7"/>
      <c r="U178" s="7"/>
      <c r="V178" s="1">
        <v>10000000</v>
      </c>
      <c r="W178" s="1">
        <v>332224000</v>
      </c>
      <c r="X178" s="1">
        <v>8355000</v>
      </c>
      <c r="Y178" s="1">
        <v>69121000</v>
      </c>
      <c r="Z178" s="1">
        <v>11824000</v>
      </c>
      <c r="AA178" s="1">
        <v>115264000</v>
      </c>
      <c r="AB178" s="1">
        <v>78902000</v>
      </c>
      <c r="AC178" s="1">
        <v>98493000</v>
      </c>
      <c r="AD178" s="1">
        <v>104827000</v>
      </c>
      <c r="AE178" s="7" t="s">
        <v>331</v>
      </c>
      <c r="AF178" s="7" t="s">
        <v>1689</v>
      </c>
      <c r="AG178" s="7" t="s">
        <v>46</v>
      </c>
    </row>
    <row r="179" spans="1:33" ht="15.75" x14ac:dyDescent="0.25">
      <c r="A179" s="3">
        <v>1027700166636</v>
      </c>
      <c r="B179" s="9">
        <v>7713076301</v>
      </c>
      <c r="C179" s="10" t="s">
        <v>1690</v>
      </c>
      <c r="D179" s="10" t="s">
        <v>1691</v>
      </c>
      <c r="E179" s="9">
        <v>17337364</v>
      </c>
      <c r="F179" s="9">
        <v>45277586000</v>
      </c>
      <c r="G179" s="9">
        <v>16</v>
      </c>
      <c r="H179" s="9">
        <v>12247</v>
      </c>
      <c r="I179" s="9">
        <v>771301001</v>
      </c>
      <c r="J179" s="10" t="s">
        <v>1692</v>
      </c>
      <c r="K179" s="10"/>
      <c r="L179" s="3" t="s">
        <v>1693</v>
      </c>
      <c r="M179" s="10" t="s">
        <v>1694</v>
      </c>
      <c r="N179" s="10" t="s">
        <v>1695</v>
      </c>
      <c r="O179" s="10" t="s">
        <v>1696</v>
      </c>
      <c r="P179" s="11" t="s">
        <v>1697</v>
      </c>
      <c r="Q179" s="10" t="s">
        <v>1698</v>
      </c>
      <c r="R179" s="10" t="s">
        <v>1699</v>
      </c>
      <c r="S179" s="10" t="s">
        <v>1700</v>
      </c>
      <c r="T179" s="10" t="s">
        <v>1701</v>
      </c>
      <c r="U179" s="10" t="s">
        <v>1702</v>
      </c>
      <c r="V179" s="3">
        <v>288538</v>
      </c>
      <c r="W179" s="3">
        <v>326347576000</v>
      </c>
      <c r="X179" s="3">
        <v>296656370000</v>
      </c>
      <c r="Y179" s="3">
        <v>7255704000</v>
      </c>
      <c r="Z179" s="3">
        <v>26744389000</v>
      </c>
      <c r="AA179" s="3">
        <v>64244288000</v>
      </c>
      <c r="AB179" s="3">
        <v>5982390000</v>
      </c>
      <c r="AC179" s="3">
        <v>59725648000</v>
      </c>
      <c r="AD179" s="3">
        <v>9940097000</v>
      </c>
      <c r="AE179" s="10"/>
      <c r="AF179" s="10"/>
      <c r="AG179" s="10" t="s">
        <v>46</v>
      </c>
    </row>
    <row r="180" spans="1:33" ht="15.75" x14ac:dyDescent="0.25">
      <c r="A180" s="1">
        <v>1037739918039</v>
      </c>
      <c r="B180" s="6">
        <v>7709510808</v>
      </c>
      <c r="C180" s="7" t="s">
        <v>1703</v>
      </c>
      <c r="D180" s="7" t="s">
        <v>1704</v>
      </c>
      <c r="E180" s="6">
        <v>70270652</v>
      </c>
      <c r="F180" s="6">
        <v>45286580000</v>
      </c>
      <c r="G180" s="6">
        <v>24</v>
      </c>
      <c r="H180" s="6">
        <v>12300</v>
      </c>
      <c r="I180" s="6">
        <v>770901001</v>
      </c>
      <c r="J180" s="7" t="s">
        <v>1705</v>
      </c>
      <c r="K180" s="7"/>
      <c r="L180" s="1" t="s">
        <v>445</v>
      </c>
      <c r="M180" s="7" t="s">
        <v>446</v>
      </c>
      <c r="N180" s="7" t="s">
        <v>1706</v>
      </c>
      <c r="O180" s="7" t="s">
        <v>1707</v>
      </c>
      <c r="P180" s="8">
        <v>772731834560</v>
      </c>
      <c r="Q180" s="7" t="s">
        <v>340</v>
      </c>
      <c r="R180" s="7" t="s">
        <v>1708</v>
      </c>
      <c r="S180" s="7" t="s">
        <v>1709</v>
      </c>
      <c r="T180" s="7"/>
      <c r="U180" s="7"/>
      <c r="V180" s="1">
        <v>25016600</v>
      </c>
      <c r="W180" s="1">
        <v>103532000</v>
      </c>
      <c r="X180" s="1">
        <v>137746000</v>
      </c>
      <c r="Y180" s="1">
        <v>118000</v>
      </c>
      <c r="Z180" s="1">
        <v>39059000</v>
      </c>
      <c r="AA180" s="1">
        <v>22010000</v>
      </c>
      <c r="AB180" s="1">
        <v>16301000</v>
      </c>
      <c r="AC180" s="1">
        <v>38788000</v>
      </c>
      <c r="AD180" s="1">
        <v>19472000</v>
      </c>
      <c r="AE180" s="7" t="s">
        <v>317</v>
      </c>
      <c r="AF180" s="7" t="s">
        <v>740</v>
      </c>
      <c r="AG180" s="7" t="s">
        <v>319</v>
      </c>
    </row>
    <row r="181" spans="1:33" ht="15.75" x14ac:dyDescent="0.25">
      <c r="A181" s="3">
        <v>1105263009422</v>
      </c>
      <c r="B181" s="9">
        <v>5263083180</v>
      </c>
      <c r="C181" s="10" t="s">
        <v>1710</v>
      </c>
      <c r="D181" s="10" t="s">
        <v>1711</v>
      </c>
      <c r="E181" s="9">
        <v>69508172</v>
      </c>
      <c r="F181" s="9">
        <v>46428000000</v>
      </c>
      <c r="G181" s="9">
        <v>16</v>
      </c>
      <c r="H181" s="9">
        <v>12300</v>
      </c>
      <c r="I181" s="9">
        <v>504201001</v>
      </c>
      <c r="J181" s="10" t="s">
        <v>1712</v>
      </c>
      <c r="K181" s="10"/>
      <c r="L181" s="3" t="s">
        <v>1072</v>
      </c>
      <c r="M181" s="10" t="s">
        <v>1073</v>
      </c>
      <c r="N181" s="10" t="s">
        <v>1713</v>
      </c>
      <c r="O181" s="10" t="s">
        <v>1714</v>
      </c>
      <c r="P181" s="11">
        <v>784003827558</v>
      </c>
      <c r="Q181" s="10" t="s">
        <v>41</v>
      </c>
      <c r="R181" s="10" t="s">
        <v>1715</v>
      </c>
      <c r="S181" s="10" t="s">
        <v>1716</v>
      </c>
      <c r="T181" s="10"/>
      <c r="U181" s="10"/>
      <c r="V181" s="3">
        <v>52477000</v>
      </c>
      <c r="W181" s="3">
        <v>87857000</v>
      </c>
      <c r="X181" s="3">
        <v>1090000</v>
      </c>
      <c r="Y181" s="3">
        <v>0</v>
      </c>
      <c r="Z181" s="3">
        <v>686268000</v>
      </c>
      <c r="AA181" s="3">
        <v>548516000</v>
      </c>
      <c r="AB181" s="3">
        <v>-68242000</v>
      </c>
      <c r="AC181" s="3">
        <v>0</v>
      </c>
      <c r="AD181" s="3">
        <v>0</v>
      </c>
      <c r="AE181" s="10" t="s">
        <v>317</v>
      </c>
      <c r="AF181" s="10" t="s">
        <v>461</v>
      </c>
      <c r="AG181" s="10" t="s">
        <v>319</v>
      </c>
    </row>
    <row r="182" spans="1:33" ht="15.75" x14ac:dyDescent="0.25">
      <c r="A182" s="1">
        <v>1067746362397</v>
      </c>
      <c r="B182" s="6">
        <v>7730537866</v>
      </c>
      <c r="C182" s="7" t="s">
        <v>1717</v>
      </c>
      <c r="D182" s="7" t="s">
        <v>1718</v>
      </c>
      <c r="E182" s="6">
        <v>94433640</v>
      </c>
      <c r="F182" s="6">
        <v>45268577000</v>
      </c>
      <c r="G182" s="6">
        <v>16</v>
      </c>
      <c r="H182" s="6">
        <v>12300</v>
      </c>
      <c r="I182" s="6">
        <v>772901001</v>
      </c>
      <c r="J182" s="7" t="s">
        <v>1719</v>
      </c>
      <c r="K182" s="7"/>
      <c r="L182" s="1" t="s">
        <v>1720</v>
      </c>
      <c r="M182" s="7" t="s">
        <v>1721</v>
      </c>
      <c r="N182" s="7" t="s">
        <v>1722</v>
      </c>
      <c r="O182" s="7" t="s">
        <v>1723</v>
      </c>
      <c r="P182" s="8">
        <v>263204882600</v>
      </c>
      <c r="Q182" s="7" t="s">
        <v>41</v>
      </c>
      <c r="R182" s="7" t="s">
        <v>1724</v>
      </c>
      <c r="S182" s="7" t="s">
        <v>1725</v>
      </c>
      <c r="T182" s="7"/>
      <c r="U182" s="7" t="s">
        <v>1726</v>
      </c>
      <c r="V182" s="1">
        <v>67507000</v>
      </c>
      <c r="W182" s="1">
        <v>276657000</v>
      </c>
      <c r="X182" s="1">
        <v>0</v>
      </c>
      <c r="Y182" s="1">
        <v>6447000</v>
      </c>
      <c r="Z182" s="1">
        <v>157020000</v>
      </c>
      <c r="AA182" s="1">
        <v>17606000</v>
      </c>
      <c r="AB182" s="1">
        <v>31496000</v>
      </c>
      <c r="AC182" s="1">
        <v>42217000</v>
      </c>
      <c r="AD182" s="1">
        <v>41933000</v>
      </c>
      <c r="AE182" s="7" t="s">
        <v>331</v>
      </c>
      <c r="AF182" s="7" t="s">
        <v>1727</v>
      </c>
      <c r="AG182" s="7" t="s">
        <v>46</v>
      </c>
    </row>
    <row r="183" spans="1:33" ht="15.75" x14ac:dyDescent="0.25">
      <c r="A183" s="3">
        <v>1035003052424</v>
      </c>
      <c r="B183" s="9">
        <v>5017041886</v>
      </c>
      <c r="C183" s="10" t="s">
        <v>1728</v>
      </c>
      <c r="D183" s="10" t="s">
        <v>1729</v>
      </c>
      <c r="E183" s="9">
        <v>53966056</v>
      </c>
      <c r="F183" s="9">
        <v>46433000000</v>
      </c>
      <c r="G183" s="9">
        <v>34</v>
      </c>
      <c r="H183" s="9">
        <v>12300</v>
      </c>
      <c r="I183" s="9">
        <v>501701001</v>
      </c>
      <c r="J183" s="10" t="s">
        <v>1730</v>
      </c>
      <c r="K183" s="10"/>
      <c r="L183" s="3" t="s">
        <v>1731</v>
      </c>
      <c r="M183" s="10" t="s">
        <v>1732</v>
      </c>
      <c r="N183" s="10" t="s">
        <v>1733</v>
      </c>
      <c r="O183" s="10" t="s">
        <v>1734</v>
      </c>
      <c r="P183" s="11">
        <v>121531169806</v>
      </c>
      <c r="Q183" s="10" t="s">
        <v>41</v>
      </c>
      <c r="R183" s="10" t="s">
        <v>1735</v>
      </c>
      <c r="S183" s="10" t="s">
        <v>1736</v>
      </c>
      <c r="T183" s="10"/>
      <c r="U183" s="10" t="s">
        <v>1737</v>
      </c>
      <c r="V183" s="3">
        <v>65650474</v>
      </c>
      <c r="W183" s="3">
        <v>165401000</v>
      </c>
      <c r="X183" s="3">
        <v>74244000</v>
      </c>
      <c r="Y183" s="3">
        <v>71167000</v>
      </c>
      <c r="Z183" s="3">
        <v>4703000</v>
      </c>
      <c r="AA183" s="3">
        <v>18748000</v>
      </c>
      <c r="AB183" s="3">
        <v>263000</v>
      </c>
      <c r="AC183" s="3">
        <v>2886000</v>
      </c>
      <c r="AD183" s="3">
        <v>350000</v>
      </c>
      <c r="AE183" s="10" t="s">
        <v>331</v>
      </c>
      <c r="AF183" s="10" t="s">
        <v>776</v>
      </c>
      <c r="AG183" s="10" t="s">
        <v>46</v>
      </c>
    </row>
    <row r="184" spans="1:33" ht="15.75" x14ac:dyDescent="0.25">
      <c r="A184" s="1">
        <v>1035002455388</v>
      </c>
      <c r="B184" s="6">
        <v>5012021741</v>
      </c>
      <c r="C184" s="7" t="s">
        <v>1738</v>
      </c>
      <c r="D184" s="7" t="s">
        <v>1739</v>
      </c>
      <c r="E184" s="6">
        <v>56856463</v>
      </c>
      <c r="F184" s="6">
        <v>46404000000</v>
      </c>
      <c r="G184" s="6">
        <v>16</v>
      </c>
      <c r="H184" s="6">
        <v>12300</v>
      </c>
      <c r="I184" s="6">
        <v>501201001</v>
      </c>
      <c r="J184" s="7" t="s">
        <v>1740</v>
      </c>
      <c r="K184" s="7"/>
      <c r="L184" s="1" t="s">
        <v>288</v>
      </c>
      <c r="M184" s="7" t="s">
        <v>289</v>
      </c>
      <c r="N184" s="7" t="s">
        <v>1741</v>
      </c>
      <c r="O184" s="7" t="s">
        <v>1742</v>
      </c>
      <c r="P184" s="8">
        <v>501205651009</v>
      </c>
      <c r="Q184" s="7" t="s">
        <v>41</v>
      </c>
      <c r="R184" s="7" t="s">
        <v>1743</v>
      </c>
      <c r="S184" s="7" t="s">
        <v>1744</v>
      </c>
      <c r="T184" s="7"/>
      <c r="U184" s="7" t="s">
        <v>1745</v>
      </c>
      <c r="V184" s="1">
        <v>11274603</v>
      </c>
      <c r="W184" s="1">
        <v>517554000</v>
      </c>
      <c r="X184" s="1">
        <v>46550000</v>
      </c>
      <c r="Y184" s="1">
        <v>34541000</v>
      </c>
      <c r="Z184" s="1">
        <v>102919000</v>
      </c>
      <c r="AA184" s="1">
        <v>93351000</v>
      </c>
      <c r="AB184" s="1">
        <v>41038000</v>
      </c>
      <c r="AC184" s="1">
        <v>42560000</v>
      </c>
      <c r="AD184" s="1">
        <v>54940000</v>
      </c>
      <c r="AE184" s="7" t="s">
        <v>317</v>
      </c>
      <c r="AF184" s="7" t="s">
        <v>493</v>
      </c>
      <c r="AG184" s="7" t="s">
        <v>46</v>
      </c>
    </row>
    <row r="185" spans="1:33" ht="15.75" x14ac:dyDescent="0.25">
      <c r="A185" s="3">
        <v>1067746399929</v>
      </c>
      <c r="B185" s="9">
        <v>7709666234</v>
      </c>
      <c r="C185" s="10" t="s">
        <v>1746</v>
      </c>
      <c r="D185" s="10" t="s">
        <v>1747</v>
      </c>
      <c r="E185" s="9">
        <v>13247558</v>
      </c>
      <c r="F185" s="9">
        <v>45286580000</v>
      </c>
      <c r="G185" s="9">
        <v>16</v>
      </c>
      <c r="H185" s="9">
        <v>12267</v>
      </c>
      <c r="I185" s="9">
        <v>770901001</v>
      </c>
      <c r="J185" s="10" t="s">
        <v>1748</v>
      </c>
      <c r="K185" s="10"/>
      <c r="L185" s="3" t="s">
        <v>1749</v>
      </c>
      <c r="M185" s="10" t="s">
        <v>1750</v>
      </c>
      <c r="N185" s="10" t="s">
        <v>1751</v>
      </c>
      <c r="O185" s="10" t="s">
        <v>1752</v>
      </c>
      <c r="P185" s="11">
        <v>773100602150</v>
      </c>
      <c r="Q185" s="10" t="s">
        <v>41</v>
      </c>
      <c r="R185" s="10" t="s">
        <v>1753</v>
      </c>
      <c r="S185" s="10" t="s">
        <v>1754</v>
      </c>
      <c r="T185" s="10" t="s">
        <v>1755</v>
      </c>
      <c r="U185" s="10" t="s">
        <v>1756</v>
      </c>
      <c r="V185" s="3">
        <v>15000000</v>
      </c>
      <c r="W185" s="3">
        <v>180482000</v>
      </c>
      <c r="X185" s="3">
        <v>5688000</v>
      </c>
      <c r="Y185" s="3">
        <v>1581000</v>
      </c>
      <c r="Z185" s="3">
        <v>62433000</v>
      </c>
      <c r="AA185" s="3">
        <v>38854000</v>
      </c>
      <c r="AB185" s="3">
        <v>6157000</v>
      </c>
      <c r="AC185" s="3">
        <v>-8089000</v>
      </c>
      <c r="AD185" s="3">
        <v>8952000</v>
      </c>
      <c r="AE185" s="10" t="s">
        <v>331</v>
      </c>
      <c r="AF185" s="10" t="s">
        <v>1757</v>
      </c>
      <c r="AG185" s="10" t="s">
        <v>46</v>
      </c>
    </row>
    <row r="186" spans="1:33" ht="15.75" x14ac:dyDescent="0.25">
      <c r="A186" s="1">
        <v>1037739703110</v>
      </c>
      <c r="B186" s="6">
        <v>7721112120</v>
      </c>
      <c r="C186" s="7" t="s">
        <v>1758</v>
      </c>
      <c r="D186" s="7" t="s">
        <v>1759</v>
      </c>
      <c r="E186" s="6">
        <v>44413720</v>
      </c>
      <c r="F186" s="6">
        <v>45296597000</v>
      </c>
      <c r="G186" s="6">
        <v>16</v>
      </c>
      <c r="H186" s="6">
        <v>12300</v>
      </c>
      <c r="I186" s="6">
        <v>772401001</v>
      </c>
      <c r="J186" s="7" t="s">
        <v>1760</v>
      </c>
      <c r="K186" s="7"/>
      <c r="L186" s="1" t="s">
        <v>50</v>
      </c>
      <c r="M186" s="7" t="s">
        <v>51</v>
      </c>
      <c r="N186" s="7" t="s">
        <v>1761</v>
      </c>
      <c r="O186" s="7" t="s">
        <v>1762</v>
      </c>
      <c r="P186" s="8">
        <v>253910601800</v>
      </c>
      <c r="Q186" s="7" t="s">
        <v>150</v>
      </c>
      <c r="R186" s="7" t="s">
        <v>1763</v>
      </c>
      <c r="S186" s="7" t="s">
        <v>1764</v>
      </c>
      <c r="T186" s="7"/>
      <c r="U186" s="7" t="s">
        <v>1765</v>
      </c>
      <c r="V186" s="1">
        <v>11000000</v>
      </c>
      <c r="W186" s="1">
        <v>436481000</v>
      </c>
      <c r="X186" s="1">
        <v>4150000</v>
      </c>
      <c r="Y186" s="1">
        <v>39000</v>
      </c>
      <c r="Z186" s="1">
        <v>96396000</v>
      </c>
      <c r="AA186" s="1">
        <v>51411000</v>
      </c>
      <c r="AB186" s="1">
        <v>31334000</v>
      </c>
      <c r="AC186" s="1">
        <v>0</v>
      </c>
      <c r="AD186" s="1">
        <v>0</v>
      </c>
      <c r="AE186" s="7" t="s">
        <v>317</v>
      </c>
      <c r="AF186" s="7" t="s">
        <v>821</v>
      </c>
      <c r="AG186" s="7" t="s">
        <v>46</v>
      </c>
    </row>
    <row r="187" spans="1:33" ht="15.75" x14ac:dyDescent="0.25">
      <c r="A187" s="3">
        <v>1037789050166</v>
      </c>
      <c r="B187" s="9">
        <v>7730501436</v>
      </c>
      <c r="C187" s="10" t="s">
        <v>1766</v>
      </c>
      <c r="D187" s="10" t="s">
        <v>1767</v>
      </c>
      <c r="E187" s="9">
        <v>71353541</v>
      </c>
      <c r="F187" s="9">
        <v>45286552000</v>
      </c>
      <c r="G187" s="9">
        <v>16</v>
      </c>
      <c r="H187" s="9">
        <v>12300</v>
      </c>
      <c r="I187" s="9">
        <v>770401001</v>
      </c>
      <c r="J187" s="10" t="s">
        <v>1768</v>
      </c>
      <c r="K187" s="10"/>
      <c r="L187" s="3" t="s">
        <v>1769</v>
      </c>
      <c r="M187" s="10" t="s">
        <v>1770</v>
      </c>
      <c r="N187" s="10" t="s">
        <v>1771</v>
      </c>
      <c r="O187" s="10" t="s">
        <v>1772</v>
      </c>
      <c r="P187" s="11">
        <v>772500711786</v>
      </c>
      <c r="Q187" s="10" t="s">
        <v>41</v>
      </c>
      <c r="R187" s="10" t="s">
        <v>1773</v>
      </c>
      <c r="S187" s="10" t="s">
        <v>1774</v>
      </c>
      <c r="T187" s="10" t="s">
        <v>1775</v>
      </c>
      <c r="U187" s="10" t="s">
        <v>1776</v>
      </c>
      <c r="V187" s="3">
        <v>63600000</v>
      </c>
      <c r="W187" s="3">
        <v>97716000</v>
      </c>
      <c r="X187" s="3">
        <v>111000</v>
      </c>
      <c r="Y187" s="3">
        <v>236294000</v>
      </c>
      <c r="Z187" s="3">
        <v>13242000</v>
      </c>
      <c r="AA187" s="3">
        <v>6587000</v>
      </c>
      <c r="AB187" s="3">
        <v>-5021000</v>
      </c>
      <c r="AC187" s="3">
        <v>0</v>
      </c>
      <c r="AD187" s="3">
        <v>0</v>
      </c>
      <c r="AE187" s="10" t="s">
        <v>331</v>
      </c>
      <c r="AF187" s="10" t="s">
        <v>947</v>
      </c>
      <c r="AG187" s="10" t="s">
        <v>46</v>
      </c>
    </row>
    <row r="188" spans="1:33" ht="15.75" x14ac:dyDescent="0.25">
      <c r="A188" s="1">
        <v>1147746052475</v>
      </c>
      <c r="B188" s="6">
        <v>7716764909</v>
      </c>
      <c r="C188" s="7" t="s">
        <v>1777</v>
      </c>
      <c r="D188" s="7" t="s">
        <v>1778</v>
      </c>
      <c r="E188" s="6">
        <v>27541712</v>
      </c>
      <c r="F188" s="6">
        <v>45293566000</v>
      </c>
      <c r="G188" s="6">
        <v>16</v>
      </c>
      <c r="H188" s="6">
        <v>12300</v>
      </c>
      <c r="I188" s="6">
        <v>772801001</v>
      </c>
      <c r="J188" s="7" t="s">
        <v>1779</v>
      </c>
      <c r="K188" s="7"/>
      <c r="L188" s="1" t="s">
        <v>1780</v>
      </c>
      <c r="M188" s="7" t="s">
        <v>1781</v>
      </c>
      <c r="N188" s="7" t="s">
        <v>1782</v>
      </c>
      <c r="O188" s="7" t="s">
        <v>1783</v>
      </c>
      <c r="P188" s="8">
        <v>344347094849</v>
      </c>
      <c r="Q188" s="7" t="s">
        <v>41</v>
      </c>
      <c r="R188" s="7" t="s">
        <v>1784</v>
      </c>
      <c r="S188" s="7" t="s">
        <v>1785</v>
      </c>
      <c r="T188" s="7" t="s">
        <v>1786</v>
      </c>
      <c r="U188" s="7" t="s">
        <v>1787</v>
      </c>
      <c r="V188" s="1">
        <v>10723460</v>
      </c>
      <c r="W188" s="1">
        <v>218658000</v>
      </c>
      <c r="X188" s="1">
        <v>46297000</v>
      </c>
      <c r="Y188" s="1">
        <v>3000</v>
      </c>
      <c r="Z188" s="1">
        <v>26335000</v>
      </c>
      <c r="AA188" s="1">
        <v>7479000</v>
      </c>
      <c r="AB188" s="1">
        <v>9548000</v>
      </c>
      <c r="AC188" s="1">
        <v>10852000</v>
      </c>
      <c r="AD188" s="1">
        <v>9276000</v>
      </c>
      <c r="AE188" s="7" t="s">
        <v>730</v>
      </c>
      <c r="AF188" s="7" t="s">
        <v>1788</v>
      </c>
      <c r="AG188" s="7" t="s">
        <v>46</v>
      </c>
    </row>
    <row r="189" spans="1:33" ht="15.75" x14ac:dyDescent="0.25">
      <c r="A189" s="3">
        <v>1035005007421</v>
      </c>
      <c r="B189" s="9">
        <v>5027067266</v>
      </c>
      <c r="C189" s="10" t="s">
        <v>1789</v>
      </c>
      <c r="D189" s="10" t="s">
        <v>1790</v>
      </c>
      <c r="E189" s="9">
        <v>45751293</v>
      </c>
      <c r="F189" s="9">
        <v>46444000000</v>
      </c>
      <c r="G189" s="9">
        <v>16</v>
      </c>
      <c r="H189" s="9">
        <v>12300</v>
      </c>
      <c r="I189" s="9">
        <v>502701001</v>
      </c>
      <c r="J189" s="10" t="s">
        <v>1791</v>
      </c>
      <c r="K189" s="10"/>
      <c r="L189" s="3" t="s">
        <v>158</v>
      </c>
      <c r="M189" s="10" t="s">
        <v>159</v>
      </c>
      <c r="N189" s="10" t="s">
        <v>1792</v>
      </c>
      <c r="O189" s="10" t="s">
        <v>1793</v>
      </c>
      <c r="P189" s="11">
        <v>502700180645</v>
      </c>
      <c r="Q189" s="10" t="s">
        <v>150</v>
      </c>
      <c r="R189" s="10" t="s">
        <v>1794</v>
      </c>
      <c r="S189" s="10" t="s">
        <v>1795</v>
      </c>
      <c r="T189" s="10" t="s">
        <v>1796</v>
      </c>
      <c r="U189" s="10"/>
      <c r="V189" s="3">
        <v>81270703</v>
      </c>
      <c r="W189" s="3">
        <v>961268000</v>
      </c>
      <c r="X189" s="3">
        <v>2288992000</v>
      </c>
      <c r="Y189" s="3">
        <v>1115225000</v>
      </c>
      <c r="Z189" s="3">
        <v>115488000</v>
      </c>
      <c r="AA189" s="3">
        <v>2791727000</v>
      </c>
      <c r="AB189" s="3">
        <v>92660000</v>
      </c>
      <c r="AC189" s="3">
        <v>117052000</v>
      </c>
      <c r="AD189" s="3">
        <v>105931000</v>
      </c>
      <c r="AE189" s="10" t="s">
        <v>331</v>
      </c>
      <c r="AF189" s="10" t="s">
        <v>530</v>
      </c>
      <c r="AG189" s="10" t="s">
        <v>46</v>
      </c>
    </row>
    <row r="190" spans="1:33" ht="15.75" x14ac:dyDescent="0.25">
      <c r="A190" s="1">
        <v>1061105006456</v>
      </c>
      <c r="B190" s="6">
        <v>1105018198</v>
      </c>
      <c r="C190" s="7" t="s">
        <v>1797</v>
      </c>
      <c r="D190" s="7" t="s">
        <v>1798</v>
      </c>
      <c r="E190" s="6">
        <v>40808999</v>
      </c>
      <c r="F190" s="6">
        <v>45268560000</v>
      </c>
      <c r="G190" s="6">
        <v>16</v>
      </c>
      <c r="H190" s="6">
        <v>12300</v>
      </c>
      <c r="I190" s="6">
        <v>773101001</v>
      </c>
      <c r="J190" s="7" t="s">
        <v>1799</v>
      </c>
      <c r="K190" s="7"/>
      <c r="L190" s="1" t="s">
        <v>1800</v>
      </c>
      <c r="M190" s="7" t="s">
        <v>1801</v>
      </c>
      <c r="N190" s="7" t="s">
        <v>1802</v>
      </c>
      <c r="O190" s="7" t="s">
        <v>1803</v>
      </c>
      <c r="P190" s="8">
        <v>110504778303</v>
      </c>
      <c r="Q190" s="7" t="s">
        <v>41</v>
      </c>
      <c r="R190" s="7" t="s">
        <v>1804</v>
      </c>
      <c r="S190" s="7" t="s">
        <v>1805</v>
      </c>
      <c r="T190" s="7"/>
      <c r="U190" s="7"/>
      <c r="V190" s="1">
        <v>67930000</v>
      </c>
      <c r="W190" s="1">
        <v>116735000</v>
      </c>
      <c r="X190" s="1">
        <v>2827000</v>
      </c>
      <c r="Y190" s="1">
        <v>564000</v>
      </c>
      <c r="Z190" s="1">
        <v>134282000</v>
      </c>
      <c r="AA190" s="1">
        <v>14347000</v>
      </c>
      <c r="AB190" s="1">
        <v>-6822000</v>
      </c>
      <c r="AC190" s="1">
        <v>0</v>
      </c>
      <c r="AD190" s="1">
        <v>0</v>
      </c>
      <c r="AE190" s="7" t="s">
        <v>331</v>
      </c>
      <c r="AF190" s="7" t="s">
        <v>453</v>
      </c>
      <c r="AG190" s="7" t="s">
        <v>319</v>
      </c>
    </row>
    <row r="191" spans="1:33" ht="15.75" x14ac:dyDescent="0.25">
      <c r="A191" s="3">
        <v>1035004250380</v>
      </c>
      <c r="B191" s="9">
        <v>5022028545</v>
      </c>
      <c r="C191" s="10" t="s">
        <v>1806</v>
      </c>
      <c r="D191" s="10" t="s">
        <v>1807</v>
      </c>
      <c r="E191" s="9">
        <v>56804696</v>
      </c>
      <c r="F191" s="9">
        <v>46438000000</v>
      </c>
      <c r="G191" s="9">
        <v>16</v>
      </c>
      <c r="H191" s="9">
        <v>12300</v>
      </c>
      <c r="I191" s="9">
        <v>502201001</v>
      </c>
      <c r="J191" s="10" t="s">
        <v>1808</v>
      </c>
      <c r="K191" s="10"/>
      <c r="L191" s="3" t="s">
        <v>288</v>
      </c>
      <c r="M191" s="10" t="s">
        <v>289</v>
      </c>
      <c r="N191" s="10"/>
      <c r="O191" s="10" t="s">
        <v>1809</v>
      </c>
      <c r="P191" s="11">
        <v>620550367450</v>
      </c>
      <c r="Q191" s="10" t="s">
        <v>41</v>
      </c>
      <c r="R191" s="10" t="s">
        <v>1810</v>
      </c>
      <c r="S191" s="10" t="s">
        <v>1811</v>
      </c>
      <c r="T191" s="10"/>
      <c r="U191" s="10" t="s">
        <v>1812</v>
      </c>
      <c r="V191" s="3">
        <v>40000000</v>
      </c>
      <c r="W191" s="3">
        <v>302080000</v>
      </c>
      <c r="X191" s="3">
        <v>16144000</v>
      </c>
      <c r="Y191" s="3">
        <v>706113000</v>
      </c>
      <c r="Z191" s="3">
        <v>19157000</v>
      </c>
      <c r="AA191" s="3">
        <v>466497000</v>
      </c>
      <c r="AB191" s="3">
        <v>30529000</v>
      </c>
      <c r="AC191" s="3">
        <v>39381000</v>
      </c>
      <c r="AD191" s="3">
        <v>40826000</v>
      </c>
      <c r="AE191" s="10" t="s">
        <v>331</v>
      </c>
      <c r="AF191" s="10" t="s">
        <v>132</v>
      </c>
      <c r="AG191" s="10" t="s">
        <v>319</v>
      </c>
    </row>
    <row r="192" spans="1:33" ht="15.75" x14ac:dyDescent="0.25">
      <c r="A192" s="1">
        <v>1037739581318</v>
      </c>
      <c r="B192" s="6">
        <v>7716078071</v>
      </c>
      <c r="C192" s="7" t="s">
        <v>1813</v>
      </c>
      <c r="D192" s="7" t="s">
        <v>1814</v>
      </c>
      <c r="E192" s="6">
        <v>17782372</v>
      </c>
      <c r="F192" s="6">
        <v>45280597000</v>
      </c>
      <c r="G192" s="6">
        <v>16</v>
      </c>
      <c r="H192" s="6">
        <v>12300</v>
      </c>
      <c r="I192" s="6">
        <v>771601001</v>
      </c>
      <c r="J192" s="7" t="s">
        <v>1815</v>
      </c>
      <c r="K192" s="7"/>
      <c r="L192" s="1" t="s">
        <v>277</v>
      </c>
      <c r="M192" s="7" t="s">
        <v>278</v>
      </c>
      <c r="N192" s="7" t="s">
        <v>1816</v>
      </c>
      <c r="O192" s="7" t="s">
        <v>1817</v>
      </c>
      <c r="P192" s="8">
        <v>774316218283</v>
      </c>
      <c r="Q192" s="7" t="s">
        <v>41</v>
      </c>
      <c r="R192" s="7" t="s">
        <v>1818</v>
      </c>
      <c r="S192" s="7" t="s">
        <v>1819</v>
      </c>
      <c r="T192" s="7"/>
      <c r="U192" s="7"/>
      <c r="V192" s="1">
        <v>12008349</v>
      </c>
      <c r="W192" s="1">
        <v>123178000</v>
      </c>
      <c r="X192" s="1">
        <v>18385000</v>
      </c>
      <c r="Y192" s="1">
        <v>1186000</v>
      </c>
      <c r="Z192" s="1">
        <v>25198000</v>
      </c>
      <c r="AA192" s="1">
        <v>2612000</v>
      </c>
      <c r="AB192" s="1">
        <v>8575000</v>
      </c>
      <c r="AC192" s="1">
        <v>0</v>
      </c>
      <c r="AD192" s="1">
        <v>0</v>
      </c>
      <c r="AE192" s="7" t="s">
        <v>331</v>
      </c>
      <c r="AF192" s="7" t="s">
        <v>1582</v>
      </c>
      <c r="AG192" s="7" t="s">
        <v>46</v>
      </c>
    </row>
    <row r="193" spans="1:33" ht="15.75" x14ac:dyDescent="0.25">
      <c r="A193" s="3">
        <v>1035005518020</v>
      </c>
      <c r="B193" s="9">
        <v>5029070497</v>
      </c>
      <c r="C193" s="10" t="s">
        <v>1820</v>
      </c>
      <c r="D193" s="10" t="s">
        <v>1821</v>
      </c>
      <c r="E193" s="9">
        <v>70388555</v>
      </c>
      <c r="F193" s="9">
        <v>46446000000</v>
      </c>
      <c r="G193" s="9">
        <v>16</v>
      </c>
      <c r="H193" s="9">
        <v>12300</v>
      </c>
      <c r="I193" s="9">
        <v>502901001</v>
      </c>
      <c r="J193" s="10" t="s">
        <v>1822</v>
      </c>
      <c r="K193" s="10"/>
      <c r="L193" s="3" t="s">
        <v>1823</v>
      </c>
      <c r="M193" s="10" t="s">
        <v>1824</v>
      </c>
      <c r="N193" s="10" t="s">
        <v>1825</v>
      </c>
      <c r="O193" s="10" t="s">
        <v>1826</v>
      </c>
      <c r="P193" s="11">
        <v>570301939579</v>
      </c>
      <c r="Q193" s="10" t="s">
        <v>41</v>
      </c>
      <c r="R193" s="10" t="s">
        <v>1827</v>
      </c>
      <c r="S193" s="10" t="s">
        <v>1828</v>
      </c>
      <c r="T193" s="10"/>
      <c r="U193" s="10" t="s">
        <v>1829</v>
      </c>
      <c r="V193" s="3">
        <v>46020000</v>
      </c>
      <c r="W193" s="3">
        <v>161750000</v>
      </c>
      <c r="X193" s="3">
        <v>273602000</v>
      </c>
      <c r="Y193" s="3">
        <v>8085678000</v>
      </c>
      <c r="Z193" s="3">
        <v>1376136000</v>
      </c>
      <c r="AA193" s="3">
        <v>404922000</v>
      </c>
      <c r="AB193" s="3">
        <v>-96607000</v>
      </c>
      <c r="AC193" s="3">
        <v>-75331000</v>
      </c>
      <c r="AD193" s="3">
        <v>-124079000</v>
      </c>
      <c r="AE193" s="10" t="s">
        <v>331</v>
      </c>
      <c r="AF193" s="10" t="s">
        <v>373</v>
      </c>
      <c r="AG193" s="10" t="s">
        <v>46</v>
      </c>
    </row>
    <row r="194" spans="1:33" ht="15.75" x14ac:dyDescent="0.25">
      <c r="A194" s="1">
        <v>1037739405725</v>
      </c>
      <c r="B194" s="6">
        <v>7737055082</v>
      </c>
      <c r="C194" s="7" t="s">
        <v>1830</v>
      </c>
      <c r="D194" s="7" t="s">
        <v>1831</v>
      </c>
      <c r="E194" s="6">
        <v>11619949</v>
      </c>
      <c r="F194" s="6">
        <v>45286580000</v>
      </c>
      <c r="G194" s="6">
        <v>16</v>
      </c>
      <c r="H194" s="6">
        <v>12267</v>
      </c>
      <c r="I194" s="6">
        <v>770901001</v>
      </c>
      <c r="J194" s="7" t="s">
        <v>1832</v>
      </c>
      <c r="K194" s="7"/>
      <c r="L194" s="1" t="s">
        <v>1833</v>
      </c>
      <c r="M194" s="7" t="s">
        <v>1834</v>
      </c>
      <c r="N194" s="7" t="s">
        <v>1835</v>
      </c>
      <c r="O194" s="7" t="s">
        <v>1836</v>
      </c>
      <c r="P194" s="8">
        <v>420700266112</v>
      </c>
      <c r="Q194" s="7" t="s">
        <v>41</v>
      </c>
      <c r="R194" s="7" t="s">
        <v>1837</v>
      </c>
      <c r="S194" s="7" t="s">
        <v>1838</v>
      </c>
      <c r="T194" s="7" t="s">
        <v>1839</v>
      </c>
      <c r="U194" s="7" t="s">
        <v>1840</v>
      </c>
      <c r="V194" s="1">
        <v>63750000</v>
      </c>
      <c r="W194" s="1">
        <v>199016000</v>
      </c>
      <c r="X194" s="1">
        <v>4667000</v>
      </c>
      <c r="Y194" s="1">
        <v>411000</v>
      </c>
      <c r="Z194" s="1">
        <v>77378000</v>
      </c>
      <c r="AA194" s="1">
        <v>14305000</v>
      </c>
      <c r="AB194" s="1">
        <v>69473000</v>
      </c>
      <c r="AC194" s="1">
        <v>55373000</v>
      </c>
      <c r="AD194" s="1">
        <v>83774000</v>
      </c>
      <c r="AE194" s="7" t="s">
        <v>331</v>
      </c>
      <c r="AF194" s="7" t="s">
        <v>669</v>
      </c>
      <c r="AG194" s="7" t="s">
        <v>46</v>
      </c>
    </row>
    <row r="195" spans="1:33" ht="15.75" x14ac:dyDescent="0.25">
      <c r="A195" s="3">
        <v>1127746467419</v>
      </c>
      <c r="B195" s="9">
        <v>7725759535</v>
      </c>
      <c r="C195" s="10" t="s">
        <v>1841</v>
      </c>
      <c r="D195" s="10" t="s">
        <v>1842</v>
      </c>
      <c r="E195" s="9">
        <v>9882846</v>
      </c>
      <c r="F195" s="9">
        <v>45268588000</v>
      </c>
      <c r="G195" s="9">
        <v>16</v>
      </c>
      <c r="H195" s="9">
        <v>12300</v>
      </c>
      <c r="I195" s="9">
        <v>775101001</v>
      </c>
      <c r="J195" s="10" t="s">
        <v>1843</v>
      </c>
      <c r="K195" s="10"/>
      <c r="L195" s="3" t="s">
        <v>1844</v>
      </c>
      <c r="M195" s="10" t="s">
        <v>1845</v>
      </c>
      <c r="N195" s="10" t="s">
        <v>1846</v>
      </c>
      <c r="O195" s="10" t="s">
        <v>1847</v>
      </c>
      <c r="P195" s="11">
        <v>772300380209</v>
      </c>
      <c r="Q195" s="10" t="s">
        <v>1848</v>
      </c>
      <c r="R195" s="10" t="s">
        <v>1849</v>
      </c>
      <c r="S195" s="10" t="s">
        <v>1850</v>
      </c>
      <c r="T195" s="10" t="s">
        <v>1851</v>
      </c>
      <c r="U195" s="10"/>
      <c r="V195" s="3">
        <v>15000000</v>
      </c>
      <c r="W195" s="3">
        <v>98942000</v>
      </c>
      <c r="X195" s="3">
        <v>0</v>
      </c>
      <c r="Y195" s="3">
        <v>43021000</v>
      </c>
      <c r="Z195" s="3">
        <v>31575000</v>
      </c>
      <c r="AA195" s="3">
        <v>2755000</v>
      </c>
      <c r="AB195" s="3">
        <v>9743000</v>
      </c>
      <c r="AC195" s="3">
        <v>0</v>
      </c>
      <c r="AD195" s="3">
        <v>0</v>
      </c>
      <c r="AE195" s="10" t="s">
        <v>317</v>
      </c>
      <c r="AF195" s="10" t="s">
        <v>352</v>
      </c>
      <c r="AG195" s="10" t="s">
        <v>46</v>
      </c>
    </row>
    <row r="196" spans="1:33" ht="15.75" x14ac:dyDescent="0.25">
      <c r="A196" s="1">
        <v>1127746545090</v>
      </c>
      <c r="B196" s="6">
        <v>7703771881</v>
      </c>
      <c r="C196" s="7" t="s">
        <v>1852</v>
      </c>
      <c r="D196" s="7" t="s">
        <v>1853</v>
      </c>
      <c r="E196" s="6">
        <v>9899290</v>
      </c>
      <c r="F196" s="6">
        <v>45286575000</v>
      </c>
      <c r="G196" s="6">
        <v>16</v>
      </c>
      <c r="H196" s="6">
        <v>12300</v>
      </c>
      <c r="I196" s="6">
        <v>770301001</v>
      </c>
      <c r="J196" s="7" t="s">
        <v>1854</v>
      </c>
      <c r="K196" s="7"/>
      <c r="L196" s="1" t="s">
        <v>1855</v>
      </c>
      <c r="M196" s="7" t="s">
        <v>1856</v>
      </c>
      <c r="N196" s="7" t="s">
        <v>1857</v>
      </c>
      <c r="O196" s="7" t="s">
        <v>1858</v>
      </c>
      <c r="P196" s="8">
        <v>711502576500</v>
      </c>
      <c r="Q196" s="7" t="s">
        <v>41</v>
      </c>
      <c r="R196" s="7" t="s">
        <v>1859</v>
      </c>
      <c r="S196" s="7" t="s">
        <v>1860</v>
      </c>
      <c r="T196" s="7"/>
      <c r="U196" s="7" t="s">
        <v>1861</v>
      </c>
      <c r="V196" s="1">
        <v>10020000</v>
      </c>
      <c r="W196" s="1">
        <v>126520000</v>
      </c>
      <c r="X196" s="1">
        <v>101000</v>
      </c>
      <c r="Y196" s="1">
        <v>46680000</v>
      </c>
      <c r="Z196" s="1">
        <v>12127000</v>
      </c>
      <c r="AA196" s="1">
        <v>9920000</v>
      </c>
      <c r="AB196" s="1">
        <v>296000</v>
      </c>
      <c r="AC196" s="1">
        <v>20141000</v>
      </c>
      <c r="AD196" s="1">
        <v>346000</v>
      </c>
      <c r="AE196" s="7" t="s">
        <v>331</v>
      </c>
      <c r="AF196" s="7" t="s">
        <v>318</v>
      </c>
      <c r="AG196" s="7" t="s">
        <v>46</v>
      </c>
    </row>
    <row r="197" spans="1:33" ht="15.75" x14ac:dyDescent="0.25">
      <c r="A197" s="3">
        <v>1037739819721</v>
      </c>
      <c r="B197" s="9">
        <v>7743504064</v>
      </c>
      <c r="C197" s="10" t="s">
        <v>1862</v>
      </c>
      <c r="D197" s="10" t="s">
        <v>1863</v>
      </c>
      <c r="E197" s="9">
        <v>70050643</v>
      </c>
      <c r="F197" s="9">
        <v>46446000156</v>
      </c>
      <c r="G197" s="9">
        <v>16</v>
      </c>
      <c r="H197" s="9">
        <v>12300</v>
      </c>
      <c r="I197" s="9">
        <v>502901001</v>
      </c>
      <c r="J197" s="10" t="s">
        <v>1864</v>
      </c>
      <c r="K197" s="10"/>
      <c r="L197" s="3" t="s">
        <v>404</v>
      </c>
      <c r="M197" s="10" t="s">
        <v>405</v>
      </c>
      <c r="N197" s="10" t="s">
        <v>1865</v>
      </c>
      <c r="O197" s="10" t="s">
        <v>1866</v>
      </c>
      <c r="P197" s="11">
        <v>572005737336</v>
      </c>
      <c r="Q197" s="10" t="s">
        <v>41</v>
      </c>
      <c r="R197" s="10" t="s">
        <v>1867</v>
      </c>
      <c r="S197" s="10" t="s">
        <v>1868</v>
      </c>
      <c r="T197" s="10"/>
      <c r="U197" s="10" t="s">
        <v>1869</v>
      </c>
      <c r="V197" s="3">
        <v>15000000</v>
      </c>
      <c r="W197" s="3">
        <v>107847000</v>
      </c>
      <c r="X197" s="3">
        <v>83507000</v>
      </c>
      <c r="Y197" s="3">
        <v>0</v>
      </c>
      <c r="Z197" s="3">
        <v>15934000</v>
      </c>
      <c r="AA197" s="3">
        <v>286456000</v>
      </c>
      <c r="AB197" s="3">
        <v>-10509000</v>
      </c>
      <c r="AC197" s="3">
        <v>0</v>
      </c>
      <c r="AD197" s="3">
        <v>0</v>
      </c>
      <c r="AE197" s="10" t="s">
        <v>317</v>
      </c>
      <c r="AF197" s="10" t="s">
        <v>410</v>
      </c>
      <c r="AG197" s="10" t="s">
        <v>319</v>
      </c>
    </row>
    <row r="198" spans="1:33" ht="15.75" x14ac:dyDescent="0.25">
      <c r="A198" s="1">
        <v>5077746928089</v>
      </c>
      <c r="B198" s="6">
        <v>7728624328</v>
      </c>
      <c r="C198" s="7" t="s">
        <v>1870</v>
      </c>
      <c r="D198" s="7" t="s">
        <v>1871</v>
      </c>
      <c r="E198" s="6">
        <v>81400879</v>
      </c>
      <c r="F198" s="6">
        <v>45268584000</v>
      </c>
      <c r="G198" s="6">
        <v>16</v>
      </c>
      <c r="H198" s="6">
        <v>12300</v>
      </c>
      <c r="I198" s="6">
        <v>772901001</v>
      </c>
      <c r="J198" s="7" t="s">
        <v>1872</v>
      </c>
      <c r="K198" s="7"/>
      <c r="L198" s="1" t="s">
        <v>1576</v>
      </c>
      <c r="M198" s="7" t="s">
        <v>1577</v>
      </c>
      <c r="N198" s="7" t="s">
        <v>655</v>
      </c>
      <c r="O198" s="7" t="s">
        <v>1873</v>
      </c>
      <c r="P198" s="8">
        <v>771614626204</v>
      </c>
      <c r="Q198" s="7" t="s">
        <v>41</v>
      </c>
      <c r="R198" s="7" t="s">
        <v>1874</v>
      </c>
      <c r="S198" s="7" t="s">
        <v>1875</v>
      </c>
      <c r="T198" s="7"/>
      <c r="U198" s="7"/>
      <c r="V198" s="1">
        <v>40100000</v>
      </c>
      <c r="W198" s="1">
        <v>79464000</v>
      </c>
      <c r="X198" s="1">
        <v>709000</v>
      </c>
      <c r="Y198" s="1">
        <v>0</v>
      </c>
      <c r="Z198" s="1">
        <v>7000</v>
      </c>
      <c r="AA198" s="1">
        <v>7919000</v>
      </c>
      <c r="AB198" s="1">
        <v>66855000</v>
      </c>
      <c r="AC198" s="1">
        <v>74233000</v>
      </c>
      <c r="AD198" s="1">
        <v>76810000</v>
      </c>
      <c r="AE198" s="7" t="s">
        <v>317</v>
      </c>
      <c r="AF198" s="7" t="s">
        <v>421</v>
      </c>
      <c r="AG198" s="7" t="s">
        <v>319</v>
      </c>
    </row>
    <row r="199" spans="1:33" ht="15.75" x14ac:dyDescent="0.25">
      <c r="A199" s="3">
        <v>1035006495171</v>
      </c>
      <c r="B199" s="9">
        <v>5032094681</v>
      </c>
      <c r="C199" s="10" t="s">
        <v>1876</v>
      </c>
      <c r="D199" s="10" t="s">
        <v>1877</v>
      </c>
      <c r="E199" s="9">
        <v>70408375</v>
      </c>
      <c r="F199" s="9">
        <v>45280574000</v>
      </c>
      <c r="G199" s="9">
        <v>34</v>
      </c>
      <c r="H199" s="9">
        <v>12300</v>
      </c>
      <c r="I199" s="9">
        <v>771501001</v>
      </c>
      <c r="J199" s="10" t="s">
        <v>1878</v>
      </c>
      <c r="K199" s="10"/>
      <c r="L199" s="3" t="s">
        <v>1879</v>
      </c>
      <c r="M199" s="10" t="s">
        <v>1880</v>
      </c>
      <c r="N199" s="10" t="s">
        <v>1881</v>
      </c>
      <c r="O199" s="10" t="s">
        <v>1882</v>
      </c>
      <c r="P199" s="11">
        <v>771685282609</v>
      </c>
      <c r="Q199" s="10" t="s">
        <v>41</v>
      </c>
      <c r="R199" s="10" t="s">
        <v>1883</v>
      </c>
      <c r="S199" s="10" t="s">
        <v>1884</v>
      </c>
      <c r="T199" s="10" t="s">
        <v>1885</v>
      </c>
      <c r="U199" s="10" t="s">
        <v>1886</v>
      </c>
      <c r="V199" s="3">
        <v>99376385</v>
      </c>
      <c r="W199" s="3">
        <v>198240000</v>
      </c>
      <c r="X199" s="3">
        <v>87000</v>
      </c>
      <c r="Y199" s="3">
        <v>7000</v>
      </c>
      <c r="Z199" s="3">
        <v>24325000</v>
      </c>
      <c r="AA199" s="3">
        <v>419559000</v>
      </c>
      <c r="AB199" s="3">
        <v>127970000</v>
      </c>
      <c r="AC199" s="3">
        <v>97464000</v>
      </c>
      <c r="AD199" s="3">
        <v>171371000</v>
      </c>
      <c r="AE199" s="10"/>
      <c r="AF199" s="10"/>
      <c r="AG199" s="10" t="s">
        <v>46</v>
      </c>
    </row>
    <row r="200" spans="1:33" ht="15.75" x14ac:dyDescent="0.25">
      <c r="A200" s="1">
        <v>1035006464767</v>
      </c>
      <c r="B200" s="6">
        <v>5032015016</v>
      </c>
      <c r="C200" s="7" t="s">
        <v>1887</v>
      </c>
      <c r="D200" s="7" t="s">
        <v>1888</v>
      </c>
      <c r="E200" s="6">
        <v>31330033</v>
      </c>
      <c r="F200" s="6">
        <v>46455000000</v>
      </c>
      <c r="G200" s="6">
        <v>16</v>
      </c>
      <c r="H200" s="6">
        <v>12300</v>
      </c>
      <c r="I200" s="6">
        <v>503201001</v>
      </c>
      <c r="J200" s="7" t="s">
        <v>1889</v>
      </c>
      <c r="K200" s="7"/>
      <c r="L200" s="1" t="s">
        <v>445</v>
      </c>
      <c r="M200" s="7" t="s">
        <v>446</v>
      </c>
      <c r="N200" s="7" t="s">
        <v>1890</v>
      </c>
      <c r="O200" s="7" t="s">
        <v>1891</v>
      </c>
      <c r="P200" s="8">
        <v>773403154394</v>
      </c>
      <c r="Q200" s="7" t="s">
        <v>41</v>
      </c>
      <c r="R200" s="7" t="s">
        <v>1892</v>
      </c>
      <c r="S200" s="7" t="s">
        <v>1893</v>
      </c>
      <c r="T200" s="7" t="s">
        <v>1894</v>
      </c>
      <c r="U200" s="7" t="s">
        <v>1895</v>
      </c>
      <c r="V200" s="1">
        <v>26420698</v>
      </c>
      <c r="W200" s="1">
        <v>287168000</v>
      </c>
      <c r="X200" s="1">
        <v>101817000</v>
      </c>
      <c r="Y200" s="1">
        <v>13000</v>
      </c>
      <c r="Z200" s="1">
        <v>42764000</v>
      </c>
      <c r="AA200" s="1">
        <v>33963000</v>
      </c>
      <c r="AB200" s="1">
        <v>204769000</v>
      </c>
      <c r="AC200" s="1">
        <v>170303000</v>
      </c>
      <c r="AD200" s="1">
        <v>221378000</v>
      </c>
      <c r="AE200" s="7" t="s">
        <v>331</v>
      </c>
      <c r="AF200" s="7" t="s">
        <v>1896</v>
      </c>
      <c r="AG200" s="7" t="s">
        <v>319</v>
      </c>
    </row>
    <row r="201" spans="1:33" ht="15.75" x14ac:dyDescent="0.25">
      <c r="A201" s="3">
        <v>1127746718703</v>
      </c>
      <c r="B201" s="9">
        <v>7734686668</v>
      </c>
      <c r="C201" s="10" t="s">
        <v>1897</v>
      </c>
      <c r="D201" s="10" t="s">
        <v>1898</v>
      </c>
      <c r="E201" s="9">
        <v>11513369</v>
      </c>
      <c r="F201" s="9">
        <v>45283587000</v>
      </c>
      <c r="G201" s="9">
        <v>23</v>
      </c>
      <c r="H201" s="9">
        <v>12300</v>
      </c>
      <c r="I201" s="9">
        <v>773401001</v>
      </c>
      <c r="J201" s="10" t="s">
        <v>1899</v>
      </c>
      <c r="K201" s="10"/>
      <c r="L201" s="3" t="s">
        <v>1823</v>
      </c>
      <c r="M201" s="10" t="s">
        <v>1824</v>
      </c>
      <c r="N201" s="10" t="s">
        <v>1900</v>
      </c>
      <c r="O201" s="10" t="s">
        <v>1901</v>
      </c>
      <c r="P201" s="11">
        <v>615007868655</v>
      </c>
      <c r="Q201" s="10" t="s">
        <v>41</v>
      </c>
      <c r="R201" s="10" t="s">
        <v>1902</v>
      </c>
      <c r="S201" s="10" t="s">
        <v>1903</v>
      </c>
      <c r="T201" s="10" t="s">
        <v>1904</v>
      </c>
      <c r="U201" s="10" t="s">
        <v>1905</v>
      </c>
      <c r="V201" s="3">
        <v>16000000</v>
      </c>
      <c r="W201" s="3">
        <v>562096000</v>
      </c>
      <c r="X201" s="3">
        <v>60255000</v>
      </c>
      <c r="Y201" s="3">
        <v>169062000</v>
      </c>
      <c r="Z201" s="3">
        <v>29590000</v>
      </c>
      <c r="AA201" s="3">
        <v>21823000</v>
      </c>
      <c r="AB201" s="3">
        <v>12828000</v>
      </c>
      <c r="AC201" s="3">
        <v>24841000</v>
      </c>
      <c r="AD201" s="3">
        <v>18652000</v>
      </c>
      <c r="AE201" s="10"/>
      <c r="AF201" s="10" t="s">
        <v>1355</v>
      </c>
      <c r="AG201" s="10" t="s">
        <v>46</v>
      </c>
    </row>
    <row r="202" spans="1:33" ht="15.75" x14ac:dyDescent="0.25">
      <c r="A202" s="1">
        <v>1125003004741</v>
      </c>
      <c r="B202" s="6">
        <v>5046075713</v>
      </c>
      <c r="C202" s="7" t="s">
        <v>1906</v>
      </c>
      <c r="D202" s="7" t="s">
        <v>1907</v>
      </c>
      <c r="E202" s="6">
        <v>37610992</v>
      </c>
      <c r="F202" s="6">
        <v>45298578000</v>
      </c>
      <c r="G202" s="6">
        <v>16</v>
      </c>
      <c r="H202" s="6">
        <v>12300</v>
      </c>
      <c r="I202" s="6">
        <v>775101001</v>
      </c>
      <c r="J202" s="7" t="s">
        <v>1908</v>
      </c>
      <c r="K202" s="7"/>
      <c r="L202" s="1" t="s">
        <v>872</v>
      </c>
      <c r="M202" s="7" t="s">
        <v>873</v>
      </c>
      <c r="N202" s="7" t="s">
        <v>1909</v>
      </c>
      <c r="O202" s="7" t="s">
        <v>1910</v>
      </c>
      <c r="P202" s="8">
        <v>502712250706</v>
      </c>
      <c r="Q202" s="7" t="s">
        <v>41</v>
      </c>
      <c r="R202" s="7" t="s">
        <v>1911</v>
      </c>
      <c r="S202" s="7" t="s">
        <v>1912</v>
      </c>
      <c r="T202" s="7" t="s">
        <v>1913</v>
      </c>
      <c r="U202" s="7" t="s">
        <v>1914</v>
      </c>
      <c r="V202" s="1">
        <v>60863097</v>
      </c>
      <c r="W202" s="1">
        <v>251409000</v>
      </c>
      <c r="X202" s="1">
        <v>296636000</v>
      </c>
      <c r="Y202" s="1">
        <v>0</v>
      </c>
      <c r="Z202" s="1">
        <v>658378000</v>
      </c>
      <c r="AA202" s="1">
        <v>79562000</v>
      </c>
      <c r="AB202" s="1">
        <v>-1155764000</v>
      </c>
      <c r="AC202" s="1">
        <v>16879000</v>
      </c>
      <c r="AD202" s="1">
        <v>-1362558000</v>
      </c>
      <c r="AE202" s="7" t="s">
        <v>331</v>
      </c>
      <c r="AF202" s="7" t="s">
        <v>1104</v>
      </c>
      <c r="AG202" s="7" t="s">
        <v>46</v>
      </c>
    </row>
    <row r="203" spans="1:33" ht="15.75" x14ac:dyDescent="0.25">
      <c r="A203" s="1">
        <v>1137746856565</v>
      </c>
      <c r="B203" s="6">
        <v>7736664814</v>
      </c>
      <c r="C203" s="7" t="s">
        <v>1915</v>
      </c>
      <c r="D203" s="7" t="s">
        <v>1916</v>
      </c>
      <c r="E203" s="6">
        <v>18524086</v>
      </c>
      <c r="F203" s="6">
        <v>45296559000</v>
      </c>
      <c r="G203" s="6">
        <v>34</v>
      </c>
      <c r="H203" s="6">
        <v>12300</v>
      </c>
      <c r="I203" s="6">
        <v>772501001</v>
      </c>
      <c r="J203" s="7" t="s">
        <v>1917</v>
      </c>
      <c r="K203" s="7"/>
      <c r="L203" s="1" t="s">
        <v>1918</v>
      </c>
      <c r="M203" s="7" t="s">
        <v>1919</v>
      </c>
      <c r="N203" s="7" t="s">
        <v>1920</v>
      </c>
      <c r="O203" s="7" t="s">
        <v>1921</v>
      </c>
      <c r="P203" s="8">
        <v>261813509142</v>
      </c>
      <c r="Q203" s="7" t="s">
        <v>41</v>
      </c>
      <c r="R203" s="7" t="s">
        <v>1922</v>
      </c>
      <c r="S203" s="7" t="s">
        <v>1923</v>
      </c>
      <c r="T203" s="7"/>
      <c r="U203" s="7" t="s">
        <v>1924</v>
      </c>
      <c r="V203" s="1">
        <v>10204082</v>
      </c>
      <c r="W203" s="1">
        <v>300386000</v>
      </c>
      <c r="X203" s="1">
        <v>1021000</v>
      </c>
      <c r="Y203" s="1">
        <v>0</v>
      </c>
      <c r="Z203" s="1">
        <v>26418000</v>
      </c>
      <c r="AA203" s="1">
        <v>50207000</v>
      </c>
      <c r="AB203" s="1">
        <v>11291000</v>
      </c>
      <c r="AC203" s="1">
        <v>15677000</v>
      </c>
      <c r="AD203" s="1">
        <v>11423000</v>
      </c>
      <c r="AE203" s="7" t="s">
        <v>331</v>
      </c>
      <c r="AF203" s="7" t="s">
        <v>1015</v>
      </c>
      <c r="AG203" s="7" t="s">
        <v>46</v>
      </c>
    </row>
    <row r="204" spans="1:33" ht="15.75" x14ac:dyDescent="0.25">
      <c r="A204" s="1">
        <v>1047796842356</v>
      </c>
      <c r="B204" s="6">
        <v>7710562960</v>
      </c>
      <c r="C204" s="7" t="s">
        <v>1925</v>
      </c>
      <c r="D204" s="7" t="s">
        <v>1926</v>
      </c>
      <c r="E204" s="6">
        <v>74690687</v>
      </c>
      <c r="F204" s="6">
        <v>45286555000</v>
      </c>
      <c r="G204" s="6">
        <v>23</v>
      </c>
      <c r="H204" s="6">
        <v>12300</v>
      </c>
      <c r="I204" s="6">
        <v>770101001</v>
      </c>
      <c r="J204" s="7" t="s">
        <v>1927</v>
      </c>
      <c r="K204" s="7"/>
      <c r="L204" s="1" t="s">
        <v>1928</v>
      </c>
      <c r="M204" s="7" t="s">
        <v>1929</v>
      </c>
      <c r="N204" s="7" t="s">
        <v>1930</v>
      </c>
      <c r="O204" s="7" t="s">
        <v>1931</v>
      </c>
      <c r="P204" s="8">
        <v>771776323002</v>
      </c>
      <c r="Q204" s="7" t="s">
        <v>41</v>
      </c>
      <c r="R204" s="7" t="s">
        <v>1932</v>
      </c>
      <c r="S204" s="7" t="s">
        <v>1933</v>
      </c>
      <c r="T204" s="7"/>
      <c r="U204" s="7"/>
      <c r="V204" s="1">
        <v>12100000</v>
      </c>
      <c r="W204" s="1">
        <v>163789000</v>
      </c>
      <c r="X204" s="1">
        <v>13828000</v>
      </c>
      <c r="Y204" s="1">
        <v>176526000</v>
      </c>
      <c r="Z204" s="1">
        <v>16746000</v>
      </c>
      <c r="AA204" s="1">
        <v>48484000</v>
      </c>
      <c r="AB204" s="1">
        <v>7885000</v>
      </c>
      <c r="AC204" s="1">
        <v>-4843000</v>
      </c>
      <c r="AD204" s="1">
        <v>11007000</v>
      </c>
      <c r="AE204" s="7" t="s">
        <v>331</v>
      </c>
      <c r="AF204" s="7" t="s">
        <v>461</v>
      </c>
      <c r="AG204" s="7" t="s">
        <v>46</v>
      </c>
    </row>
    <row r="205" spans="1:33" ht="15.75" x14ac:dyDescent="0.25">
      <c r="A205" s="3">
        <v>1027700039894</v>
      </c>
      <c r="B205" s="9">
        <v>7714280363</v>
      </c>
      <c r="C205" s="10" t="s">
        <v>1934</v>
      </c>
      <c r="D205" s="10" t="s">
        <v>1935</v>
      </c>
      <c r="E205" s="9">
        <v>58686048</v>
      </c>
      <c r="F205" s="9">
        <v>45286585000</v>
      </c>
      <c r="G205" s="9">
        <v>16</v>
      </c>
      <c r="H205" s="9">
        <v>12300</v>
      </c>
      <c r="I205" s="9">
        <v>770701001</v>
      </c>
      <c r="J205" s="10" t="s">
        <v>1936</v>
      </c>
      <c r="K205" s="10"/>
      <c r="L205" s="3" t="s">
        <v>210</v>
      </c>
      <c r="M205" s="10" t="s">
        <v>211</v>
      </c>
      <c r="N205" s="10" t="s">
        <v>1937</v>
      </c>
      <c r="O205" s="10" t="s">
        <v>1938</v>
      </c>
      <c r="P205" s="11">
        <v>470319946895</v>
      </c>
      <c r="Q205" s="10" t="s">
        <v>41</v>
      </c>
      <c r="R205" s="10" t="s">
        <v>1939</v>
      </c>
      <c r="S205" s="10" t="s">
        <v>1940</v>
      </c>
      <c r="T205" s="10"/>
      <c r="U205" s="10"/>
      <c r="V205" s="3">
        <v>11240000</v>
      </c>
      <c r="W205" s="3">
        <v>556435000</v>
      </c>
      <c r="X205" s="3">
        <v>702000</v>
      </c>
      <c r="Y205" s="3">
        <v>0</v>
      </c>
      <c r="Z205" s="3">
        <v>35999000</v>
      </c>
      <c r="AA205" s="3">
        <v>25417000</v>
      </c>
      <c r="AB205" s="3">
        <v>6268000</v>
      </c>
      <c r="AC205" s="3">
        <v>7886000</v>
      </c>
      <c r="AD205" s="3">
        <v>7835000</v>
      </c>
      <c r="AE205" s="10" t="s">
        <v>317</v>
      </c>
      <c r="AF205" s="10" t="s">
        <v>1941</v>
      </c>
      <c r="AG205" s="10" t="s">
        <v>46</v>
      </c>
    </row>
    <row r="206" spans="1:33" ht="15.75" x14ac:dyDescent="0.25">
      <c r="A206" s="1">
        <v>1047796786366</v>
      </c>
      <c r="B206" s="6">
        <v>7708540616</v>
      </c>
      <c r="C206" s="7" t="s">
        <v>1942</v>
      </c>
      <c r="D206" s="7" t="s">
        <v>1943</v>
      </c>
      <c r="E206" s="6">
        <v>75548715</v>
      </c>
      <c r="F206" s="6">
        <v>45296561000</v>
      </c>
      <c r="G206" s="6">
        <v>23</v>
      </c>
      <c r="H206" s="6">
        <v>12300</v>
      </c>
      <c r="I206" s="6">
        <v>772501001</v>
      </c>
      <c r="J206" s="7" t="s">
        <v>1944</v>
      </c>
      <c r="K206" s="7"/>
      <c r="L206" s="1" t="s">
        <v>1945</v>
      </c>
      <c r="M206" s="7" t="s">
        <v>1946</v>
      </c>
      <c r="N206" s="7" t="s">
        <v>1947</v>
      </c>
      <c r="O206" s="7" t="s">
        <v>1948</v>
      </c>
      <c r="P206" s="8">
        <v>772583690304</v>
      </c>
      <c r="Q206" s="7" t="s">
        <v>41</v>
      </c>
      <c r="R206" s="7" t="s">
        <v>1949</v>
      </c>
      <c r="S206" s="7" t="s">
        <v>1950</v>
      </c>
      <c r="T206" s="7"/>
      <c r="U206" s="7"/>
      <c r="V206" s="1">
        <v>12000000</v>
      </c>
      <c r="W206" s="1">
        <v>625326000</v>
      </c>
      <c r="X206" s="1">
        <v>816000</v>
      </c>
      <c r="Y206" s="1">
        <v>872000</v>
      </c>
      <c r="Z206" s="1">
        <v>328945000</v>
      </c>
      <c r="AA206" s="1">
        <v>226261000</v>
      </c>
      <c r="AB206" s="1">
        <v>16478000</v>
      </c>
      <c r="AC206" s="1">
        <v>38744000</v>
      </c>
      <c r="AD206" s="1">
        <v>17715000</v>
      </c>
      <c r="AE206" s="7"/>
      <c r="AF206" s="7" t="s">
        <v>1727</v>
      </c>
      <c r="AG206" s="7" t="s">
        <v>46</v>
      </c>
    </row>
    <row r="207" spans="1:33" ht="15.75" x14ac:dyDescent="0.25">
      <c r="A207" s="3">
        <v>1047796777236</v>
      </c>
      <c r="B207" s="9">
        <v>7743540746</v>
      </c>
      <c r="C207" s="10" t="s">
        <v>1951</v>
      </c>
      <c r="D207" s="10" t="s">
        <v>1952</v>
      </c>
      <c r="E207" s="9">
        <v>74676581</v>
      </c>
      <c r="F207" s="9">
        <v>45283569000</v>
      </c>
      <c r="G207" s="9">
        <v>23</v>
      </c>
      <c r="H207" s="9">
        <v>12300</v>
      </c>
      <c r="I207" s="9">
        <v>773301001</v>
      </c>
      <c r="J207" s="10" t="s">
        <v>1953</v>
      </c>
      <c r="K207" s="10"/>
      <c r="L207" s="3" t="s">
        <v>50</v>
      </c>
      <c r="M207" s="10" t="s">
        <v>51</v>
      </c>
      <c r="N207" s="10" t="s">
        <v>1954</v>
      </c>
      <c r="O207" s="10" t="s">
        <v>1955</v>
      </c>
      <c r="P207" s="11">
        <v>773389377075</v>
      </c>
      <c r="Q207" s="10" t="s">
        <v>138</v>
      </c>
      <c r="R207" s="10" t="s">
        <v>1956</v>
      </c>
      <c r="S207" s="10" t="s">
        <v>1957</v>
      </c>
      <c r="T207" s="10" t="s">
        <v>1958</v>
      </c>
      <c r="U207" s="10" t="s">
        <v>1959</v>
      </c>
      <c r="V207" s="3">
        <v>76890638</v>
      </c>
      <c r="W207" s="3">
        <v>277957000</v>
      </c>
      <c r="X207" s="3">
        <v>39955000</v>
      </c>
      <c r="Y207" s="3">
        <v>12000</v>
      </c>
      <c r="Z207" s="3">
        <v>36571000</v>
      </c>
      <c r="AA207" s="3">
        <v>184657000</v>
      </c>
      <c r="AB207" s="3">
        <v>46658000</v>
      </c>
      <c r="AC207" s="3">
        <v>22381000</v>
      </c>
      <c r="AD207" s="3">
        <v>65930000</v>
      </c>
      <c r="AE207" s="10"/>
      <c r="AF207" s="10" t="s">
        <v>1104</v>
      </c>
      <c r="AG207" s="10" t="s">
        <v>46</v>
      </c>
    </row>
    <row r="208" spans="1:33" ht="15.75" x14ac:dyDescent="0.25">
      <c r="A208" s="1">
        <v>5077746791788</v>
      </c>
      <c r="B208" s="6">
        <v>7728621180</v>
      </c>
      <c r="C208" s="7" t="s">
        <v>1960</v>
      </c>
      <c r="D208" s="7" t="s">
        <v>1961</v>
      </c>
      <c r="E208" s="6">
        <v>80878053</v>
      </c>
      <c r="F208" s="6">
        <v>45293566000</v>
      </c>
      <c r="G208" s="6">
        <v>16</v>
      </c>
      <c r="H208" s="6">
        <v>12300</v>
      </c>
      <c r="I208" s="6">
        <v>772801001</v>
      </c>
      <c r="J208" s="7" t="s">
        <v>1962</v>
      </c>
      <c r="K208" s="7"/>
      <c r="L208" s="1" t="s">
        <v>1963</v>
      </c>
      <c r="M208" s="7" t="s">
        <v>1964</v>
      </c>
      <c r="N208" s="7" t="s">
        <v>1965</v>
      </c>
      <c r="O208" s="7" t="s">
        <v>1966</v>
      </c>
      <c r="P208" s="8">
        <v>503213987944</v>
      </c>
      <c r="Q208" s="7" t="s">
        <v>41</v>
      </c>
      <c r="R208" s="7" t="s">
        <v>1967</v>
      </c>
      <c r="S208" s="7" t="s">
        <v>1968</v>
      </c>
      <c r="T208" s="7"/>
      <c r="U208" s="7"/>
      <c r="V208" s="1">
        <v>10012500</v>
      </c>
      <c r="W208" s="1">
        <v>367655000</v>
      </c>
      <c r="X208" s="1">
        <v>5888000</v>
      </c>
      <c r="Y208" s="1">
        <v>105120000</v>
      </c>
      <c r="Z208" s="1">
        <v>141051000</v>
      </c>
      <c r="AA208" s="1">
        <v>168592000</v>
      </c>
      <c r="AB208" s="1">
        <v>-72808000</v>
      </c>
      <c r="AC208" s="1">
        <v>-1549000</v>
      </c>
      <c r="AD208" s="1">
        <v>-95637000</v>
      </c>
      <c r="AE208" s="7" t="s">
        <v>730</v>
      </c>
      <c r="AF208" s="7" t="s">
        <v>1727</v>
      </c>
      <c r="AG208" s="7" t="s">
        <v>46</v>
      </c>
    </row>
    <row r="209" spans="1:33" ht="15.75" x14ac:dyDescent="0.25">
      <c r="A209" s="3">
        <v>5077746256451</v>
      </c>
      <c r="B209" s="9">
        <v>7704639188</v>
      </c>
      <c r="C209" s="10" t="s">
        <v>1969</v>
      </c>
      <c r="D209" s="10" t="s">
        <v>1970</v>
      </c>
      <c r="E209" s="9">
        <v>99630717</v>
      </c>
      <c r="F209" s="9">
        <v>45280580000</v>
      </c>
      <c r="G209" s="9">
        <v>34</v>
      </c>
      <c r="H209" s="9">
        <v>12300</v>
      </c>
      <c r="I209" s="9">
        <v>771601001</v>
      </c>
      <c r="J209" s="10" t="s">
        <v>1971</v>
      </c>
      <c r="K209" s="10"/>
      <c r="L209" s="3" t="s">
        <v>1972</v>
      </c>
      <c r="M209" s="10" t="s">
        <v>1973</v>
      </c>
      <c r="N209" s="10" t="s">
        <v>1974</v>
      </c>
      <c r="O209" s="10" t="s">
        <v>1975</v>
      </c>
      <c r="P209" s="11">
        <v>772439722458</v>
      </c>
      <c r="Q209" s="10" t="s">
        <v>41</v>
      </c>
      <c r="R209" s="10" t="s">
        <v>1976</v>
      </c>
      <c r="S209" s="10" t="s">
        <v>1977</v>
      </c>
      <c r="T209" s="10" t="s">
        <v>1978</v>
      </c>
      <c r="U209" s="10"/>
      <c r="V209" s="3">
        <v>85905000</v>
      </c>
      <c r="W209" s="3">
        <v>466959000</v>
      </c>
      <c r="X209" s="3">
        <v>6960000</v>
      </c>
      <c r="Y209" s="3">
        <v>152604000</v>
      </c>
      <c r="Z209" s="3">
        <v>28190000</v>
      </c>
      <c r="AA209" s="3">
        <v>102597000</v>
      </c>
      <c r="AB209" s="3">
        <v>49329000</v>
      </c>
      <c r="AC209" s="3">
        <v>55117000</v>
      </c>
      <c r="AD209" s="3">
        <v>66070000</v>
      </c>
      <c r="AE209" s="10" t="s">
        <v>331</v>
      </c>
      <c r="AF209" s="10" t="s">
        <v>1727</v>
      </c>
      <c r="AG209" s="10" t="s">
        <v>46</v>
      </c>
    </row>
    <row r="210" spans="1:33" ht="15.75" x14ac:dyDescent="0.25">
      <c r="A210" s="1">
        <v>5087746057504</v>
      </c>
      <c r="B210" s="6">
        <v>7710727001</v>
      </c>
      <c r="C210" s="7" t="s">
        <v>1979</v>
      </c>
      <c r="D210" s="7" t="s">
        <v>1980</v>
      </c>
      <c r="E210" s="6">
        <v>88294446</v>
      </c>
      <c r="F210" s="6">
        <v>45286585000</v>
      </c>
      <c r="G210" s="6">
        <v>23</v>
      </c>
      <c r="H210" s="6">
        <v>12267</v>
      </c>
      <c r="I210" s="6">
        <v>771001001</v>
      </c>
      <c r="J210" s="7" t="s">
        <v>1981</v>
      </c>
      <c r="K210" s="7"/>
      <c r="L210" s="1" t="s">
        <v>300</v>
      </c>
      <c r="M210" s="7" t="s">
        <v>301</v>
      </c>
      <c r="N210" s="7" t="s">
        <v>1982</v>
      </c>
      <c r="O210" s="7" t="s">
        <v>1983</v>
      </c>
      <c r="P210" s="8">
        <v>772774781930</v>
      </c>
      <c r="Q210" s="7" t="s">
        <v>41</v>
      </c>
      <c r="R210" s="7" t="s">
        <v>1984</v>
      </c>
      <c r="S210" s="7" t="s">
        <v>1985</v>
      </c>
      <c r="T210" s="7" t="s">
        <v>1986</v>
      </c>
      <c r="U210" s="7" t="s">
        <v>1987</v>
      </c>
      <c r="V210" s="1">
        <v>31960000</v>
      </c>
      <c r="W210" s="1">
        <v>143987000</v>
      </c>
      <c r="X210" s="1">
        <v>12072000</v>
      </c>
      <c r="Y210" s="1">
        <v>3000</v>
      </c>
      <c r="Z210" s="1">
        <v>11283000</v>
      </c>
      <c r="AA210" s="1">
        <v>47010000</v>
      </c>
      <c r="AB210" s="1">
        <v>-150549000</v>
      </c>
      <c r="AC210" s="1">
        <v>79985000</v>
      </c>
      <c r="AD210" s="1">
        <v>-136676000</v>
      </c>
      <c r="AE210" s="7"/>
      <c r="AF210" s="7" t="s">
        <v>740</v>
      </c>
      <c r="AG210" s="7" t="s">
        <v>46</v>
      </c>
    </row>
    <row r="211" spans="1:33" ht="15.75" x14ac:dyDescent="0.25">
      <c r="A211" s="3">
        <v>1027739363376</v>
      </c>
      <c r="B211" s="9">
        <v>7727006174</v>
      </c>
      <c r="C211" s="10" t="s">
        <v>1988</v>
      </c>
      <c r="D211" s="10" t="s">
        <v>1989</v>
      </c>
      <c r="E211" s="9">
        <v>31752136</v>
      </c>
      <c r="F211" s="9">
        <v>45286555000</v>
      </c>
      <c r="G211" s="9">
        <v>16</v>
      </c>
      <c r="H211" s="9">
        <v>12300</v>
      </c>
      <c r="I211" s="9">
        <v>770101001</v>
      </c>
      <c r="J211" s="10" t="s">
        <v>1990</v>
      </c>
      <c r="K211" s="10"/>
      <c r="L211" s="3" t="s">
        <v>1072</v>
      </c>
      <c r="M211" s="10" t="s">
        <v>1073</v>
      </c>
      <c r="N211" s="10" t="s">
        <v>1991</v>
      </c>
      <c r="O211" s="10" t="s">
        <v>1992</v>
      </c>
      <c r="P211" s="11">
        <v>773460063707</v>
      </c>
      <c r="Q211" s="10" t="s">
        <v>41</v>
      </c>
      <c r="R211" s="10" t="s">
        <v>1993</v>
      </c>
      <c r="S211" s="10" t="s">
        <v>1994</v>
      </c>
      <c r="T211" s="10" t="s">
        <v>1995</v>
      </c>
      <c r="U211" s="10" t="s">
        <v>1996</v>
      </c>
      <c r="V211" s="3">
        <v>24010000</v>
      </c>
      <c r="W211" s="3">
        <v>134751000</v>
      </c>
      <c r="X211" s="3">
        <v>1581000</v>
      </c>
      <c r="Y211" s="3">
        <v>0</v>
      </c>
      <c r="Z211" s="3">
        <v>17307000</v>
      </c>
      <c r="AA211" s="3">
        <v>17474000</v>
      </c>
      <c r="AB211" s="3">
        <v>-82773000</v>
      </c>
      <c r="AC211" s="3">
        <v>0</v>
      </c>
      <c r="AD211" s="3">
        <v>0</v>
      </c>
      <c r="AE211" s="10" t="s">
        <v>331</v>
      </c>
      <c r="AF211" s="10" t="s">
        <v>1997</v>
      </c>
      <c r="AG211" s="10" t="s">
        <v>319</v>
      </c>
    </row>
    <row r="212" spans="1:33" ht="15.75" x14ac:dyDescent="0.25">
      <c r="A212" s="1">
        <v>1027739326042</v>
      </c>
      <c r="B212" s="6">
        <v>7713299467</v>
      </c>
      <c r="C212" s="7" t="s">
        <v>1998</v>
      </c>
      <c r="D212" s="7" t="s">
        <v>1999</v>
      </c>
      <c r="E212" s="6">
        <v>38951070</v>
      </c>
      <c r="F212" s="6">
        <v>45280561000</v>
      </c>
      <c r="G212" s="6">
        <v>16</v>
      </c>
      <c r="H212" s="6">
        <v>12300</v>
      </c>
      <c r="I212" s="6">
        <v>771501001</v>
      </c>
      <c r="J212" s="7" t="s">
        <v>2000</v>
      </c>
      <c r="K212" s="7"/>
      <c r="L212" s="1" t="s">
        <v>445</v>
      </c>
      <c r="M212" s="7" t="s">
        <v>446</v>
      </c>
      <c r="N212" s="7" t="s">
        <v>2001</v>
      </c>
      <c r="O212" s="7" t="s">
        <v>2002</v>
      </c>
      <c r="P212" s="8">
        <v>771475748379</v>
      </c>
      <c r="Q212" s="7" t="s">
        <v>41</v>
      </c>
      <c r="R212" s="7" t="s">
        <v>2003</v>
      </c>
      <c r="S212" s="7" t="s">
        <v>2004</v>
      </c>
      <c r="T212" s="7" t="s">
        <v>2005</v>
      </c>
      <c r="U212" s="7"/>
      <c r="V212" s="1">
        <v>81057065</v>
      </c>
      <c r="W212" s="1">
        <v>159050000</v>
      </c>
      <c r="X212" s="1">
        <v>6032000</v>
      </c>
      <c r="Y212" s="1">
        <v>0</v>
      </c>
      <c r="Z212" s="1">
        <v>11722000</v>
      </c>
      <c r="AA212" s="1">
        <v>75191000</v>
      </c>
      <c r="AB212" s="1">
        <v>47960000</v>
      </c>
      <c r="AC212" s="1">
        <v>67485000</v>
      </c>
      <c r="AD212" s="1">
        <v>56301000</v>
      </c>
      <c r="AE212" s="7" t="s">
        <v>317</v>
      </c>
      <c r="AF212" s="7" t="s">
        <v>493</v>
      </c>
      <c r="AG212" s="7" t="s">
        <v>319</v>
      </c>
    </row>
    <row r="213" spans="1:33" ht="15.75" x14ac:dyDescent="0.25">
      <c r="A213" s="3">
        <v>1167746677977</v>
      </c>
      <c r="B213" s="9">
        <v>7720347217</v>
      </c>
      <c r="C213" s="10" t="s">
        <v>2006</v>
      </c>
      <c r="D213" s="10" t="s">
        <v>2007</v>
      </c>
      <c r="E213" s="9">
        <v>3581440</v>
      </c>
      <c r="F213" s="9">
        <v>45263583000</v>
      </c>
      <c r="G213" s="9">
        <v>16</v>
      </c>
      <c r="H213" s="9">
        <v>12300</v>
      </c>
      <c r="I213" s="9">
        <v>772001001</v>
      </c>
      <c r="J213" s="10" t="s">
        <v>1294</v>
      </c>
      <c r="K213" s="10"/>
      <c r="L213" s="3" t="s">
        <v>2008</v>
      </c>
      <c r="M213" s="10" t="s">
        <v>2009</v>
      </c>
      <c r="N213" s="10" t="s">
        <v>2010</v>
      </c>
      <c r="O213" s="10" t="s">
        <v>2011</v>
      </c>
      <c r="P213" s="11">
        <v>500513935388</v>
      </c>
      <c r="Q213" s="10" t="s">
        <v>41</v>
      </c>
      <c r="R213" s="10" t="s">
        <v>2012</v>
      </c>
      <c r="S213" s="10" t="s">
        <v>2013</v>
      </c>
      <c r="T213" s="10"/>
      <c r="U213" s="10"/>
      <c r="V213" s="3">
        <v>11618700</v>
      </c>
      <c r="W213" s="3">
        <v>92219000</v>
      </c>
      <c r="X213" s="3">
        <v>6851000</v>
      </c>
      <c r="Y213" s="3">
        <v>26237000</v>
      </c>
      <c r="Z213" s="3">
        <v>28839000</v>
      </c>
      <c r="AA213" s="3">
        <v>33985000</v>
      </c>
      <c r="AB213" s="3">
        <v>725000</v>
      </c>
      <c r="AC213" s="3">
        <v>0</v>
      </c>
      <c r="AD213" s="3">
        <v>0</v>
      </c>
      <c r="AE213" s="10" t="s">
        <v>331</v>
      </c>
      <c r="AF213" s="10" t="s">
        <v>2014</v>
      </c>
      <c r="AG213" s="10" t="s">
        <v>46</v>
      </c>
    </row>
    <row r="214" spans="1:33" ht="15.75" x14ac:dyDescent="0.25">
      <c r="A214" s="1">
        <v>1147748156720</v>
      </c>
      <c r="B214" s="6">
        <v>7723371698</v>
      </c>
      <c r="C214" s="7" t="s">
        <v>2015</v>
      </c>
      <c r="D214" s="7" t="s">
        <v>2016</v>
      </c>
      <c r="E214" s="6">
        <v>14577335</v>
      </c>
      <c r="F214" s="6">
        <v>45268579000</v>
      </c>
      <c r="G214" s="6">
        <v>23</v>
      </c>
      <c r="H214" s="6">
        <v>12300</v>
      </c>
      <c r="I214" s="6">
        <v>772901001</v>
      </c>
      <c r="J214" s="7" t="s">
        <v>2017</v>
      </c>
      <c r="K214" s="7"/>
      <c r="L214" s="1" t="s">
        <v>2018</v>
      </c>
      <c r="M214" s="7" t="s">
        <v>2019</v>
      </c>
      <c r="N214" s="7" t="s">
        <v>2020</v>
      </c>
      <c r="O214" s="7" t="s">
        <v>2021</v>
      </c>
      <c r="P214" s="8">
        <v>772973830451</v>
      </c>
      <c r="Q214" s="7" t="s">
        <v>41</v>
      </c>
      <c r="R214" s="7" t="s">
        <v>2022</v>
      </c>
      <c r="S214" s="7" t="s">
        <v>2023</v>
      </c>
      <c r="T214" s="7"/>
      <c r="U214" s="7"/>
      <c r="V214" s="1">
        <v>37786420</v>
      </c>
      <c r="W214" s="1">
        <v>161018000</v>
      </c>
      <c r="X214" s="1">
        <v>0</v>
      </c>
      <c r="Y214" s="1">
        <v>96798000</v>
      </c>
      <c r="Z214" s="1">
        <v>16581000</v>
      </c>
      <c r="AA214" s="1">
        <v>107469000</v>
      </c>
      <c r="AB214" s="1">
        <v>37606000</v>
      </c>
      <c r="AC214" s="1">
        <v>12420000</v>
      </c>
      <c r="AD214" s="1">
        <v>50900000</v>
      </c>
      <c r="AE214" s="7"/>
      <c r="AF214" s="7" t="s">
        <v>530</v>
      </c>
      <c r="AG214" s="7" t="s">
        <v>46</v>
      </c>
    </row>
    <row r="215" spans="1:33" ht="15.75" x14ac:dyDescent="0.25">
      <c r="A215" s="3">
        <v>1117746767236</v>
      </c>
      <c r="B215" s="9">
        <v>7743830533</v>
      </c>
      <c r="C215" s="10" t="s">
        <v>2024</v>
      </c>
      <c r="D215" s="10" t="s">
        <v>2025</v>
      </c>
      <c r="E215" s="9">
        <v>30281723</v>
      </c>
      <c r="F215" s="9">
        <v>45268584000</v>
      </c>
      <c r="G215" s="9">
        <v>34</v>
      </c>
      <c r="H215" s="9">
        <v>12300</v>
      </c>
      <c r="I215" s="9">
        <v>772901001</v>
      </c>
      <c r="J215" s="10" t="s">
        <v>2026</v>
      </c>
      <c r="K215" s="10"/>
      <c r="L215" s="3" t="s">
        <v>2027</v>
      </c>
      <c r="M215" s="10" t="s">
        <v>2028</v>
      </c>
      <c r="N215" s="10" t="s">
        <v>2029</v>
      </c>
      <c r="O215" s="10" t="s">
        <v>2030</v>
      </c>
      <c r="P215" s="11">
        <v>7731483356</v>
      </c>
      <c r="Q215" s="10" t="s">
        <v>90</v>
      </c>
      <c r="R215" s="10" t="s">
        <v>2031</v>
      </c>
      <c r="S215" s="10" t="s">
        <v>2032</v>
      </c>
      <c r="T215" s="10"/>
      <c r="U215" s="10" t="s">
        <v>2033</v>
      </c>
      <c r="V215" s="3">
        <v>30000000</v>
      </c>
      <c r="W215" s="3">
        <v>144892000</v>
      </c>
      <c r="X215" s="3">
        <v>0</v>
      </c>
      <c r="Y215" s="3">
        <v>117238000</v>
      </c>
      <c r="Z215" s="3">
        <v>49205000</v>
      </c>
      <c r="AA215" s="3">
        <v>211103000</v>
      </c>
      <c r="AB215" s="3">
        <v>29028000</v>
      </c>
      <c r="AC215" s="3">
        <v>-945000</v>
      </c>
      <c r="AD215" s="3">
        <v>38733000</v>
      </c>
      <c r="AE215" s="10"/>
      <c r="AF215" s="10" t="s">
        <v>307</v>
      </c>
      <c r="AG215" s="10" t="s">
        <v>46</v>
      </c>
    </row>
    <row r="216" spans="1:33" ht="15.75" x14ac:dyDescent="0.25">
      <c r="A216" s="1">
        <v>1172536019116</v>
      </c>
      <c r="B216" s="6">
        <v>2543112751</v>
      </c>
      <c r="C216" s="7" t="s">
        <v>2034</v>
      </c>
      <c r="D216" s="7" t="s">
        <v>2035</v>
      </c>
      <c r="E216" s="6">
        <v>15765932</v>
      </c>
      <c r="F216" s="6">
        <v>45296593000</v>
      </c>
      <c r="G216" s="6">
        <v>16</v>
      </c>
      <c r="H216" s="6">
        <v>12300</v>
      </c>
      <c r="I216" s="6">
        <v>772601001</v>
      </c>
      <c r="J216" s="7" t="s">
        <v>2036</v>
      </c>
      <c r="K216" s="7"/>
      <c r="L216" s="1" t="s">
        <v>2037</v>
      </c>
      <c r="M216" s="7" t="s">
        <v>2038</v>
      </c>
      <c r="N216" s="7" t="s">
        <v>2039</v>
      </c>
      <c r="O216" s="7" t="s">
        <v>2040</v>
      </c>
      <c r="P216" s="8">
        <v>253902843001</v>
      </c>
      <c r="Q216" s="7" t="s">
        <v>41</v>
      </c>
      <c r="R216" s="7" t="s">
        <v>2041</v>
      </c>
      <c r="S216" s="7" t="s">
        <v>2042</v>
      </c>
      <c r="T216" s="7"/>
      <c r="U216" s="7"/>
      <c r="V216" s="1">
        <v>20010000</v>
      </c>
      <c r="W216" s="1">
        <v>639822000</v>
      </c>
      <c r="X216" s="1">
        <v>4065000</v>
      </c>
      <c r="Y216" s="1">
        <v>42053000</v>
      </c>
      <c r="Z216" s="1">
        <v>110817000</v>
      </c>
      <c r="AA216" s="1">
        <v>133494000</v>
      </c>
      <c r="AB216" s="1">
        <v>20692000</v>
      </c>
      <c r="AC216" s="1">
        <v>31584000</v>
      </c>
      <c r="AD216" s="1">
        <v>21557000</v>
      </c>
      <c r="AE216" s="7" t="s">
        <v>331</v>
      </c>
      <c r="AF216" s="7" t="s">
        <v>84</v>
      </c>
      <c r="AG216" s="7" t="s">
        <v>46</v>
      </c>
    </row>
    <row r="217" spans="1:33" ht="15.75" x14ac:dyDescent="0.25">
      <c r="A217" s="1">
        <v>1187746284725</v>
      </c>
      <c r="B217" s="6">
        <v>7743247709</v>
      </c>
      <c r="C217" s="7" t="s">
        <v>2043</v>
      </c>
      <c r="D217" s="7" t="s">
        <v>2044</v>
      </c>
      <c r="E217" s="6">
        <v>27363831</v>
      </c>
      <c r="F217" s="6">
        <v>45290586000</v>
      </c>
      <c r="G217" s="6">
        <v>23</v>
      </c>
      <c r="H217" s="6">
        <v>12300</v>
      </c>
      <c r="I217" s="6">
        <v>772101001</v>
      </c>
      <c r="J217" s="7" t="s">
        <v>2045</v>
      </c>
      <c r="K217" s="7"/>
      <c r="L217" s="1" t="s">
        <v>2046</v>
      </c>
      <c r="M217" s="7" t="s">
        <v>2047</v>
      </c>
      <c r="N217" s="7" t="s">
        <v>2048</v>
      </c>
      <c r="O217" s="7" t="s">
        <v>2049</v>
      </c>
      <c r="P217" s="8">
        <v>772601693660</v>
      </c>
      <c r="Q217" s="7" t="s">
        <v>41</v>
      </c>
      <c r="R217" s="7" t="s">
        <v>2050</v>
      </c>
      <c r="S217" s="7" t="s">
        <v>2051</v>
      </c>
      <c r="T217" s="7"/>
      <c r="U217" s="7"/>
      <c r="V217" s="1">
        <v>14000000</v>
      </c>
      <c r="W217" s="1">
        <v>152209000</v>
      </c>
      <c r="X217" s="1">
        <v>0</v>
      </c>
      <c r="Y217" s="1">
        <v>9162000</v>
      </c>
      <c r="Z217" s="1">
        <v>25555000</v>
      </c>
      <c r="AA217" s="1">
        <v>6379000</v>
      </c>
      <c r="AB217" s="1">
        <v>-343000</v>
      </c>
      <c r="AC217" s="1">
        <v>17213000</v>
      </c>
      <c r="AD217" s="1">
        <v>1747000</v>
      </c>
      <c r="AE217" s="7"/>
      <c r="AF217" s="7" t="s">
        <v>318</v>
      </c>
      <c r="AG217" s="7" t="s">
        <v>46</v>
      </c>
    </row>
    <row r="218" spans="1:33" ht="15.75" x14ac:dyDescent="0.25">
      <c r="A218" s="3">
        <v>1187847049257</v>
      </c>
      <c r="B218" s="9">
        <v>7841071563</v>
      </c>
      <c r="C218" s="10" t="s">
        <v>2052</v>
      </c>
      <c r="D218" s="10" t="s">
        <v>2053</v>
      </c>
      <c r="E218" s="9">
        <v>25520781</v>
      </c>
      <c r="F218" s="9">
        <v>45277598000</v>
      </c>
      <c r="G218" s="9">
        <v>16</v>
      </c>
      <c r="H218" s="9">
        <v>12300</v>
      </c>
      <c r="I218" s="9">
        <v>771401001</v>
      </c>
      <c r="J218" s="10" t="s">
        <v>2054</v>
      </c>
      <c r="K218" s="10"/>
      <c r="L218" s="3" t="s">
        <v>288</v>
      </c>
      <c r="M218" s="10" t="s">
        <v>289</v>
      </c>
      <c r="N218" s="10" t="s">
        <v>2055</v>
      </c>
      <c r="O218" s="10" t="s">
        <v>2056</v>
      </c>
      <c r="P218" s="11">
        <v>772850579397</v>
      </c>
      <c r="Q218" s="10" t="s">
        <v>41</v>
      </c>
      <c r="R218" s="10" t="s">
        <v>2057</v>
      </c>
      <c r="S218" s="10" t="s">
        <v>2058</v>
      </c>
      <c r="T218" s="10"/>
      <c r="U218" s="10"/>
      <c r="V218" s="3">
        <v>63527027</v>
      </c>
      <c r="W218" s="3">
        <v>257168000</v>
      </c>
      <c r="X218" s="3">
        <v>0</v>
      </c>
      <c r="Y218" s="3">
        <v>25149000</v>
      </c>
      <c r="Z218" s="3">
        <v>114889000</v>
      </c>
      <c r="AA218" s="3">
        <v>73478000</v>
      </c>
      <c r="AB218" s="3">
        <v>10000</v>
      </c>
      <c r="AC218" s="3">
        <v>0</v>
      </c>
      <c r="AD218" s="3">
        <v>0</v>
      </c>
      <c r="AE218" s="10" t="s">
        <v>317</v>
      </c>
      <c r="AF218" s="10" t="s">
        <v>286</v>
      </c>
      <c r="AG218" s="10" t="s">
        <v>46</v>
      </c>
    </row>
    <row r="219" spans="1:33" ht="15.75" x14ac:dyDescent="0.25">
      <c r="A219" s="3">
        <v>1175050009144</v>
      </c>
      <c r="B219" s="9">
        <v>5050134520</v>
      </c>
      <c r="C219" s="10" t="s">
        <v>2059</v>
      </c>
      <c r="D219" s="10" t="s">
        <v>2060</v>
      </c>
      <c r="E219" s="9">
        <v>19706458</v>
      </c>
      <c r="F219" s="9">
        <v>45286565000</v>
      </c>
      <c r="G219" s="9">
        <v>16</v>
      </c>
      <c r="H219" s="9">
        <v>12300</v>
      </c>
      <c r="I219" s="9">
        <v>770801001</v>
      </c>
      <c r="J219" s="10" t="s">
        <v>1246</v>
      </c>
      <c r="K219" s="10"/>
      <c r="L219" s="3" t="s">
        <v>2061</v>
      </c>
      <c r="M219" s="10" t="s">
        <v>2062</v>
      </c>
      <c r="N219" s="10" t="s">
        <v>2063</v>
      </c>
      <c r="O219" s="10" t="s">
        <v>2064</v>
      </c>
      <c r="P219" s="11">
        <v>505200601354</v>
      </c>
      <c r="Q219" s="10" t="s">
        <v>41</v>
      </c>
      <c r="R219" s="10" t="s">
        <v>2065</v>
      </c>
      <c r="S219" s="10" t="s">
        <v>2066</v>
      </c>
      <c r="T219" s="10"/>
      <c r="U219" s="10"/>
      <c r="V219" s="3">
        <v>55270000</v>
      </c>
      <c r="W219" s="3">
        <v>916596000</v>
      </c>
      <c r="X219" s="3">
        <v>128219000</v>
      </c>
      <c r="Y219" s="3">
        <v>13657000</v>
      </c>
      <c r="Z219" s="3">
        <v>113513000</v>
      </c>
      <c r="AA219" s="3">
        <v>92803000</v>
      </c>
      <c r="AB219" s="3">
        <v>70446000</v>
      </c>
      <c r="AC219" s="3">
        <v>114640000</v>
      </c>
      <c r="AD219" s="3">
        <v>94340000</v>
      </c>
      <c r="AE219" s="10" t="s">
        <v>331</v>
      </c>
      <c r="AF219" s="10" t="s">
        <v>2067</v>
      </c>
      <c r="AG219" s="10" t="s">
        <v>46</v>
      </c>
    </row>
    <row r="220" spans="1:33" ht="15.75" x14ac:dyDescent="0.25">
      <c r="A220" s="3">
        <v>1177746096109</v>
      </c>
      <c r="B220" s="9">
        <v>7722389445</v>
      </c>
      <c r="C220" s="10" t="s">
        <v>2068</v>
      </c>
      <c r="D220" s="10" t="s">
        <v>2069</v>
      </c>
      <c r="E220" s="9">
        <v>6548118</v>
      </c>
      <c r="F220" s="9">
        <v>45290578000</v>
      </c>
      <c r="G220" s="9">
        <v>16</v>
      </c>
      <c r="H220" s="9">
        <v>12300</v>
      </c>
      <c r="I220" s="9">
        <v>772201001</v>
      </c>
      <c r="J220" s="10" t="s">
        <v>2070</v>
      </c>
      <c r="K220" s="10"/>
      <c r="L220" s="3" t="s">
        <v>445</v>
      </c>
      <c r="M220" s="10" t="s">
        <v>446</v>
      </c>
      <c r="N220" s="10" t="s">
        <v>2071</v>
      </c>
      <c r="O220" s="10" t="s">
        <v>2072</v>
      </c>
      <c r="P220" s="11">
        <v>772901101442</v>
      </c>
      <c r="Q220" s="10" t="s">
        <v>41</v>
      </c>
      <c r="R220" s="10" t="s">
        <v>2073</v>
      </c>
      <c r="S220" s="10" t="s">
        <v>2074</v>
      </c>
      <c r="T220" s="10"/>
      <c r="U220" s="10"/>
      <c r="V220" s="3">
        <v>78830651</v>
      </c>
      <c r="W220" s="3">
        <v>167178000</v>
      </c>
      <c r="X220" s="3">
        <v>148931000</v>
      </c>
      <c r="Y220" s="3">
        <v>3000</v>
      </c>
      <c r="Z220" s="3">
        <v>2368000</v>
      </c>
      <c r="AA220" s="3">
        <v>29836000</v>
      </c>
      <c r="AB220" s="3">
        <v>49355000</v>
      </c>
      <c r="AC220" s="3">
        <v>71202000</v>
      </c>
      <c r="AD220" s="3">
        <v>67535000</v>
      </c>
      <c r="AE220" s="10" t="s">
        <v>331</v>
      </c>
      <c r="AF220" s="10" t="s">
        <v>1465</v>
      </c>
      <c r="AG220" s="10" t="s">
        <v>46</v>
      </c>
    </row>
    <row r="221" spans="1:33" ht="15.75" x14ac:dyDescent="0.25">
      <c r="A221" s="1">
        <v>1227700378751</v>
      </c>
      <c r="B221" s="6">
        <v>9701210884</v>
      </c>
      <c r="C221" s="7" t="s">
        <v>2075</v>
      </c>
      <c r="D221" s="7" t="s">
        <v>2076</v>
      </c>
      <c r="E221" s="6">
        <v>56523856</v>
      </c>
      <c r="F221" s="6">
        <v>45286555000</v>
      </c>
      <c r="G221" s="6">
        <v>16</v>
      </c>
      <c r="H221" s="6">
        <v>12300</v>
      </c>
      <c r="I221" s="6">
        <v>770101001</v>
      </c>
      <c r="J221" s="7" t="s">
        <v>2077</v>
      </c>
      <c r="K221" s="7"/>
      <c r="L221" s="1" t="s">
        <v>2078</v>
      </c>
      <c r="M221" s="7" t="s">
        <v>2079</v>
      </c>
      <c r="N221" s="7" t="s">
        <v>2080</v>
      </c>
      <c r="O221" s="7" t="s">
        <v>2081</v>
      </c>
      <c r="P221" s="8">
        <v>780542591900</v>
      </c>
      <c r="Q221" s="7" t="s">
        <v>41</v>
      </c>
      <c r="R221" s="7" t="s">
        <v>2082</v>
      </c>
      <c r="S221" s="7" t="s">
        <v>2083</v>
      </c>
      <c r="T221" s="7"/>
      <c r="U221" s="7"/>
      <c r="V221" s="1">
        <v>10010000</v>
      </c>
      <c r="W221" s="1">
        <v>273422000</v>
      </c>
      <c r="X221" s="1">
        <v>522000</v>
      </c>
      <c r="Y221" s="1">
        <v>0</v>
      </c>
      <c r="Z221" s="1">
        <v>23230000</v>
      </c>
      <c r="AA221" s="1">
        <v>57097000</v>
      </c>
      <c r="AB221" s="1">
        <v>38260000</v>
      </c>
      <c r="AC221" s="1">
        <v>0</v>
      </c>
      <c r="AD221" s="1">
        <v>0</v>
      </c>
      <c r="AE221" s="7" t="s">
        <v>317</v>
      </c>
      <c r="AF221" s="7" t="s">
        <v>1023</v>
      </c>
      <c r="AG221" s="7" t="s">
        <v>46</v>
      </c>
    </row>
    <row r="222" spans="1:33" ht="15.75" x14ac:dyDescent="0.25">
      <c r="A222" s="3">
        <v>1177746798492</v>
      </c>
      <c r="B222" s="9">
        <v>7728376178</v>
      </c>
      <c r="C222" s="10" t="s">
        <v>2084</v>
      </c>
      <c r="D222" s="10" t="s">
        <v>2085</v>
      </c>
      <c r="E222" s="9">
        <v>19018118</v>
      </c>
      <c r="F222" s="9">
        <v>45293586000</v>
      </c>
      <c r="G222" s="9">
        <v>23</v>
      </c>
      <c r="H222" s="9">
        <v>12300</v>
      </c>
      <c r="I222" s="9">
        <v>772801001</v>
      </c>
      <c r="J222" s="10" t="s">
        <v>2086</v>
      </c>
      <c r="K222" s="10"/>
      <c r="L222" s="3" t="s">
        <v>2087</v>
      </c>
      <c r="M222" s="10" t="s">
        <v>2088</v>
      </c>
      <c r="N222" s="10" t="s">
        <v>2089</v>
      </c>
      <c r="O222" s="10" t="s">
        <v>2090</v>
      </c>
      <c r="P222" s="11">
        <v>664604047564</v>
      </c>
      <c r="Q222" s="10" t="s">
        <v>41</v>
      </c>
      <c r="R222" s="10" t="s">
        <v>2091</v>
      </c>
      <c r="S222" s="10" t="s">
        <v>2092</v>
      </c>
      <c r="T222" s="10"/>
      <c r="U222" s="10"/>
      <c r="V222" s="3">
        <v>12000000</v>
      </c>
      <c r="W222" s="3">
        <v>181306000</v>
      </c>
      <c r="X222" s="3">
        <v>2122000</v>
      </c>
      <c r="Y222" s="3">
        <v>84564000</v>
      </c>
      <c r="Z222" s="3">
        <v>102758000</v>
      </c>
      <c r="AA222" s="3">
        <v>46107000</v>
      </c>
      <c r="AB222" s="3">
        <v>15599000</v>
      </c>
      <c r="AC222" s="3">
        <v>25308000</v>
      </c>
      <c r="AD222" s="3">
        <v>20953000</v>
      </c>
      <c r="AE222" s="10"/>
      <c r="AF222" s="10" t="s">
        <v>352</v>
      </c>
      <c r="AG222" s="10" t="s">
        <v>46</v>
      </c>
    </row>
    <row r="223" spans="1:33" ht="15.75" x14ac:dyDescent="0.25">
      <c r="A223" s="3">
        <v>1185007002707</v>
      </c>
      <c r="B223" s="9">
        <v>5044111557</v>
      </c>
      <c r="C223" s="10" t="s">
        <v>2093</v>
      </c>
      <c r="D223" s="10" t="s">
        <v>2094</v>
      </c>
      <c r="E223" s="9">
        <v>27728994</v>
      </c>
      <c r="F223" s="9">
        <v>46471000000</v>
      </c>
      <c r="G223" s="9">
        <v>16</v>
      </c>
      <c r="H223" s="9">
        <v>12300</v>
      </c>
      <c r="I223" s="9">
        <v>504401001</v>
      </c>
      <c r="J223" s="10" t="s">
        <v>2095</v>
      </c>
      <c r="K223" s="10"/>
      <c r="L223" s="3" t="s">
        <v>2096</v>
      </c>
      <c r="M223" s="10" t="s">
        <v>2097</v>
      </c>
      <c r="N223" s="10" t="s">
        <v>2098</v>
      </c>
      <c r="O223" s="10" t="s">
        <v>2099</v>
      </c>
      <c r="P223" s="11">
        <v>502005934097</v>
      </c>
      <c r="Q223" s="10" t="s">
        <v>41</v>
      </c>
      <c r="R223" s="10" t="s">
        <v>2100</v>
      </c>
      <c r="S223" s="10" t="s">
        <v>2101</v>
      </c>
      <c r="T223" s="10"/>
      <c r="U223" s="10" t="s">
        <v>2102</v>
      </c>
      <c r="V223" s="3">
        <v>36549707</v>
      </c>
      <c r="W223" s="3">
        <v>663723000</v>
      </c>
      <c r="X223" s="3">
        <v>249822000</v>
      </c>
      <c r="Y223" s="3">
        <v>72349000</v>
      </c>
      <c r="Z223" s="3">
        <v>124113000</v>
      </c>
      <c r="AA223" s="3">
        <v>48076000</v>
      </c>
      <c r="AB223" s="3">
        <v>35347000</v>
      </c>
      <c r="AC223" s="3">
        <v>92709000</v>
      </c>
      <c r="AD223" s="3">
        <v>48670000</v>
      </c>
      <c r="AE223" s="10" t="s">
        <v>331</v>
      </c>
      <c r="AF223" s="10" t="s">
        <v>441</v>
      </c>
      <c r="AG223" s="10" t="s">
        <v>46</v>
      </c>
    </row>
    <row r="224" spans="1:33" ht="15.75" x14ac:dyDescent="0.25">
      <c r="A224" s="3">
        <v>1247700661988</v>
      </c>
      <c r="B224" s="9">
        <v>9727088244</v>
      </c>
      <c r="C224" s="10" t="s">
        <v>2103</v>
      </c>
      <c r="D224" s="10" t="s">
        <v>2104</v>
      </c>
      <c r="E224" s="9">
        <v>55325835</v>
      </c>
      <c r="F224" s="9">
        <v>45293554000</v>
      </c>
      <c r="G224" s="9">
        <v>16</v>
      </c>
      <c r="H224" s="9">
        <v>12267</v>
      </c>
      <c r="I224" s="9">
        <v>772701001</v>
      </c>
      <c r="J224" s="10" t="s">
        <v>2105</v>
      </c>
      <c r="K224" s="10"/>
      <c r="L224" s="3" t="s">
        <v>2106</v>
      </c>
      <c r="M224" s="10" t="s">
        <v>2107</v>
      </c>
      <c r="N224" s="10" t="s">
        <v>2108</v>
      </c>
      <c r="O224" s="10" t="s">
        <v>2109</v>
      </c>
      <c r="P224" s="11">
        <v>550306469170</v>
      </c>
      <c r="Q224" s="10" t="s">
        <v>41</v>
      </c>
      <c r="R224" s="10" t="s">
        <v>2110</v>
      </c>
      <c r="S224" s="10" t="s">
        <v>2111</v>
      </c>
      <c r="T224" s="10"/>
      <c r="U224" s="10"/>
      <c r="V224" s="3">
        <v>50000000</v>
      </c>
      <c r="W224" s="3">
        <v>564713000</v>
      </c>
      <c r="X224" s="3">
        <v>1775000</v>
      </c>
      <c r="Y224" s="3">
        <v>0</v>
      </c>
      <c r="Z224" s="3">
        <v>78293000</v>
      </c>
      <c r="AA224" s="3">
        <v>28510000</v>
      </c>
      <c r="AB224" s="3">
        <v>4156000</v>
      </c>
      <c r="AC224" s="3">
        <v>0</v>
      </c>
      <c r="AD224" s="3">
        <v>0</v>
      </c>
      <c r="AE224" s="10" t="s">
        <v>331</v>
      </c>
      <c r="AF224" s="10" t="s">
        <v>318</v>
      </c>
      <c r="AG224" s="10" t="s">
        <v>46</v>
      </c>
    </row>
    <row r="225" spans="1:33" ht="15.75" x14ac:dyDescent="0.25">
      <c r="A225" s="3">
        <v>1227700252845</v>
      </c>
      <c r="B225" s="9">
        <v>9704136364</v>
      </c>
      <c r="C225" s="10" t="s">
        <v>2112</v>
      </c>
      <c r="D225" s="10" t="s">
        <v>2113</v>
      </c>
      <c r="E225" s="9">
        <v>95448105</v>
      </c>
      <c r="F225" s="9">
        <v>45286552000</v>
      </c>
      <c r="G225" s="9">
        <v>16</v>
      </c>
      <c r="H225" s="9">
        <v>12300</v>
      </c>
      <c r="I225" s="9">
        <v>770401001</v>
      </c>
      <c r="J225" s="10" t="s">
        <v>2114</v>
      </c>
      <c r="K225" s="10"/>
      <c r="L225" s="3" t="s">
        <v>1072</v>
      </c>
      <c r="M225" s="10" t="s">
        <v>1073</v>
      </c>
      <c r="N225" s="10" t="s">
        <v>2115</v>
      </c>
      <c r="O225" s="10" t="s">
        <v>2116</v>
      </c>
      <c r="P225" s="11">
        <v>501712199656</v>
      </c>
      <c r="Q225" s="10" t="s">
        <v>41</v>
      </c>
      <c r="R225" s="10" t="s">
        <v>2117</v>
      </c>
      <c r="S225" s="10" t="s">
        <v>2118</v>
      </c>
      <c r="T225" s="10"/>
      <c r="U225" s="10" t="s">
        <v>2119</v>
      </c>
      <c r="V225" s="3">
        <v>38000000</v>
      </c>
      <c r="W225" s="3">
        <v>182915000</v>
      </c>
      <c r="X225" s="3">
        <v>2663000</v>
      </c>
      <c r="Y225" s="3">
        <v>2646000</v>
      </c>
      <c r="Z225" s="3">
        <v>43861000</v>
      </c>
      <c r="AA225" s="3">
        <v>7855000</v>
      </c>
      <c r="AB225" s="3">
        <v>4080000</v>
      </c>
      <c r="AC225" s="3">
        <v>0</v>
      </c>
      <c r="AD225" s="3">
        <v>0</v>
      </c>
      <c r="AE225" s="10" t="s">
        <v>331</v>
      </c>
      <c r="AF225" s="10" t="s">
        <v>2120</v>
      </c>
      <c r="AG225" s="10" t="s">
        <v>46</v>
      </c>
    </row>
    <row r="226" spans="1:33" ht="15.75" x14ac:dyDescent="0.25">
      <c r="A226" s="3">
        <v>1227700911294</v>
      </c>
      <c r="B226" s="9">
        <v>9715437363</v>
      </c>
      <c r="C226" s="10" t="s">
        <v>2121</v>
      </c>
      <c r="D226" s="10" t="s">
        <v>2122</v>
      </c>
      <c r="E226" s="9">
        <v>52106423</v>
      </c>
      <c r="F226" s="9">
        <v>45280561000</v>
      </c>
      <c r="G226" s="9">
        <v>16</v>
      </c>
      <c r="H226" s="9">
        <v>12300</v>
      </c>
      <c r="I226" s="9">
        <v>771501001</v>
      </c>
      <c r="J226" s="10" t="s">
        <v>2123</v>
      </c>
      <c r="K226" s="10"/>
      <c r="L226" s="3" t="s">
        <v>2124</v>
      </c>
      <c r="M226" s="10" t="s">
        <v>2125</v>
      </c>
      <c r="N226" s="10" t="s">
        <v>2126</v>
      </c>
      <c r="O226" s="10" t="s">
        <v>2127</v>
      </c>
      <c r="P226" s="11">
        <v>503209234017</v>
      </c>
      <c r="Q226" s="10" t="s">
        <v>41</v>
      </c>
      <c r="R226" s="10" t="s">
        <v>2128</v>
      </c>
      <c r="S226" s="10" t="s">
        <v>2129</v>
      </c>
      <c r="T226" s="10"/>
      <c r="U226" s="10"/>
      <c r="V226" s="3">
        <v>20000000</v>
      </c>
      <c r="W226" s="3">
        <v>60454000</v>
      </c>
      <c r="X226" s="3">
        <v>6457000</v>
      </c>
      <c r="Y226" s="3">
        <v>7602000</v>
      </c>
      <c r="Z226" s="3">
        <v>32189000</v>
      </c>
      <c r="AA226" s="3">
        <v>1163000</v>
      </c>
      <c r="AB226" s="3">
        <v>64000</v>
      </c>
      <c r="AC226" s="3">
        <v>0</v>
      </c>
      <c r="AD226" s="3">
        <v>0</v>
      </c>
      <c r="AE226" s="10" t="s">
        <v>317</v>
      </c>
      <c r="AF226" s="10" t="s">
        <v>352</v>
      </c>
      <c r="AG226" s="10" t="s">
        <v>46</v>
      </c>
    </row>
    <row r="227" spans="1:33" ht="15.75" x14ac:dyDescent="0.25">
      <c r="A227" s="1">
        <v>1237700386417</v>
      </c>
      <c r="B227" s="6">
        <v>7708420238</v>
      </c>
      <c r="C227" s="7" t="s">
        <v>2130</v>
      </c>
      <c r="D227" s="7" t="s">
        <v>2131</v>
      </c>
      <c r="E227" s="6">
        <v>50939780</v>
      </c>
      <c r="F227" s="6">
        <v>45286565000</v>
      </c>
      <c r="G227" s="6">
        <v>16</v>
      </c>
      <c r="H227" s="6">
        <v>12267</v>
      </c>
      <c r="I227" s="6">
        <v>770801001</v>
      </c>
      <c r="J227" s="7" t="s">
        <v>2132</v>
      </c>
      <c r="K227" s="7"/>
      <c r="L227" s="1" t="s">
        <v>1072</v>
      </c>
      <c r="M227" s="7" t="s">
        <v>1073</v>
      </c>
      <c r="N227" s="7" t="s">
        <v>2133</v>
      </c>
      <c r="O227" s="7" t="s">
        <v>2134</v>
      </c>
      <c r="P227" s="8">
        <v>772479941760</v>
      </c>
      <c r="Q227" s="7" t="s">
        <v>41</v>
      </c>
      <c r="R227" s="7" t="s">
        <v>2135</v>
      </c>
      <c r="S227" s="7" t="s">
        <v>2136</v>
      </c>
      <c r="T227" s="7"/>
      <c r="U227" s="7" t="s">
        <v>2137</v>
      </c>
      <c r="V227" s="1">
        <v>55001000</v>
      </c>
      <c r="W227" s="1">
        <v>1807622000</v>
      </c>
      <c r="X227" s="1">
        <v>177867000</v>
      </c>
      <c r="Y227" s="1">
        <v>0</v>
      </c>
      <c r="Z227" s="1">
        <v>235356000</v>
      </c>
      <c r="AA227" s="1">
        <v>431911000</v>
      </c>
      <c r="AB227" s="1">
        <v>237403000</v>
      </c>
      <c r="AC227" s="1">
        <v>203234000</v>
      </c>
      <c r="AD227" s="1">
        <v>317776000</v>
      </c>
      <c r="AE227" s="7"/>
      <c r="AF227" s="7" t="s">
        <v>2138</v>
      </c>
      <c r="AG227" s="7" t="s">
        <v>46</v>
      </c>
    </row>
    <row r="228" spans="1:33" ht="15.75" x14ac:dyDescent="0.25">
      <c r="A228" s="3">
        <v>1227700493525</v>
      </c>
      <c r="B228" s="9">
        <v>9704156995</v>
      </c>
      <c r="C228" s="10" t="s">
        <v>2139</v>
      </c>
      <c r="D228" s="10" t="s">
        <v>2140</v>
      </c>
      <c r="E228" s="9">
        <v>58442553</v>
      </c>
      <c r="F228" s="9">
        <v>45286590000</v>
      </c>
      <c r="G228" s="9">
        <v>16</v>
      </c>
      <c r="H228" s="9">
        <v>12300</v>
      </c>
      <c r="I228" s="9">
        <v>770401001</v>
      </c>
      <c r="J228" s="10" t="s">
        <v>2141</v>
      </c>
      <c r="K228" s="10"/>
      <c r="L228" s="3" t="s">
        <v>2142</v>
      </c>
      <c r="M228" s="10" t="s">
        <v>2143</v>
      </c>
      <c r="N228" s="10" t="s">
        <v>2144</v>
      </c>
      <c r="O228" s="10" t="s">
        <v>2145</v>
      </c>
      <c r="P228" s="11">
        <v>561603447579</v>
      </c>
      <c r="Q228" s="10" t="s">
        <v>1076</v>
      </c>
      <c r="R228" s="10" t="s">
        <v>2146</v>
      </c>
      <c r="S228" s="10" t="s">
        <v>2147</v>
      </c>
      <c r="T228" s="10"/>
      <c r="U228" s="10" t="s">
        <v>2148</v>
      </c>
      <c r="V228" s="3">
        <v>55000000</v>
      </c>
      <c r="W228" s="3">
        <v>205083000</v>
      </c>
      <c r="X228" s="3">
        <v>129821000</v>
      </c>
      <c r="Y228" s="3">
        <v>1946000</v>
      </c>
      <c r="Z228" s="3">
        <v>56188000</v>
      </c>
      <c r="AA228" s="3">
        <v>10576000</v>
      </c>
      <c r="AB228" s="3">
        <v>22142000</v>
      </c>
      <c r="AC228" s="3">
        <v>26059000</v>
      </c>
      <c r="AD228" s="3">
        <v>25782000</v>
      </c>
      <c r="AE228" s="10" t="s">
        <v>317</v>
      </c>
      <c r="AF228" s="10" t="s">
        <v>1534</v>
      </c>
      <c r="AG228" s="10" t="s">
        <v>46</v>
      </c>
    </row>
    <row r="229" spans="1:33" ht="15.75" x14ac:dyDescent="0.25">
      <c r="A229" s="1">
        <v>1077746036125</v>
      </c>
      <c r="B229" s="6">
        <v>7725593819</v>
      </c>
      <c r="C229" s="7" t="s">
        <v>2149</v>
      </c>
      <c r="D229" s="7" t="s">
        <v>2150</v>
      </c>
      <c r="E229" s="6">
        <v>98995931</v>
      </c>
      <c r="F229" s="6">
        <v>45268569000</v>
      </c>
      <c r="G229" s="6">
        <v>16</v>
      </c>
      <c r="H229" s="6">
        <v>12300</v>
      </c>
      <c r="I229" s="6">
        <v>773101001</v>
      </c>
      <c r="J229" s="7" t="s">
        <v>2151</v>
      </c>
      <c r="K229" s="7"/>
      <c r="L229" s="1" t="s">
        <v>1286</v>
      </c>
      <c r="M229" s="7" t="s">
        <v>1287</v>
      </c>
      <c r="N229" s="7" t="s">
        <v>2152</v>
      </c>
      <c r="O229" s="7" t="s">
        <v>2153</v>
      </c>
      <c r="P229" s="8">
        <v>771000116603</v>
      </c>
      <c r="Q229" s="7" t="s">
        <v>41</v>
      </c>
      <c r="R229" s="7" t="s">
        <v>2154</v>
      </c>
      <c r="S229" s="7" t="s">
        <v>2155</v>
      </c>
      <c r="T229" s="7" t="s">
        <v>2156</v>
      </c>
      <c r="U229" s="7" t="s">
        <v>2157</v>
      </c>
      <c r="V229" s="1">
        <v>39327840</v>
      </c>
      <c r="W229" s="1">
        <v>169339000</v>
      </c>
      <c r="X229" s="1">
        <v>53467000</v>
      </c>
      <c r="Y229" s="1">
        <v>0</v>
      </c>
      <c r="Z229" s="1">
        <v>26510000</v>
      </c>
      <c r="AA229" s="1">
        <v>22673000</v>
      </c>
      <c r="AB229" s="1">
        <v>31907000</v>
      </c>
      <c r="AC229" s="1">
        <v>42026000</v>
      </c>
      <c r="AD229" s="1">
        <v>42332000</v>
      </c>
      <c r="AE229" s="7" t="s">
        <v>331</v>
      </c>
      <c r="AF229" s="7" t="s">
        <v>410</v>
      </c>
      <c r="AG229" s="7" t="s">
        <v>46</v>
      </c>
    </row>
    <row r="230" spans="1:33" ht="15.75" x14ac:dyDescent="0.25">
      <c r="A230" s="3">
        <v>1077759949464</v>
      </c>
      <c r="B230" s="9">
        <v>7704661151</v>
      </c>
      <c r="C230" s="10" t="s">
        <v>2158</v>
      </c>
      <c r="D230" s="10" t="s">
        <v>2159</v>
      </c>
      <c r="E230" s="9">
        <v>82564689</v>
      </c>
      <c r="F230" s="9">
        <v>45263588000</v>
      </c>
      <c r="G230" s="9">
        <v>16</v>
      </c>
      <c r="H230" s="9">
        <v>12300</v>
      </c>
      <c r="I230" s="9">
        <v>771901001</v>
      </c>
      <c r="J230" s="10" t="s">
        <v>2160</v>
      </c>
      <c r="K230" s="10"/>
      <c r="L230" s="3" t="s">
        <v>2161</v>
      </c>
      <c r="M230" s="10" t="s">
        <v>2162</v>
      </c>
      <c r="N230" s="10" t="s">
        <v>2163</v>
      </c>
      <c r="O230" s="10" t="s">
        <v>2164</v>
      </c>
      <c r="P230" s="11">
        <v>772005346955</v>
      </c>
      <c r="Q230" s="10" t="s">
        <v>41</v>
      </c>
      <c r="R230" s="10" t="s">
        <v>2165</v>
      </c>
      <c r="S230" s="10" t="s">
        <v>2166</v>
      </c>
      <c r="T230" s="10"/>
      <c r="U230" s="10" t="s">
        <v>2167</v>
      </c>
      <c r="V230" s="3">
        <v>36000000</v>
      </c>
      <c r="W230" s="3">
        <v>516140000</v>
      </c>
      <c r="X230" s="3">
        <v>19534000</v>
      </c>
      <c r="Y230" s="3">
        <v>259758000</v>
      </c>
      <c r="Z230" s="3">
        <v>396469000</v>
      </c>
      <c r="AA230" s="3">
        <v>21005000</v>
      </c>
      <c r="AB230" s="3">
        <v>27258000</v>
      </c>
      <c r="AC230" s="3">
        <v>10696000</v>
      </c>
      <c r="AD230" s="3">
        <v>37552000</v>
      </c>
      <c r="AE230" s="10" t="s">
        <v>730</v>
      </c>
      <c r="AF230" s="10" t="s">
        <v>2168</v>
      </c>
      <c r="AG230" s="10" t="s">
        <v>46</v>
      </c>
    </row>
    <row r="231" spans="1:33" ht="15.75" x14ac:dyDescent="0.25">
      <c r="A231" s="1">
        <v>1077764612166</v>
      </c>
      <c r="B231" s="6">
        <v>7707650140</v>
      </c>
      <c r="C231" s="7" t="s">
        <v>2169</v>
      </c>
      <c r="D231" s="7" t="s">
        <v>2170</v>
      </c>
      <c r="E231" s="6">
        <v>84190075</v>
      </c>
      <c r="F231" s="6">
        <v>45286585000</v>
      </c>
      <c r="G231" s="6">
        <v>16</v>
      </c>
      <c r="H231" s="6">
        <v>12267</v>
      </c>
      <c r="I231" s="6">
        <v>770701001</v>
      </c>
      <c r="J231" s="7" t="s">
        <v>2171</v>
      </c>
      <c r="K231" s="7"/>
      <c r="L231" s="1" t="s">
        <v>2172</v>
      </c>
      <c r="M231" s="7" t="s">
        <v>2173</v>
      </c>
      <c r="N231" s="7" t="s">
        <v>2174</v>
      </c>
      <c r="O231" s="7" t="s">
        <v>2175</v>
      </c>
      <c r="P231" s="8">
        <v>773401758626</v>
      </c>
      <c r="Q231" s="7" t="s">
        <v>41</v>
      </c>
      <c r="R231" s="7" t="s">
        <v>2176</v>
      </c>
      <c r="S231" s="7" t="s">
        <v>2177</v>
      </c>
      <c r="T231" s="7"/>
      <c r="U231" s="7" t="s">
        <v>2178</v>
      </c>
      <c r="V231" s="1">
        <v>39671000</v>
      </c>
      <c r="W231" s="1">
        <v>364438000</v>
      </c>
      <c r="X231" s="1">
        <v>78120000</v>
      </c>
      <c r="Y231" s="1">
        <v>3000</v>
      </c>
      <c r="Z231" s="1">
        <v>106484000</v>
      </c>
      <c r="AA231" s="1">
        <v>50955000</v>
      </c>
      <c r="AB231" s="1">
        <v>44214000</v>
      </c>
      <c r="AC231" s="1">
        <v>-9697000</v>
      </c>
      <c r="AD231" s="1">
        <v>54217000</v>
      </c>
      <c r="AE231" s="7"/>
      <c r="AF231" s="7" t="s">
        <v>474</v>
      </c>
      <c r="AG231" s="7" t="s">
        <v>46</v>
      </c>
    </row>
    <row r="232" spans="1:33" ht="15.75" x14ac:dyDescent="0.25">
      <c r="A232" s="3">
        <v>1077764829603</v>
      </c>
      <c r="B232" s="9">
        <v>7719664910</v>
      </c>
      <c r="C232" s="10" t="s">
        <v>2179</v>
      </c>
      <c r="D232" s="10" t="s">
        <v>2180</v>
      </c>
      <c r="E232" s="9">
        <v>84190856</v>
      </c>
      <c r="F232" s="9">
        <v>45286565000</v>
      </c>
      <c r="G232" s="9">
        <v>16</v>
      </c>
      <c r="H232" s="9">
        <v>12300</v>
      </c>
      <c r="I232" s="9">
        <v>770801001</v>
      </c>
      <c r="J232" s="10" t="s">
        <v>2181</v>
      </c>
      <c r="K232" s="10"/>
      <c r="L232" s="3" t="s">
        <v>2182</v>
      </c>
      <c r="M232" s="10" t="s">
        <v>2183</v>
      </c>
      <c r="N232" s="10" t="s">
        <v>2184</v>
      </c>
      <c r="O232" s="10" t="s">
        <v>2185</v>
      </c>
      <c r="P232" s="11">
        <v>773610245755</v>
      </c>
      <c r="Q232" s="10" t="s">
        <v>41</v>
      </c>
      <c r="R232" s="10" t="s">
        <v>2186</v>
      </c>
      <c r="S232" s="10" t="s">
        <v>2187</v>
      </c>
      <c r="T232" s="10"/>
      <c r="U232" s="10"/>
      <c r="V232" s="3">
        <v>50000000</v>
      </c>
      <c r="W232" s="3">
        <v>791955000</v>
      </c>
      <c r="X232" s="3">
        <v>770861000</v>
      </c>
      <c r="Y232" s="3">
        <v>215169000</v>
      </c>
      <c r="Z232" s="3">
        <v>71277000</v>
      </c>
      <c r="AA232" s="3">
        <v>156934000</v>
      </c>
      <c r="AB232" s="3">
        <v>31058000</v>
      </c>
      <c r="AC232" s="3">
        <v>102281000</v>
      </c>
      <c r="AD232" s="3">
        <v>42129000</v>
      </c>
      <c r="AE232" s="10" t="s">
        <v>730</v>
      </c>
      <c r="AF232" s="10" t="s">
        <v>1465</v>
      </c>
      <c r="AG232" s="10" t="s">
        <v>46</v>
      </c>
    </row>
    <row r="233" spans="1:33" ht="15.75" x14ac:dyDescent="0.25">
      <c r="A233" s="1">
        <v>1067746567460</v>
      </c>
      <c r="B233" s="6">
        <v>7705729892</v>
      </c>
      <c r="C233" s="7" t="s">
        <v>2188</v>
      </c>
      <c r="D233" s="7" t="s">
        <v>2189</v>
      </c>
      <c r="E233" s="6">
        <v>95510086</v>
      </c>
      <c r="F233" s="6">
        <v>45293590000</v>
      </c>
      <c r="G233" s="6">
        <v>23</v>
      </c>
      <c r="H233" s="6">
        <v>12300</v>
      </c>
      <c r="I233" s="6">
        <v>772801001</v>
      </c>
      <c r="J233" s="7" t="s">
        <v>2190</v>
      </c>
      <c r="K233" s="7"/>
      <c r="L233" s="1" t="s">
        <v>2018</v>
      </c>
      <c r="M233" s="7" t="s">
        <v>2019</v>
      </c>
      <c r="N233" s="7" t="s">
        <v>2191</v>
      </c>
      <c r="O233" s="7" t="s">
        <v>2192</v>
      </c>
      <c r="P233" s="8">
        <v>772393413359</v>
      </c>
      <c r="Q233" s="7" t="s">
        <v>41</v>
      </c>
      <c r="R233" s="7" t="s">
        <v>2193</v>
      </c>
      <c r="S233" s="7" t="s">
        <v>2194</v>
      </c>
      <c r="T233" s="7" t="s">
        <v>2195</v>
      </c>
      <c r="U233" s="7" t="s">
        <v>2196</v>
      </c>
      <c r="V233" s="1">
        <v>18095755</v>
      </c>
      <c r="W233" s="1">
        <v>828467000</v>
      </c>
      <c r="X233" s="1">
        <v>181173000</v>
      </c>
      <c r="Y233" s="1">
        <v>437466000</v>
      </c>
      <c r="Z233" s="1">
        <v>50816000</v>
      </c>
      <c r="AA233" s="1">
        <v>106299000</v>
      </c>
      <c r="AB233" s="1">
        <v>22772000</v>
      </c>
      <c r="AC233" s="1">
        <v>-371000</v>
      </c>
      <c r="AD233" s="1">
        <v>34012000</v>
      </c>
      <c r="AE233" s="7"/>
      <c r="AF233" s="7" t="s">
        <v>1757</v>
      </c>
      <c r="AG233" s="7" t="s">
        <v>46</v>
      </c>
    </row>
    <row r="234" spans="1:33" ht="15.75" x14ac:dyDescent="0.25">
      <c r="A234" s="3">
        <v>1085027005678</v>
      </c>
      <c r="B234" s="9">
        <v>5027135300</v>
      </c>
      <c r="C234" s="10" t="s">
        <v>2197</v>
      </c>
      <c r="D234" s="10" t="s">
        <v>2198</v>
      </c>
      <c r="E234" s="9">
        <v>86655450</v>
      </c>
      <c r="F234" s="9">
        <v>46448571000</v>
      </c>
      <c r="G234" s="9">
        <v>16</v>
      </c>
      <c r="H234" s="9">
        <v>12300</v>
      </c>
      <c r="I234" s="9">
        <v>502701001</v>
      </c>
      <c r="J234" s="10" t="s">
        <v>2199</v>
      </c>
      <c r="K234" s="10"/>
      <c r="L234" s="3" t="s">
        <v>2200</v>
      </c>
      <c r="M234" s="10" t="s">
        <v>2201</v>
      </c>
      <c r="N234" s="10" t="s">
        <v>2202</v>
      </c>
      <c r="O234" s="10" t="s">
        <v>2203</v>
      </c>
      <c r="P234" s="11">
        <v>770500402537</v>
      </c>
      <c r="Q234" s="10" t="s">
        <v>41</v>
      </c>
      <c r="R234" s="10" t="s">
        <v>2204</v>
      </c>
      <c r="S234" s="10" t="s">
        <v>2205</v>
      </c>
      <c r="T234" s="10"/>
      <c r="U234" s="10"/>
      <c r="V234" s="3">
        <v>28900600</v>
      </c>
      <c r="W234" s="3">
        <v>236879000</v>
      </c>
      <c r="X234" s="3">
        <v>28620000</v>
      </c>
      <c r="Y234" s="3">
        <v>673000</v>
      </c>
      <c r="Z234" s="3">
        <v>46142000</v>
      </c>
      <c r="AA234" s="3">
        <v>18973000</v>
      </c>
      <c r="AB234" s="3">
        <v>17807000</v>
      </c>
      <c r="AC234" s="3">
        <v>25394000</v>
      </c>
      <c r="AD234" s="3">
        <v>23847000</v>
      </c>
      <c r="AE234" s="10" t="s">
        <v>331</v>
      </c>
      <c r="AF234" s="10" t="s">
        <v>1727</v>
      </c>
      <c r="AG234" s="10" t="s">
        <v>46</v>
      </c>
    </row>
    <row r="235" spans="1:33" ht="15.75" x14ac:dyDescent="0.25">
      <c r="A235" s="1">
        <v>1085040002376</v>
      </c>
      <c r="B235" s="6">
        <v>5040083468</v>
      </c>
      <c r="C235" s="7" t="s">
        <v>2206</v>
      </c>
      <c r="D235" s="7" t="s">
        <v>2207</v>
      </c>
      <c r="E235" s="6">
        <v>84383791</v>
      </c>
      <c r="F235" s="6">
        <v>46425000000</v>
      </c>
      <c r="G235" s="6">
        <v>16</v>
      </c>
      <c r="H235" s="6">
        <v>12300</v>
      </c>
      <c r="I235" s="6">
        <v>504001001</v>
      </c>
      <c r="J235" s="7" t="s">
        <v>2208</v>
      </c>
      <c r="K235" s="7"/>
      <c r="L235" s="1" t="s">
        <v>367</v>
      </c>
      <c r="M235" s="7" t="s">
        <v>368</v>
      </c>
      <c r="N235" s="7" t="s">
        <v>2209</v>
      </c>
      <c r="O235" s="7" t="s">
        <v>2210</v>
      </c>
      <c r="P235" s="8">
        <v>322300704394</v>
      </c>
      <c r="Q235" s="7" t="s">
        <v>41</v>
      </c>
      <c r="R235" s="7" t="s">
        <v>2211</v>
      </c>
      <c r="S235" s="7" t="s">
        <v>2212</v>
      </c>
      <c r="T235" s="7"/>
      <c r="U235" s="7" t="s">
        <v>2213</v>
      </c>
      <c r="V235" s="1">
        <v>81313000</v>
      </c>
      <c r="W235" s="1">
        <v>682749000</v>
      </c>
      <c r="X235" s="1">
        <v>9982000</v>
      </c>
      <c r="Y235" s="1">
        <v>8000</v>
      </c>
      <c r="Z235" s="1">
        <v>180904000</v>
      </c>
      <c r="AA235" s="1">
        <v>86553000</v>
      </c>
      <c r="AB235" s="1">
        <v>6937000</v>
      </c>
      <c r="AC235" s="1">
        <v>35357000</v>
      </c>
      <c r="AD235" s="1">
        <v>13793000</v>
      </c>
      <c r="AE235" s="7"/>
      <c r="AF235" s="7" t="s">
        <v>2214</v>
      </c>
      <c r="AG235" s="7" t="s">
        <v>46</v>
      </c>
    </row>
    <row r="236" spans="1:33" ht="15.75" x14ac:dyDescent="0.25">
      <c r="A236" s="3">
        <v>1025005123285</v>
      </c>
      <c r="B236" s="9">
        <v>5040053897</v>
      </c>
      <c r="C236" s="10" t="s">
        <v>2215</v>
      </c>
      <c r="D236" s="10" t="s">
        <v>2216</v>
      </c>
      <c r="E236" s="9">
        <v>58260094</v>
      </c>
      <c r="F236" s="9">
        <v>46468000691</v>
      </c>
      <c r="G236" s="9">
        <v>16</v>
      </c>
      <c r="H236" s="9">
        <v>12300</v>
      </c>
      <c r="I236" s="9">
        <v>504001001</v>
      </c>
      <c r="J236" s="10" t="s">
        <v>2217</v>
      </c>
      <c r="K236" s="10"/>
      <c r="L236" s="3" t="s">
        <v>2218</v>
      </c>
      <c r="M236" s="10" t="s">
        <v>2219</v>
      </c>
      <c r="N236" s="10" t="s">
        <v>2220</v>
      </c>
      <c r="O236" s="10" t="s">
        <v>2221</v>
      </c>
      <c r="P236" s="11">
        <v>681500079537</v>
      </c>
      <c r="Q236" s="10" t="s">
        <v>41</v>
      </c>
      <c r="R236" s="10" t="s">
        <v>2222</v>
      </c>
      <c r="S236" s="10" t="s">
        <v>2223</v>
      </c>
      <c r="T236" s="10"/>
      <c r="U236" s="10"/>
      <c r="V236" s="3">
        <v>31000000</v>
      </c>
      <c r="W236" s="3">
        <v>273083000</v>
      </c>
      <c r="X236" s="3">
        <v>74003000</v>
      </c>
      <c r="Y236" s="3">
        <v>26930000</v>
      </c>
      <c r="Z236" s="3">
        <v>223696000</v>
      </c>
      <c r="AA236" s="3">
        <v>104885000</v>
      </c>
      <c r="AB236" s="3">
        <v>35787000</v>
      </c>
      <c r="AC236" s="3">
        <v>46439000</v>
      </c>
      <c r="AD236" s="3">
        <v>35787000</v>
      </c>
      <c r="AE236" s="10" t="s">
        <v>331</v>
      </c>
      <c r="AF236" s="10" t="s">
        <v>669</v>
      </c>
      <c r="AG236" s="10" t="s">
        <v>1525</v>
      </c>
    </row>
    <row r="237" spans="1:33" ht="15.75" x14ac:dyDescent="0.25">
      <c r="A237" s="1">
        <v>1117746532375</v>
      </c>
      <c r="B237" s="6">
        <v>7724796446</v>
      </c>
      <c r="C237" s="7" t="s">
        <v>2224</v>
      </c>
      <c r="D237" s="7" t="s">
        <v>2225</v>
      </c>
      <c r="E237" s="6">
        <v>92566198</v>
      </c>
      <c r="F237" s="6">
        <v>45296569000</v>
      </c>
      <c r="G237" s="6">
        <v>23</v>
      </c>
      <c r="H237" s="6">
        <v>12300</v>
      </c>
      <c r="I237" s="6">
        <v>772401001</v>
      </c>
      <c r="J237" s="7" t="s">
        <v>2226</v>
      </c>
      <c r="K237" s="7"/>
      <c r="L237" s="1" t="s">
        <v>633</v>
      </c>
      <c r="M237" s="7" t="s">
        <v>634</v>
      </c>
      <c r="N237" s="7" t="s">
        <v>2227</v>
      </c>
      <c r="O237" s="7" t="s">
        <v>2228</v>
      </c>
      <c r="P237" s="8">
        <v>772610248539</v>
      </c>
      <c r="Q237" s="7" t="s">
        <v>41</v>
      </c>
      <c r="R237" s="7" t="s">
        <v>2229</v>
      </c>
      <c r="S237" s="7" t="s">
        <v>2230</v>
      </c>
      <c r="T237" s="7"/>
      <c r="U237" s="7" t="s">
        <v>2231</v>
      </c>
      <c r="V237" s="1">
        <v>21918160</v>
      </c>
      <c r="W237" s="1">
        <v>151251000</v>
      </c>
      <c r="X237" s="1">
        <v>0</v>
      </c>
      <c r="Y237" s="1">
        <v>0</v>
      </c>
      <c r="Z237" s="1">
        <v>17165000</v>
      </c>
      <c r="AA237" s="1">
        <v>21229000</v>
      </c>
      <c r="AB237" s="1">
        <v>-33166000</v>
      </c>
      <c r="AC237" s="1">
        <v>-45422000</v>
      </c>
      <c r="AD237" s="1">
        <v>-27857000</v>
      </c>
      <c r="AE237" s="7"/>
      <c r="AF237" s="7" t="s">
        <v>740</v>
      </c>
      <c r="AG237" s="7" t="s">
        <v>46</v>
      </c>
    </row>
    <row r="238" spans="1:33" ht="15.75" x14ac:dyDescent="0.25">
      <c r="A238" s="3">
        <v>1025007509372</v>
      </c>
      <c r="B238" s="9">
        <v>5074017181</v>
      </c>
      <c r="C238" s="10" t="s">
        <v>2232</v>
      </c>
      <c r="D238" s="10" t="s">
        <v>2233</v>
      </c>
      <c r="E238" s="9">
        <v>18165581</v>
      </c>
      <c r="F238" s="9">
        <v>45297581000</v>
      </c>
      <c r="G238" s="9">
        <v>52</v>
      </c>
      <c r="H238" s="9">
        <v>12267</v>
      </c>
      <c r="I238" s="9">
        <v>775101001</v>
      </c>
      <c r="J238" s="10" t="s">
        <v>2234</v>
      </c>
      <c r="K238" s="10"/>
      <c r="L238" s="3" t="s">
        <v>2235</v>
      </c>
      <c r="M238" s="10" t="s">
        <v>2236</v>
      </c>
      <c r="N238" s="10" t="s">
        <v>2237</v>
      </c>
      <c r="O238" s="10" t="s">
        <v>2238</v>
      </c>
      <c r="P238" s="11">
        <v>773402115032</v>
      </c>
      <c r="Q238" s="10" t="s">
        <v>41</v>
      </c>
      <c r="R238" s="10" t="s">
        <v>2239</v>
      </c>
      <c r="S238" s="10" t="s">
        <v>2240</v>
      </c>
      <c r="T238" s="10" t="s">
        <v>2241</v>
      </c>
      <c r="U238" s="10" t="s">
        <v>2242</v>
      </c>
      <c r="V238" s="3">
        <v>15000000</v>
      </c>
      <c r="W238" s="3">
        <v>611752000</v>
      </c>
      <c r="X238" s="3">
        <v>2964298000</v>
      </c>
      <c r="Y238" s="3">
        <v>20152000</v>
      </c>
      <c r="Z238" s="3">
        <v>112567000</v>
      </c>
      <c r="AA238" s="3">
        <v>1040651000</v>
      </c>
      <c r="AB238" s="3">
        <v>-163242000</v>
      </c>
      <c r="AC238" s="3">
        <v>-3332000</v>
      </c>
      <c r="AD238" s="3">
        <v>-216336000</v>
      </c>
      <c r="AE238" s="10" t="s">
        <v>730</v>
      </c>
      <c r="AF238" s="10" t="s">
        <v>2243</v>
      </c>
      <c r="AG238" s="10" t="s">
        <v>46</v>
      </c>
    </row>
    <row r="239" spans="1:33" ht="15.75" x14ac:dyDescent="0.25">
      <c r="A239" s="1">
        <v>1117847011336</v>
      </c>
      <c r="B239" s="6">
        <v>7801537819</v>
      </c>
      <c r="C239" s="7" t="s">
        <v>2244</v>
      </c>
      <c r="D239" s="7" t="s">
        <v>2245</v>
      </c>
      <c r="E239" s="6">
        <v>69268756</v>
      </c>
      <c r="F239" s="6">
        <v>45286570000</v>
      </c>
      <c r="G239" s="6">
        <v>16</v>
      </c>
      <c r="H239" s="6">
        <v>12300</v>
      </c>
      <c r="I239" s="6">
        <v>770201001</v>
      </c>
      <c r="J239" s="7" t="s">
        <v>2246</v>
      </c>
      <c r="K239" s="7"/>
      <c r="L239" s="1" t="s">
        <v>414</v>
      </c>
      <c r="M239" s="7" t="s">
        <v>415</v>
      </c>
      <c r="N239" s="7" t="s">
        <v>2247</v>
      </c>
      <c r="O239" s="7" t="s">
        <v>2248</v>
      </c>
      <c r="P239" s="8">
        <v>770907591180</v>
      </c>
      <c r="Q239" s="7" t="s">
        <v>41</v>
      </c>
      <c r="R239" s="7" t="s">
        <v>2249</v>
      </c>
      <c r="S239" s="7" t="s">
        <v>2250</v>
      </c>
      <c r="T239" s="7"/>
      <c r="U239" s="7" t="s">
        <v>2251</v>
      </c>
      <c r="V239" s="1">
        <v>90345000</v>
      </c>
      <c r="W239" s="1">
        <v>127692000</v>
      </c>
      <c r="X239" s="1">
        <v>195328000</v>
      </c>
      <c r="Y239" s="1">
        <v>111000</v>
      </c>
      <c r="Z239" s="1">
        <v>10036589000</v>
      </c>
      <c r="AA239" s="1">
        <v>4238000</v>
      </c>
      <c r="AB239" s="1">
        <v>-358429000</v>
      </c>
      <c r="AC239" s="1">
        <v>37508000</v>
      </c>
      <c r="AD239" s="1">
        <v>-453255000</v>
      </c>
      <c r="AE239" s="7"/>
      <c r="AF239" s="7" t="s">
        <v>307</v>
      </c>
      <c r="AG239" s="7" t="s">
        <v>46</v>
      </c>
    </row>
    <row r="240" spans="1:33" ht="15.75" x14ac:dyDescent="0.25">
      <c r="A240" s="3">
        <v>1025007588253</v>
      </c>
      <c r="B240" s="9">
        <v>5075000582</v>
      </c>
      <c r="C240" s="10" t="s">
        <v>2252</v>
      </c>
      <c r="D240" s="10" t="s">
        <v>2253</v>
      </c>
      <c r="E240" s="9">
        <v>5287650</v>
      </c>
      <c r="F240" s="9">
        <v>46466000000</v>
      </c>
      <c r="G240" s="9">
        <v>16</v>
      </c>
      <c r="H240" s="9">
        <v>12267</v>
      </c>
      <c r="I240" s="9">
        <v>507501001</v>
      </c>
      <c r="J240" s="10" t="s">
        <v>2254</v>
      </c>
      <c r="K240" s="10"/>
      <c r="L240" s="3" t="s">
        <v>2255</v>
      </c>
      <c r="M240" s="10" t="s">
        <v>2256</v>
      </c>
      <c r="N240" s="10" t="s">
        <v>2257</v>
      </c>
      <c r="O240" s="10" t="s">
        <v>2258</v>
      </c>
      <c r="P240" s="11">
        <v>7703368908</v>
      </c>
      <c r="Q240" s="10" t="s">
        <v>90</v>
      </c>
      <c r="R240" s="10" t="s">
        <v>2259</v>
      </c>
      <c r="S240" s="10" t="s">
        <v>2260</v>
      </c>
      <c r="T240" s="10" t="s">
        <v>2261</v>
      </c>
      <c r="U240" s="10" t="s">
        <v>2262</v>
      </c>
      <c r="V240" s="3">
        <v>18086000</v>
      </c>
      <c r="W240" s="3">
        <v>563568000</v>
      </c>
      <c r="X240" s="3">
        <v>921861000</v>
      </c>
      <c r="Y240" s="3">
        <v>30435000</v>
      </c>
      <c r="Z240" s="3">
        <v>216798000</v>
      </c>
      <c r="AA240" s="3">
        <v>634642000</v>
      </c>
      <c r="AB240" s="3">
        <v>-334773000</v>
      </c>
      <c r="AC240" s="3">
        <v>-271577000</v>
      </c>
      <c r="AD240" s="3">
        <v>-334773000</v>
      </c>
      <c r="AE240" s="10" t="s">
        <v>730</v>
      </c>
      <c r="AF240" s="10" t="s">
        <v>1306</v>
      </c>
      <c r="AG240" s="10" t="s">
        <v>46</v>
      </c>
    </row>
    <row r="241" spans="1:33" ht="15.75" x14ac:dyDescent="0.25">
      <c r="A241" s="1">
        <v>1083705000741</v>
      </c>
      <c r="B241" s="6">
        <v>3705063260</v>
      </c>
      <c r="C241" s="7" t="s">
        <v>2263</v>
      </c>
      <c r="D241" s="7" t="s">
        <v>2264</v>
      </c>
      <c r="E241" s="6">
        <v>88006401</v>
      </c>
      <c r="F241" s="6">
        <v>45268595000</v>
      </c>
      <c r="G241" s="6">
        <v>34</v>
      </c>
      <c r="H241" s="6">
        <v>12300</v>
      </c>
      <c r="I241" s="6">
        <v>773001001</v>
      </c>
      <c r="J241" s="7" t="s">
        <v>2265</v>
      </c>
      <c r="K241" s="7"/>
      <c r="L241" s="1" t="s">
        <v>2266</v>
      </c>
      <c r="M241" s="7" t="s">
        <v>2267</v>
      </c>
      <c r="N241" s="7" t="s">
        <v>2268</v>
      </c>
      <c r="O241" s="7" t="s">
        <v>2269</v>
      </c>
      <c r="P241" s="8" t="s">
        <v>2270</v>
      </c>
      <c r="Q241" s="7" t="s">
        <v>2271</v>
      </c>
      <c r="R241" s="7" t="s">
        <v>2272</v>
      </c>
      <c r="S241" s="7" t="s">
        <v>2273</v>
      </c>
      <c r="T241" s="7" t="s">
        <v>2274</v>
      </c>
      <c r="U241" s="7" t="s">
        <v>2275</v>
      </c>
      <c r="V241" s="1">
        <v>25200000</v>
      </c>
      <c r="W241" s="1">
        <v>294169000</v>
      </c>
      <c r="X241" s="1">
        <v>1951000</v>
      </c>
      <c r="Y241" s="1">
        <v>22988000</v>
      </c>
      <c r="Z241" s="1">
        <v>251937000</v>
      </c>
      <c r="AA241" s="1">
        <v>209062000</v>
      </c>
      <c r="AB241" s="1">
        <v>13006000</v>
      </c>
      <c r="AC241" s="1">
        <v>18932000</v>
      </c>
      <c r="AD241" s="1">
        <v>17341000</v>
      </c>
      <c r="AE241" s="7"/>
      <c r="AF241" s="7" t="s">
        <v>352</v>
      </c>
      <c r="AG241" s="7" t="s">
        <v>46</v>
      </c>
    </row>
    <row r="242" spans="1:33" ht="15.75" x14ac:dyDescent="0.25">
      <c r="A242" s="1">
        <v>1025001418210</v>
      </c>
      <c r="B242" s="6">
        <v>5010022027</v>
      </c>
      <c r="C242" s="7" t="s">
        <v>2276</v>
      </c>
      <c r="D242" s="7" t="s">
        <v>2277</v>
      </c>
      <c r="E242" s="6">
        <v>50157652</v>
      </c>
      <c r="F242" s="6">
        <v>46418000000</v>
      </c>
      <c r="G242" s="6">
        <v>16</v>
      </c>
      <c r="H242" s="6">
        <v>12300</v>
      </c>
      <c r="I242" s="6">
        <v>501001001</v>
      </c>
      <c r="J242" s="7" t="s">
        <v>2278</v>
      </c>
      <c r="K242" s="7"/>
      <c r="L242" s="1" t="s">
        <v>2279</v>
      </c>
      <c r="M242" s="7" t="s">
        <v>2280</v>
      </c>
      <c r="N242" s="7" t="s">
        <v>2281</v>
      </c>
      <c r="O242" s="7" t="s">
        <v>2282</v>
      </c>
      <c r="P242" s="8">
        <v>740407742811</v>
      </c>
      <c r="Q242" s="7" t="s">
        <v>41</v>
      </c>
      <c r="R242" s="7" t="s">
        <v>2283</v>
      </c>
      <c r="S242" s="7" t="s">
        <v>2284</v>
      </c>
      <c r="T242" s="7"/>
      <c r="U242" s="7" t="s">
        <v>2285</v>
      </c>
      <c r="V242" s="1">
        <v>15950000</v>
      </c>
      <c r="W242" s="1">
        <v>365660000</v>
      </c>
      <c r="X242" s="1">
        <v>59924000</v>
      </c>
      <c r="Y242" s="1">
        <v>35997000</v>
      </c>
      <c r="Z242" s="1">
        <v>45375000</v>
      </c>
      <c r="AA242" s="1">
        <v>38094000</v>
      </c>
      <c r="AB242" s="1">
        <v>13353000</v>
      </c>
      <c r="AC242" s="1">
        <v>19963000</v>
      </c>
      <c r="AD242" s="1">
        <v>18095000</v>
      </c>
      <c r="AE242" s="7" t="s">
        <v>730</v>
      </c>
      <c r="AF242" s="7" t="s">
        <v>2138</v>
      </c>
      <c r="AG242" s="7" t="s">
        <v>46</v>
      </c>
    </row>
    <row r="243" spans="1:33" ht="15.75" x14ac:dyDescent="0.25">
      <c r="A243" s="3">
        <v>1025001280534</v>
      </c>
      <c r="B243" s="9">
        <v>5009003982</v>
      </c>
      <c r="C243" s="10" t="s">
        <v>2286</v>
      </c>
      <c r="D243" s="10" t="s">
        <v>2287</v>
      </c>
      <c r="E243" s="9">
        <v>4002438</v>
      </c>
      <c r="F243" s="9">
        <v>46409000000</v>
      </c>
      <c r="G243" s="9">
        <v>16</v>
      </c>
      <c r="H243" s="9">
        <v>12267</v>
      </c>
      <c r="I243" s="9">
        <v>500901001</v>
      </c>
      <c r="J243" s="10" t="s">
        <v>2288</v>
      </c>
      <c r="K243" s="10"/>
      <c r="L243" s="3" t="s">
        <v>404</v>
      </c>
      <c r="M243" s="10" t="s">
        <v>405</v>
      </c>
      <c r="N243" s="10" t="s">
        <v>2289</v>
      </c>
      <c r="O243" s="10" t="s">
        <v>2290</v>
      </c>
      <c r="P243" s="11">
        <v>500901573650</v>
      </c>
      <c r="Q243" s="10" t="s">
        <v>41</v>
      </c>
      <c r="R243" s="10" t="s">
        <v>2291</v>
      </c>
      <c r="S243" s="10" t="s">
        <v>2292</v>
      </c>
      <c r="T243" s="10"/>
      <c r="U243" s="10"/>
      <c r="V243" s="3">
        <v>15974000</v>
      </c>
      <c r="W243" s="3">
        <v>220489000</v>
      </c>
      <c r="X243" s="3">
        <v>76669000</v>
      </c>
      <c r="Y243" s="3">
        <v>752000</v>
      </c>
      <c r="Z243" s="3">
        <v>16491000</v>
      </c>
      <c r="AA243" s="3">
        <v>22237000</v>
      </c>
      <c r="AB243" s="3">
        <v>136601000</v>
      </c>
      <c r="AC243" s="3">
        <v>138975000</v>
      </c>
      <c r="AD243" s="3">
        <v>143836000</v>
      </c>
      <c r="AE243" s="10" t="s">
        <v>331</v>
      </c>
      <c r="AF243" s="10" t="s">
        <v>1624</v>
      </c>
      <c r="AG243" s="10" t="s">
        <v>319</v>
      </c>
    </row>
    <row r="244" spans="1:33" ht="15.75" x14ac:dyDescent="0.25">
      <c r="A244" s="1">
        <v>1025002033121</v>
      </c>
      <c r="B244" s="6">
        <v>5054009168</v>
      </c>
      <c r="C244" s="7" t="s">
        <v>2293</v>
      </c>
      <c r="D244" s="7" t="s">
        <v>2294</v>
      </c>
      <c r="E244" s="6">
        <v>53132931</v>
      </c>
      <c r="F244" s="6">
        <v>46434000000</v>
      </c>
      <c r="G244" s="6">
        <v>16</v>
      </c>
      <c r="H244" s="6">
        <v>12267</v>
      </c>
      <c r="I244" s="6">
        <v>505401001</v>
      </c>
      <c r="J244" s="7" t="s">
        <v>2295</v>
      </c>
      <c r="K244" s="7"/>
      <c r="L244" s="1" t="s">
        <v>2296</v>
      </c>
      <c r="M244" s="7" t="s">
        <v>2297</v>
      </c>
      <c r="N244" s="7" t="s">
        <v>2298</v>
      </c>
      <c r="O244" s="7" t="s">
        <v>2299</v>
      </c>
      <c r="P244" s="8">
        <v>505401715954</v>
      </c>
      <c r="Q244" s="7" t="s">
        <v>41</v>
      </c>
      <c r="R244" s="7" t="s">
        <v>2300</v>
      </c>
      <c r="S244" s="7" t="s">
        <v>2301</v>
      </c>
      <c r="T244" s="7" t="s">
        <v>2302</v>
      </c>
      <c r="U244" s="7" t="s">
        <v>2303</v>
      </c>
      <c r="V244" s="1">
        <v>25890000</v>
      </c>
      <c r="W244" s="1">
        <v>398583000</v>
      </c>
      <c r="X244" s="1">
        <v>54165000</v>
      </c>
      <c r="Y244" s="1">
        <v>44579000</v>
      </c>
      <c r="Z244" s="1">
        <v>140961000</v>
      </c>
      <c r="AA244" s="1">
        <v>30756000</v>
      </c>
      <c r="AB244" s="1">
        <v>10002000</v>
      </c>
      <c r="AC244" s="1">
        <v>0</v>
      </c>
      <c r="AD244" s="1">
        <v>0</v>
      </c>
      <c r="AE244" s="7" t="s">
        <v>331</v>
      </c>
      <c r="AF244" s="7" t="s">
        <v>332</v>
      </c>
      <c r="AG244" s="7" t="s">
        <v>46</v>
      </c>
    </row>
    <row r="245" spans="1:33" ht="15.75" x14ac:dyDescent="0.25">
      <c r="A245" s="3">
        <v>1025004069837</v>
      </c>
      <c r="B245" s="9">
        <v>5032074580</v>
      </c>
      <c r="C245" s="10" t="s">
        <v>2304</v>
      </c>
      <c r="D245" s="10" t="s">
        <v>2305</v>
      </c>
      <c r="E245" s="9">
        <v>56760485</v>
      </c>
      <c r="F245" s="9">
        <v>46455000161</v>
      </c>
      <c r="G245" s="9">
        <v>16</v>
      </c>
      <c r="H245" s="9">
        <v>12300</v>
      </c>
      <c r="I245" s="9">
        <v>503201001</v>
      </c>
      <c r="J245" s="10" t="s">
        <v>2306</v>
      </c>
      <c r="K245" s="10"/>
      <c r="L245" s="3" t="s">
        <v>2307</v>
      </c>
      <c r="M245" s="10" t="s">
        <v>2308</v>
      </c>
      <c r="N245" s="10" t="s">
        <v>2309</v>
      </c>
      <c r="O245" s="10" t="s">
        <v>2310</v>
      </c>
      <c r="P245" s="11">
        <v>583704094291</v>
      </c>
      <c r="Q245" s="10" t="s">
        <v>41</v>
      </c>
      <c r="R245" s="10" t="s">
        <v>2311</v>
      </c>
      <c r="S245" s="10" t="s">
        <v>2312</v>
      </c>
      <c r="T245" s="10" t="s">
        <v>2313</v>
      </c>
      <c r="U245" s="10" t="s">
        <v>2314</v>
      </c>
      <c r="V245" s="3">
        <v>20318618</v>
      </c>
      <c r="W245" s="3">
        <v>221884000</v>
      </c>
      <c r="X245" s="3">
        <v>2338000</v>
      </c>
      <c r="Y245" s="3">
        <v>54370000</v>
      </c>
      <c r="Z245" s="3">
        <v>19539000</v>
      </c>
      <c r="AA245" s="3">
        <v>46996000</v>
      </c>
      <c r="AB245" s="3">
        <v>3605000</v>
      </c>
      <c r="AC245" s="3">
        <v>0</v>
      </c>
      <c r="AD245" s="3">
        <v>0</v>
      </c>
      <c r="AE245" s="10" t="s">
        <v>331</v>
      </c>
      <c r="AF245" s="10" t="s">
        <v>2315</v>
      </c>
      <c r="AG245" s="10" t="s">
        <v>46</v>
      </c>
    </row>
    <row r="246" spans="1:33" ht="15.75" x14ac:dyDescent="0.25">
      <c r="A246" s="3">
        <v>1025003078605</v>
      </c>
      <c r="B246" s="9">
        <v>5025013890</v>
      </c>
      <c r="C246" s="10" t="s">
        <v>2316</v>
      </c>
      <c r="D246" s="10" t="s">
        <v>2317</v>
      </c>
      <c r="E246" s="9">
        <v>53939680</v>
      </c>
      <c r="F246" s="9">
        <v>45263591000</v>
      </c>
      <c r="G246" s="9">
        <v>16</v>
      </c>
      <c r="H246" s="9">
        <v>12300</v>
      </c>
      <c r="I246" s="9">
        <v>771801001</v>
      </c>
      <c r="J246" s="10" t="s">
        <v>2318</v>
      </c>
      <c r="K246" s="10"/>
      <c r="L246" s="3" t="s">
        <v>288</v>
      </c>
      <c r="M246" s="10" t="s">
        <v>289</v>
      </c>
      <c r="N246" s="10" t="s">
        <v>2319</v>
      </c>
      <c r="O246" s="10" t="s">
        <v>2320</v>
      </c>
      <c r="P246" s="11">
        <v>502500513456</v>
      </c>
      <c r="Q246" s="10" t="s">
        <v>41</v>
      </c>
      <c r="R246" s="10" t="s">
        <v>2321</v>
      </c>
      <c r="S246" s="10" t="s">
        <v>2322</v>
      </c>
      <c r="T246" s="10"/>
      <c r="U246" s="10" t="s">
        <v>2323</v>
      </c>
      <c r="V246" s="3">
        <v>19500000</v>
      </c>
      <c r="W246" s="3">
        <v>96254000</v>
      </c>
      <c r="X246" s="3">
        <v>32634000</v>
      </c>
      <c r="Y246" s="3">
        <v>266834000</v>
      </c>
      <c r="Z246" s="3">
        <v>559000</v>
      </c>
      <c r="AA246" s="3">
        <v>271430000</v>
      </c>
      <c r="AB246" s="3">
        <v>10703000</v>
      </c>
      <c r="AC246" s="3">
        <v>-4125000</v>
      </c>
      <c r="AD246" s="3">
        <v>14275000</v>
      </c>
      <c r="AE246" s="10" t="s">
        <v>331</v>
      </c>
      <c r="AF246" s="10" t="s">
        <v>530</v>
      </c>
      <c r="AG246" s="10" t="s">
        <v>46</v>
      </c>
    </row>
    <row r="247" spans="1:33" ht="15.75" x14ac:dyDescent="0.25">
      <c r="A247" s="1">
        <v>1025003078616</v>
      </c>
      <c r="B247" s="6">
        <v>5025002150</v>
      </c>
      <c r="C247" s="7" t="s">
        <v>2324</v>
      </c>
      <c r="D247" s="7" t="s">
        <v>2325</v>
      </c>
      <c r="E247" s="6">
        <v>5072955</v>
      </c>
      <c r="F247" s="6">
        <v>46440000000</v>
      </c>
      <c r="G247" s="6">
        <v>34</v>
      </c>
      <c r="H247" s="6">
        <v>12267</v>
      </c>
      <c r="I247" s="6">
        <v>502501001</v>
      </c>
      <c r="J247" s="7" t="s">
        <v>2326</v>
      </c>
      <c r="K247" s="7"/>
      <c r="L247" s="1" t="s">
        <v>1671</v>
      </c>
      <c r="M247" s="7" t="s">
        <v>1672</v>
      </c>
      <c r="N247" s="7" t="s">
        <v>2327</v>
      </c>
      <c r="O247" s="7" t="s">
        <v>2328</v>
      </c>
      <c r="P247" s="8">
        <v>771700085654</v>
      </c>
      <c r="Q247" s="7" t="s">
        <v>41</v>
      </c>
      <c r="R247" s="7" t="s">
        <v>2329</v>
      </c>
      <c r="S247" s="7" t="s">
        <v>2330</v>
      </c>
      <c r="T247" s="7" t="s">
        <v>2331</v>
      </c>
      <c r="U247" s="7" t="s">
        <v>2332</v>
      </c>
      <c r="V247" s="1">
        <v>12156690</v>
      </c>
      <c r="W247" s="1">
        <v>377101000</v>
      </c>
      <c r="X247" s="1">
        <v>40604000</v>
      </c>
      <c r="Y247" s="1">
        <v>4397000</v>
      </c>
      <c r="Z247" s="1">
        <v>86026000</v>
      </c>
      <c r="AA247" s="1">
        <v>42977000</v>
      </c>
      <c r="AB247" s="1">
        <v>71477000</v>
      </c>
      <c r="AC247" s="1">
        <v>112802000</v>
      </c>
      <c r="AD247" s="1">
        <v>95510000</v>
      </c>
      <c r="AE247" s="7"/>
      <c r="AF247" s="7" t="s">
        <v>2333</v>
      </c>
      <c r="AG247" s="7" t="s">
        <v>46</v>
      </c>
    </row>
    <row r="248" spans="1:33" ht="15.75" x14ac:dyDescent="0.25">
      <c r="A248" s="3">
        <v>1025004057957</v>
      </c>
      <c r="B248" s="9">
        <v>5032050116</v>
      </c>
      <c r="C248" s="10" t="s">
        <v>2334</v>
      </c>
      <c r="D248" s="10" t="s">
        <v>2335</v>
      </c>
      <c r="E248" s="9">
        <v>50158189</v>
      </c>
      <c r="F248" s="9">
        <v>46455000000</v>
      </c>
      <c r="G248" s="9">
        <v>16</v>
      </c>
      <c r="H248" s="9">
        <v>12267</v>
      </c>
      <c r="I248" s="9">
        <v>503201001</v>
      </c>
      <c r="J248" s="10" t="s">
        <v>2336</v>
      </c>
      <c r="K248" s="10"/>
      <c r="L248" s="3" t="s">
        <v>445</v>
      </c>
      <c r="M248" s="10" t="s">
        <v>446</v>
      </c>
      <c r="N248" s="10" t="s">
        <v>2337</v>
      </c>
      <c r="O248" s="10" t="s">
        <v>2338</v>
      </c>
      <c r="P248" s="11">
        <v>440119641128</v>
      </c>
      <c r="Q248" s="10" t="s">
        <v>41</v>
      </c>
      <c r="R248" s="10" t="s">
        <v>2339</v>
      </c>
      <c r="S248" s="10" t="s">
        <v>2340</v>
      </c>
      <c r="T248" s="10"/>
      <c r="U248" s="10"/>
      <c r="V248" s="3">
        <v>12305000</v>
      </c>
      <c r="W248" s="3">
        <v>158236000</v>
      </c>
      <c r="X248" s="3">
        <v>35117000</v>
      </c>
      <c r="Y248" s="3">
        <v>18000</v>
      </c>
      <c r="Z248" s="3">
        <v>4090000</v>
      </c>
      <c r="AA248" s="3">
        <v>10436000</v>
      </c>
      <c r="AB248" s="3">
        <v>68725000</v>
      </c>
      <c r="AC248" s="3">
        <v>83988000</v>
      </c>
      <c r="AD248" s="3">
        <v>91870000</v>
      </c>
      <c r="AE248" s="10" t="s">
        <v>331</v>
      </c>
      <c r="AF248" s="10" t="s">
        <v>345</v>
      </c>
      <c r="AG248" s="10" t="s">
        <v>46</v>
      </c>
    </row>
    <row r="249" spans="1:33" ht="15.75" x14ac:dyDescent="0.25">
      <c r="A249" s="1">
        <v>1025004706176</v>
      </c>
      <c r="B249" s="6">
        <v>5036045131</v>
      </c>
      <c r="C249" s="7" t="s">
        <v>2341</v>
      </c>
      <c r="D249" s="7" t="s">
        <v>2342</v>
      </c>
      <c r="E249" s="6">
        <v>56811242</v>
      </c>
      <c r="F249" s="6">
        <v>46460000000</v>
      </c>
      <c r="G249" s="6">
        <v>14</v>
      </c>
      <c r="H249" s="6">
        <v>65243</v>
      </c>
      <c r="I249" s="6">
        <v>503601001</v>
      </c>
      <c r="J249" s="7" t="s">
        <v>2343</v>
      </c>
      <c r="K249" s="7"/>
      <c r="L249" s="1" t="s">
        <v>2344</v>
      </c>
      <c r="M249" s="7" t="s">
        <v>2345</v>
      </c>
      <c r="N249" s="7" t="s">
        <v>2344</v>
      </c>
      <c r="O249" s="7" t="s">
        <v>2346</v>
      </c>
      <c r="P249" s="8">
        <v>774315878880</v>
      </c>
      <c r="Q249" s="7" t="s">
        <v>150</v>
      </c>
      <c r="R249" s="7" t="s">
        <v>2347</v>
      </c>
      <c r="S249" s="7" t="s">
        <v>2348</v>
      </c>
      <c r="T249" s="7" t="s">
        <v>2349</v>
      </c>
      <c r="U249" s="7" t="s">
        <v>2350</v>
      </c>
      <c r="V249" s="1">
        <v>10474599</v>
      </c>
      <c r="W249" s="1">
        <v>458030000</v>
      </c>
      <c r="X249" s="1">
        <v>268076000</v>
      </c>
      <c r="Y249" s="1">
        <v>19623000</v>
      </c>
      <c r="Z249" s="1">
        <v>19350000</v>
      </c>
      <c r="AA249" s="1">
        <v>23100000</v>
      </c>
      <c r="AB249" s="1">
        <v>4570000</v>
      </c>
      <c r="AC249" s="1">
        <v>5881000</v>
      </c>
      <c r="AD249" s="1">
        <v>4108000</v>
      </c>
      <c r="AE249" s="7"/>
      <c r="AF249" s="7"/>
      <c r="AG249" s="7" t="s">
        <v>46</v>
      </c>
    </row>
    <row r="250" spans="1:33" ht="15.75" x14ac:dyDescent="0.25">
      <c r="A250" s="3">
        <v>1025004700797</v>
      </c>
      <c r="B250" s="9">
        <v>5036050290</v>
      </c>
      <c r="C250" s="10" t="s">
        <v>2351</v>
      </c>
      <c r="D250" s="10" t="s">
        <v>2352</v>
      </c>
      <c r="E250" s="9">
        <v>18160187</v>
      </c>
      <c r="F250" s="9">
        <v>46460000000</v>
      </c>
      <c r="G250" s="9">
        <v>16</v>
      </c>
      <c r="H250" s="9">
        <v>12300</v>
      </c>
      <c r="I250" s="9">
        <v>503601001</v>
      </c>
      <c r="J250" s="10" t="s">
        <v>2353</v>
      </c>
      <c r="K250" s="10"/>
      <c r="L250" s="3" t="s">
        <v>851</v>
      </c>
      <c r="M250" s="10" t="s">
        <v>852</v>
      </c>
      <c r="N250" s="10" t="s">
        <v>2354</v>
      </c>
      <c r="O250" s="10" t="s">
        <v>2355</v>
      </c>
      <c r="P250" s="11">
        <v>502105343605</v>
      </c>
      <c r="Q250" s="10" t="s">
        <v>150</v>
      </c>
      <c r="R250" s="10" t="s">
        <v>2356</v>
      </c>
      <c r="S250" s="10" t="s">
        <v>2357</v>
      </c>
      <c r="T250" s="10" t="s">
        <v>2358</v>
      </c>
      <c r="U250" s="10" t="s">
        <v>2359</v>
      </c>
      <c r="V250" s="3">
        <v>72886825</v>
      </c>
      <c r="W250" s="3">
        <v>70594000</v>
      </c>
      <c r="X250" s="3">
        <v>36305000</v>
      </c>
      <c r="Y250" s="3">
        <v>37000</v>
      </c>
      <c r="Z250" s="3">
        <v>11210000</v>
      </c>
      <c r="AA250" s="3">
        <v>11300000</v>
      </c>
      <c r="AB250" s="3">
        <v>27311000</v>
      </c>
      <c r="AC250" s="3">
        <v>9521000</v>
      </c>
      <c r="AD250" s="3">
        <v>30068000</v>
      </c>
      <c r="AE250" s="10" t="s">
        <v>331</v>
      </c>
      <c r="AF250" s="10" t="s">
        <v>453</v>
      </c>
      <c r="AG250" s="10" t="s">
        <v>319</v>
      </c>
    </row>
    <row r="251" spans="1:33" ht="15.75" x14ac:dyDescent="0.25">
      <c r="A251" s="1">
        <v>1025002741785</v>
      </c>
      <c r="B251" s="6">
        <v>5070012954</v>
      </c>
      <c r="C251" s="7" t="s">
        <v>2360</v>
      </c>
      <c r="D251" s="7" t="s">
        <v>2361</v>
      </c>
      <c r="E251" s="6">
        <v>1666712</v>
      </c>
      <c r="F251" s="6">
        <v>46438000000</v>
      </c>
      <c r="G251" s="6">
        <v>19</v>
      </c>
      <c r="H251" s="6">
        <v>20107</v>
      </c>
      <c r="I251" s="6">
        <v>502201001</v>
      </c>
      <c r="J251" s="7" t="s">
        <v>2362</v>
      </c>
      <c r="K251" s="7"/>
      <c r="L251" s="1" t="s">
        <v>2363</v>
      </c>
      <c r="M251" s="7" t="s">
        <v>2364</v>
      </c>
      <c r="N251" s="7" t="s">
        <v>2365</v>
      </c>
      <c r="O251" s="7" t="s">
        <v>2366</v>
      </c>
      <c r="P251" s="8">
        <v>502205269930</v>
      </c>
      <c r="Q251" s="7" t="s">
        <v>2367</v>
      </c>
      <c r="R251" s="7" t="s">
        <v>2368</v>
      </c>
      <c r="S251" s="7" t="s">
        <v>2369</v>
      </c>
      <c r="T251" s="7" t="s">
        <v>2370</v>
      </c>
      <c r="U251" s="7" t="s">
        <v>2371</v>
      </c>
      <c r="V251" s="1">
        <v>27048180</v>
      </c>
      <c r="W251" s="1">
        <v>163874000</v>
      </c>
      <c r="X251" s="1">
        <v>45798000</v>
      </c>
      <c r="Y251" s="1">
        <v>13010000</v>
      </c>
      <c r="Z251" s="1">
        <v>6791000</v>
      </c>
      <c r="AA251" s="1">
        <v>9190000</v>
      </c>
      <c r="AB251" s="1">
        <v>-6565000</v>
      </c>
      <c r="AC251" s="1">
        <v>-4907000</v>
      </c>
      <c r="AD251" s="1">
        <v>-4929000</v>
      </c>
      <c r="AE251" s="7" t="s">
        <v>331</v>
      </c>
      <c r="AF251" s="7"/>
      <c r="AG251" s="7" t="s">
        <v>46</v>
      </c>
    </row>
    <row r="252" spans="1:33" ht="15.75" x14ac:dyDescent="0.25">
      <c r="A252" s="3">
        <v>1025004070222</v>
      </c>
      <c r="B252" s="9">
        <v>5032060033</v>
      </c>
      <c r="C252" s="10" t="s">
        <v>2372</v>
      </c>
      <c r="D252" s="10" t="s">
        <v>2373</v>
      </c>
      <c r="E252" s="9">
        <v>53137213</v>
      </c>
      <c r="F252" s="9">
        <v>46439556000</v>
      </c>
      <c r="G252" s="9">
        <v>16</v>
      </c>
      <c r="H252" s="9">
        <v>12300</v>
      </c>
      <c r="I252" s="9">
        <v>502401001</v>
      </c>
      <c r="J252" s="10" t="s">
        <v>2374</v>
      </c>
      <c r="K252" s="10"/>
      <c r="L252" s="3" t="s">
        <v>2375</v>
      </c>
      <c r="M252" s="10" t="s">
        <v>2376</v>
      </c>
      <c r="N252" s="10" t="s">
        <v>2377</v>
      </c>
      <c r="O252" s="10" t="s">
        <v>2378</v>
      </c>
      <c r="P252" s="11">
        <v>502405828054</v>
      </c>
      <c r="Q252" s="10" t="s">
        <v>41</v>
      </c>
      <c r="R252" s="10" t="s">
        <v>2379</v>
      </c>
      <c r="S252" s="10" t="s">
        <v>2380</v>
      </c>
      <c r="T252" s="10" t="s">
        <v>2381</v>
      </c>
      <c r="U252" s="10" t="s">
        <v>2382</v>
      </c>
      <c r="V252" s="3">
        <v>52066300</v>
      </c>
      <c r="W252" s="3">
        <v>345493000</v>
      </c>
      <c r="X252" s="3">
        <v>33539000</v>
      </c>
      <c r="Y252" s="3">
        <v>255969000</v>
      </c>
      <c r="Z252" s="3">
        <v>131064000</v>
      </c>
      <c r="AA252" s="3">
        <v>22761000</v>
      </c>
      <c r="AB252" s="3">
        <v>3462000</v>
      </c>
      <c r="AC252" s="3">
        <v>35995000</v>
      </c>
      <c r="AD252" s="3">
        <v>4697000</v>
      </c>
      <c r="AE252" s="10" t="s">
        <v>331</v>
      </c>
      <c r="AF252" s="10" t="s">
        <v>97</v>
      </c>
      <c r="AG252" s="10" t="s">
        <v>46</v>
      </c>
    </row>
    <row r="253" spans="1:33" ht="15.75" x14ac:dyDescent="0.25">
      <c r="A253" s="1">
        <v>1033700069688</v>
      </c>
      <c r="B253" s="6">
        <v>3729027366</v>
      </c>
      <c r="C253" s="7" t="s">
        <v>2383</v>
      </c>
      <c r="D253" s="7" t="s">
        <v>2384</v>
      </c>
      <c r="E253" s="6">
        <v>48217697</v>
      </c>
      <c r="F253" s="6">
        <v>46471000000</v>
      </c>
      <c r="G253" s="6">
        <v>16</v>
      </c>
      <c r="H253" s="6">
        <v>12300</v>
      </c>
      <c r="I253" s="6">
        <v>504401001</v>
      </c>
      <c r="J253" s="7" t="s">
        <v>2385</v>
      </c>
      <c r="K253" s="7"/>
      <c r="L253" s="1" t="s">
        <v>74</v>
      </c>
      <c r="M253" s="7" t="s">
        <v>75</v>
      </c>
      <c r="N253" s="7" t="s">
        <v>2386</v>
      </c>
      <c r="O253" s="7" t="s">
        <v>2387</v>
      </c>
      <c r="P253" s="8">
        <v>370206941974</v>
      </c>
      <c r="Q253" s="7" t="s">
        <v>150</v>
      </c>
      <c r="R253" s="7" t="s">
        <v>2388</v>
      </c>
      <c r="S253" s="7" t="s">
        <v>2389</v>
      </c>
      <c r="T253" s="7"/>
      <c r="U253" s="7"/>
      <c r="V253" s="1">
        <v>10000500</v>
      </c>
      <c r="W253" s="1">
        <v>309498000</v>
      </c>
      <c r="X253" s="1">
        <v>0</v>
      </c>
      <c r="Y253" s="1">
        <v>7290000</v>
      </c>
      <c r="Z253" s="1">
        <v>168455000</v>
      </c>
      <c r="AA253" s="1">
        <v>36690000</v>
      </c>
      <c r="AB253" s="1">
        <v>2406000</v>
      </c>
      <c r="AC253" s="1">
        <v>0</v>
      </c>
      <c r="AD253" s="1">
        <v>0</v>
      </c>
      <c r="AE253" s="7" t="s">
        <v>331</v>
      </c>
      <c r="AF253" s="7" t="s">
        <v>373</v>
      </c>
      <c r="AG253" s="7" t="s">
        <v>46</v>
      </c>
    </row>
    <row r="254" spans="1:33" ht="15.75" x14ac:dyDescent="0.25">
      <c r="A254" s="3">
        <v>1057746171097</v>
      </c>
      <c r="B254" s="9">
        <v>7716520412</v>
      </c>
      <c r="C254" s="10" t="s">
        <v>2390</v>
      </c>
      <c r="D254" s="10" t="s">
        <v>2391</v>
      </c>
      <c r="E254" s="9">
        <v>76069684</v>
      </c>
      <c r="F254" s="9">
        <v>45280580000</v>
      </c>
      <c r="G254" s="9">
        <v>16</v>
      </c>
      <c r="H254" s="9">
        <v>12300</v>
      </c>
      <c r="I254" s="9">
        <v>771601001</v>
      </c>
      <c r="J254" s="10" t="s">
        <v>2392</v>
      </c>
      <c r="K254" s="10"/>
      <c r="L254" s="3" t="s">
        <v>914</v>
      </c>
      <c r="M254" s="10" t="s">
        <v>915</v>
      </c>
      <c r="N254" s="10" t="s">
        <v>2393</v>
      </c>
      <c r="O254" s="10" t="s">
        <v>2394</v>
      </c>
      <c r="P254" s="11">
        <v>771528613473</v>
      </c>
      <c r="Q254" s="10" t="s">
        <v>41</v>
      </c>
      <c r="R254" s="10" t="s">
        <v>2395</v>
      </c>
      <c r="S254" s="10" t="s">
        <v>2396</v>
      </c>
      <c r="T254" s="10" t="s">
        <v>2397</v>
      </c>
      <c r="U254" s="10" t="s">
        <v>2398</v>
      </c>
      <c r="V254" s="3">
        <v>27000000</v>
      </c>
      <c r="W254" s="3">
        <v>282955000</v>
      </c>
      <c r="X254" s="3">
        <v>12556000</v>
      </c>
      <c r="Y254" s="3">
        <v>6533000</v>
      </c>
      <c r="Z254" s="3">
        <v>85011000</v>
      </c>
      <c r="AA254" s="3">
        <v>27758000</v>
      </c>
      <c r="AB254" s="3">
        <v>24138000</v>
      </c>
      <c r="AC254" s="3">
        <v>0</v>
      </c>
      <c r="AD254" s="3">
        <v>0</v>
      </c>
      <c r="AE254" s="10" t="s">
        <v>331</v>
      </c>
      <c r="AF254" s="10" t="s">
        <v>35</v>
      </c>
      <c r="AG254" s="10" t="s">
        <v>46</v>
      </c>
    </row>
    <row r="255" spans="1:33" ht="15.75" x14ac:dyDescent="0.25">
      <c r="A255" s="3">
        <v>1057746366941</v>
      </c>
      <c r="B255" s="9">
        <v>7730520703</v>
      </c>
      <c r="C255" s="10" t="s">
        <v>2399</v>
      </c>
      <c r="D255" s="10" t="s">
        <v>2400</v>
      </c>
      <c r="E255" s="9">
        <v>76546061</v>
      </c>
      <c r="F255" s="9">
        <v>45280552000</v>
      </c>
      <c r="G255" s="9">
        <v>16</v>
      </c>
      <c r="H255" s="9">
        <v>12300</v>
      </c>
      <c r="I255" s="9">
        <v>771701001</v>
      </c>
      <c r="J255" s="10" t="s">
        <v>2401</v>
      </c>
      <c r="K255" s="10"/>
      <c r="L255" s="3" t="s">
        <v>414</v>
      </c>
      <c r="M255" s="10" t="s">
        <v>415</v>
      </c>
      <c r="N255" s="10" t="s">
        <v>2402</v>
      </c>
      <c r="O255" s="10" t="s">
        <v>2403</v>
      </c>
      <c r="P255" s="11">
        <v>770903055163</v>
      </c>
      <c r="Q255" s="10" t="s">
        <v>41</v>
      </c>
      <c r="R255" s="10" t="s">
        <v>2404</v>
      </c>
      <c r="S255" s="10" t="s">
        <v>2405</v>
      </c>
      <c r="T255" s="10" t="s">
        <v>2406</v>
      </c>
      <c r="U255" s="10" t="s">
        <v>2407</v>
      </c>
      <c r="V255" s="3">
        <v>13400000</v>
      </c>
      <c r="W255" s="3">
        <v>135179000</v>
      </c>
      <c r="X255" s="3">
        <v>99648000</v>
      </c>
      <c r="Y255" s="3">
        <v>22742000</v>
      </c>
      <c r="Z255" s="3">
        <v>59841000</v>
      </c>
      <c r="AA255" s="3">
        <v>41730000</v>
      </c>
      <c r="AB255" s="3">
        <v>47620000</v>
      </c>
      <c r="AC255" s="3">
        <v>45455000</v>
      </c>
      <c r="AD255" s="3">
        <v>65286000</v>
      </c>
      <c r="AE255" s="10" t="s">
        <v>331</v>
      </c>
      <c r="AF255" s="10" t="s">
        <v>132</v>
      </c>
      <c r="AG255" s="10" t="s">
        <v>319</v>
      </c>
    </row>
    <row r="256" spans="1:33" ht="15.75" x14ac:dyDescent="0.25">
      <c r="A256" s="1">
        <v>1057746747354</v>
      </c>
      <c r="B256" s="6">
        <v>7724541889</v>
      </c>
      <c r="C256" s="7" t="s">
        <v>2408</v>
      </c>
      <c r="D256" s="7" t="s">
        <v>2409</v>
      </c>
      <c r="E256" s="6">
        <v>77303314</v>
      </c>
      <c r="F256" s="6">
        <v>45268588000</v>
      </c>
      <c r="G256" s="6">
        <v>34</v>
      </c>
      <c r="H256" s="6">
        <v>12300</v>
      </c>
      <c r="I256" s="6">
        <v>775101001</v>
      </c>
      <c r="J256" s="7" t="s">
        <v>2410</v>
      </c>
      <c r="K256" s="7"/>
      <c r="L256" s="1" t="s">
        <v>445</v>
      </c>
      <c r="M256" s="7" t="s">
        <v>446</v>
      </c>
      <c r="N256" s="7" t="s">
        <v>2411</v>
      </c>
      <c r="O256" s="7" t="s">
        <v>2412</v>
      </c>
      <c r="P256" s="8">
        <v>971512898500</v>
      </c>
      <c r="Q256" s="7" t="s">
        <v>41</v>
      </c>
      <c r="R256" s="7" t="s">
        <v>2413</v>
      </c>
      <c r="S256" s="7" t="s">
        <v>2414</v>
      </c>
      <c r="T256" s="7"/>
      <c r="U256" s="7" t="s">
        <v>2415</v>
      </c>
      <c r="V256" s="1">
        <v>60010000</v>
      </c>
      <c r="W256" s="1">
        <v>347726000</v>
      </c>
      <c r="X256" s="1">
        <v>231612000</v>
      </c>
      <c r="Y256" s="1">
        <v>0</v>
      </c>
      <c r="Z256" s="1">
        <v>27528000</v>
      </c>
      <c r="AA256" s="1">
        <v>83401000</v>
      </c>
      <c r="AB256" s="1">
        <v>153227000</v>
      </c>
      <c r="AC256" s="1">
        <v>195670000</v>
      </c>
      <c r="AD256" s="1">
        <v>204458000</v>
      </c>
      <c r="AE256" s="7" t="s">
        <v>331</v>
      </c>
      <c r="AF256" s="7" t="s">
        <v>821</v>
      </c>
      <c r="AG256" s="7" t="s">
        <v>319</v>
      </c>
    </row>
    <row r="257" spans="1:33" ht="15.75" x14ac:dyDescent="0.25">
      <c r="A257" s="3">
        <v>1057747118912</v>
      </c>
      <c r="B257" s="9">
        <v>7722547268</v>
      </c>
      <c r="C257" s="10" t="s">
        <v>2416</v>
      </c>
      <c r="D257" s="10" t="s">
        <v>2417</v>
      </c>
      <c r="E257" s="9">
        <v>77360890</v>
      </c>
      <c r="F257" s="9">
        <v>45286560000</v>
      </c>
      <c r="G257" s="9">
        <v>16</v>
      </c>
      <c r="H257" s="9">
        <v>12300</v>
      </c>
      <c r="I257" s="9">
        <v>770501001</v>
      </c>
      <c r="J257" s="10" t="s">
        <v>2418</v>
      </c>
      <c r="K257" s="10"/>
      <c r="L257" s="3" t="s">
        <v>2419</v>
      </c>
      <c r="M257" s="10" t="s">
        <v>2420</v>
      </c>
      <c r="N257" s="10" t="s">
        <v>2421</v>
      </c>
      <c r="O257" s="10" t="s">
        <v>2422</v>
      </c>
      <c r="P257" s="11">
        <v>772993965866</v>
      </c>
      <c r="Q257" s="10" t="s">
        <v>41</v>
      </c>
      <c r="R257" s="10" t="s">
        <v>2423</v>
      </c>
      <c r="S257" s="10" t="s">
        <v>2424</v>
      </c>
      <c r="T257" s="10" t="s">
        <v>2425</v>
      </c>
      <c r="U257" s="10"/>
      <c r="V257" s="3">
        <v>10010000</v>
      </c>
      <c r="W257" s="3">
        <v>150968000</v>
      </c>
      <c r="X257" s="3">
        <v>700000</v>
      </c>
      <c r="Y257" s="3">
        <v>138893000</v>
      </c>
      <c r="Z257" s="3">
        <v>19892000</v>
      </c>
      <c r="AA257" s="3">
        <v>83956000</v>
      </c>
      <c r="AB257" s="3">
        <v>8282000</v>
      </c>
      <c r="AC257" s="3">
        <v>17101000</v>
      </c>
      <c r="AD257" s="3">
        <v>11069000</v>
      </c>
      <c r="AE257" s="10" t="s">
        <v>331</v>
      </c>
      <c r="AF257" s="10" t="s">
        <v>1465</v>
      </c>
      <c r="AG257" s="10" t="s">
        <v>46</v>
      </c>
    </row>
    <row r="258" spans="1:33" ht="15.75" x14ac:dyDescent="0.25">
      <c r="A258" s="1">
        <v>1057749169940</v>
      </c>
      <c r="B258" s="6">
        <v>7713571754</v>
      </c>
      <c r="C258" s="7" t="s">
        <v>2426</v>
      </c>
      <c r="D258" s="7" t="s">
        <v>2427</v>
      </c>
      <c r="E258" s="6">
        <v>79380603</v>
      </c>
      <c r="F258" s="6">
        <v>45296559000</v>
      </c>
      <c r="G258" s="6">
        <v>16</v>
      </c>
      <c r="H258" s="6">
        <v>12300</v>
      </c>
      <c r="I258" s="6">
        <v>772601001</v>
      </c>
      <c r="J258" s="7" t="s">
        <v>2428</v>
      </c>
      <c r="K258" s="7"/>
      <c r="L258" s="1" t="s">
        <v>1800</v>
      </c>
      <c r="M258" s="7" t="s">
        <v>1801</v>
      </c>
      <c r="N258" s="7" t="s">
        <v>2429</v>
      </c>
      <c r="O258" s="7" t="s">
        <v>2430</v>
      </c>
      <c r="P258" s="8">
        <v>502402799119</v>
      </c>
      <c r="Q258" s="7" t="s">
        <v>41</v>
      </c>
      <c r="R258" s="7" t="s">
        <v>2431</v>
      </c>
      <c r="S258" s="7" t="s">
        <v>2432</v>
      </c>
      <c r="T258" s="7" t="s">
        <v>2433</v>
      </c>
      <c r="U258" s="7" t="s">
        <v>2434</v>
      </c>
      <c r="V258" s="1">
        <v>20010000</v>
      </c>
      <c r="W258" s="1">
        <v>1034626000</v>
      </c>
      <c r="X258" s="1">
        <v>83855000</v>
      </c>
      <c r="Y258" s="1">
        <v>35339000</v>
      </c>
      <c r="Z258" s="1">
        <v>231369000</v>
      </c>
      <c r="AA258" s="1">
        <v>128701000</v>
      </c>
      <c r="AB258" s="1">
        <v>410000</v>
      </c>
      <c r="AC258" s="1">
        <v>26801000</v>
      </c>
      <c r="AD258" s="1">
        <v>3369000</v>
      </c>
      <c r="AE258" s="7" t="s">
        <v>730</v>
      </c>
      <c r="AF258" s="7" t="s">
        <v>2435</v>
      </c>
      <c r="AG258" s="7" t="s">
        <v>46</v>
      </c>
    </row>
    <row r="259" spans="1:33" ht="15.75" x14ac:dyDescent="0.25">
      <c r="A259" s="3">
        <v>1057748922714</v>
      </c>
      <c r="B259" s="9">
        <v>7701626536</v>
      </c>
      <c r="C259" s="10" t="s">
        <v>2436</v>
      </c>
      <c r="D259" s="10" t="s">
        <v>2437</v>
      </c>
      <c r="E259" s="9">
        <v>79457045</v>
      </c>
      <c r="F259" s="9">
        <v>45293578000</v>
      </c>
      <c r="G259" s="9">
        <v>23</v>
      </c>
      <c r="H259" s="9">
        <v>12300</v>
      </c>
      <c r="I259" s="9">
        <v>772801001</v>
      </c>
      <c r="J259" s="10" t="s">
        <v>2438</v>
      </c>
      <c r="K259" s="10"/>
      <c r="L259" s="3" t="s">
        <v>2439</v>
      </c>
      <c r="M259" s="10" t="s">
        <v>2440</v>
      </c>
      <c r="N259" s="10" t="s">
        <v>2441</v>
      </c>
      <c r="O259" s="10" t="s">
        <v>2442</v>
      </c>
      <c r="P259" s="11">
        <v>772981769585</v>
      </c>
      <c r="Q259" s="10" t="s">
        <v>41</v>
      </c>
      <c r="R259" s="10" t="s">
        <v>2443</v>
      </c>
      <c r="S259" s="10" t="s">
        <v>2444</v>
      </c>
      <c r="T259" s="10" t="s">
        <v>2445</v>
      </c>
      <c r="U259" s="10" t="s">
        <v>2446</v>
      </c>
      <c r="V259" s="3">
        <v>100000000</v>
      </c>
      <c r="W259" s="3">
        <v>187015000</v>
      </c>
      <c r="X259" s="3">
        <v>117000</v>
      </c>
      <c r="Y259" s="3">
        <v>222513000</v>
      </c>
      <c r="Z259" s="3">
        <v>199176000</v>
      </c>
      <c r="AA259" s="3">
        <v>104775000</v>
      </c>
      <c r="AB259" s="3">
        <v>42274000</v>
      </c>
      <c r="AC259" s="3">
        <v>8918000</v>
      </c>
      <c r="AD259" s="3">
        <v>60131000</v>
      </c>
      <c r="AE259" s="10"/>
      <c r="AF259" s="10" t="s">
        <v>1023</v>
      </c>
      <c r="AG259" s="10" t="s">
        <v>46</v>
      </c>
    </row>
    <row r="260" spans="1:33" ht="15.75" x14ac:dyDescent="0.25">
      <c r="A260" s="1">
        <v>1057748065550</v>
      </c>
      <c r="B260" s="6">
        <v>7709628581</v>
      </c>
      <c r="C260" s="7" t="s">
        <v>2447</v>
      </c>
      <c r="D260" s="7" t="s">
        <v>2448</v>
      </c>
      <c r="E260" s="6">
        <v>78535624</v>
      </c>
      <c r="F260" s="6">
        <v>45286570000</v>
      </c>
      <c r="G260" s="6">
        <v>16</v>
      </c>
      <c r="H260" s="6">
        <v>12300</v>
      </c>
      <c r="I260" s="6">
        <v>770201001</v>
      </c>
      <c r="J260" s="7" t="s">
        <v>2449</v>
      </c>
      <c r="K260" s="7"/>
      <c r="L260" s="1" t="s">
        <v>158</v>
      </c>
      <c r="M260" s="7" t="s">
        <v>159</v>
      </c>
      <c r="N260" s="7" t="s">
        <v>2450</v>
      </c>
      <c r="O260" s="7" t="s">
        <v>2451</v>
      </c>
      <c r="P260" s="8">
        <v>772501807709</v>
      </c>
      <c r="Q260" s="7" t="s">
        <v>340</v>
      </c>
      <c r="R260" s="7" t="s">
        <v>2452</v>
      </c>
      <c r="S260" s="7" t="s">
        <v>2453</v>
      </c>
      <c r="T260" s="7"/>
      <c r="U260" s="7" t="s">
        <v>2454</v>
      </c>
      <c r="V260" s="1">
        <v>40000000</v>
      </c>
      <c r="W260" s="1">
        <v>468555000</v>
      </c>
      <c r="X260" s="1">
        <v>135000</v>
      </c>
      <c r="Y260" s="1">
        <v>1121769000</v>
      </c>
      <c r="Z260" s="1">
        <v>47067000</v>
      </c>
      <c r="AA260" s="1">
        <v>246835000</v>
      </c>
      <c r="AB260" s="1">
        <v>78346000</v>
      </c>
      <c r="AC260" s="1">
        <v>102791000</v>
      </c>
      <c r="AD260" s="1">
        <v>104767000</v>
      </c>
      <c r="AE260" s="7" t="s">
        <v>331</v>
      </c>
      <c r="AF260" s="7" t="s">
        <v>1534</v>
      </c>
      <c r="AG260" s="7" t="s">
        <v>46</v>
      </c>
    </row>
    <row r="261" spans="1:33" ht="15.75" x14ac:dyDescent="0.25">
      <c r="A261" s="3">
        <v>1057748342508</v>
      </c>
      <c r="B261" s="9">
        <v>7730530067</v>
      </c>
      <c r="C261" s="10" t="s">
        <v>2455</v>
      </c>
      <c r="D261" s="10" t="s">
        <v>2456</v>
      </c>
      <c r="E261" s="9">
        <v>78926170</v>
      </c>
      <c r="F261" s="9">
        <v>45280552000</v>
      </c>
      <c r="G261" s="9">
        <v>16</v>
      </c>
      <c r="H261" s="9">
        <v>12300</v>
      </c>
      <c r="I261" s="9">
        <v>771701001</v>
      </c>
      <c r="J261" s="10" t="s">
        <v>2457</v>
      </c>
      <c r="K261" s="10"/>
      <c r="L261" s="3" t="s">
        <v>110</v>
      </c>
      <c r="M261" s="10" t="s">
        <v>111</v>
      </c>
      <c r="N261" s="10" t="s">
        <v>2458</v>
      </c>
      <c r="O261" s="10" t="s">
        <v>2459</v>
      </c>
      <c r="P261" s="11">
        <v>772169243162</v>
      </c>
      <c r="Q261" s="10" t="s">
        <v>41</v>
      </c>
      <c r="R261" s="10" t="s">
        <v>2404</v>
      </c>
      <c r="S261" s="10" t="s">
        <v>2460</v>
      </c>
      <c r="T261" s="10"/>
      <c r="U261" s="10" t="s">
        <v>2461</v>
      </c>
      <c r="V261" s="3">
        <v>20010000</v>
      </c>
      <c r="W261" s="3">
        <v>586872000</v>
      </c>
      <c r="X261" s="3">
        <v>105417000</v>
      </c>
      <c r="Y261" s="3">
        <v>87541000</v>
      </c>
      <c r="Z261" s="3">
        <v>190357000</v>
      </c>
      <c r="AA261" s="3">
        <v>173313000</v>
      </c>
      <c r="AB261" s="3">
        <v>113698000</v>
      </c>
      <c r="AC261" s="3">
        <v>158536000</v>
      </c>
      <c r="AD261" s="3">
        <v>152282000</v>
      </c>
      <c r="AE261" s="10" t="s">
        <v>331</v>
      </c>
      <c r="AF261" s="10" t="s">
        <v>1061</v>
      </c>
      <c r="AG261" s="10" t="s">
        <v>46</v>
      </c>
    </row>
    <row r="262" spans="1:33" ht="15.75" x14ac:dyDescent="0.25">
      <c r="A262" s="1">
        <v>1057748145201</v>
      </c>
      <c r="B262" s="6">
        <v>7724554013</v>
      </c>
      <c r="C262" s="7" t="s">
        <v>2462</v>
      </c>
      <c r="D262" s="7" t="s">
        <v>2463</v>
      </c>
      <c r="E262" s="6">
        <v>78545284</v>
      </c>
      <c r="F262" s="6">
        <v>46439000000</v>
      </c>
      <c r="G262" s="6">
        <v>16</v>
      </c>
      <c r="H262" s="6">
        <v>12267</v>
      </c>
      <c r="I262" s="6">
        <v>502401001</v>
      </c>
      <c r="J262" s="7" t="s">
        <v>2464</v>
      </c>
      <c r="K262" s="7"/>
      <c r="L262" s="1" t="s">
        <v>86</v>
      </c>
      <c r="M262" s="7" t="s">
        <v>87</v>
      </c>
      <c r="N262" s="7" t="s">
        <v>2465</v>
      </c>
      <c r="O262" s="7" t="s">
        <v>2466</v>
      </c>
      <c r="P262" s="8">
        <v>132809917942</v>
      </c>
      <c r="Q262" s="7" t="s">
        <v>41</v>
      </c>
      <c r="R262" s="7" t="s">
        <v>2467</v>
      </c>
      <c r="S262" s="7" t="s">
        <v>2468</v>
      </c>
      <c r="T262" s="7"/>
      <c r="U262" s="7" t="s">
        <v>2469</v>
      </c>
      <c r="V262" s="1">
        <v>56850100</v>
      </c>
      <c r="W262" s="1">
        <v>347105000</v>
      </c>
      <c r="X262" s="1">
        <v>715747000</v>
      </c>
      <c r="Y262" s="1">
        <v>23523000</v>
      </c>
      <c r="Z262" s="1">
        <v>71541000</v>
      </c>
      <c r="AA262" s="1">
        <v>50953000</v>
      </c>
      <c r="AB262" s="1">
        <v>57104000</v>
      </c>
      <c r="AC262" s="1">
        <v>-6860000</v>
      </c>
      <c r="AD262" s="1">
        <v>88192000</v>
      </c>
      <c r="AE262" s="7"/>
      <c r="AF262" s="7" t="s">
        <v>2168</v>
      </c>
      <c r="AG262" s="7" t="s">
        <v>46</v>
      </c>
    </row>
    <row r="263" spans="1:33" ht="15.75" x14ac:dyDescent="0.25">
      <c r="A263" s="3">
        <v>1037701923797</v>
      </c>
      <c r="B263" s="9">
        <v>7701344620</v>
      </c>
      <c r="C263" s="10" t="s">
        <v>2470</v>
      </c>
      <c r="D263" s="10" t="s">
        <v>2471</v>
      </c>
      <c r="E263" s="9">
        <v>70067299</v>
      </c>
      <c r="F263" s="9">
        <v>45286552000</v>
      </c>
      <c r="G263" s="9">
        <v>16</v>
      </c>
      <c r="H263" s="9">
        <v>12300</v>
      </c>
      <c r="I263" s="9">
        <v>770401001</v>
      </c>
      <c r="J263" s="10" t="s">
        <v>2472</v>
      </c>
      <c r="K263" s="10"/>
      <c r="L263" s="3" t="s">
        <v>2473</v>
      </c>
      <c r="M263" s="10" t="s">
        <v>2474</v>
      </c>
      <c r="N263" s="10" t="s">
        <v>2475</v>
      </c>
      <c r="O263" s="10" t="s">
        <v>2476</v>
      </c>
      <c r="P263" s="11">
        <v>771404227933</v>
      </c>
      <c r="Q263" s="10" t="s">
        <v>41</v>
      </c>
      <c r="R263" s="10" t="s">
        <v>2477</v>
      </c>
      <c r="S263" s="10" t="s">
        <v>2478</v>
      </c>
      <c r="T263" s="10" t="s">
        <v>2479</v>
      </c>
      <c r="U263" s="10" t="s">
        <v>2480</v>
      </c>
      <c r="V263" s="3">
        <v>35000000</v>
      </c>
      <c r="W263" s="3">
        <v>426955000</v>
      </c>
      <c r="X263" s="3">
        <v>14272000</v>
      </c>
      <c r="Y263" s="3">
        <v>21975000</v>
      </c>
      <c r="Z263" s="3">
        <v>55429000</v>
      </c>
      <c r="AA263" s="3">
        <v>61225000</v>
      </c>
      <c r="AB263" s="3">
        <v>4303000</v>
      </c>
      <c r="AC263" s="3">
        <v>-16899000</v>
      </c>
      <c r="AD263" s="3">
        <v>5716000</v>
      </c>
      <c r="AE263" s="10"/>
      <c r="AF263" s="10" t="s">
        <v>512</v>
      </c>
      <c r="AG263" s="10" t="s">
        <v>46</v>
      </c>
    </row>
    <row r="264" spans="1:33" ht="15.75" x14ac:dyDescent="0.25">
      <c r="A264" s="1">
        <v>1037700063851</v>
      </c>
      <c r="B264" s="6">
        <v>7710280355</v>
      </c>
      <c r="C264" s="7" t="s">
        <v>2481</v>
      </c>
      <c r="D264" s="7" t="s">
        <v>2482</v>
      </c>
      <c r="E264" s="6">
        <v>48553895</v>
      </c>
      <c r="F264" s="6">
        <v>45286585000</v>
      </c>
      <c r="G264" s="6">
        <v>16</v>
      </c>
      <c r="H264" s="6">
        <v>12300</v>
      </c>
      <c r="I264" s="6">
        <v>771001001</v>
      </c>
      <c r="J264" s="7" t="s">
        <v>2483</v>
      </c>
      <c r="K264" s="7"/>
      <c r="L264" s="1" t="s">
        <v>1045</v>
      </c>
      <c r="M264" s="7" t="s">
        <v>1046</v>
      </c>
      <c r="N264" s="7" t="s">
        <v>2484</v>
      </c>
      <c r="O264" s="7" t="s">
        <v>2485</v>
      </c>
      <c r="P264" s="8">
        <v>773104958333</v>
      </c>
      <c r="Q264" s="7" t="s">
        <v>41</v>
      </c>
      <c r="R264" s="7" t="s">
        <v>2486</v>
      </c>
      <c r="S264" s="7" t="s">
        <v>2487</v>
      </c>
      <c r="T264" s="7"/>
      <c r="U264" s="7"/>
      <c r="V264" s="1">
        <v>10002000</v>
      </c>
      <c r="W264" s="1">
        <v>326539000</v>
      </c>
      <c r="X264" s="1">
        <v>8320000</v>
      </c>
      <c r="Y264" s="1">
        <v>180851000</v>
      </c>
      <c r="Z264" s="1">
        <v>23932000</v>
      </c>
      <c r="AA264" s="1">
        <v>7264000</v>
      </c>
      <c r="AB264" s="1">
        <v>6178000</v>
      </c>
      <c r="AC264" s="1">
        <v>0</v>
      </c>
      <c r="AD264" s="1">
        <v>0</v>
      </c>
      <c r="AE264" s="7" t="s">
        <v>331</v>
      </c>
      <c r="AF264" s="7" t="s">
        <v>84</v>
      </c>
      <c r="AG264" s="7" t="s">
        <v>46</v>
      </c>
    </row>
    <row r="265" spans="1:33" ht="15.75" x14ac:dyDescent="0.25">
      <c r="A265" s="3">
        <v>1037713018584</v>
      </c>
      <c r="B265" s="9">
        <v>7713342313</v>
      </c>
      <c r="C265" s="10" t="s">
        <v>2488</v>
      </c>
      <c r="D265" s="10" t="s">
        <v>2489</v>
      </c>
      <c r="E265" s="9">
        <v>14595528</v>
      </c>
      <c r="F265" s="9">
        <v>45286560000</v>
      </c>
      <c r="G265" s="9">
        <v>16</v>
      </c>
      <c r="H265" s="9">
        <v>12300</v>
      </c>
      <c r="I265" s="9">
        <v>770501001</v>
      </c>
      <c r="J265" s="10" t="s">
        <v>2490</v>
      </c>
      <c r="K265" s="10"/>
      <c r="L265" s="3" t="s">
        <v>2491</v>
      </c>
      <c r="M265" s="10" t="s">
        <v>2492</v>
      </c>
      <c r="N265" s="10" t="s">
        <v>2493</v>
      </c>
      <c r="O265" s="10" t="s">
        <v>2494</v>
      </c>
      <c r="P265" s="11">
        <v>773603114328</v>
      </c>
      <c r="Q265" s="10" t="s">
        <v>41</v>
      </c>
      <c r="R265" s="10" t="s">
        <v>2495</v>
      </c>
      <c r="S265" s="10" t="s">
        <v>2496</v>
      </c>
      <c r="T265" s="10" t="s">
        <v>2497</v>
      </c>
      <c r="U265" s="10" t="s">
        <v>2498</v>
      </c>
      <c r="V265" s="3">
        <v>12000000</v>
      </c>
      <c r="W265" s="3">
        <v>113553000</v>
      </c>
      <c r="X265" s="3">
        <v>4815000</v>
      </c>
      <c r="Y265" s="3">
        <v>308643000</v>
      </c>
      <c r="Z265" s="3">
        <v>91360000</v>
      </c>
      <c r="AA265" s="3">
        <v>33198000</v>
      </c>
      <c r="AB265" s="3">
        <v>4448000</v>
      </c>
      <c r="AC265" s="3">
        <v>30977000</v>
      </c>
      <c r="AD265" s="3">
        <v>5635000</v>
      </c>
      <c r="AE265" s="10" t="s">
        <v>331</v>
      </c>
      <c r="AF265" s="10" t="s">
        <v>352</v>
      </c>
      <c r="AG265" s="10" t="s">
        <v>46</v>
      </c>
    </row>
    <row r="266" spans="1:33" ht="15.75" x14ac:dyDescent="0.25">
      <c r="A266" s="1">
        <v>1115031006606</v>
      </c>
      <c r="B266" s="6">
        <v>5031097697</v>
      </c>
      <c r="C266" s="7" t="s">
        <v>2499</v>
      </c>
      <c r="D266" s="7" t="s">
        <v>2500</v>
      </c>
      <c r="E266" s="6">
        <v>92696512</v>
      </c>
      <c r="F266" s="6">
        <v>46451506000</v>
      </c>
      <c r="G266" s="6">
        <v>16</v>
      </c>
      <c r="H266" s="6">
        <v>12300</v>
      </c>
      <c r="I266" s="6">
        <v>503101001</v>
      </c>
      <c r="J266" s="7" t="s">
        <v>2501</v>
      </c>
      <c r="K266" s="7"/>
      <c r="L266" s="1" t="s">
        <v>356</v>
      </c>
      <c r="M266" s="7" t="s">
        <v>357</v>
      </c>
      <c r="N266" s="7" t="s">
        <v>2502</v>
      </c>
      <c r="O266" s="7" t="s">
        <v>2503</v>
      </c>
      <c r="P266" s="8">
        <v>505002047102</v>
      </c>
      <c r="Q266" s="7" t="s">
        <v>41</v>
      </c>
      <c r="R266" s="7" t="s">
        <v>2504</v>
      </c>
      <c r="S266" s="7" t="s">
        <v>2505</v>
      </c>
      <c r="T266" s="7"/>
      <c r="U266" s="7" t="s">
        <v>2506</v>
      </c>
      <c r="V266" s="1">
        <v>32500000</v>
      </c>
      <c r="W266" s="1">
        <v>145731000</v>
      </c>
      <c r="X266" s="1">
        <v>79799000</v>
      </c>
      <c r="Y266" s="1">
        <v>292000</v>
      </c>
      <c r="Z266" s="1">
        <v>13340000</v>
      </c>
      <c r="AA266" s="1">
        <v>8089000</v>
      </c>
      <c r="AB266" s="1">
        <v>10589000</v>
      </c>
      <c r="AC266" s="1">
        <v>17958000</v>
      </c>
      <c r="AD266" s="1">
        <v>15039000</v>
      </c>
      <c r="AE266" s="7" t="s">
        <v>331</v>
      </c>
      <c r="AF266" s="7" t="s">
        <v>1624</v>
      </c>
      <c r="AG266" s="7" t="s">
        <v>46</v>
      </c>
    </row>
    <row r="267" spans="1:33" ht="15.75" x14ac:dyDescent="0.25">
      <c r="A267" s="3">
        <v>1115075001920</v>
      </c>
      <c r="B267" s="9">
        <v>5075011947</v>
      </c>
      <c r="C267" s="10" t="s">
        <v>2507</v>
      </c>
      <c r="D267" s="10" t="s">
        <v>2508</v>
      </c>
      <c r="E267" s="9">
        <v>90188332</v>
      </c>
      <c r="F267" s="9">
        <v>46466000345</v>
      </c>
      <c r="G267" s="9">
        <v>16</v>
      </c>
      <c r="H267" s="9">
        <v>12300</v>
      </c>
      <c r="I267" s="9">
        <v>507501001</v>
      </c>
      <c r="J267" s="10" t="s">
        <v>2509</v>
      </c>
      <c r="K267" s="10"/>
      <c r="L267" s="3" t="s">
        <v>2510</v>
      </c>
      <c r="M267" s="10" t="s">
        <v>2511</v>
      </c>
      <c r="N267" s="10" t="s">
        <v>2512</v>
      </c>
      <c r="O267" s="10" t="s">
        <v>2513</v>
      </c>
      <c r="P267" s="11">
        <v>507500842682</v>
      </c>
      <c r="Q267" s="10" t="s">
        <v>41</v>
      </c>
      <c r="R267" s="10" t="s">
        <v>2514</v>
      </c>
      <c r="S267" s="10" t="s">
        <v>2515</v>
      </c>
      <c r="T267" s="10"/>
      <c r="U267" s="10" t="s">
        <v>2516</v>
      </c>
      <c r="V267" s="3">
        <v>36152500</v>
      </c>
      <c r="W267" s="3">
        <v>378088000</v>
      </c>
      <c r="X267" s="3">
        <v>561662000</v>
      </c>
      <c r="Y267" s="3">
        <v>46288000</v>
      </c>
      <c r="Z267" s="3">
        <v>110049000</v>
      </c>
      <c r="AA267" s="3">
        <v>201754000</v>
      </c>
      <c r="AB267" s="3">
        <v>-34050000</v>
      </c>
      <c r="AC267" s="3">
        <v>4371000</v>
      </c>
      <c r="AD267" s="3">
        <v>-45163000</v>
      </c>
      <c r="AE267" s="10" t="s">
        <v>331</v>
      </c>
      <c r="AF267" s="10" t="s">
        <v>453</v>
      </c>
      <c r="AG267" s="10" t="s">
        <v>46</v>
      </c>
    </row>
    <row r="268" spans="1:33" ht="15.75" x14ac:dyDescent="0.25">
      <c r="A268" s="1">
        <v>1037703036931</v>
      </c>
      <c r="B268" s="6">
        <v>7703374404</v>
      </c>
      <c r="C268" s="7" t="s">
        <v>2517</v>
      </c>
      <c r="D268" s="7" t="s">
        <v>2518</v>
      </c>
      <c r="E268" s="6">
        <v>70049485</v>
      </c>
      <c r="F268" s="6">
        <v>45277583000</v>
      </c>
      <c r="G268" s="6">
        <v>23</v>
      </c>
      <c r="H268" s="6">
        <v>12300</v>
      </c>
      <c r="I268" s="6">
        <v>774301001</v>
      </c>
      <c r="J268" s="7" t="s">
        <v>1864</v>
      </c>
      <c r="K268" s="7"/>
      <c r="L268" s="1" t="s">
        <v>2519</v>
      </c>
      <c r="M268" s="7" t="s">
        <v>2520</v>
      </c>
      <c r="N268" s="7" t="s">
        <v>2521</v>
      </c>
      <c r="O268" s="7" t="s">
        <v>2522</v>
      </c>
      <c r="P268" s="8">
        <v>772608956894</v>
      </c>
      <c r="Q268" s="7" t="s">
        <v>41</v>
      </c>
      <c r="R268" s="7" t="s">
        <v>2523</v>
      </c>
      <c r="S268" s="7" t="s">
        <v>2524</v>
      </c>
      <c r="T268" s="7"/>
      <c r="U268" s="7"/>
      <c r="V268" s="1">
        <v>34000000</v>
      </c>
      <c r="W268" s="1">
        <v>322053000</v>
      </c>
      <c r="X268" s="1">
        <v>659706000</v>
      </c>
      <c r="Y268" s="1">
        <v>136346000</v>
      </c>
      <c r="Z268" s="1">
        <v>273847000</v>
      </c>
      <c r="AA268" s="1">
        <v>61840000</v>
      </c>
      <c r="AB268" s="1">
        <v>-184181000</v>
      </c>
      <c r="AC268" s="1">
        <v>-276633000</v>
      </c>
      <c r="AD268" s="1">
        <v>-235652000</v>
      </c>
      <c r="AE268" s="7"/>
      <c r="AF268" s="7"/>
      <c r="AG268" s="7" t="s">
        <v>46</v>
      </c>
    </row>
    <row r="269" spans="1:33" ht="15.75" x14ac:dyDescent="0.25">
      <c r="A269" s="3">
        <v>1037739077530</v>
      </c>
      <c r="B269" s="9">
        <v>7708124246</v>
      </c>
      <c r="C269" s="10" t="s">
        <v>2525</v>
      </c>
      <c r="D269" s="10" t="s">
        <v>2526</v>
      </c>
      <c r="E269" s="9">
        <v>52560145</v>
      </c>
      <c r="F269" s="9">
        <v>45268569000</v>
      </c>
      <c r="G269" s="9">
        <v>16</v>
      </c>
      <c r="H269" s="9">
        <v>12300</v>
      </c>
      <c r="I269" s="9">
        <v>773101001</v>
      </c>
      <c r="J269" s="10" t="s">
        <v>2527</v>
      </c>
      <c r="K269" s="10"/>
      <c r="L269" s="3" t="s">
        <v>2528</v>
      </c>
      <c r="M269" s="10" t="s">
        <v>2529</v>
      </c>
      <c r="N269" s="10" t="s">
        <v>2530</v>
      </c>
      <c r="O269" s="10" t="s">
        <v>2531</v>
      </c>
      <c r="P269" s="11">
        <v>773604120532</v>
      </c>
      <c r="Q269" s="10" t="s">
        <v>41</v>
      </c>
      <c r="R269" s="10" t="s">
        <v>2532</v>
      </c>
      <c r="S269" s="10" t="s">
        <v>2533</v>
      </c>
      <c r="T269" s="10"/>
      <c r="U269" s="10" t="s">
        <v>2534</v>
      </c>
      <c r="V269" s="3">
        <v>25200000</v>
      </c>
      <c r="W269" s="3">
        <v>442882000</v>
      </c>
      <c r="X269" s="3">
        <v>7320000</v>
      </c>
      <c r="Y269" s="3">
        <v>255399000</v>
      </c>
      <c r="Z269" s="3">
        <v>205603000</v>
      </c>
      <c r="AA269" s="3">
        <v>141247000</v>
      </c>
      <c r="AB269" s="3">
        <v>95984000</v>
      </c>
      <c r="AC269" s="3">
        <v>0</v>
      </c>
      <c r="AD269" s="3">
        <v>0</v>
      </c>
      <c r="AE269" s="10" t="s">
        <v>331</v>
      </c>
      <c r="AF269" s="10" t="s">
        <v>363</v>
      </c>
      <c r="AG269" s="10" t="s">
        <v>46</v>
      </c>
    </row>
    <row r="270" spans="1:33" ht="15.75" x14ac:dyDescent="0.25">
      <c r="A270" s="1">
        <v>1037724019893</v>
      </c>
      <c r="B270" s="6">
        <v>7724269320</v>
      </c>
      <c r="C270" s="7" t="s">
        <v>2535</v>
      </c>
      <c r="D270" s="7" t="s">
        <v>2536</v>
      </c>
      <c r="E270" s="6">
        <v>14189805</v>
      </c>
      <c r="F270" s="6">
        <v>45286565000</v>
      </c>
      <c r="G270" s="6">
        <v>16</v>
      </c>
      <c r="H270" s="6">
        <v>12300</v>
      </c>
      <c r="I270" s="6">
        <v>770801001</v>
      </c>
      <c r="J270" s="7" t="s">
        <v>2537</v>
      </c>
      <c r="K270" s="7"/>
      <c r="L270" s="1" t="s">
        <v>1163</v>
      </c>
      <c r="M270" s="7" t="s">
        <v>1164</v>
      </c>
      <c r="N270" s="7" t="s">
        <v>2538</v>
      </c>
      <c r="O270" s="7" t="s">
        <v>2539</v>
      </c>
      <c r="P270" s="8">
        <v>623003174105</v>
      </c>
      <c r="Q270" s="7" t="s">
        <v>41</v>
      </c>
      <c r="R270" s="7" t="s">
        <v>2540</v>
      </c>
      <c r="S270" s="7" t="s">
        <v>2541</v>
      </c>
      <c r="T270" s="7" t="s">
        <v>2542</v>
      </c>
      <c r="U270" s="7" t="s">
        <v>2543</v>
      </c>
      <c r="V270" s="1">
        <v>24851000</v>
      </c>
      <c r="W270" s="1">
        <v>953857000</v>
      </c>
      <c r="X270" s="1">
        <v>266163000</v>
      </c>
      <c r="Y270" s="1">
        <v>8825000</v>
      </c>
      <c r="Z270" s="1">
        <v>92930000</v>
      </c>
      <c r="AA270" s="1">
        <v>18475000</v>
      </c>
      <c r="AB270" s="1">
        <v>118552000</v>
      </c>
      <c r="AC270" s="1">
        <v>87115000</v>
      </c>
      <c r="AD270" s="1">
        <v>118552000</v>
      </c>
      <c r="AE270" s="7"/>
      <c r="AF270" s="7" t="s">
        <v>2544</v>
      </c>
      <c r="AG270" s="7" t="s">
        <v>46</v>
      </c>
    </row>
    <row r="271" spans="1:33" ht="15.75" x14ac:dyDescent="0.25">
      <c r="A271" s="3">
        <v>1185053023319</v>
      </c>
      <c r="B271" s="9">
        <v>5032298886</v>
      </c>
      <c r="C271" s="10" t="s">
        <v>2545</v>
      </c>
      <c r="D271" s="10" t="s">
        <v>2546</v>
      </c>
      <c r="E271" s="9">
        <v>32813762</v>
      </c>
      <c r="F271" s="9">
        <v>46439000000</v>
      </c>
      <c r="G271" s="9">
        <v>16</v>
      </c>
      <c r="H271" s="9">
        <v>12300</v>
      </c>
      <c r="I271" s="9">
        <v>502401001</v>
      </c>
      <c r="J271" s="10" t="s">
        <v>2547</v>
      </c>
      <c r="K271" s="10"/>
      <c r="L271" s="3" t="s">
        <v>2548</v>
      </c>
      <c r="M271" s="10" t="s">
        <v>2549</v>
      </c>
      <c r="N271" s="10" t="s">
        <v>2550</v>
      </c>
      <c r="O271" s="10" t="s">
        <v>2551</v>
      </c>
      <c r="P271" s="11">
        <v>5032241819</v>
      </c>
      <c r="Q271" s="10" t="s">
        <v>90</v>
      </c>
      <c r="R271" s="10" t="s">
        <v>2552</v>
      </c>
      <c r="S271" s="10" t="s">
        <v>2553</v>
      </c>
      <c r="T271" s="10"/>
      <c r="U271" s="10"/>
      <c r="V271" s="3">
        <v>10450000</v>
      </c>
      <c r="W271" s="3">
        <v>246883000</v>
      </c>
      <c r="X271" s="3">
        <v>256000</v>
      </c>
      <c r="Y271" s="3">
        <v>223217000</v>
      </c>
      <c r="Z271" s="3">
        <v>27203000</v>
      </c>
      <c r="AA271" s="3">
        <v>141512000</v>
      </c>
      <c r="AB271" s="3">
        <v>17097000</v>
      </c>
      <c r="AC271" s="3">
        <v>0</v>
      </c>
      <c r="AD271" s="3">
        <v>0</v>
      </c>
      <c r="AE271" s="10" t="s">
        <v>331</v>
      </c>
      <c r="AF271" s="10" t="s">
        <v>740</v>
      </c>
      <c r="AG271" s="10" t="s">
        <v>46</v>
      </c>
    </row>
    <row r="272" spans="1:33" ht="15.75" x14ac:dyDescent="0.25">
      <c r="A272" s="1">
        <v>1037739211355</v>
      </c>
      <c r="B272" s="6">
        <v>7726052058</v>
      </c>
      <c r="C272" s="7" t="s">
        <v>2554</v>
      </c>
      <c r="D272" s="7" t="s">
        <v>2555</v>
      </c>
      <c r="E272" s="6">
        <v>29324143</v>
      </c>
      <c r="F272" s="6">
        <v>45296595000</v>
      </c>
      <c r="G272" s="6">
        <v>16</v>
      </c>
      <c r="H272" s="6">
        <v>12300</v>
      </c>
      <c r="I272" s="6">
        <v>772601001</v>
      </c>
      <c r="J272" s="7" t="s">
        <v>2556</v>
      </c>
      <c r="K272" s="7"/>
      <c r="L272" s="1" t="s">
        <v>2557</v>
      </c>
      <c r="M272" s="7" t="s">
        <v>2558</v>
      </c>
      <c r="N272" s="7" t="s">
        <v>2559</v>
      </c>
      <c r="O272" s="7" t="s">
        <v>2560</v>
      </c>
      <c r="P272" s="8">
        <v>771526806303</v>
      </c>
      <c r="Q272" s="7" t="s">
        <v>41</v>
      </c>
      <c r="R272" s="7" t="s">
        <v>2561</v>
      </c>
      <c r="S272" s="7" t="s">
        <v>2562</v>
      </c>
      <c r="T272" s="7"/>
      <c r="U272" s="7" t="s">
        <v>2563</v>
      </c>
      <c r="V272" s="1">
        <v>68000000</v>
      </c>
      <c r="W272" s="1">
        <v>751470000</v>
      </c>
      <c r="X272" s="1">
        <v>98593000</v>
      </c>
      <c r="Y272" s="1">
        <v>352999000</v>
      </c>
      <c r="Z272" s="1">
        <v>120146000</v>
      </c>
      <c r="AA272" s="1">
        <v>100778000</v>
      </c>
      <c r="AB272" s="1">
        <v>13891000</v>
      </c>
      <c r="AC272" s="1">
        <v>81519000</v>
      </c>
      <c r="AD272" s="1">
        <v>25346000</v>
      </c>
      <c r="AE272" s="7" t="s">
        <v>331</v>
      </c>
      <c r="AF272" s="7" t="s">
        <v>2564</v>
      </c>
      <c r="AG272" s="7" t="s">
        <v>46</v>
      </c>
    </row>
    <row r="273" spans="1:33" ht="15.75" x14ac:dyDescent="0.25">
      <c r="A273" s="3">
        <v>1037739284483</v>
      </c>
      <c r="B273" s="9">
        <v>7735084987</v>
      </c>
      <c r="C273" s="10" t="s">
        <v>2565</v>
      </c>
      <c r="D273" s="10" t="s">
        <v>2566</v>
      </c>
      <c r="E273" s="9">
        <v>47289120</v>
      </c>
      <c r="F273" s="9">
        <v>45286575000</v>
      </c>
      <c r="G273" s="9">
        <v>16</v>
      </c>
      <c r="H273" s="9">
        <v>12300</v>
      </c>
      <c r="I273" s="9">
        <v>771001001</v>
      </c>
      <c r="J273" s="10" t="s">
        <v>2567</v>
      </c>
      <c r="K273" s="10"/>
      <c r="L273" s="3" t="s">
        <v>2557</v>
      </c>
      <c r="M273" s="10" t="s">
        <v>2558</v>
      </c>
      <c r="N273" s="10" t="s">
        <v>2568</v>
      </c>
      <c r="O273" s="10" t="s">
        <v>2569</v>
      </c>
      <c r="P273" s="11">
        <v>770400574109</v>
      </c>
      <c r="Q273" s="10" t="s">
        <v>41</v>
      </c>
      <c r="R273" s="10" t="s">
        <v>2570</v>
      </c>
      <c r="S273" s="10" t="s">
        <v>2571</v>
      </c>
      <c r="T273" s="10"/>
      <c r="U273" s="10"/>
      <c r="V273" s="3">
        <v>30916250</v>
      </c>
      <c r="W273" s="3">
        <v>460802000</v>
      </c>
      <c r="X273" s="3">
        <v>154475000</v>
      </c>
      <c r="Y273" s="3">
        <v>87851000</v>
      </c>
      <c r="Z273" s="3">
        <v>371197000</v>
      </c>
      <c r="AA273" s="3">
        <v>154430000</v>
      </c>
      <c r="AB273" s="3">
        <v>2882000</v>
      </c>
      <c r="AC273" s="3">
        <v>-1198000</v>
      </c>
      <c r="AD273" s="3">
        <v>4201000</v>
      </c>
      <c r="AE273" s="10" t="s">
        <v>331</v>
      </c>
      <c r="AF273" s="10" t="s">
        <v>947</v>
      </c>
      <c r="AG273" s="10" t="s">
        <v>46</v>
      </c>
    </row>
    <row r="274" spans="1:33" ht="15.75" x14ac:dyDescent="0.25">
      <c r="A274" s="1">
        <v>1187746381240</v>
      </c>
      <c r="B274" s="6">
        <v>7743250613</v>
      </c>
      <c r="C274" s="7" t="s">
        <v>2572</v>
      </c>
      <c r="D274" s="7" t="s">
        <v>2573</v>
      </c>
      <c r="E274" s="6">
        <v>28169775</v>
      </c>
      <c r="F274" s="6">
        <v>45277589000</v>
      </c>
      <c r="G274" s="6">
        <v>16</v>
      </c>
      <c r="H274" s="6">
        <v>12300</v>
      </c>
      <c r="I274" s="6">
        <v>774301001</v>
      </c>
      <c r="J274" s="7" t="s">
        <v>2574</v>
      </c>
      <c r="K274" s="7"/>
      <c r="L274" s="1" t="s">
        <v>2575</v>
      </c>
      <c r="M274" s="7" t="s">
        <v>2576</v>
      </c>
      <c r="N274" s="7" t="s">
        <v>2577</v>
      </c>
      <c r="O274" s="7" t="s">
        <v>2578</v>
      </c>
      <c r="P274" s="8">
        <v>231006135603</v>
      </c>
      <c r="Q274" s="7" t="s">
        <v>41</v>
      </c>
      <c r="R274" s="7" t="s">
        <v>2579</v>
      </c>
      <c r="S274" s="7" t="s">
        <v>2580</v>
      </c>
      <c r="T274" s="7"/>
      <c r="U274" s="7" t="s">
        <v>2581</v>
      </c>
      <c r="V274" s="1">
        <v>47500000</v>
      </c>
      <c r="W274" s="1">
        <v>388110000</v>
      </c>
      <c r="X274" s="1">
        <v>58664000</v>
      </c>
      <c r="Y274" s="1">
        <v>3172000</v>
      </c>
      <c r="Z274" s="1">
        <v>96628000</v>
      </c>
      <c r="AA274" s="1">
        <v>58406000</v>
      </c>
      <c r="AB274" s="1">
        <v>192821000</v>
      </c>
      <c r="AC274" s="1">
        <v>0</v>
      </c>
      <c r="AD274" s="1">
        <v>0</v>
      </c>
      <c r="AE274" s="7" t="s">
        <v>331</v>
      </c>
      <c r="AF274" s="7" t="s">
        <v>947</v>
      </c>
      <c r="AG274" s="7" t="s">
        <v>46</v>
      </c>
    </row>
    <row r="275" spans="1:33" ht="15.75" x14ac:dyDescent="0.25">
      <c r="A275" s="3">
        <v>1021400690882</v>
      </c>
      <c r="B275" s="9">
        <v>1414007228</v>
      </c>
      <c r="C275" s="10" t="s">
        <v>2582</v>
      </c>
      <c r="D275" s="10" t="s">
        <v>2583</v>
      </c>
      <c r="E275" s="9">
        <v>196262</v>
      </c>
      <c r="F275" s="9">
        <v>45296569000</v>
      </c>
      <c r="G275" s="9">
        <v>16</v>
      </c>
      <c r="H275" s="9">
        <v>12267</v>
      </c>
      <c r="I275" s="9">
        <v>772401001</v>
      </c>
      <c r="J275" s="10" t="s">
        <v>2584</v>
      </c>
      <c r="K275" s="10"/>
      <c r="L275" s="3" t="s">
        <v>2585</v>
      </c>
      <c r="M275" s="10" t="s">
        <v>2586</v>
      </c>
      <c r="N275" s="10" t="s">
        <v>2587</v>
      </c>
      <c r="O275" s="10" t="s">
        <v>2588</v>
      </c>
      <c r="P275" s="11">
        <v>141426717911</v>
      </c>
      <c r="Q275" s="10" t="s">
        <v>41</v>
      </c>
      <c r="R275" s="10" t="s">
        <v>2589</v>
      </c>
      <c r="S275" s="10" t="s">
        <v>2590</v>
      </c>
      <c r="T275" s="10"/>
      <c r="U275" s="10" t="s">
        <v>2591</v>
      </c>
      <c r="V275" s="3">
        <v>52021600</v>
      </c>
      <c r="W275" s="3">
        <v>320539000</v>
      </c>
      <c r="X275" s="3">
        <v>87250000</v>
      </c>
      <c r="Y275" s="3">
        <v>41375000</v>
      </c>
      <c r="Z275" s="3">
        <v>35873000</v>
      </c>
      <c r="AA275" s="3">
        <v>97035000</v>
      </c>
      <c r="AB275" s="3">
        <v>3268000</v>
      </c>
      <c r="AC275" s="3">
        <v>11641000</v>
      </c>
      <c r="AD275" s="3">
        <v>4649000</v>
      </c>
      <c r="AE275" s="10" t="s">
        <v>331</v>
      </c>
      <c r="AF275" s="10" t="s">
        <v>1689</v>
      </c>
      <c r="AG275" s="10" t="s">
        <v>46</v>
      </c>
    </row>
    <row r="276" spans="1:33" ht="15.75" x14ac:dyDescent="0.25">
      <c r="A276" s="1">
        <v>1086311006693</v>
      </c>
      <c r="B276" s="6">
        <v>6311109788</v>
      </c>
      <c r="C276" s="7" t="s">
        <v>2592</v>
      </c>
      <c r="D276" s="7" t="s">
        <v>2593</v>
      </c>
      <c r="E276" s="6">
        <v>88544469</v>
      </c>
      <c r="F276" s="6">
        <v>45280569000</v>
      </c>
      <c r="G276" s="6">
        <v>16</v>
      </c>
      <c r="H276" s="6">
        <v>12300</v>
      </c>
      <c r="I276" s="6">
        <v>771501001</v>
      </c>
      <c r="J276" s="7" t="s">
        <v>2594</v>
      </c>
      <c r="K276" s="7"/>
      <c r="L276" s="1" t="s">
        <v>861</v>
      </c>
      <c r="M276" s="7" t="s">
        <v>862</v>
      </c>
      <c r="N276" s="7" t="s">
        <v>2595</v>
      </c>
      <c r="O276" s="7" t="s">
        <v>2596</v>
      </c>
      <c r="P276" s="8">
        <v>631606080876</v>
      </c>
      <c r="Q276" s="7" t="s">
        <v>150</v>
      </c>
      <c r="R276" s="7" t="s">
        <v>2597</v>
      </c>
      <c r="S276" s="7" t="s">
        <v>2598</v>
      </c>
      <c r="T276" s="7"/>
      <c r="U276" s="7" t="s">
        <v>2599</v>
      </c>
      <c r="V276" s="1">
        <v>15000000</v>
      </c>
      <c r="W276" s="1">
        <v>435825000</v>
      </c>
      <c r="X276" s="1">
        <v>6523000</v>
      </c>
      <c r="Y276" s="1">
        <v>146643000</v>
      </c>
      <c r="Z276" s="1">
        <v>218586000</v>
      </c>
      <c r="AA276" s="1">
        <v>318047000</v>
      </c>
      <c r="AB276" s="1">
        <v>4894000</v>
      </c>
      <c r="AC276" s="1">
        <v>13829000</v>
      </c>
      <c r="AD276" s="1">
        <v>5596000</v>
      </c>
      <c r="AE276" s="7" t="s">
        <v>331</v>
      </c>
      <c r="AF276" s="7" t="s">
        <v>2600</v>
      </c>
      <c r="AG276" s="7" t="s">
        <v>46</v>
      </c>
    </row>
    <row r="277" spans="1:33" ht="15.75" x14ac:dyDescent="0.25">
      <c r="A277" s="3">
        <v>1027739162538</v>
      </c>
      <c r="B277" s="9">
        <v>7717123584</v>
      </c>
      <c r="C277" s="10" t="s">
        <v>2601</v>
      </c>
      <c r="D277" s="10" t="s">
        <v>2602</v>
      </c>
      <c r="E277" s="9">
        <v>56680975</v>
      </c>
      <c r="F277" s="9">
        <v>46448571000</v>
      </c>
      <c r="G277" s="9">
        <v>16</v>
      </c>
      <c r="H277" s="9">
        <v>12300</v>
      </c>
      <c r="I277" s="9">
        <v>502701001</v>
      </c>
      <c r="J277" s="10" t="s">
        <v>2603</v>
      </c>
      <c r="K277" s="10"/>
      <c r="L277" s="3" t="s">
        <v>771</v>
      </c>
      <c r="M277" s="10" t="s">
        <v>289</v>
      </c>
      <c r="N277" s="10" t="s">
        <v>2604</v>
      </c>
      <c r="O277" s="10" t="s">
        <v>2605</v>
      </c>
      <c r="P277" s="11">
        <v>772300625138</v>
      </c>
      <c r="Q277" s="10" t="s">
        <v>41</v>
      </c>
      <c r="R277" s="10" t="s">
        <v>2606</v>
      </c>
      <c r="S277" s="10" t="s">
        <v>2607</v>
      </c>
      <c r="T277" s="10"/>
      <c r="U277" s="10"/>
      <c r="V277" s="3">
        <v>18500000</v>
      </c>
      <c r="W277" s="3">
        <v>110455000</v>
      </c>
      <c r="X277" s="3">
        <v>62297000</v>
      </c>
      <c r="Y277" s="3">
        <v>10391000</v>
      </c>
      <c r="Z277" s="3">
        <v>8925000</v>
      </c>
      <c r="AA277" s="3">
        <v>6768000</v>
      </c>
      <c r="AB277" s="3">
        <v>40939000</v>
      </c>
      <c r="AC277" s="3">
        <v>43221000</v>
      </c>
      <c r="AD277" s="3">
        <v>54622000</v>
      </c>
      <c r="AE277" s="10" t="s">
        <v>317</v>
      </c>
      <c r="AF277" s="10" t="s">
        <v>1465</v>
      </c>
      <c r="AG277" s="10" t="s">
        <v>46</v>
      </c>
    </row>
    <row r="278" spans="1:33" ht="15.75" x14ac:dyDescent="0.25">
      <c r="A278" s="3">
        <v>1027739023751</v>
      </c>
      <c r="B278" s="9">
        <v>7710327099</v>
      </c>
      <c r="C278" s="10" t="s">
        <v>2608</v>
      </c>
      <c r="D278" s="10" t="s">
        <v>2609</v>
      </c>
      <c r="E278" s="9">
        <v>5130687</v>
      </c>
      <c r="F278" s="9">
        <v>45286575000</v>
      </c>
      <c r="G278" s="9">
        <v>16</v>
      </c>
      <c r="H278" s="9">
        <v>12247</v>
      </c>
      <c r="I278" s="9">
        <v>771001001</v>
      </c>
      <c r="J278" s="10" t="s">
        <v>2610</v>
      </c>
      <c r="K278" s="10"/>
      <c r="L278" s="3" t="s">
        <v>323</v>
      </c>
      <c r="M278" s="10" t="s">
        <v>324</v>
      </c>
      <c r="N278" s="10" t="s">
        <v>2611</v>
      </c>
      <c r="O278" s="10" t="s">
        <v>2612</v>
      </c>
      <c r="P278" s="11">
        <v>81407669398</v>
      </c>
      <c r="Q278" s="10" t="s">
        <v>2613</v>
      </c>
      <c r="R278" s="10" t="s">
        <v>2614</v>
      </c>
      <c r="S278" s="10" t="s">
        <v>2615</v>
      </c>
      <c r="T278" s="10" t="s">
        <v>2616</v>
      </c>
      <c r="U278" s="10" t="s">
        <v>2617</v>
      </c>
      <c r="V278" s="3">
        <v>35321000</v>
      </c>
      <c r="W278" s="3">
        <v>546994000</v>
      </c>
      <c r="X278" s="3">
        <v>188287000</v>
      </c>
      <c r="Y278" s="3">
        <v>6015000</v>
      </c>
      <c r="Z278" s="3">
        <v>84670000</v>
      </c>
      <c r="AA278" s="3">
        <v>59518000</v>
      </c>
      <c r="AB278" s="3">
        <v>131540000</v>
      </c>
      <c r="AC278" s="3">
        <v>192310000</v>
      </c>
      <c r="AD278" s="3">
        <v>192105000</v>
      </c>
      <c r="AE278" s="10"/>
      <c r="AF278" s="10" t="s">
        <v>2618</v>
      </c>
      <c r="AG278" s="10" t="s">
        <v>46</v>
      </c>
    </row>
    <row r="279" spans="1:33" ht="15.75" x14ac:dyDescent="0.25">
      <c r="A279" s="1">
        <v>1177746137216</v>
      </c>
      <c r="B279" s="6">
        <v>7726396549</v>
      </c>
      <c r="C279" s="7" t="s">
        <v>2619</v>
      </c>
      <c r="D279" s="7" t="s">
        <v>2620</v>
      </c>
      <c r="E279" s="6">
        <v>6671089</v>
      </c>
      <c r="F279" s="6">
        <v>45296595000</v>
      </c>
      <c r="G279" s="6">
        <v>16</v>
      </c>
      <c r="H279" s="6">
        <v>12300</v>
      </c>
      <c r="I279" s="6">
        <v>772601001</v>
      </c>
      <c r="J279" s="7" t="s">
        <v>2621</v>
      </c>
      <c r="K279" s="7"/>
      <c r="L279" s="1" t="s">
        <v>1401</v>
      </c>
      <c r="M279" s="7" t="s">
        <v>1402</v>
      </c>
      <c r="N279" s="7" t="s">
        <v>2622</v>
      </c>
      <c r="O279" s="7" t="s">
        <v>2623</v>
      </c>
      <c r="P279" s="8">
        <v>774306942842</v>
      </c>
      <c r="Q279" s="7" t="s">
        <v>41</v>
      </c>
      <c r="R279" s="7" t="s">
        <v>2624</v>
      </c>
      <c r="S279" s="7" t="s">
        <v>2625</v>
      </c>
      <c r="T279" s="7"/>
      <c r="U279" s="7" t="s">
        <v>2626</v>
      </c>
      <c r="V279" s="1">
        <v>14000000</v>
      </c>
      <c r="W279" s="1">
        <v>478793000</v>
      </c>
      <c r="X279" s="1">
        <v>0</v>
      </c>
      <c r="Y279" s="1">
        <v>49655000</v>
      </c>
      <c r="Z279" s="1">
        <v>58773000</v>
      </c>
      <c r="AA279" s="1">
        <v>32440000</v>
      </c>
      <c r="AB279" s="1">
        <v>11490000</v>
      </c>
      <c r="AC279" s="1">
        <v>0</v>
      </c>
      <c r="AD279" s="1">
        <v>0</v>
      </c>
      <c r="AE279" s="7" t="s">
        <v>331</v>
      </c>
      <c r="AF279" s="7" t="s">
        <v>352</v>
      </c>
      <c r="AG279" s="7" t="s">
        <v>46</v>
      </c>
    </row>
    <row r="280" spans="1:33" ht="15.75" x14ac:dyDescent="0.25">
      <c r="A280" s="3">
        <v>1105010000666</v>
      </c>
      <c r="B280" s="9">
        <v>5010040788</v>
      </c>
      <c r="C280" s="10" t="s">
        <v>2627</v>
      </c>
      <c r="D280" s="10" t="s">
        <v>2628</v>
      </c>
      <c r="E280" s="9">
        <v>66082726</v>
      </c>
      <c r="F280" s="9">
        <v>45286590000</v>
      </c>
      <c r="G280" s="9">
        <v>16</v>
      </c>
      <c r="H280" s="9">
        <v>12300</v>
      </c>
      <c r="I280" s="9">
        <v>770401001</v>
      </c>
      <c r="J280" s="10" t="s">
        <v>2629</v>
      </c>
      <c r="K280" s="10"/>
      <c r="L280" s="3" t="s">
        <v>2106</v>
      </c>
      <c r="M280" s="10" t="s">
        <v>2107</v>
      </c>
      <c r="N280" s="10" t="s">
        <v>2630</v>
      </c>
      <c r="O280" s="10" t="s">
        <v>2631</v>
      </c>
      <c r="P280" s="11">
        <v>575405410700</v>
      </c>
      <c r="Q280" s="10" t="s">
        <v>41</v>
      </c>
      <c r="R280" s="10" t="s">
        <v>2632</v>
      </c>
      <c r="S280" s="10" t="s">
        <v>2633</v>
      </c>
      <c r="T280" s="10"/>
      <c r="U280" s="10" t="s">
        <v>2634</v>
      </c>
      <c r="V280" s="3">
        <v>17565739</v>
      </c>
      <c r="W280" s="3">
        <v>92363000</v>
      </c>
      <c r="X280" s="3">
        <v>207000</v>
      </c>
      <c r="Y280" s="3">
        <v>0</v>
      </c>
      <c r="Z280" s="3">
        <v>1082000</v>
      </c>
      <c r="AA280" s="3">
        <v>2129000</v>
      </c>
      <c r="AB280" s="3">
        <v>-23748000</v>
      </c>
      <c r="AC280" s="3">
        <v>0</v>
      </c>
      <c r="AD280" s="3">
        <v>0</v>
      </c>
      <c r="AE280" s="10" t="s">
        <v>331</v>
      </c>
      <c r="AF280" s="10" t="s">
        <v>821</v>
      </c>
      <c r="AG280" s="10" t="s">
        <v>319</v>
      </c>
    </row>
    <row r="281" spans="1:33" ht="15.75" x14ac:dyDescent="0.25">
      <c r="A281" s="1">
        <v>1165022050038</v>
      </c>
      <c r="B281" s="6">
        <v>5022049930</v>
      </c>
      <c r="C281" s="7" t="s">
        <v>2635</v>
      </c>
      <c r="D281" s="7" t="s">
        <v>2636</v>
      </c>
      <c r="E281" s="6">
        <v>42796734</v>
      </c>
      <c r="F281" s="6">
        <v>46438000000</v>
      </c>
      <c r="G281" s="6">
        <v>16</v>
      </c>
      <c r="H281" s="6">
        <v>12300</v>
      </c>
      <c r="I281" s="6">
        <v>502201001</v>
      </c>
      <c r="J281" s="7" t="s">
        <v>2637</v>
      </c>
      <c r="K281" s="7"/>
      <c r="L281" s="1" t="s">
        <v>2638</v>
      </c>
      <c r="M281" s="7" t="s">
        <v>2639</v>
      </c>
      <c r="N281" s="7" t="s">
        <v>2640</v>
      </c>
      <c r="O281" s="7" t="s">
        <v>2641</v>
      </c>
      <c r="P281" s="8">
        <v>502200804052</v>
      </c>
      <c r="Q281" s="7" t="s">
        <v>41</v>
      </c>
      <c r="R281" s="7" t="s">
        <v>2642</v>
      </c>
      <c r="S281" s="7" t="s">
        <v>2643</v>
      </c>
      <c r="T281" s="7" t="s">
        <v>2644</v>
      </c>
      <c r="U281" s="7" t="s">
        <v>2645</v>
      </c>
      <c r="V281" s="1">
        <v>51850000</v>
      </c>
      <c r="W281" s="1">
        <v>579698000</v>
      </c>
      <c r="X281" s="1">
        <v>182852000</v>
      </c>
      <c r="Y281" s="1">
        <v>399296000</v>
      </c>
      <c r="Z281" s="1">
        <v>25464000</v>
      </c>
      <c r="AA281" s="1">
        <v>37349000</v>
      </c>
      <c r="AB281" s="1">
        <v>178826000</v>
      </c>
      <c r="AC281" s="1">
        <v>85963000</v>
      </c>
      <c r="AD281" s="1">
        <v>215202000</v>
      </c>
      <c r="AE281" s="7" t="s">
        <v>730</v>
      </c>
      <c r="AF281" s="7" t="s">
        <v>363</v>
      </c>
      <c r="AG281" s="7" t="s">
        <v>46</v>
      </c>
    </row>
    <row r="282" spans="1:33" ht="15.75" x14ac:dyDescent="0.25">
      <c r="A282" s="3">
        <v>1187746032968</v>
      </c>
      <c r="B282" s="9">
        <v>9721061045</v>
      </c>
      <c r="C282" s="10" t="s">
        <v>2646</v>
      </c>
      <c r="D282" s="10" t="s">
        <v>2647</v>
      </c>
      <c r="E282" s="9">
        <v>23396414</v>
      </c>
      <c r="F282" s="9">
        <v>45277598000</v>
      </c>
      <c r="G282" s="9">
        <v>23</v>
      </c>
      <c r="H282" s="9">
        <v>12300</v>
      </c>
      <c r="I282" s="9">
        <v>771401001</v>
      </c>
      <c r="J282" s="10" t="s">
        <v>2648</v>
      </c>
      <c r="K282" s="10"/>
      <c r="L282" s="3" t="s">
        <v>1045</v>
      </c>
      <c r="M282" s="10" t="s">
        <v>1046</v>
      </c>
      <c r="N282" s="10" t="s">
        <v>2649</v>
      </c>
      <c r="O282" s="10" t="s">
        <v>2650</v>
      </c>
      <c r="P282" s="11">
        <v>771379159500</v>
      </c>
      <c r="Q282" s="10" t="s">
        <v>41</v>
      </c>
      <c r="R282" s="10" t="s">
        <v>2651</v>
      </c>
      <c r="S282" s="10" t="s">
        <v>2652</v>
      </c>
      <c r="T282" s="10"/>
      <c r="U282" s="10"/>
      <c r="V282" s="3">
        <v>20900000</v>
      </c>
      <c r="W282" s="3">
        <v>148490000</v>
      </c>
      <c r="X282" s="3">
        <v>2758000</v>
      </c>
      <c r="Y282" s="3">
        <v>5556000</v>
      </c>
      <c r="Z282" s="3">
        <v>14801000</v>
      </c>
      <c r="AA282" s="3">
        <v>7779000</v>
      </c>
      <c r="AB282" s="3">
        <v>17685000</v>
      </c>
      <c r="AC282" s="3">
        <v>27940000</v>
      </c>
      <c r="AD282" s="3">
        <v>24758000</v>
      </c>
      <c r="AE282" s="10"/>
      <c r="AF282" s="10" t="s">
        <v>352</v>
      </c>
      <c r="AG282" s="10" t="s">
        <v>46</v>
      </c>
    </row>
    <row r="283" spans="1:33" ht="15.75" x14ac:dyDescent="0.25">
      <c r="A283" s="1">
        <v>1165032052240</v>
      </c>
      <c r="B283" s="6">
        <v>5032231747</v>
      </c>
      <c r="C283" s="7" t="s">
        <v>2653</v>
      </c>
      <c r="D283" s="7" t="s">
        <v>2654</v>
      </c>
      <c r="E283" s="6">
        <v>45767242</v>
      </c>
      <c r="F283" s="6">
        <v>46455000000</v>
      </c>
      <c r="G283" s="6">
        <v>16</v>
      </c>
      <c r="H283" s="6">
        <v>12300</v>
      </c>
      <c r="I283" s="6">
        <v>503201001</v>
      </c>
      <c r="J283" s="7" t="s">
        <v>2655</v>
      </c>
      <c r="K283" s="7"/>
      <c r="L283" s="1" t="s">
        <v>2656</v>
      </c>
      <c r="M283" s="7" t="s">
        <v>2657</v>
      </c>
      <c r="N283" s="7" t="s">
        <v>2658</v>
      </c>
      <c r="O283" s="7" t="s">
        <v>2659</v>
      </c>
      <c r="P283" s="8">
        <v>773106361609</v>
      </c>
      <c r="Q283" s="7" t="s">
        <v>41</v>
      </c>
      <c r="R283" s="7" t="s">
        <v>2660</v>
      </c>
      <c r="S283" s="7" t="s">
        <v>2661</v>
      </c>
      <c r="T283" s="7"/>
      <c r="U283" s="7"/>
      <c r="V283" s="1">
        <v>33025920</v>
      </c>
      <c r="W283" s="1">
        <v>327825000</v>
      </c>
      <c r="X283" s="1">
        <v>57965000</v>
      </c>
      <c r="Y283" s="1">
        <v>2000</v>
      </c>
      <c r="Z283" s="1">
        <v>79320000</v>
      </c>
      <c r="AA283" s="1">
        <v>39405000</v>
      </c>
      <c r="AB283" s="1">
        <v>215371000</v>
      </c>
      <c r="AC283" s="1">
        <v>0</v>
      </c>
      <c r="AD283" s="1">
        <v>0</v>
      </c>
      <c r="AE283" s="7" t="s">
        <v>331</v>
      </c>
      <c r="AF283" s="7" t="s">
        <v>1534</v>
      </c>
      <c r="AG283" s="7" t="s">
        <v>319</v>
      </c>
    </row>
    <row r="284" spans="1:33" ht="15.75" x14ac:dyDescent="0.25">
      <c r="A284" s="3">
        <v>1137746270793</v>
      </c>
      <c r="B284" s="9">
        <v>7706792008</v>
      </c>
      <c r="C284" s="10" t="s">
        <v>2662</v>
      </c>
      <c r="D284" s="10" t="s">
        <v>2663</v>
      </c>
      <c r="E284" s="9">
        <v>17372384</v>
      </c>
      <c r="F284" s="9">
        <v>45286596000</v>
      </c>
      <c r="G284" s="9">
        <v>61</v>
      </c>
      <c r="H284" s="9">
        <v>12267</v>
      </c>
      <c r="I284" s="9">
        <v>770601001</v>
      </c>
      <c r="J284" s="10" t="s">
        <v>2664</v>
      </c>
      <c r="K284" s="10"/>
      <c r="L284" s="3" t="s">
        <v>2665</v>
      </c>
      <c r="M284" s="10" t="s">
        <v>2666</v>
      </c>
      <c r="N284" s="10" t="s">
        <v>2667</v>
      </c>
      <c r="O284" s="10" t="s">
        <v>2668</v>
      </c>
      <c r="P284" s="11">
        <v>773209097875</v>
      </c>
      <c r="Q284" s="10" t="s">
        <v>41</v>
      </c>
      <c r="R284" s="10" t="s">
        <v>2669</v>
      </c>
      <c r="S284" s="10" t="s">
        <v>2670</v>
      </c>
      <c r="T284" s="10" t="s">
        <v>2671</v>
      </c>
      <c r="U284" s="10" t="s">
        <v>2672</v>
      </c>
      <c r="V284" s="3">
        <v>71000000</v>
      </c>
      <c r="W284" s="3">
        <v>22466980000</v>
      </c>
      <c r="X284" s="3">
        <v>10893000</v>
      </c>
      <c r="Y284" s="3">
        <v>0</v>
      </c>
      <c r="Z284" s="3">
        <v>4520073000</v>
      </c>
      <c r="AA284" s="3">
        <v>108004000</v>
      </c>
      <c r="AB284" s="3">
        <v>1156391000</v>
      </c>
      <c r="AC284" s="3">
        <v>1627848000</v>
      </c>
      <c r="AD284" s="3">
        <v>1357650000</v>
      </c>
      <c r="AE284" s="10"/>
      <c r="AF284" s="10" t="s">
        <v>1624</v>
      </c>
      <c r="AG284" s="10" t="s">
        <v>46</v>
      </c>
    </row>
    <row r="285" spans="1:33" ht="15.75" x14ac:dyDescent="0.25">
      <c r="A285" s="1">
        <v>1137746448718</v>
      </c>
      <c r="B285" s="6">
        <v>7722809347</v>
      </c>
      <c r="C285" s="7" t="s">
        <v>2673</v>
      </c>
      <c r="D285" s="7" t="s">
        <v>2674</v>
      </c>
      <c r="E285" s="6">
        <v>17615059</v>
      </c>
      <c r="F285" s="6">
        <v>46416000000</v>
      </c>
      <c r="G285" s="6">
        <v>24</v>
      </c>
      <c r="H285" s="6">
        <v>12300</v>
      </c>
      <c r="I285" s="6">
        <v>504701001</v>
      </c>
      <c r="J285" s="7" t="s">
        <v>2675</v>
      </c>
      <c r="K285" s="7"/>
      <c r="L285" s="1" t="s">
        <v>2676</v>
      </c>
      <c r="M285" s="7" t="s">
        <v>2677</v>
      </c>
      <c r="N285" s="7" t="s">
        <v>2678</v>
      </c>
      <c r="O285" s="7" t="s">
        <v>2679</v>
      </c>
      <c r="P285" s="8">
        <v>231002843860</v>
      </c>
      <c r="Q285" s="7" t="s">
        <v>41</v>
      </c>
      <c r="R285" s="7" t="s">
        <v>2680</v>
      </c>
      <c r="S285" s="7" t="s">
        <v>2681</v>
      </c>
      <c r="T285" s="7"/>
      <c r="U285" s="7"/>
      <c r="V285" s="1">
        <v>40534651</v>
      </c>
      <c r="W285" s="1">
        <v>362746000</v>
      </c>
      <c r="X285" s="1">
        <v>56017000</v>
      </c>
      <c r="Y285" s="1">
        <v>64176000</v>
      </c>
      <c r="Z285" s="1">
        <v>95459000</v>
      </c>
      <c r="AA285" s="1">
        <v>41893000</v>
      </c>
      <c r="AB285" s="1">
        <v>-3816000</v>
      </c>
      <c r="AC285" s="1">
        <v>24412000</v>
      </c>
      <c r="AD285" s="1">
        <v>-5063000</v>
      </c>
      <c r="AE285" s="7" t="s">
        <v>331</v>
      </c>
      <c r="AF285" s="7" t="s">
        <v>947</v>
      </c>
      <c r="AG285" s="7" t="s">
        <v>46</v>
      </c>
    </row>
    <row r="286" spans="1:33" ht="15.75" x14ac:dyDescent="0.25">
      <c r="A286" s="3">
        <v>1165050050626</v>
      </c>
      <c r="B286" s="9">
        <v>5050123374</v>
      </c>
      <c r="C286" s="10" t="s">
        <v>2682</v>
      </c>
      <c r="D286" s="10" t="s">
        <v>2683</v>
      </c>
      <c r="E286" s="9">
        <v>23480824</v>
      </c>
      <c r="F286" s="9">
        <v>45286570000</v>
      </c>
      <c r="G286" s="9">
        <v>16</v>
      </c>
      <c r="H286" s="9">
        <v>12300</v>
      </c>
      <c r="I286" s="9">
        <v>770201001</v>
      </c>
      <c r="J286" s="10" t="s">
        <v>2684</v>
      </c>
      <c r="K286" s="10"/>
      <c r="L286" s="3" t="s">
        <v>1286</v>
      </c>
      <c r="M286" s="10" t="s">
        <v>1287</v>
      </c>
      <c r="N286" s="10" t="s">
        <v>2685</v>
      </c>
      <c r="O286" s="10" t="s">
        <v>2686</v>
      </c>
      <c r="P286" s="11">
        <v>770200049310</v>
      </c>
      <c r="Q286" s="10" t="s">
        <v>41</v>
      </c>
      <c r="R286" s="10" t="s">
        <v>2687</v>
      </c>
      <c r="S286" s="10" t="s">
        <v>2688</v>
      </c>
      <c r="T286" s="10"/>
      <c r="U286" s="10"/>
      <c r="V286" s="3">
        <v>63010000</v>
      </c>
      <c r="W286" s="3">
        <v>690537000</v>
      </c>
      <c r="X286" s="3">
        <v>2550500000</v>
      </c>
      <c r="Y286" s="3">
        <v>0</v>
      </c>
      <c r="Z286" s="3">
        <v>19804000</v>
      </c>
      <c r="AA286" s="3">
        <v>10023000</v>
      </c>
      <c r="AB286" s="3">
        <v>994000</v>
      </c>
      <c r="AC286" s="3">
        <v>0</v>
      </c>
      <c r="AD286" s="3">
        <v>0</v>
      </c>
      <c r="AE286" s="10" t="s">
        <v>331</v>
      </c>
      <c r="AF286" s="10" t="s">
        <v>421</v>
      </c>
      <c r="AG286" s="10" t="s">
        <v>46</v>
      </c>
    </row>
    <row r="287" spans="1:33" ht="15.75" x14ac:dyDescent="0.25">
      <c r="A287" s="1">
        <v>1165043051227</v>
      </c>
      <c r="B287" s="6">
        <v>5043058124</v>
      </c>
      <c r="C287" s="7" t="s">
        <v>2689</v>
      </c>
      <c r="D287" s="7" t="s">
        <v>2690</v>
      </c>
      <c r="E287" s="6">
        <v>1980673</v>
      </c>
      <c r="F287" s="6">
        <v>46470000321</v>
      </c>
      <c r="G287" s="6">
        <v>16</v>
      </c>
      <c r="H287" s="6">
        <v>12300</v>
      </c>
      <c r="I287" s="6">
        <v>504301001</v>
      </c>
      <c r="J287" s="7" t="s">
        <v>2691</v>
      </c>
      <c r="K287" s="7"/>
      <c r="L287" s="1" t="s">
        <v>2078</v>
      </c>
      <c r="M287" s="7" t="s">
        <v>2079</v>
      </c>
      <c r="N287" s="7" t="s">
        <v>2692</v>
      </c>
      <c r="O287" s="7" t="s">
        <v>2693</v>
      </c>
      <c r="P287" s="8">
        <v>672501126390</v>
      </c>
      <c r="Q287" s="7" t="s">
        <v>41</v>
      </c>
      <c r="R287" s="7" t="s">
        <v>2694</v>
      </c>
      <c r="S287" s="7" t="s">
        <v>2695</v>
      </c>
      <c r="T287" s="7"/>
      <c r="U287" s="7"/>
      <c r="V287" s="1">
        <v>95268146</v>
      </c>
      <c r="W287" s="1">
        <v>446116000</v>
      </c>
      <c r="X287" s="1">
        <v>66166000</v>
      </c>
      <c r="Y287" s="1">
        <v>56240000</v>
      </c>
      <c r="Z287" s="1">
        <v>83587000</v>
      </c>
      <c r="AA287" s="1">
        <v>79433000</v>
      </c>
      <c r="AB287" s="1">
        <v>13370000</v>
      </c>
      <c r="AC287" s="1">
        <v>44448000</v>
      </c>
      <c r="AD287" s="1">
        <v>19000000</v>
      </c>
      <c r="AE287" s="7" t="s">
        <v>331</v>
      </c>
      <c r="AF287" s="7" t="s">
        <v>1306</v>
      </c>
      <c r="AG287" s="7" t="s">
        <v>46</v>
      </c>
    </row>
    <row r="288" spans="1:33" ht="15.75" x14ac:dyDescent="0.25">
      <c r="A288" s="3">
        <v>1237700583152</v>
      </c>
      <c r="B288" s="9">
        <v>9722053738</v>
      </c>
      <c r="C288" s="10" t="s">
        <v>2696</v>
      </c>
      <c r="D288" s="10" t="s">
        <v>2697</v>
      </c>
      <c r="E288" s="9">
        <v>49083641</v>
      </c>
      <c r="F288" s="9">
        <v>45290564000</v>
      </c>
      <c r="G288" s="9">
        <v>16</v>
      </c>
      <c r="H288" s="9">
        <v>12300</v>
      </c>
      <c r="I288" s="9">
        <v>772201001</v>
      </c>
      <c r="J288" s="10" t="s">
        <v>2698</v>
      </c>
      <c r="K288" s="10"/>
      <c r="L288" s="3" t="s">
        <v>2061</v>
      </c>
      <c r="M288" s="10" t="s">
        <v>2062</v>
      </c>
      <c r="N288" s="10" t="s">
        <v>2699</v>
      </c>
      <c r="O288" s="10" t="s">
        <v>2700</v>
      </c>
      <c r="P288" s="11">
        <v>366607783582</v>
      </c>
      <c r="Q288" s="10" t="s">
        <v>2701</v>
      </c>
      <c r="R288" s="10" t="s">
        <v>2702</v>
      </c>
      <c r="S288" s="10" t="s">
        <v>2703</v>
      </c>
      <c r="T288" s="10"/>
      <c r="U288" s="10" t="s">
        <v>2704</v>
      </c>
      <c r="V288" s="3">
        <v>53350000</v>
      </c>
      <c r="W288" s="3">
        <v>1415725000</v>
      </c>
      <c r="X288" s="3">
        <v>245700000</v>
      </c>
      <c r="Y288" s="3">
        <v>0</v>
      </c>
      <c r="Z288" s="3">
        <v>89078000</v>
      </c>
      <c r="AA288" s="3">
        <v>15670000</v>
      </c>
      <c r="AB288" s="3">
        <v>81725000</v>
      </c>
      <c r="AC288" s="3">
        <v>81725000</v>
      </c>
      <c r="AD288" s="3">
        <v>81725000</v>
      </c>
      <c r="AE288" s="10" t="s">
        <v>730</v>
      </c>
      <c r="AF288" s="10" t="s">
        <v>2705</v>
      </c>
      <c r="AG288" s="10" t="s">
        <v>319</v>
      </c>
    </row>
    <row r="289" spans="1:33" ht="15.75" x14ac:dyDescent="0.25">
      <c r="A289" s="1">
        <v>1136318006098</v>
      </c>
      <c r="B289" s="6">
        <v>6318234481</v>
      </c>
      <c r="C289" s="7" t="s">
        <v>2706</v>
      </c>
      <c r="D289" s="7" t="s">
        <v>2707</v>
      </c>
      <c r="E289" s="6">
        <v>20958389</v>
      </c>
      <c r="F289" s="6">
        <v>45296595000</v>
      </c>
      <c r="G289" s="6">
        <v>16</v>
      </c>
      <c r="H289" s="6">
        <v>12300</v>
      </c>
      <c r="I289" s="6">
        <v>772601001</v>
      </c>
      <c r="J289" s="7" t="s">
        <v>2708</v>
      </c>
      <c r="K289" s="7"/>
      <c r="L289" s="1" t="s">
        <v>288</v>
      </c>
      <c r="M289" s="7" t="s">
        <v>289</v>
      </c>
      <c r="N289" s="7" t="s">
        <v>2709</v>
      </c>
      <c r="O289" s="7" t="s">
        <v>2710</v>
      </c>
      <c r="P289" s="8">
        <v>631703695755</v>
      </c>
      <c r="Q289" s="7" t="s">
        <v>41</v>
      </c>
      <c r="R289" s="7" t="s">
        <v>2711</v>
      </c>
      <c r="S289" s="7" t="s">
        <v>2712</v>
      </c>
      <c r="T289" s="7"/>
      <c r="U289" s="7" t="s">
        <v>2713</v>
      </c>
      <c r="V289" s="1">
        <v>50000000</v>
      </c>
      <c r="W289" s="1">
        <v>1249351000</v>
      </c>
      <c r="X289" s="1">
        <v>18067000</v>
      </c>
      <c r="Y289" s="1">
        <v>50993000</v>
      </c>
      <c r="Z289" s="1">
        <v>330744000</v>
      </c>
      <c r="AA289" s="1">
        <v>179142000</v>
      </c>
      <c r="AB289" s="1">
        <v>16781000</v>
      </c>
      <c r="AC289" s="1">
        <v>12670000</v>
      </c>
      <c r="AD289" s="1">
        <v>22375000</v>
      </c>
      <c r="AE289" s="7" t="s">
        <v>331</v>
      </c>
      <c r="AF289" s="7" t="s">
        <v>2168</v>
      </c>
      <c r="AG289" s="7" t="s">
        <v>46</v>
      </c>
    </row>
    <row r="290" spans="1:33" ht="15.75" x14ac:dyDescent="0.25">
      <c r="A290" s="3">
        <v>1087746175219</v>
      </c>
      <c r="B290" s="9">
        <v>7731585654</v>
      </c>
      <c r="C290" s="10" t="s">
        <v>2714</v>
      </c>
      <c r="D290" s="10" t="s">
        <v>2715</v>
      </c>
      <c r="E290" s="9">
        <v>84785905</v>
      </c>
      <c r="F290" s="9">
        <v>45268569000</v>
      </c>
      <c r="G290" s="9">
        <v>23</v>
      </c>
      <c r="H290" s="9">
        <v>12267</v>
      </c>
      <c r="I290" s="9">
        <v>773101001</v>
      </c>
      <c r="J290" s="10" t="s">
        <v>2716</v>
      </c>
      <c r="K290" s="10"/>
      <c r="L290" s="3" t="s">
        <v>1661</v>
      </c>
      <c r="M290" s="10" t="s">
        <v>1662</v>
      </c>
      <c r="N290" s="10" t="s">
        <v>2717</v>
      </c>
      <c r="O290" s="10" t="s">
        <v>2718</v>
      </c>
      <c r="P290" s="11">
        <v>770206565992</v>
      </c>
      <c r="Q290" s="10" t="s">
        <v>41</v>
      </c>
      <c r="R290" s="10" t="s">
        <v>2719</v>
      </c>
      <c r="S290" s="10" t="s">
        <v>2720</v>
      </c>
      <c r="T290" s="10" t="s">
        <v>2721</v>
      </c>
      <c r="U290" s="10" t="s">
        <v>2722</v>
      </c>
      <c r="V290" s="3">
        <v>10800000</v>
      </c>
      <c r="W290" s="3">
        <v>287826000</v>
      </c>
      <c r="X290" s="3">
        <v>287034000</v>
      </c>
      <c r="Y290" s="3">
        <v>112678000</v>
      </c>
      <c r="Z290" s="3">
        <v>23235000</v>
      </c>
      <c r="AA290" s="3">
        <v>60421000</v>
      </c>
      <c r="AB290" s="3">
        <v>9944000</v>
      </c>
      <c r="AC290" s="3">
        <v>-101498000</v>
      </c>
      <c r="AD290" s="3">
        <v>15479000</v>
      </c>
      <c r="AE290" s="10"/>
      <c r="AF290" s="10" t="s">
        <v>464</v>
      </c>
      <c r="AG290" s="10" t="s">
        <v>46</v>
      </c>
    </row>
    <row r="291" spans="1:33" ht="15.75" x14ac:dyDescent="0.25">
      <c r="A291" s="1">
        <v>1087746149336</v>
      </c>
      <c r="B291" s="6">
        <v>7723646670</v>
      </c>
      <c r="C291" s="7" t="s">
        <v>2723</v>
      </c>
      <c r="D291" s="7" t="s">
        <v>2724</v>
      </c>
      <c r="E291" s="6">
        <v>84773026</v>
      </c>
      <c r="F291" s="6">
        <v>45280569000</v>
      </c>
      <c r="G291" s="6">
        <v>16</v>
      </c>
      <c r="H291" s="6">
        <v>12300</v>
      </c>
      <c r="I291" s="6">
        <v>771801001</v>
      </c>
      <c r="J291" s="7" t="s">
        <v>2725</v>
      </c>
      <c r="K291" s="7"/>
      <c r="L291" s="1" t="s">
        <v>1879</v>
      </c>
      <c r="M291" s="7" t="s">
        <v>1880</v>
      </c>
      <c r="N291" s="7" t="s">
        <v>2726</v>
      </c>
      <c r="O291" s="7" t="s">
        <v>2727</v>
      </c>
      <c r="P291" s="8">
        <v>771308648985</v>
      </c>
      <c r="Q291" s="7" t="s">
        <v>41</v>
      </c>
      <c r="R291" s="7" t="s">
        <v>2728</v>
      </c>
      <c r="S291" s="7" t="s">
        <v>2729</v>
      </c>
      <c r="T291" s="7" t="s">
        <v>2730</v>
      </c>
      <c r="U291" s="7" t="s">
        <v>2731</v>
      </c>
      <c r="V291" s="1">
        <v>69645000</v>
      </c>
      <c r="W291" s="1">
        <v>461234000</v>
      </c>
      <c r="X291" s="1">
        <v>44587000</v>
      </c>
      <c r="Y291" s="1">
        <v>53466000</v>
      </c>
      <c r="Z291" s="1">
        <v>161875000</v>
      </c>
      <c r="AA291" s="1">
        <v>79219000</v>
      </c>
      <c r="AB291" s="1">
        <v>-33508000</v>
      </c>
      <c r="AC291" s="1">
        <v>-96397000</v>
      </c>
      <c r="AD291" s="1">
        <v>-44662000</v>
      </c>
      <c r="AE291" s="7" t="s">
        <v>730</v>
      </c>
      <c r="AF291" s="7" t="s">
        <v>2732</v>
      </c>
      <c r="AG291" s="7" t="s">
        <v>46</v>
      </c>
    </row>
    <row r="292" spans="1:33" ht="15.75" x14ac:dyDescent="0.25">
      <c r="A292" s="3">
        <v>1087746008184</v>
      </c>
      <c r="B292" s="9">
        <v>7724646666</v>
      </c>
      <c r="C292" s="10" t="s">
        <v>2733</v>
      </c>
      <c r="D292" s="10" t="s">
        <v>2734</v>
      </c>
      <c r="E292" s="9">
        <v>84202358</v>
      </c>
      <c r="F292" s="9">
        <v>46460000136</v>
      </c>
      <c r="G292" s="9">
        <v>23</v>
      </c>
      <c r="H292" s="9">
        <v>12300</v>
      </c>
      <c r="I292" s="9">
        <v>507401001</v>
      </c>
      <c r="J292" s="10" t="s">
        <v>2735</v>
      </c>
      <c r="K292" s="10"/>
      <c r="L292" s="3" t="s">
        <v>2736</v>
      </c>
      <c r="M292" s="10" t="s">
        <v>2737</v>
      </c>
      <c r="N292" s="10" t="s">
        <v>2738</v>
      </c>
      <c r="O292" s="10" t="s">
        <v>2739</v>
      </c>
      <c r="P292" s="11">
        <v>772607531232</v>
      </c>
      <c r="Q292" s="10" t="s">
        <v>41</v>
      </c>
      <c r="R292" s="10" t="s">
        <v>2740</v>
      </c>
      <c r="S292" s="10" t="s">
        <v>2741</v>
      </c>
      <c r="T292" s="10"/>
      <c r="U292" s="10"/>
      <c r="V292" s="3">
        <v>12000000</v>
      </c>
      <c r="W292" s="3">
        <v>207796000</v>
      </c>
      <c r="X292" s="3">
        <v>533501000</v>
      </c>
      <c r="Y292" s="3">
        <v>132715000</v>
      </c>
      <c r="Z292" s="3">
        <v>84446000</v>
      </c>
      <c r="AA292" s="3">
        <v>35094000</v>
      </c>
      <c r="AB292" s="3">
        <v>-8658000</v>
      </c>
      <c r="AC292" s="3">
        <v>-48685000</v>
      </c>
      <c r="AD292" s="3">
        <v>-9418000</v>
      </c>
      <c r="AE292" s="10"/>
      <c r="AF292" s="10" t="s">
        <v>1226</v>
      </c>
      <c r="AG292" s="10" t="s">
        <v>46</v>
      </c>
    </row>
    <row r="293" spans="1:33" ht="15.75" x14ac:dyDescent="0.25">
      <c r="A293" s="3">
        <v>1107746009128</v>
      </c>
      <c r="B293" s="9">
        <v>7724732788</v>
      </c>
      <c r="C293" s="10" t="s">
        <v>2742</v>
      </c>
      <c r="D293" s="10" t="s">
        <v>2743</v>
      </c>
      <c r="E293" s="9">
        <v>64541696</v>
      </c>
      <c r="F293" s="9">
        <v>45296561000</v>
      </c>
      <c r="G293" s="9">
        <v>23</v>
      </c>
      <c r="H293" s="9">
        <v>12300</v>
      </c>
      <c r="I293" s="9">
        <v>772601001</v>
      </c>
      <c r="J293" s="10" t="s">
        <v>2744</v>
      </c>
      <c r="K293" s="10"/>
      <c r="L293" s="3" t="s">
        <v>2745</v>
      </c>
      <c r="M293" s="10" t="s">
        <v>2746</v>
      </c>
      <c r="N293" s="10" t="s">
        <v>2747</v>
      </c>
      <c r="O293" s="10" t="s">
        <v>2748</v>
      </c>
      <c r="P293" s="11">
        <v>773614989064</v>
      </c>
      <c r="Q293" s="10" t="s">
        <v>41</v>
      </c>
      <c r="R293" s="10" t="s">
        <v>2749</v>
      </c>
      <c r="S293" s="10" t="s">
        <v>2750</v>
      </c>
      <c r="T293" s="10"/>
      <c r="U293" s="10" t="s">
        <v>2751</v>
      </c>
      <c r="V293" s="3">
        <v>13000000</v>
      </c>
      <c r="W293" s="3">
        <v>327384000</v>
      </c>
      <c r="X293" s="3">
        <v>162242000</v>
      </c>
      <c r="Y293" s="3">
        <v>81614000</v>
      </c>
      <c r="Z293" s="3">
        <v>59082000</v>
      </c>
      <c r="AA293" s="3">
        <v>18412000</v>
      </c>
      <c r="AB293" s="3">
        <v>-41748000</v>
      </c>
      <c r="AC293" s="3">
        <v>-32895000</v>
      </c>
      <c r="AD293" s="3">
        <v>-46401000</v>
      </c>
      <c r="AE293" s="10"/>
      <c r="AF293" s="10" t="s">
        <v>453</v>
      </c>
      <c r="AG293" s="10" t="s">
        <v>46</v>
      </c>
    </row>
    <row r="294" spans="1:33" ht="15.75" x14ac:dyDescent="0.25">
      <c r="A294" s="1">
        <v>1107746035231</v>
      </c>
      <c r="B294" s="6">
        <v>7718792651</v>
      </c>
      <c r="C294" s="7" t="s">
        <v>2752</v>
      </c>
      <c r="D294" s="7" t="s">
        <v>2753</v>
      </c>
      <c r="E294" s="6">
        <v>64598124</v>
      </c>
      <c r="F294" s="6">
        <v>45277556000</v>
      </c>
      <c r="G294" s="6">
        <v>16</v>
      </c>
      <c r="H294" s="6">
        <v>12300</v>
      </c>
      <c r="I294" s="6">
        <v>771401001</v>
      </c>
      <c r="J294" s="7" t="s">
        <v>2754</v>
      </c>
      <c r="K294" s="7"/>
      <c r="L294" s="1" t="s">
        <v>445</v>
      </c>
      <c r="M294" s="7" t="s">
        <v>446</v>
      </c>
      <c r="N294" s="7" t="s">
        <v>2755</v>
      </c>
      <c r="O294" s="7" t="s">
        <v>2756</v>
      </c>
      <c r="P294" s="8">
        <v>262809540896</v>
      </c>
      <c r="Q294" s="7" t="s">
        <v>41</v>
      </c>
      <c r="R294" s="7" t="s">
        <v>2757</v>
      </c>
      <c r="S294" s="7" t="s">
        <v>2758</v>
      </c>
      <c r="T294" s="7"/>
      <c r="U294" s="7" t="s">
        <v>2759</v>
      </c>
      <c r="V294" s="1">
        <v>10631250</v>
      </c>
      <c r="W294" s="1">
        <v>218275000</v>
      </c>
      <c r="X294" s="1">
        <v>335061000</v>
      </c>
      <c r="Y294" s="1">
        <v>4000</v>
      </c>
      <c r="Z294" s="1">
        <v>118134000</v>
      </c>
      <c r="AA294" s="1">
        <v>52681000</v>
      </c>
      <c r="AB294" s="1">
        <v>13448000</v>
      </c>
      <c r="AC294" s="1">
        <v>41724000</v>
      </c>
      <c r="AD294" s="1">
        <v>20103000</v>
      </c>
      <c r="AE294" s="7" t="s">
        <v>317</v>
      </c>
      <c r="AF294" s="7" t="s">
        <v>1896</v>
      </c>
      <c r="AG294" s="7" t="s">
        <v>319</v>
      </c>
    </row>
    <row r="295" spans="1:33" ht="15.75" x14ac:dyDescent="0.25">
      <c r="A295" s="3">
        <v>1105034001588</v>
      </c>
      <c r="B295" s="9">
        <v>5034039870</v>
      </c>
      <c r="C295" s="10" t="s">
        <v>2760</v>
      </c>
      <c r="D295" s="10" t="s">
        <v>2761</v>
      </c>
      <c r="E295" s="9">
        <v>5243167</v>
      </c>
      <c r="F295" s="9">
        <v>46457000000</v>
      </c>
      <c r="G295" s="9">
        <v>12</v>
      </c>
      <c r="H295" s="9">
        <v>12247</v>
      </c>
      <c r="I295" s="9">
        <v>503401001</v>
      </c>
      <c r="J295" s="10" t="s">
        <v>2762</v>
      </c>
      <c r="K295" s="10"/>
      <c r="L295" s="3" t="s">
        <v>723</v>
      </c>
      <c r="M295" s="10" t="s">
        <v>724</v>
      </c>
      <c r="N295" s="10" t="s">
        <v>2763</v>
      </c>
      <c r="O295" s="10" t="s">
        <v>2764</v>
      </c>
      <c r="P295" s="11">
        <v>503402295836</v>
      </c>
      <c r="Q295" s="10" t="s">
        <v>41</v>
      </c>
      <c r="R295" s="10" t="s">
        <v>2765</v>
      </c>
      <c r="S295" s="10" t="s">
        <v>2766</v>
      </c>
      <c r="T295" s="10" t="s">
        <v>2767</v>
      </c>
      <c r="U295" s="10" t="s">
        <v>2768</v>
      </c>
      <c r="V295" s="3">
        <v>23363700</v>
      </c>
      <c r="W295" s="3">
        <v>266397000</v>
      </c>
      <c r="X295" s="3">
        <v>11896000</v>
      </c>
      <c r="Y295" s="3">
        <v>32860000</v>
      </c>
      <c r="Z295" s="3">
        <v>41678000</v>
      </c>
      <c r="AA295" s="3">
        <v>17481000</v>
      </c>
      <c r="AB295" s="3">
        <v>6447000</v>
      </c>
      <c r="AC295" s="3">
        <v>11690000</v>
      </c>
      <c r="AD295" s="3">
        <v>11076000</v>
      </c>
      <c r="AE295" s="10" t="s">
        <v>730</v>
      </c>
      <c r="AF295" s="10" t="s">
        <v>2138</v>
      </c>
      <c r="AG295" s="10" t="s">
        <v>46</v>
      </c>
    </row>
    <row r="296" spans="1:33" ht="15.75" x14ac:dyDescent="0.25">
      <c r="A296" s="3">
        <v>1195027026259</v>
      </c>
      <c r="B296" s="9">
        <v>5003137066</v>
      </c>
      <c r="C296" s="10" t="s">
        <v>2769</v>
      </c>
      <c r="D296" s="10" t="s">
        <v>2770</v>
      </c>
      <c r="E296" s="9">
        <v>42601624</v>
      </c>
      <c r="F296" s="9">
        <v>46407000000</v>
      </c>
      <c r="G296" s="9">
        <v>16</v>
      </c>
      <c r="H296" s="9">
        <v>12267</v>
      </c>
      <c r="I296" s="9">
        <v>500301001</v>
      </c>
      <c r="J296" s="10" t="s">
        <v>2771</v>
      </c>
      <c r="K296" s="10"/>
      <c r="L296" s="3" t="s">
        <v>404</v>
      </c>
      <c r="M296" s="10" t="s">
        <v>405</v>
      </c>
      <c r="N296" s="10" t="s">
        <v>2772</v>
      </c>
      <c r="O296" s="10" t="s">
        <v>2773</v>
      </c>
      <c r="P296" s="11">
        <v>503615458309</v>
      </c>
      <c r="Q296" s="10" t="s">
        <v>41</v>
      </c>
      <c r="R296" s="10" t="s">
        <v>2774</v>
      </c>
      <c r="S296" s="10" t="s">
        <v>2775</v>
      </c>
      <c r="T296" s="10"/>
      <c r="U296" s="10" t="s">
        <v>2776</v>
      </c>
      <c r="V296" s="3">
        <v>66000000</v>
      </c>
      <c r="W296" s="3">
        <v>1312359000</v>
      </c>
      <c r="X296" s="3">
        <v>189811000</v>
      </c>
      <c r="Y296" s="3">
        <v>10053000</v>
      </c>
      <c r="Z296" s="3">
        <v>107611000</v>
      </c>
      <c r="AA296" s="3">
        <v>176963000</v>
      </c>
      <c r="AB296" s="3">
        <v>572844000</v>
      </c>
      <c r="AC296" s="3">
        <v>814023000</v>
      </c>
      <c r="AD296" s="3">
        <v>765209000</v>
      </c>
      <c r="AE296" s="10" t="s">
        <v>331</v>
      </c>
      <c r="AF296" s="10" t="s">
        <v>2777</v>
      </c>
      <c r="AG296" s="10" t="s">
        <v>46</v>
      </c>
    </row>
    <row r="297" spans="1:33" ht="15.75" x14ac:dyDescent="0.25">
      <c r="A297" s="1">
        <v>1195050009440</v>
      </c>
      <c r="B297" s="6">
        <v>5050142970</v>
      </c>
      <c r="C297" s="7" t="s">
        <v>2778</v>
      </c>
      <c r="D297" s="7" t="s">
        <v>2779</v>
      </c>
      <c r="E297" s="6">
        <v>40568609</v>
      </c>
      <c r="F297" s="6">
        <v>46488000041</v>
      </c>
      <c r="G297" s="6">
        <v>16</v>
      </c>
      <c r="H297" s="6">
        <v>12300</v>
      </c>
      <c r="I297" s="6">
        <v>505001001</v>
      </c>
      <c r="J297" s="7" t="s">
        <v>2780</v>
      </c>
      <c r="K297" s="7"/>
      <c r="L297" s="1" t="s">
        <v>2781</v>
      </c>
      <c r="M297" s="7" t="s">
        <v>2782</v>
      </c>
      <c r="N297" s="7" t="s">
        <v>2783</v>
      </c>
      <c r="O297" s="7" t="s">
        <v>2784</v>
      </c>
      <c r="P297" s="8">
        <v>505028430912</v>
      </c>
      <c r="Q297" s="7" t="s">
        <v>41</v>
      </c>
      <c r="R297" s="7" t="s">
        <v>2785</v>
      </c>
      <c r="S297" s="7" t="s">
        <v>2786</v>
      </c>
      <c r="T297" s="7"/>
      <c r="U297" s="7"/>
      <c r="V297" s="1">
        <v>41838000</v>
      </c>
      <c r="W297" s="1">
        <v>376737000</v>
      </c>
      <c r="X297" s="1">
        <v>39207000</v>
      </c>
      <c r="Y297" s="1">
        <v>6410000</v>
      </c>
      <c r="Z297" s="1">
        <v>71220000</v>
      </c>
      <c r="AA297" s="1">
        <v>72579000</v>
      </c>
      <c r="AB297" s="1">
        <v>50000</v>
      </c>
      <c r="AC297" s="1">
        <v>0</v>
      </c>
      <c r="AD297" s="1">
        <v>0</v>
      </c>
      <c r="AE297" s="7" t="s">
        <v>331</v>
      </c>
      <c r="AF297" s="7" t="s">
        <v>1226</v>
      </c>
      <c r="AG297" s="7" t="s">
        <v>46</v>
      </c>
    </row>
    <row r="298" spans="1:33" ht="15.75" x14ac:dyDescent="0.25">
      <c r="A298" s="3">
        <v>1195081056367</v>
      </c>
      <c r="B298" s="9">
        <v>5024198260</v>
      </c>
      <c r="C298" s="10" t="s">
        <v>2787</v>
      </c>
      <c r="D298" s="10" t="s">
        <v>2788</v>
      </c>
      <c r="E298" s="9">
        <v>41092020</v>
      </c>
      <c r="F298" s="9">
        <v>45268584000</v>
      </c>
      <c r="G298" s="9">
        <v>23</v>
      </c>
      <c r="H298" s="9">
        <v>12300</v>
      </c>
      <c r="I298" s="9">
        <v>772901001</v>
      </c>
      <c r="J298" s="10" t="s">
        <v>2789</v>
      </c>
      <c r="K298" s="10"/>
      <c r="L298" s="3" t="s">
        <v>50</v>
      </c>
      <c r="M298" s="10" t="s">
        <v>51</v>
      </c>
      <c r="N298" s="10" t="s">
        <v>2790</v>
      </c>
      <c r="O298" s="10" t="s">
        <v>2791</v>
      </c>
      <c r="P298" s="11">
        <v>770485253567</v>
      </c>
      <c r="Q298" s="10" t="s">
        <v>41</v>
      </c>
      <c r="R298" s="10" t="s">
        <v>2792</v>
      </c>
      <c r="S298" s="10" t="s">
        <v>2793</v>
      </c>
      <c r="T298" s="10"/>
      <c r="U298" s="10" t="s">
        <v>2794</v>
      </c>
      <c r="V298" s="3">
        <v>50000000</v>
      </c>
      <c r="W298" s="3">
        <v>665350000</v>
      </c>
      <c r="X298" s="3">
        <v>31759000</v>
      </c>
      <c r="Y298" s="3">
        <v>64000</v>
      </c>
      <c r="Z298" s="3">
        <v>231713000</v>
      </c>
      <c r="AA298" s="3">
        <v>197141000</v>
      </c>
      <c r="AB298" s="3">
        <v>-227000</v>
      </c>
      <c r="AC298" s="3">
        <v>41040000</v>
      </c>
      <c r="AD298" s="3">
        <v>836000</v>
      </c>
      <c r="AE298" s="10"/>
      <c r="AF298" s="10" t="s">
        <v>461</v>
      </c>
      <c r="AG298" s="10" t="s">
        <v>46</v>
      </c>
    </row>
    <row r="299" spans="1:33" ht="15.75" x14ac:dyDescent="0.25">
      <c r="A299" s="1">
        <v>1037700001118</v>
      </c>
      <c r="B299" s="6">
        <v>7710363682</v>
      </c>
      <c r="C299" s="7" t="s">
        <v>2795</v>
      </c>
      <c r="D299" s="7" t="s">
        <v>2796</v>
      </c>
      <c r="E299" s="6">
        <v>55256057</v>
      </c>
      <c r="F299" s="6">
        <v>45263594000</v>
      </c>
      <c r="G299" s="6">
        <v>16</v>
      </c>
      <c r="H299" s="6">
        <v>12300</v>
      </c>
      <c r="I299" s="6">
        <v>771801001</v>
      </c>
      <c r="J299" s="7" t="s">
        <v>2797</v>
      </c>
      <c r="K299" s="7"/>
      <c r="L299" s="1" t="s">
        <v>1219</v>
      </c>
      <c r="M299" s="7" t="s">
        <v>1220</v>
      </c>
      <c r="N299" s="7" t="s">
        <v>2798</v>
      </c>
      <c r="O299" s="7" t="s">
        <v>2799</v>
      </c>
      <c r="P299" s="8">
        <v>504203404289</v>
      </c>
      <c r="Q299" s="7" t="s">
        <v>41</v>
      </c>
      <c r="R299" s="7" t="s">
        <v>2800</v>
      </c>
      <c r="S299" s="7" t="s">
        <v>2801</v>
      </c>
      <c r="T299" s="7" t="s">
        <v>2802</v>
      </c>
      <c r="U299" s="7" t="s">
        <v>2803</v>
      </c>
      <c r="V299" s="1">
        <v>23500000</v>
      </c>
      <c r="W299" s="1">
        <v>383388000</v>
      </c>
      <c r="X299" s="1">
        <v>27156000</v>
      </c>
      <c r="Y299" s="1">
        <v>8542000</v>
      </c>
      <c r="Z299" s="1">
        <v>9065000</v>
      </c>
      <c r="AA299" s="1">
        <v>30949000</v>
      </c>
      <c r="AB299" s="1">
        <v>9007000</v>
      </c>
      <c r="AC299" s="1">
        <v>12866000</v>
      </c>
      <c r="AD299" s="1">
        <v>12314000</v>
      </c>
      <c r="AE299" s="7" t="s">
        <v>331</v>
      </c>
      <c r="AF299" s="7" t="s">
        <v>1061</v>
      </c>
      <c r="AG299" s="7" t="s">
        <v>46</v>
      </c>
    </row>
    <row r="300" spans="1:33" ht="15.75" x14ac:dyDescent="0.25">
      <c r="A300" s="3">
        <v>1155027000292</v>
      </c>
      <c r="B300" s="9">
        <v>5027223540</v>
      </c>
      <c r="C300" s="10" t="s">
        <v>2804</v>
      </c>
      <c r="D300" s="10" t="s">
        <v>2805</v>
      </c>
      <c r="E300" s="9">
        <v>40151387</v>
      </c>
      <c r="F300" s="9">
        <v>46448571000</v>
      </c>
      <c r="G300" s="9">
        <v>16</v>
      </c>
      <c r="H300" s="9">
        <v>12300</v>
      </c>
      <c r="I300" s="9">
        <v>502701001</v>
      </c>
      <c r="J300" s="10" t="s">
        <v>2806</v>
      </c>
      <c r="K300" s="10"/>
      <c r="L300" s="3" t="s">
        <v>2807</v>
      </c>
      <c r="M300" s="10" t="s">
        <v>2808</v>
      </c>
      <c r="N300" s="10"/>
      <c r="O300" s="10" t="s">
        <v>2809</v>
      </c>
      <c r="P300" s="11">
        <v>770400531017</v>
      </c>
      <c r="Q300" s="10" t="s">
        <v>41</v>
      </c>
      <c r="R300" s="10" t="s">
        <v>2810</v>
      </c>
      <c r="S300" s="10" t="s">
        <v>2811</v>
      </c>
      <c r="T300" s="10"/>
      <c r="U300" s="10"/>
      <c r="V300" s="3">
        <v>10160000</v>
      </c>
      <c r="W300" s="3">
        <v>115894000</v>
      </c>
      <c r="X300" s="3">
        <v>14478000</v>
      </c>
      <c r="Y300" s="3">
        <v>52212000</v>
      </c>
      <c r="Z300" s="3">
        <v>2454000</v>
      </c>
      <c r="AA300" s="3">
        <v>2970000</v>
      </c>
      <c r="AB300" s="3">
        <v>2835000</v>
      </c>
      <c r="AC300" s="3">
        <v>0</v>
      </c>
      <c r="AD300" s="3">
        <v>0</v>
      </c>
      <c r="AE300" s="10" t="s">
        <v>331</v>
      </c>
      <c r="AF300" s="10" t="s">
        <v>2812</v>
      </c>
      <c r="AG300" s="10" t="s">
        <v>319</v>
      </c>
    </row>
    <row r="301" spans="1:33" ht="15.75" x14ac:dyDescent="0.25">
      <c r="A301" s="1">
        <v>1247700824623</v>
      </c>
      <c r="B301" s="6">
        <v>7751345450</v>
      </c>
      <c r="C301" s="7" t="s">
        <v>2813</v>
      </c>
      <c r="D301" s="7" t="s">
        <v>2814</v>
      </c>
      <c r="E301" s="6">
        <v>94343261</v>
      </c>
      <c r="F301" s="6">
        <v>45298578000</v>
      </c>
      <c r="G301" s="6">
        <v>14</v>
      </c>
      <c r="H301" s="6">
        <v>12300</v>
      </c>
      <c r="I301" s="6">
        <v>775101001</v>
      </c>
      <c r="J301" s="7" t="s">
        <v>2815</v>
      </c>
      <c r="K301" s="7"/>
      <c r="L301" s="1" t="s">
        <v>2363</v>
      </c>
      <c r="M301" s="7" t="s">
        <v>2364</v>
      </c>
      <c r="N301" s="7" t="s">
        <v>2816</v>
      </c>
      <c r="O301" s="7" t="s">
        <v>2817</v>
      </c>
      <c r="P301" s="8">
        <v>773501561609</v>
      </c>
      <c r="Q301" s="7" t="s">
        <v>150</v>
      </c>
      <c r="R301" s="7" t="s">
        <v>2818</v>
      </c>
      <c r="S301" s="7" t="s">
        <v>2819</v>
      </c>
      <c r="T301" s="7"/>
      <c r="U301" s="7" t="s">
        <v>2820</v>
      </c>
      <c r="V301" s="1">
        <v>21714070</v>
      </c>
      <c r="W301" s="1">
        <v>76883000</v>
      </c>
      <c r="X301" s="1">
        <v>32209000</v>
      </c>
      <c r="Y301" s="1">
        <v>562000</v>
      </c>
      <c r="Z301" s="1">
        <v>450000</v>
      </c>
      <c r="AA301" s="1">
        <v>32004000</v>
      </c>
      <c r="AB301" s="1">
        <v>-21332000</v>
      </c>
      <c r="AC301" s="1">
        <v>-16858000</v>
      </c>
      <c r="AD301" s="1">
        <v>-20706000</v>
      </c>
      <c r="AE301" s="7"/>
      <c r="AF301" s="7" t="s">
        <v>453</v>
      </c>
      <c r="AG301" s="7" t="s">
        <v>46</v>
      </c>
    </row>
    <row r="302" spans="1:33" ht="15.75" x14ac:dyDescent="0.25">
      <c r="A302" s="3">
        <v>1155024000471</v>
      </c>
      <c r="B302" s="9">
        <v>5024151174</v>
      </c>
      <c r="C302" s="10" t="s">
        <v>2821</v>
      </c>
      <c r="D302" s="10" t="s">
        <v>2822</v>
      </c>
      <c r="E302" s="9">
        <v>58247656</v>
      </c>
      <c r="F302" s="9">
        <v>46439000000</v>
      </c>
      <c r="G302" s="9">
        <v>16</v>
      </c>
      <c r="H302" s="9">
        <v>12300</v>
      </c>
      <c r="I302" s="9">
        <v>502401001</v>
      </c>
      <c r="J302" s="10" t="s">
        <v>2823</v>
      </c>
      <c r="K302" s="10"/>
      <c r="L302" s="3" t="s">
        <v>2528</v>
      </c>
      <c r="M302" s="10" t="s">
        <v>2529</v>
      </c>
      <c r="N302" s="10" t="s">
        <v>2824</v>
      </c>
      <c r="O302" s="10" t="s">
        <v>2825</v>
      </c>
      <c r="P302" s="11">
        <v>773419024792</v>
      </c>
      <c r="Q302" s="10" t="s">
        <v>41</v>
      </c>
      <c r="R302" s="10" t="s">
        <v>2826</v>
      </c>
      <c r="S302" s="10" t="s">
        <v>2827</v>
      </c>
      <c r="T302" s="10"/>
      <c r="U302" s="10" t="s">
        <v>2828</v>
      </c>
      <c r="V302" s="3">
        <v>80100000</v>
      </c>
      <c r="W302" s="3">
        <v>196898000</v>
      </c>
      <c r="X302" s="3">
        <v>17457000</v>
      </c>
      <c r="Y302" s="3">
        <v>74513000</v>
      </c>
      <c r="Z302" s="3">
        <v>32968000</v>
      </c>
      <c r="AA302" s="3">
        <v>10695000</v>
      </c>
      <c r="AB302" s="3">
        <v>4736000</v>
      </c>
      <c r="AC302" s="3">
        <v>4142000</v>
      </c>
      <c r="AD302" s="3">
        <v>7579000</v>
      </c>
      <c r="AE302" s="10"/>
      <c r="AF302" s="10" t="s">
        <v>947</v>
      </c>
      <c r="AG302" s="10" t="s">
        <v>46</v>
      </c>
    </row>
    <row r="303" spans="1:33" ht="15.75" x14ac:dyDescent="0.25">
      <c r="A303" s="3">
        <v>1045002353736</v>
      </c>
      <c r="B303" s="9">
        <v>5011023841</v>
      </c>
      <c r="C303" s="10" t="s">
        <v>2829</v>
      </c>
      <c r="D303" s="10" t="s">
        <v>2830</v>
      </c>
      <c r="E303" s="9">
        <v>5332988</v>
      </c>
      <c r="F303" s="9">
        <v>46422000000</v>
      </c>
      <c r="G303" s="9">
        <v>16</v>
      </c>
      <c r="H303" s="9">
        <v>12300</v>
      </c>
      <c r="I303" s="9">
        <v>501101001</v>
      </c>
      <c r="J303" s="10" t="s">
        <v>2831</v>
      </c>
      <c r="K303" s="10"/>
      <c r="L303" s="3" t="s">
        <v>2832</v>
      </c>
      <c r="M303" s="10" t="s">
        <v>2833</v>
      </c>
      <c r="N303" s="10" t="s">
        <v>2834</v>
      </c>
      <c r="O303" s="10" t="s">
        <v>2835</v>
      </c>
      <c r="P303" s="11">
        <v>501104449702</v>
      </c>
      <c r="Q303" s="10" t="s">
        <v>41</v>
      </c>
      <c r="R303" s="10" t="s">
        <v>2836</v>
      </c>
      <c r="S303" s="10" t="s">
        <v>2837</v>
      </c>
      <c r="T303" s="10"/>
      <c r="U303" s="10"/>
      <c r="V303" s="3">
        <v>11081236</v>
      </c>
      <c r="W303" s="3">
        <v>172829000</v>
      </c>
      <c r="X303" s="3">
        <v>27943000</v>
      </c>
      <c r="Y303" s="3">
        <v>15706000</v>
      </c>
      <c r="Z303" s="3">
        <v>31974000</v>
      </c>
      <c r="AA303" s="3">
        <v>44243000</v>
      </c>
      <c r="AB303" s="3">
        <v>-4681000</v>
      </c>
      <c r="AC303" s="3">
        <v>0</v>
      </c>
      <c r="AD303" s="3">
        <v>0</v>
      </c>
      <c r="AE303" s="10" t="s">
        <v>331</v>
      </c>
      <c r="AF303" s="10" t="s">
        <v>1144</v>
      </c>
      <c r="AG303" s="10" t="s">
        <v>46</v>
      </c>
    </row>
    <row r="304" spans="1:33" ht="15.75" x14ac:dyDescent="0.25">
      <c r="A304" s="1">
        <v>1067760318295</v>
      </c>
      <c r="B304" s="6">
        <v>7703617664</v>
      </c>
      <c r="C304" s="7" t="s">
        <v>2838</v>
      </c>
      <c r="D304" s="7" t="s">
        <v>2839</v>
      </c>
      <c r="E304" s="6">
        <v>98298764</v>
      </c>
      <c r="F304" s="6">
        <v>45283559000</v>
      </c>
      <c r="G304" s="6">
        <v>16</v>
      </c>
      <c r="H304" s="6">
        <v>12300</v>
      </c>
      <c r="I304" s="6">
        <v>773301001</v>
      </c>
      <c r="J304" s="7" t="s">
        <v>2840</v>
      </c>
      <c r="K304" s="7"/>
      <c r="L304" s="1" t="s">
        <v>404</v>
      </c>
      <c r="M304" s="7" t="s">
        <v>405</v>
      </c>
      <c r="N304" s="7" t="s">
        <v>2841</v>
      </c>
      <c r="O304" s="7" t="s">
        <v>2842</v>
      </c>
      <c r="P304" s="8">
        <v>772405608852</v>
      </c>
      <c r="Q304" s="7" t="s">
        <v>41</v>
      </c>
      <c r="R304" s="7" t="s">
        <v>2843</v>
      </c>
      <c r="S304" s="7" t="s">
        <v>2844</v>
      </c>
      <c r="T304" s="7"/>
      <c r="U304" s="7"/>
      <c r="V304" s="1">
        <v>10010000</v>
      </c>
      <c r="W304" s="1">
        <v>112222000</v>
      </c>
      <c r="X304" s="1">
        <v>251455000</v>
      </c>
      <c r="Y304" s="1">
        <v>7000</v>
      </c>
      <c r="Z304" s="1">
        <v>57105000</v>
      </c>
      <c r="AA304" s="1">
        <v>89708000</v>
      </c>
      <c r="AB304" s="1">
        <v>40719000</v>
      </c>
      <c r="AC304" s="1">
        <v>0</v>
      </c>
      <c r="AD304" s="1">
        <v>0</v>
      </c>
      <c r="AE304" s="7" t="s">
        <v>317</v>
      </c>
      <c r="AF304" s="7" t="s">
        <v>1534</v>
      </c>
      <c r="AG304" s="7" t="s">
        <v>46</v>
      </c>
    </row>
    <row r="305" spans="1:33" ht="15.75" x14ac:dyDescent="0.25">
      <c r="A305" s="3">
        <v>1067761100043</v>
      </c>
      <c r="B305" s="9">
        <v>7743623801</v>
      </c>
      <c r="C305" s="10" t="s">
        <v>2845</v>
      </c>
      <c r="D305" s="10" t="s">
        <v>2846</v>
      </c>
      <c r="E305" s="9">
        <v>98930268</v>
      </c>
      <c r="F305" s="9">
        <v>45296559000</v>
      </c>
      <c r="G305" s="9">
        <v>16</v>
      </c>
      <c r="H305" s="9">
        <v>12300</v>
      </c>
      <c r="I305" s="9">
        <v>772501001</v>
      </c>
      <c r="J305" s="10" t="s">
        <v>2847</v>
      </c>
      <c r="K305" s="10"/>
      <c r="L305" s="3" t="s">
        <v>1045</v>
      </c>
      <c r="M305" s="10" t="s">
        <v>1046</v>
      </c>
      <c r="N305" s="10" t="s">
        <v>2848</v>
      </c>
      <c r="O305" s="10" t="s">
        <v>2849</v>
      </c>
      <c r="P305" s="11">
        <v>540862698746</v>
      </c>
      <c r="Q305" s="10" t="s">
        <v>41</v>
      </c>
      <c r="R305" s="10" t="s">
        <v>576</v>
      </c>
      <c r="S305" s="10" t="s">
        <v>2850</v>
      </c>
      <c r="T305" s="10" t="s">
        <v>2851</v>
      </c>
      <c r="U305" s="10" t="s">
        <v>2852</v>
      </c>
      <c r="V305" s="3">
        <v>10050000</v>
      </c>
      <c r="W305" s="3">
        <v>377141000</v>
      </c>
      <c r="X305" s="3">
        <v>0</v>
      </c>
      <c r="Y305" s="3">
        <v>2290726000</v>
      </c>
      <c r="Z305" s="3">
        <v>64218000</v>
      </c>
      <c r="AA305" s="3">
        <v>2743989000</v>
      </c>
      <c r="AB305" s="3">
        <v>14338000</v>
      </c>
      <c r="AC305" s="3">
        <v>16653000</v>
      </c>
      <c r="AD305" s="3">
        <v>19117000</v>
      </c>
      <c r="AE305" s="10" t="s">
        <v>317</v>
      </c>
      <c r="AF305" s="10" t="s">
        <v>1465</v>
      </c>
      <c r="AG305" s="10" t="s">
        <v>46</v>
      </c>
    </row>
    <row r="306" spans="1:33" ht="15.75" x14ac:dyDescent="0.25">
      <c r="A306" s="1">
        <v>1045004261906</v>
      </c>
      <c r="B306" s="6">
        <v>5022037324</v>
      </c>
      <c r="C306" s="7" t="s">
        <v>2853</v>
      </c>
      <c r="D306" s="7" t="s">
        <v>2854</v>
      </c>
      <c r="E306" s="6">
        <v>75224289</v>
      </c>
      <c r="F306" s="6">
        <v>46438000246</v>
      </c>
      <c r="G306" s="6">
        <v>16</v>
      </c>
      <c r="H306" s="6">
        <v>12267</v>
      </c>
      <c r="I306" s="6">
        <v>502201001</v>
      </c>
      <c r="J306" s="7" t="s">
        <v>2855</v>
      </c>
      <c r="K306" s="7"/>
      <c r="L306" s="1" t="s">
        <v>2856</v>
      </c>
      <c r="M306" s="7" t="s">
        <v>2857</v>
      </c>
      <c r="N306" s="7" t="s">
        <v>2858</v>
      </c>
      <c r="O306" s="7" t="s">
        <v>2859</v>
      </c>
      <c r="P306" s="8">
        <v>504500856489</v>
      </c>
      <c r="Q306" s="7" t="s">
        <v>41</v>
      </c>
      <c r="R306" s="7" t="s">
        <v>2860</v>
      </c>
      <c r="S306" s="7" t="s">
        <v>2861</v>
      </c>
      <c r="T306" s="7"/>
      <c r="U306" s="7" t="s">
        <v>2862</v>
      </c>
      <c r="V306" s="1">
        <v>51450000</v>
      </c>
      <c r="W306" s="1">
        <v>282897000</v>
      </c>
      <c r="X306" s="1">
        <v>326051000</v>
      </c>
      <c r="Y306" s="1">
        <v>225615000</v>
      </c>
      <c r="Z306" s="1">
        <v>19936000</v>
      </c>
      <c r="AA306" s="1">
        <v>36298000</v>
      </c>
      <c r="AB306" s="1">
        <v>7385000</v>
      </c>
      <c r="AC306" s="1">
        <v>14570000</v>
      </c>
      <c r="AD306" s="1">
        <v>7970000</v>
      </c>
      <c r="AE306" s="7" t="s">
        <v>730</v>
      </c>
      <c r="AF306" s="7" t="s">
        <v>1642</v>
      </c>
      <c r="AG306" s="7" t="s">
        <v>46</v>
      </c>
    </row>
    <row r="307" spans="1:33" ht="15.75" x14ac:dyDescent="0.25">
      <c r="A307" s="3">
        <v>1155050005219</v>
      </c>
      <c r="B307" s="9">
        <v>5050120662</v>
      </c>
      <c r="C307" s="10" t="s">
        <v>2863</v>
      </c>
      <c r="D307" s="10" t="s">
        <v>2864</v>
      </c>
      <c r="E307" s="9">
        <v>1490331</v>
      </c>
      <c r="F307" s="9">
        <v>45286590000</v>
      </c>
      <c r="G307" s="9">
        <v>16</v>
      </c>
      <c r="H307" s="9">
        <v>12300</v>
      </c>
      <c r="I307" s="9">
        <v>770401001</v>
      </c>
      <c r="J307" s="10" t="s">
        <v>2865</v>
      </c>
      <c r="K307" s="10"/>
      <c r="L307" s="3" t="s">
        <v>2866</v>
      </c>
      <c r="M307" s="10" t="s">
        <v>2867</v>
      </c>
      <c r="N307" s="10" t="s">
        <v>2868</v>
      </c>
      <c r="O307" s="10" t="s">
        <v>2869</v>
      </c>
      <c r="P307" s="11">
        <v>772484720389</v>
      </c>
      <c r="Q307" s="10" t="s">
        <v>41</v>
      </c>
      <c r="R307" s="10" t="s">
        <v>2870</v>
      </c>
      <c r="S307" s="10" t="s">
        <v>2871</v>
      </c>
      <c r="T307" s="10"/>
      <c r="U307" s="10" t="s">
        <v>2872</v>
      </c>
      <c r="V307" s="3">
        <v>12010000</v>
      </c>
      <c r="W307" s="3">
        <v>291398000</v>
      </c>
      <c r="X307" s="3">
        <v>196234000</v>
      </c>
      <c r="Y307" s="3">
        <v>35715000</v>
      </c>
      <c r="Z307" s="3">
        <v>71367000</v>
      </c>
      <c r="AA307" s="3">
        <v>37271000</v>
      </c>
      <c r="AB307" s="3">
        <v>1363000</v>
      </c>
      <c r="AC307" s="3">
        <v>-8516000</v>
      </c>
      <c r="AD307" s="3">
        <v>-115000</v>
      </c>
      <c r="AE307" s="10" t="s">
        <v>331</v>
      </c>
      <c r="AF307" s="10" t="s">
        <v>1226</v>
      </c>
      <c r="AG307" s="10" t="s">
        <v>46</v>
      </c>
    </row>
    <row r="308" spans="1:33" ht="15.75" x14ac:dyDescent="0.25">
      <c r="A308" s="1">
        <v>1045011452573</v>
      </c>
      <c r="B308" s="6">
        <v>5074026891</v>
      </c>
      <c r="C308" s="7" t="s">
        <v>2873</v>
      </c>
      <c r="D308" s="7" t="s">
        <v>2874</v>
      </c>
      <c r="E308" s="6">
        <v>73012057</v>
      </c>
      <c r="F308" s="6">
        <v>46407000186</v>
      </c>
      <c r="G308" s="6">
        <v>16</v>
      </c>
      <c r="H308" s="6">
        <v>12300</v>
      </c>
      <c r="I308" s="6">
        <v>500301001</v>
      </c>
      <c r="J308" s="7" t="s">
        <v>2875</v>
      </c>
      <c r="K308" s="7"/>
      <c r="L308" s="1" t="s">
        <v>2876</v>
      </c>
      <c r="M308" s="7" t="s">
        <v>405</v>
      </c>
      <c r="N308" s="7" t="s">
        <v>2877</v>
      </c>
      <c r="O308" s="7" t="s">
        <v>2878</v>
      </c>
      <c r="P308" s="8">
        <v>772438551256</v>
      </c>
      <c r="Q308" s="7" t="s">
        <v>340</v>
      </c>
      <c r="R308" s="7" t="s">
        <v>2879</v>
      </c>
      <c r="S308" s="7" t="s">
        <v>2880</v>
      </c>
      <c r="T308" s="7"/>
      <c r="U308" s="7"/>
      <c r="V308" s="1">
        <v>11010000</v>
      </c>
      <c r="W308" s="1">
        <v>124471000</v>
      </c>
      <c r="X308" s="1">
        <v>124160000</v>
      </c>
      <c r="Y308" s="1">
        <v>4430000</v>
      </c>
      <c r="Z308" s="1">
        <v>4961000</v>
      </c>
      <c r="AA308" s="1">
        <v>9527000</v>
      </c>
      <c r="AB308" s="1">
        <v>19779000</v>
      </c>
      <c r="AC308" s="1">
        <v>29813000</v>
      </c>
      <c r="AD308" s="1">
        <v>26374000</v>
      </c>
      <c r="AE308" s="7" t="s">
        <v>331</v>
      </c>
      <c r="AF308" s="7" t="s">
        <v>2881</v>
      </c>
      <c r="AG308" s="7" t="s">
        <v>46</v>
      </c>
    </row>
    <row r="309" spans="1:33" ht="15.75" x14ac:dyDescent="0.25">
      <c r="A309" s="3">
        <v>1045007101655</v>
      </c>
      <c r="B309" s="9">
        <v>5035025559</v>
      </c>
      <c r="C309" s="10" t="s">
        <v>2882</v>
      </c>
      <c r="D309" s="10" t="s">
        <v>2883</v>
      </c>
      <c r="E309" s="9">
        <v>73024095</v>
      </c>
      <c r="F309" s="9">
        <v>46459000000</v>
      </c>
      <c r="G309" s="9">
        <v>23</v>
      </c>
      <c r="H309" s="9">
        <v>12267</v>
      </c>
      <c r="I309" s="9">
        <v>503501001</v>
      </c>
      <c r="J309" s="10" t="s">
        <v>2884</v>
      </c>
      <c r="K309" s="10"/>
      <c r="L309" s="3" t="s">
        <v>2885</v>
      </c>
      <c r="M309" s="10" t="s">
        <v>2886</v>
      </c>
      <c r="N309" s="10" t="s">
        <v>2887</v>
      </c>
      <c r="O309" s="10" t="s">
        <v>2888</v>
      </c>
      <c r="P309" s="11">
        <v>503512382760</v>
      </c>
      <c r="Q309" s="10" t="s">
        <v>41</v>
      </c>
      <c r="R309" s="10" t="s">
        <v>2889</v>
      </c>
      <c r="S309" s="10" t="s">
        <v>2890</v>
      </c>
      <c r="T309" s="10"/>
      <c r="U309" s="10"/>
      <c r="V309" s="3">
        <v>39960000</v>
      </c>
      <c r="W309" s="3">
        <v>286095000</v>
      </c>
      <c r="X309" s="3">
        <v>68712000</v>
      </c>
      <c r="Y309" s="3">
        <v>28940000</v>
      </c>
      <c r="Z309" s="3">
        <v>103151000</v>
      </c>
      <c r="AA309" s="3">
        <v>8009000</v>
      </c>
      <c r="AB309" s="3">
        <v>45265000</v>
      </c>
      <c r="AC309" s="3">
        <v>43103000</v>
      </c>
      <c r="AD309" s="3">
        <v>60389000</v>
      </c>
      <c r="AE309" s="10"/>
      <c r="AF309" s="10" t="s">
        <v>1727</v>
      </c>
      <c r="AG309" s="10" t="s">
        <v>46</v>
      </c>
    </row>
    <row r="310" spans="1:33" ht="15.75" x14ac:dyDescent="0.25">
      <c r="A310" s="1">
        <v>1045010553125</v>
      </c>
      <c r="B310" s="6">
        <v>5052014973</v>
      </c>
      <c r="C310" s="7" t="s">
        <v>2891</v>
      </c>
      <c r="D310" s="7" t="s">
        <v>2892</v>
      </c>
      <c r="E310" s="6">
        <v>75220481</v>
      </c>
      <c r="F310" s="6">
        <v>46480000000</v>
      </c>
      <c r="G310" s="6">
        <v>16</v>
      </c>
      <c r="H310" s="6">
        <v>12267</v>
      </c>
      <c r="I310" s="6">
        <v>505001001</v>
      </c>
      <c r="J310" s="7" t="s">
        <v>2893</v>
      </c>
      <c r="K310" s="7"/>
      <c r="L310" s="1" t="s">
        <v>2894</v>
      </c>
      <c r="M310" s="7" t="s">
        <v>2895</v>
      </c>
      <c r="N310" s="7" t="s">
        <v>2896</v>
      </c>
      <c r="O310" s="7" t="s">
        <v>2897</v>
      </c>
      <c r="P310" s="8">
        <v>773715981209</v>
      </c>
      <c r="Q310" s="7" t="s">
        <v>41</v>
      </c>
      <c r="R310" s="7" t="s">
        <v>2898</v>
      </c>
      <c r="S310" s="7" t="s">
        <v>2899</v>
      </c>
      <c r="T310" s="7" t="s">
        <v>2900</v>
      </c>
      <c r="U310" s="7" t="s">
        <v>2901</v>
      </c>
      <c r="V310" s="1">
        <v>14275000</v>
      </c>
      <c r="W310" s="1">
        <v>703801000</v>
      </c>
      <c r="X310" s="1">
        <v>11607000</v>
      </c>
      <c r="Y310" s="1">
        <v>175094000</v>
      </c>
      <c r="Z310" s="1">
        <v>41429000</v>
      </c>
      <c r="AA310" s="1">
        <v>69827000</v>
      </c>
      <c r="AB310" s="1">
        <v>85341000</v>
      </c>
      <c r="AC310" s="1">
        <v>135527000</v>
      </c>
      <c r="AD310" s="1">
        <v>119455000</v>
      </c>
      <c r="AE310" s="7" t="s">
        <v>331</v>
      </c>
      <c r="AF310" s="7" t="s">
        <v>2120</v>
      </c>
      <c r="AG310" s="7" t="s">
        <v>46</v>
      </c>
    </row>
    <row r="311" spans="1:33" ht="15.75" x14ac:dyDescent="0.25">
      <c r="A311" s="3">
        <v>1045010950577</v>
      </c>
      <c r="B311" s="9">
        <v>5056004454</v>
      </c>
      <c r="C311" s="10" t="s">
        <v>2902</v>
      </c>
      <c r="D311" s="10" t="s">
        <v>2903</v>
      </c>
      <c r="E311" s="9">
        <v>70461317</v>
      </c>
      <c r="F311" s="9">
        <v>46411000000</v>
      </c>
      <c r="G311" s="9">
        <v>16</v>
      </c>
      <c r="H311" s="9">
        <v>12300</v>
      </c>
      <c r="I311" s="9">
        <v>502701001</v>
      </c>
      <c r="J311" s="10" t="s">
        <v>2904</v>
      </c>
      <c r="K311" s="10"/>
      <c r="L311" s="3" t="s">
        <v>2905</v>
      </c>
      <c r="M311" s="10" t="s">
        <v>2906</v>
      </c>
      <c r="N311" s="10" t="s">
        <v>2907</v>
      </c>
      <c r="O311" s="10" t="s">
        <v>2908</v>
      </c>
      <c r="P311" s="11">
        <v>500306956260</v>
      </c>
      <c r="Q311" s="10" t="s">
        <v>41</v>
      </c>
      <c r="R311" s="10" t="s">
        <v>2909</v>
      </c>
      <c r="S311" s="10" t="s">
        <v>2910</v>
      </c>
      <c r="T311" s="10" t="s">
        <v>2911</v>
      </c>
      <c r="U311" s="10" t="s">
        <v>2912</v>
      </c>
      <c r="V311" s="3">
        <v>20100000</v>
      </c>
      <c r="W311" s="3">
        <v>535562000</v>
      </c>
      <c r="X311" s="3">
        <v>186716000</v>
      </c>
      <c r="Y311" s="3">
        <v>188680000</v>
      </c>
      <c r="Z311" s="3">
        <v>48835000</v>
      </c>
      <c r="AA311" s="3">
        <v>91701000</v>
      </c>
      <c r="AB311" s="3">
        <v>-98366000</v>
      </c>
      <c r="AC311" s="3">
        <v>-102728000</v>
      </c>
      <c r="AD311" s="3">
        <v>-98366000</v>
      </c>
      <c r="AE311" s="10" t="s">
        <v>730</v>
      </c>
      <c r="AF311" s="10" t="s">
        <v>2913</v>
      </c>
      <c r="AG311" s="10" t="s">
        <v>46</v>
      </c>
    </row>
    <row r="312" spans="1:33" ht="15.75" x14ac:dyDescent="0.25">
      <c r="A312" s="1">
        <v>1157746115878</v>
      </c>
      <c r="B312" s="6">
        <v>7710490881</v>
      </c>
      <c r="C312" s="7" t="s">
        <v>2914</v>
      </c>
      <c r="D312" s="7" t="s">
        <v>2915</v>
      </c>
      <c r="E312" s="6">
        <v>41084730</v>
      </c>
      <c r="F312" s="6">
        <v>45298578000</v>
      </c>
      <c r="G312" s="6">
        <v>23</v>
      </c>
      <c r="H312" s="6">
        <v>12300</v>
      </c>
      <c r="I312" s="6">
        <v>775101001</v>
      </c>
      <c r="J312" s="7" t="s">
        <v>2916</v>
      </c>
      <c r="K312" s="7"/>
      <c r="L312" s="1" t="s">
        <v>2917</v>
      </c>
      <c r="M312" s="7" t="s">
        <v>2918</v>
      </c>
      <c r="N312" s="7" t="s">
        <v>2919</v>
      </c>
      <c r="O312" s="7" t="s">
        <v>2920</v>
      </c>
      <c r="P312" s="8">
        <v>500700718898</v>
      </c>
      <c r="Q312" s="7" t="s">
        <v>41</v>
      </c>
      <c r="R312" s="7" t="s">
        <v>2921</v>
      </c>
      <c r="S312" s="7" t="s">
        <v>2922</v>
      </c>
      <c r="T312" s="7"/>
      <c r="U312" s="7" t="s">
        <v>2923</v>
      </c>
      <c r="V312" s="1">
        <v>43418680</v>
      </c>
      <c r="W312" s="1">
        <v>436861000</v>
      </c>
      <c r="X312" s="1">
        <v>42044000</v>
      </c>
      <c r="Y312" s="1">
        <v>156223000</v>
      </c>
      <c r="Z312" s="1">
        <v>66561000</v>
      </c>
      <c r="AA312" s="1">
        <v>28552000</v>
      </c>
      <c r="AB312" s="1">
        <v>312000</v>
      </c>
      <c r="AC312" s="1">
        <v>13530000</v>
      </c>
      <c r="AD312" s="1">
        <v>2205000</v>
      </c>
      <c r="AE312" s="7"/>
      <c r="AF312" s="7" t="s">
        <v>1689</v>
      </c>
      <c r="AG312" s="7" t="s">
        <v>46</v>
      </c>
    </row>
    <row r="313" spans="1:33" ht="15.75" x14ac:dyDescent="0.25">
      <c r="A313" s="3">
        <v>1157746080986</v>
      </c>
      <c r="B313" s="9">
        <v>7701079192</v>
      </c>
      <c r="C313" s="10" t="s">
        <v>2924</v>
      </c>
      <c r="D313" s="10" t="s">
        <v>2925</v>
      </c>
      <c r="E313" s="9">
        <v>82405896</v>
      </c>
      <c r="F313" s="9">
        <v>45286555000</v>
      </c>
      <c r="G313" s="9">
        <v>16</v>
      </c>
      <c r="H313" s="9">
        <v>12300</v>
      </c>
      <c r="I313" s="9">
        <v>770101001</v>
      </c>
      <c r="J313" s="10" t="s">
        <v>2926</v>
      </c>
      <c r="K313" s="10"/>
      <c r="L313" s="3" t="s">
        <v>210</v>
      </c>
      <c r="M313" s="10" t="s">
        <v>211</v>
      </c>
      <c r="N313" s="10" t="s">
        <v>2927</v>
      </c>
      <c r="O313" s="10" t="s">
        <v>2928</v>
      </c>
      <c r="P313" s="11">
        <v>772608487917</v>
      </c>
      <c r="Q313" s="10" t="s">
        <v>41</v>
      </c>
      <c r="R313" s="10" t="s">
        <v>2929</v>
      </c>
      <c r="S313" s="10" t="s">
        <v>2930</v>
      </c>
      <c r="T313" s="10" t="s">
        <v>2931</v>
      </c>
      <c r="U313" s="10" t="s">
        <v>2932</v>
      </c>
      <c r="V313" s="3">
        <v>50000000</v>
      </c>
      <c r="W313" s="3">
        <v>364021000</v>
      </c>
      <c r="X313" s="3">
        <v>67403000</v>
      </c>
      <c r="Y313" s="3">
        <v>0</v>
      </c>
      <c r="Z313" s="3">
        <v>167808000</v>
      </c>
      <c r="AA313" s="3">
        <v>9163000</v>
      </c>
      <c r="AB313" s="3">
        <v>20497000</v>
      </c>
      <c r="AC313" s="3">
        <v>37161000</v>
      </c>
      <c r="AD313" s="3">
        <v>27386000</v>
      </c>
      <c r="AE313" s="10" t="s">
        <v>331</v>
      </c>
      <c r="AF313" s="10" t="s">
        <v>307</v>
      </c>
      <c r="AG313" s="10" t="s">
        <v>46</v>
      </c>
    </row>
    <row r="314" spans="1:33" ht="15.75" x14ac:dyDescent="0.25">
      <c r="A314" s="3">
        <v>5157746213125</v>
      </c>
      <c r="B314" s="9">
        <v>7703404419</v>
      </c>
      <c r="C314" s="10" t="s">
        <v>2933</v>
      </c>
      <c r="D314" s="10" t="s">
        <v>2934</v>
      </c>
      <c r="E314" s="9">
        <v>52690706</v>
      </c>
      <c r="F314" s="9">
        <v>45283569000</v>
      </c>
      <c r="G314" s="9">
        <v>16</v>
      </c>
      <c r="H314" s="9">
        <v>12300</v>
      </c>
      <c r="I314" s="9">
        <v>773301001</v>
      </c>
      <c r="J314" s="10" t="s">
        <v>2935</v>
      </c>
      <c r="K314" s="10"/>
      <c r="L314" s="3" t="s">
        <v>2936</v>
      </c>
      <c r="M314" s="10" t="s">
        <v>312</v>
      </c>
      <c r="N314" s="10" t="s">
        <v>2937</v>
      </c>
      <c r="O314" s="10" t="s">
        <v>2938</v>
      </c>
      <c r="P314" s="11">
        <v>773104207714</v>
      </c>
      <c r="Q314" s="10" t="s">
        <v>41</v>
      </c>
      <c r="R314" s="10" t="s">
        <v>2939</v>
      </c>
      <c r="S314" s="10" t="s">
        <v>2940</v>
      </c>
      <c r="T314" s="10"/>
      <c r="U314" s="10"/>
      <c r="V314" s="3">
        <v>12000000</v>
      </c>
      <c r="W314" s="3">
        <v>1645059000</v>
      </c>
      <c r="X314" s="3">
        <v>0</v>
      </c>
      <c r="Y314" s="3">
        <v>137739000</v>
      </c>
      <c r="Z314" s="3">
        <v>154648000</v>
      </c>
      <c r="AA314" s="3">
        <v>93147000</v>
      </c>
      <c r="AB314" s="3">
        <v>98844000</v>
      </c>
      <c r="AC314" s="3">
        <v>112007000</v>
      </c>
      <c r="AD314" s="3">
        <v>131833000</v>
      </c>
      <c r="AE314" s="10"/>
      <c r="AF314" s="10" t="s">
        <v>410</v>
      </c>
      <c r="AG314" s="10" t="s">
        <v>46</v>
      </c>
    </row>
    <row r="315" spans="1:33" ht="15.75" x14ac:dyDescent="0.25">
      <c r="A315" s="1">
        <v>1157746860127</v>
      </c>
      <c r="B315" s="6">
        <v>7724334152</v>
      </c>
      <c r="C315" s="7" t="s">
        <v>2941</v>
      </c>
      <c r="D315" s="7" t="s">
        <v>2942</v>
      </c>
      <c r="E315" s="6">
        <v>3044357</v>
      </c>
      <c r="F315" s="6">
        <v>45296569000</v>
      </c>
      <c r="G315" s="6">
        <v>16</v>
      </c>
      <c r="H315" s="6">
        <v>12300</v>
      </c>
      <c r="I315" s="6">
        <v>772401001</v>
      </c>
      <c r="J315" s="7" t="s">
        <v>2943</v>
      </c>
      <c r="K315" s="7"/>
      <c r="L315" s="1" t="s">
        <v>445</v>
      </c>
      <c r="M315" s="7" t="s">
        <v>446</v>
      </c>
      <c r="N315" s="7" t="s">
        <v>2944</v>
      </c>
      <c r="O315" s="7" t="s">
        <v>2945</v>
      </c>
      <c r="P315" s="8">
        <v>645100347960</v>
      </c>
      <c r="Q315" s="7" t="s">
        <v>41</v>
      </c>
      <c r="R315" s="7" t="s">
        <v>2946</v>
      </c>
      <c r="S315" s="7" t="s">
        <v>2947</v>
      </c>
      <c r="T315" s="7" t="s">
        <v>2948</v>
      </c>
      <c r="U315" s="7" t="s">
        <v>2949</v>
      </c>
      <c r="V315" s="1">
        <v>14713000</v>
      </c>
      <c r="W315" s="1">
        <v>226250000</v>
      </c>
      <c r="X315" s="1">
        <v>46495000</v>
      </c>
      <c r="Y315" s="1">
        <v>0</v>
      </c>
      <c r="Z315" s="1">
        <v>4055000</v>
      </c>
      <c r="AA315" s="1">
        <v>34478000</v>
      </c>
      <c r="AB315" s="1">
        <v>229688000</v>
      </c>
      <c r="AC315" s="1">
        <v>-17770000</v>
      </c>
      <c r="AD315" s="1">
        <v>302549000</v>
      </c>
      <c r="AE315" s="7"/>
      <c r="AF315" s="7" t="s">
        <v>2067</v>
      </c>
      <c r="AG315" s="7" t="s">
        <v>46</v>
      </c>
    </row>
    <row r="316" spans="1:33" ht="15.75" x14ac:dyDescent="0.25">
      <c r="A316" s="3">
        <v>1217700555060</v>
      </c>
      <c r="B316" s="9">
        <v>9721149660</v>
      </c>
      <c r="C316" s="10" t="s">
        <v>2950</v>
      </c>
      <c r="D316" s="10" t="s">
        <v>2951</v>
      </c>
      <c r="E316" s="9">
        <v>50975971</v>
      </c>
      <c r="F316" s="9">
        <v>46470000266</v>
      </c>
      <c r="G316" s="9">
        <v>16</v>
      </c>
      <c r="H316" s="9">
        <v>12300</v>
      </c>
      <c r="I316" s="9">
        <v>504301001</v>
      </c>
      <c r="J316" s="10" t="s">
        <v>2952</v>
      </c>
      <c r="K316" s="10"/>
      <c r="L316" s="3" t="s">
        <v>851</v>
      </c>
      <c r="M316" s="10" t="s">
        <v>852</v>
      </c>
      <c r="N316" s="10" t="s">
        <v>2953</v>
      </c>
      <c r="O316" s="10" t="s">
        <v>2954</v>
      </c>
      <c r="P316" s="11">
        <v>504809342400</v>
      </c>
      <c r="Q316" s="10" t="s">
        <v>41</v>
      </c>
      <c r="R316" s="10" t="s">
        <v>2955</v>
      </c>
      <c r="S316" s="10" t="s">
        <v>2956</v>
      </c>
      <c r="T316" s="10"/>
      <c r="U316" s="10"/>
      <c r="V316" s="3">
        <v>47181683</v>
      </c>
      <c r="W316" s="3">
        <v>167298000</v>
      </c>
      <c r="X316" s="3">
        <v>54333000</v>
      </c>
      <c r="Y316" s="3">
        <v>1000</v>
      </c>
      <c r="Z316" s="3">
        <v>47493000</v>
      </c>
      <c r="AA316" s="3">
        <v>13983000</v>
      </c>
      <c r="AB316" s="3">
        <v>39565000</v>
      </c>
      <c r="AC316" s="3">
        <v>0</v>
      </c>
      <c r="AD316" s="3">
        <v>0</v>
      </c>
      <c r="AE316" s="10" t="s">
        <v>317</v>
      </c>
      <c r="AF316" s="10" t="s">
        <v>512</v>
      </c>
      <c r="AG316" s="10" t="s">
        <v>46</v>
      </c>
    </row>
    <row r="317" spans="1:33" ht="15.75" x14ac:dyDescent="0.25">
      <c r="A317" s="1">
        <v>1157847053319</v>
      </c>
      <c r="B317" s="6">
        <v>7806089046</v>
      </c>
      <c r="C317" s="7" t="s">
        <v>2957</v>
      </c>
      <c r="D317" s="7" t="s">
        <v>2958</v>
      </c>
      <c r="E317" s="6">
        <v>1064829</v>
      </c>
      <c r="F317" s="6">
        <v>45286580000</v>
      </c>
      <c r="G317" s="6">
        <v>23</v>
      </c>
      <c r="H317" s="6">
        <v>12300</v>
      </c>
      <c r="I317" s="6">
        <v>770901001</v>
      </c>
      <c r="J317" s="7" t="s">
        <v>2916</v>
      </c>
      <c r="K317" s="7"/>
      <c r="L317" s="1" t="s">
        <v>2959</v>
      </c>
      <c r="M317" s="7" t="s">
        <v>2960</v>
      </c>
      <c r="N317" s="7" t="s">
        <v>2961</v>
      </c>
      <c r="O317" s="7" t="s">
        <v>2962</v>
      </c>
      <c r="P317" s="8">
        <v>781620849413</v>
      </c>
      <c r="Q317" s="7" t="s">
        <v>41</v>
      </c>
      <c r="R317" s="7" t="s">
        <v>2963</v>
      </c>
      <c r="S317" s="7" t="s">
        <v>2964</v>
      </c>
      <c r="T317" s="7"/>
      <c r="U317" s="7"/>
      <c r="V317" s="1">
        <v>12688350</v>
      </c>
      <c r="W317" s="1">
        <v>117538000</v>
      </c>
      <c r="X317" s="1">
        <v>44846000</v>
      </c>
      <c r="Y317" s="1">
        <v>0</v>
      </c>
      <c r="Z317" s="1">
        <v>393000</v>
      </c>
      <c r="AA317" s="1">
        <v>6932000</v>
      </c>
      <c r="AB317" s="1">
        <v>1208000</v>
      </c>
      <c r="AC317" s="1">
        <v>4332000</v>
      </c>
      <c r="AD317" s="1">
        <v>2154000</v>
      </c>
      <c r="AE317" s="7"/>
      <c r="AF317" s="7" t="s">
        <v>286</v>
      </c>
      <c r="AG317" s="7" t="s">
        <v>46</v>
      </c>
    </row>
    <row r="318" spans="1:33" ht="15.75" x14ac:dyDescent="0.25">
      <c r="A318" s="3">
        <v>1047796212661</v>
      </c>
      <c r="B318" s="9">
        <v>7710535349</v>
      </c>
      <c r="C318" s="10" t="s">
        <v>2965</v>
      </c>
      <c r="D318" s="10" t="s">
        <v>2966</v>
      </c>
      <c r="E318" s="9">
        <v>72727239</v>
      </c>
      <c r="F318" s="9">
        <v>46409000000</v>
      </c>
      <c r="G318" s="9">
        <v>16</v>
      </c>
      <c r="H318" s="9">
        <v>12300</v>
      </c>
      <c r="I318" s="9">
        <v>500901001</v>
      </c>
      <c r="J318" s="10" t="s">
        <v>2967</v>
      </c>
      <c r="K318" s="10"/>
      <c r="L318" s="3" t="s">
        <v>2968</v>
      </c>
      <c r="M318" s="10" t="s">
        <v>2969</v>
      </c>
      <c r="N318" s="10" t="s">
        <v>2970</v>
      </c>
      <c r="O318" s="10" t="s">
        <v>2971</v>
      </c>
      <c r="P318" s="11">
        <v>231515468011</v>
      </c>
      <c r="Q318" s="10" t="s">
        <v>41</v>
      </c>
      <c r="R318" s="10" t="s">
        <v>2972</v>
      </c>
      <c r="S318" s="10" t="s">
        <v>2973</v>
      </c>
      <c r="T318" s="10" t="s">
        <v>2974</v>
      </c>
      <c r="U318" s="10" t="s">
        <v>2975</v>
      </c>
      <c r="V318" s="3">
        <v>77415167</v>
      </c>
      <c r="W318" s="3">
        <v>1554617000</v>
      </c>
      <c r="X318" s="3">
        <v>165054000</v>
      </c>
      <c r="Y318" s="3">
        <v>126890000</v>
      </c>
      <c r="Z318" s="3">
        <v>1035121000</v>
      </c>
      <c r="AA318" s="3">
        <v>712631000</v>
      </c>
      <c r="AB318" s="3">
        <v>60905000</v>
      </c>
      <c r="AC318" s="3">
        <v>179492000</v>
      </c>
      <c r="AD318" s="3">
        <v>82562000</v>
      </c>
      <c r="AE318" s="10" t="s">
        <v>730</v>
      </c>
      <c r="AF318" s="10" t="s">
        <v>708</v>
      </c>
      <c r="AG318" s="10" t="s">
        <v>46</v>
      </c>
    </row>
    <row r="319" spans="1:33" ht="15.75" x14ac:dyDescent="0.25">
      <c r="A319" s="1">
        <v>1047796035704</v>
      </c>
      <c r="B319" s="6">
        <v>7714534480</v>
      </c>
      <c r="C319" s="7" t="s">
        <v>2976</v>
      </c>
      <c r="D319" s="7" t="s">
        <v>2977</v>
      </c>
      <c r="E319" s="6">
        <v>72107413</v>
      </c>
      <c r="F319" s="6">
        <v>45296559000</v>
      </c>
      <c r="G319" s="6">
        <v>34</v>
      </c>
      <c r="H319" s="6">
        <v>12300</v>
      </c>
      <c r="I319" s="6">
        <v>772501001</v>
      </c>
      <c r="J319" s="7" t="s">
        <v>2978</v>
      </c>
      <c r="K319" s="7"/>
      <c r="L319" s="1" t="s">
        <v>1671</v>
      </c>
      <c r="M319" s="7" t="s">
        <v>1672</v>
      </c>
      <c r="N319" s="7" t="s">
        <v>2979</v>
      </c>
      <c r="O319" s="7" t="s">
        <v>2980</v>
      </c>
      <c r="P319" s="8">
        <v>773602718077</v>
      </c>
      <c r="Q319" s="7" t="s">
        <v>41</v>
      </c>
      <c r="R319" s="7" t="s">
        <v>2981</v>
      </c>
      <c r="S319" s="7" t="s">
        <v>2982</v>
      </c>
      <c r="T319" s="7"/>
      <c r="U319" s="7" t="s">
        <v>2983</v>
      </c>
      <c r="V319" s="1">
        <v>15210000</v>
      </c>
      <c r="W319" s="1">
        <v>311834000</v>
      </c>
      <c r="X319" s="1">
        <v>1717000</v>
      </c>
      <c r="Y319" s="1">
        <v>437000</v>
      </c>
      <c r="Z319" s="1">
        <v>69804000</v>
      </c>
      <c r="AA319" s="1">
        <v>38306000</v>
      </c>
      <c r="AB319" s="1">
        <v>22956000</v>
      </c>
      <c r="AC319" s="1">
        <v>4930000</v>
      </c>
      <c r="AD319" s="1">
        <v>35051000</v>
      </c>
      <c r="AE319" s="7"/>
      <c r="AF319" s="7" t="s">
        <v>740</v>
      </c>
      <c r="AG319" s="7" t="s">
        <v>46</v>
      </c>
    </row>
    <row r="320" spans="1:33" ht="15.75" x14ac:dyDescent="0.25">
      <c r="A320" s="3">
        <v>1047796422794</v>
      </c>
      <c r="B320" s="9">
        <v>7743530434</v>
      </c>
      <c r="C320" s="10" t="s">
        <v>2984</v>
      </c>
      <c r="D320" s="10" t="s">
        <v>2985</v>
      </c>
      <c r="E320" s="9">
        <v>73505920</v>
      </c>
      <c r="F320" s="9">
        <v>45277589000</v>
      </c>
      <c r="G320" s="9">
        <v>16</v>
      </c>
      <c r="H320" s="9">
        <v>12267</v>
      </c>
      <c r="I320" s="9">
        <v>774301001</v>
      </c>
      <c r="J320" s="10" t="s">
        <v>2986</v>
      </c>
      <c r="K320" s="10"/>
      <c r="L320" s="3" t="s">
        <v>2987</v>
      </c>
      <c r="M320" s="10" t="s">
        <v>2576</v>
      </c>
      <c r="N320" s="10" t="s">
        <v>2988</v>
      </c>
      <c r="O320" s="10" t="s">
        <v>2989</v>
      </c>
      <c r="P320" s="11">
        <v>772861813112</v>
      </c>
      <c r="Q320" s="10" t="s">
        <v>41</v>
      </c>
      <c r="R320" s="10" t="s">
        <v>2990</v>
      </c>
      <c r="S320" s="10" t="s">
        <v>2991</v>
      </c>
      <c r="T320" s="10" t="s">
        <v>2992</v>
      </c>
      <c r="U320" s="10" t="s">
        <v>2993</v>
      </c>
      <c r="V320" s="3">
        <v>17000000</v>
      </c>
      <c r="W320" s="3">
        <v>497220000</v>
      </c>
      <c r="X320" s="3">
        <v>81087000</v>
      </c>
      <c r="Y320" s="3">
        <v>25614000</v>
      </c>
      <c r="Z320" s="3">
        <v>66261000</v>
      </c>
      <c r="AA320" s="3">
        <v>75272000</v>
      </c>
      <c r="AB320" s="3">
        <v>56121000</v>
      </c>
      <c r="AC320" s="3">
        <v>84055000</v>
      </c>
      <c r="AD320" s="3">
        <v>75120000</v>
      </c>
      <c r="AE320" s="10" t="s">
        <v>331</v>
      </c>
      <c r="AF320" s="10" t="s">
        <v>2881</v>
      </c>
      <c r="AG320" s="10" t="s">
        <v>46</v>
      </c>
    </row>
    <row r="321" spans="1:33" ht="15.75" x14ac:dyDescent="0.25">
      <c r="A321" s="1">
        <v>1207700201983</v>
      </c>
      <c r="B321" s="6">
        <v>9705144671</v>
      </c>
      <c r="C321" s="7" t="s">
        <v>2994</v>
      </c>
      <c r="D321" s="7" t="s">
        <v>2995</v>
      </c>
      <c r="E321" s="6">
        <v>44550351</v>
      </c>
      <c r="F321" s="6">
        <v>45286580000</v>
      </c>
      <c r="G321" s="6">
        <v>41</v>
      </c>
      <c r="H321" s="6">
        <v>12267</v>
      </c>
      <c r="I321" s="6">
        <v>770901001</v>
      </c>
      <c r="J321" s="7" t="s">
        <v>2996</v>
      </c>
      <c r="K321" s="7"/>
      <c r="L321" s="1" t="s">
        <v>2997</v>
      </c>
      <c r="M321" s="7" t="s">
        <v>2998</v>
      </c>
      <c r="N321" s="7" t="s">
        <v>2999</v>
      </c>
      <c r="O321" s="7" t="s">
        <v>3000</v>
      </c>
      <c r="P321" s="8">
        <v>183113145616</v>
      </c>
      <c r="Q321" s="7" t="s">
        <v>41</v>
      </c>
      <c r="R321" s="7" t="s">
        <v>3001</v>
      </c>
      <c r="S321" s="7" t="s">
        <v>3002</v>
      </c>
      <c r="T321" s="7"/>
      <c r="U321" s="7" t="s">
        <v>3003</v>
      </c>
      <c r="V321" s="1">
        <v>90000000</v>
      </c>
      <c r="W321" s="1">
        <v>816498000</v>
      </c>
      <c r="X321" s="1">
        <v>1687000</v>
      </c>
      <c r="Y321" s="1">
        <v>81807000</v>
      </c>
      <c r="Z321" s="1">
        <v>48822000</v>
      </c>
      <c r="AA321" s="1">
        <v>161702000</v>
      </c>
      <c r="AB321" s="1">
        <v>52993000</v>
      </c>
      <c r="AC321" s="1">
        <v>106504000</v>
      </c>
      <c r="AD321" s="1">
        <v>65637000</v>
      </c>
      <c r="AE321" s="7" t="s">
        <v>317</v>
      </c>
      <c r="AF321" s="7" t="s">
        <v>1624</v>
      </c>
      <c r="AG321" s="7" t="s">
        <v>46</v>
      </c>
    </row>
    <row r="322" spans="1:33" ht="15.75" x14ac:dyDescent="0.25">
      <c r="A322" s="3">
        <v>1047796355914</v>
      </c>
      <c r="B322" s="9">
        <v>7733521494</v>
      </c>
      <c r="C322" s="10" t="s">
        <v>3004</v>
      </c>
      <c r="D322" s="10" t="s">
        <v>3005</v>
      </c>
      <c r="E322" s="9">
        <v>73486654</v>
      </c>
      <c r="F322" s="9">
        <v>45283569000</v>
      </c>
      <c r="G322" s="9">
        <v>16</v>
      </c>
      <c r="H322" s="9">
        <v>12267</v>
      </c>
      <c r="I322" s="9">
        <v>773301001</v>
      </c>
      <c r="J322" s="10" t="s">
        <v>3006</v>
      </c>
      <c r="K322" s="10"/>
      <c r="L322" s="3" t="s">
        <v>923</v>
      </c>
      <c r="M322" s="10" t="s">
        <v>924</v>
      </c>
      <c r="N322" s="10" t="s">
        <v>3007</v>
      </c>
      <c r="O322" s="10" t="s">
        <v>3008</v>
      </c>
      <c r="P322" s="11">
        <v>366322015760</v>
      </c>
      <c r="Q322" s="10" t="s">
        <v>41</v>
      </c>
      <c r="R322" s="10" t="s">
        <v>3009</v>
      </c>
      <c r="S322" s="10" t="s">
        <v>3010</v>
      </c>
      <c r="T322" s="10"/>
      <c r="U322" s="10"/>
      <c r="V322" s="3">
        <v>72000000</v>
      </c>
      <c r="W322" s="3">
        <v>377827000</v>
      </c>
      <c r="X322" s="3">
        <v>683000</v>
      </c>
      <c r="Y322" s="3">
        <v>88780000</v>
      </c>
      <c r="Z322" s="3">
        <v>758244000</v>
      </c>
      <c r="AA322" s="3">
        <v>99283000</v>
      </c>
      <c r="AB322" s="3">
        <v>74164000</v>
      </c>
      <c r="AC322" s="3">
        <v>188930000</v>
      </c>
      <c r="AD322" s="3">
        <v>83916000</v>
      </c>
      <c r="AE322" s="10"/>
      <c r="AF322" s="10" t="s">
        <v>1329</v>
      </c>
      <c r="AG322" s="10" t="s">
        <v>46</v>
      </c>
    </row>
    <row r="323" spans="1:33" ht="15.75" x14ac:dyDescent="0.25">
      <c r="A323" s="1">
        <v>1207700148171</v>
      </c>
      <c r="B323" s="6">
        <v>9728002112</v>
      </c>
      <c r="C323" s="7" t="s">
        <v>3011</v>
      </c>
      <c r="D323" s="7" t="s">
        <v>3012</v>
      </c>
      <c r="E323" s="6">
        <v>44019934</v>
      </c>
      <c r="F323" s="6">
        <v>45293566000</v>
      </c>
      <c r="G323" s="6">
        <v>23</v>
      </c>
      <c r="H323" s="6">
        <v>12300</v>
      </c>
      <c r="I323" s="6">
        <v>772801001</v>
      </c>
      <c r="J323" s="7" t="s">
        <v>3013</v>
      </c>
      <c r="K323" s="7"/>
      <c r="L323" s="1" t="s">
        <v>3014</v>
      </c>
      <c r="M323" s="7" t="s">
        <v>3015</v>
      </c>
      <c r="N323" s="7" t="s">
        <v>3016</v>
      </c>
      <c r="O323" s="7" t="s">
        <v>3017</v>
      </c>
      <c r="P323" s="8">
        <v>541000952064</v>
      </c>
      <c r="Q323" s="7" t="s">
        <v>41</v>
      </c>
      <c r="R323" s="7" t="s">
        <v>3018</v>
      </c>
      <c r="S323" s="7" t="s">
        <v>3019</v>
      </c>
      <c r="T323" s="7"/>
      <c r="U323" s="7"/>
      <c r="V323" s="1">
        <v>20000000</v>
      </c>
      <c r="W323" s="1">
        <v>810761000</v>
      </c>
      <c r="X323" s="1">
        <v>64639000</v>
      </c>
      <c r="Y323" s="1">
        <v>46692000</v>
      </c>
      <c r="Z323" s="1">
        <v>108956000</v>
      </c>
      <c r="AA323" s="1">
        <v>87568000</v>
      </c>
      <c r="AB323" s="1">
        <v>30581000</v>
      </c>
      <c r="AC323" s="1">
        <v>42693000</v>
      </c>
      <c r="AD323" s="1">
        <v>42463000</v>
      </c>
      <c r="AE323" s="7"/>
      <c r="AF323" s="7" t="s">
        <v>3020</v>
      </c>
      <c r="AG323" s="7" t="s">
        <v>46</v>
      </c>
    </row>
    <row r="324" spans="1:33" ht="15.75" x14ac:dyDescent="0.25">
      <c r="A324" s="3">
        <v>1207700238811</v>
      </c>
      <c r="B324" s="9">
        <v>9709063342</v>
      </c>
      <c r="C324" s="10" t="s">
        <v>3021</v>
      </c>
      <c r="D324" s="10" t="s">
        <v>3022</v>
      </c>
      <c r="E324" s="9">
        <v>44846502</v>
      </c>
      <c r="F324" s="9">
        <v>45286580000</v>
      </c>
      <c r="G324" s="9">
        <v>16</v>
      </c>
      <c r="H324" s="9">
        <v>12300</v>
      </c>
      <c r="I324" s="9">
        <v>770901001</v>
      </c>
      <c r="J324" s="10" t="s">
        <v>3023</v>
      </c>
      <c r="K324" s="10"/>
      <c r="L324" s="3" t="s">
        <v>572</v>
      </c>
      <c r="M324" s="10" t="s">
        <v>573</v>
      </c>
      <c r="N324" s="10" t="s">
        <v>3024</v>
      </c>
      <c r="O324" s="10" t="s">
        <v>3025</v>
      </c>
      <c r="P324" s="11">
        <v>780716095500</v>
      </c>
      <c r="Q324" s="10" t="s">
        <v>41</v>
      </c>
      <c r="R324" s="10" t="s">
        <v>1241</v>
      </c>
      <c r="S324" s="10" t="s">
        <v>3026</v>
      </c>
      <c r="T324" s="10"/>
      <c r="U324" s="10"/>
      <c r="V324" s="3">
        <v>40000000</v>
      </c>
      <c r="W324" s="3">
        <v>250676000</v>
      </c>
      <c r="X324" s="3">
        <v>13771000</v>
      </c>
      <c r="Y324" s="3">
        <v>5000</v>
      </c>
      <c r="Z324" s="3">
        <v>898455000</v>
      </c>
      <c r="AA324" s="3">
        <v>18619000</v>
      </c>
      <c r="AB324" s="3">
        <v>-405431000</v>
      </c>
      <c r="AC324" s="3">
        <v>19341000</v>
      </c>
      <c r="AD324" s="3">
        <v>-540235000</v>
      </c>
      <c r="AE324" s="10"/>
      <c r="AF324" s="10" t="s">
        <v>35</v>
      </c>
      <c r="AG324" s="10" t="s">
        <v>46</v>
      </c>
    </row>
    <row r="325" spans="1:33" ht="15.75" x14ac:dyDescent="0.25">
      <c r="A325" s="1">
        <v>1047796670008</v>
      </c>
      <c r="B325" s="6">
        <v>7705616994</v>
      </c>
      <c r="C325" s="7" t="s">
        <v>3027</v>
      </c>
      <c r="D325" s="7" t="s">
        <v>3028</v>
      </c>
      <c r="E325" s="6">
        <v>74614580</v>
      </c>
      <c r="F325" s="6">
        <v>45286596000</v>
      </c>
      <c r="G325" s="6">
        <v>16</v>
      </c>
      <c r="H325" s="6">
        <v>12300</v>
      </c>
      <c r="I325" s="6">
        <v>770601001</v>
      </c>
      <c r="J325" s="7" t="s">
        <v>3029</v>
      </c>
      <c r="K325" s="7"/>
      <c r="L325" s="1" t="s">
        <v>3030</v>
      </c>
      <c r="M325" s="7" t="s">
        <v>3031</v>
      </c>
      <c r="N325" s="7" t="s">
        <v>3032</v>
      </c>
      <c r="O325" s="7" t="s">
        <v>3033</v>
      </c>
      <c r="P325" s="8">
        <v>502910894685</v>
      </c>
      <c r="Q325" s="7" t="s">
        <v>41</v>
      </c>
      <c r="R325" s="7" t="s">
        <v>3034</v>
      </c>
      <c r="S325" s="7" t="s">
        <v>3035</v>
      </c>
      <c r="T325" s="7" t="s">
        <v>3036</v>
      </c>
      <c r="U325" s="7" t="s">
        <v>3037</v>
      </c>
      <c r="V325" s="1">
        <v>21814000</v>
      </c>
      <c r="W325" s="1">
        <v>103229000</v>
      </c>
      <c r="X325" s="1">
        <v>18241000</v>
      </c>
      <c r="Y325" s="1">
        <v>22703000</v>
      </c>
      <c r="Z325" s="1">
        <v>21093000</v>
      </c>
      <c r="AA325" s="1">
        <v>20516000</v>
      </c>
      <c r="AB325" s="1">
        <v>1784000</v>
      </c>
      <c r="AC325" s="1">
        <v>0</v>
      </c>
      <c r="AD325" s="1">
        <v>0</v>
      </c>
      <c r="AE325" s="7" t="s">
        <v>331</v>
      </c>
      <c r="AF325" s="7" t="s">
        <v>345</v>
      </c>
      <c r="AG325" s="7" t="s">
        <v>319</v>
      </c>
    </row>
    <row r="326" spans="1:33" ht="15.75" x14ac:dyDescent="0.25">
      <c r="A326" s="3">
        <v>1207700491855</v>
      </c>
      <c r="B326" s="9">
        <v>7736332054</v>
      </c>
      <c r="C326" s="10" t="s">
        <v>3038</v>
      </c>
      <c r="D326" s="10" t="s">
        <v>3039</v>
      </c>
      <c r="E326" s="9">
        <v>23156163</v>
      </c>
      <c r="F326" s="9">
        <v>45286585000</v>
      </c>
      <c r="G326" s="9">
        <v>16</v>
      </c>
      <c r="H326" s="9">
        <v>12300</v>
      </c>
      <c r="I326" s="9">
        <v>770701001</v>
      </c>
      <c r="J326" s="10" t="s">
        <v>3040</v>
      </c>
      <c r="K326" s="10"/>
      <c r="L326" s="3" t="s">
        <v>1072</v>
      </c>
      <c r="M326" s="10" t="s">
        <v>1073</v>
      </c>
      <c r="N326" s="10" t="s">
        <v>3041</v>
      </c>
      <c r="O326" s="10" t="s">
        <v>3042</v>
      </c>
      <c r="P326" s="11">
        <v>772003011791</v>
      </c>
      <c r="Q326" s="10" t="s">
        <v>41</v>
      </c>
      <c r="R326" s="10" t="s">
        <v>3043</v>
      </c>
      <c r="S326" s="10" t="s">
        <v>3044</v>
      </c>
      <c r="T326" s="10"/>
      <c r="U326" s="10" t="s">
        <v>3045</v>
      </c>
      <c r="V326" s="3">
        <v>40000000</v>
      </c>
      <c r="W326" s="3">
        <v>133536000</v>
      </c>
      <c r="X326" s="3">
        <v>40742000</v>
      </c>
      <c r="Y326" s="3">
        <v>8000</v>
      </c>
      <c r="Z326" s="3">
        <v>38244000</v>
      </c>
      <c r="AA326" s="3">
        <v>18352000</v>
      </c>
      <c r="AB326" s="3">
        <v>-321409000</v>
      </c>
      <c r="AC326" s="3">
        <v>-371439000</v>
      </c>
      <c r="AD326" s="3">
        <v>-428761000</v>
      </c>
      <c r="AE326" s="10"/>
      <c r="AF326" s="10" t="s">
        <v>3046</v>
      </c>
      <c r="AG326" s="10" t="s">
        <v>46</v>
      </c>
    </row>
    <row r="327" spans="1:33" ht="15.75" x14ac:dyDescent="0.25">
      <c r="A327" s="1">
        <v>1207700495331</v>
      </c>
      <c r="B327" s="6">
        <v>9729303480</v>
      </c>
      <c r="C327" s="7" t="s">
        <v>3047</v>
      </c>
      <c r="D327" s="7" t="s">
        <v>3048</v>
      </c>
      <c r="E327" s="6">
        <v>46794212</v>
      </c>
      <c r="F327" s="6">
        <v>45268588000</v>
      </c>
      <c r="G327" s="6">
        <v>16</v>
      </c>
      <c r="H327" s="6">
        <v>12300</v>
      </c>
      <c r="I327" s="6">
        <v>772901001</v>
      </c>
      <c r="J327" s="7" t="s">
        <v>3049</v>
      </c>
      <c r="K327" s="7"/>
      <c r="L327" s="1" t="s">
        <v>1286</v>
      </c>
      <c r="M327" s="7" t="s">
        <v>1287</v>
      </c>
      <c r="N327" s="7" t="s">
        <v>3050</v>
      </c>
      <c r="O327" s="7" t="s">
        <v>3051</v>
      </c>
      <c r="P327" s="8">
        <v>500707219070</v>
      </c>
      <c r="Q327" s="7" t="s">
        <v>41</v>
      </c>
      <c r="R327" s="7" t="s">
        <v>3052</v>
      </c>
      <c r="S327" s="7" t="s">
        <v>3053</v>
      </c>
      <c r="T327" s="7"/>
      <c r="U327" s="7" t="s">
        <v>3054</v>
      </c>
      <c r="V327" s="1">
        <v>24419200</v>
      </c>
      <c r="W327" s="1">
        <v>139252000</v>
      </c>
      <c r="X327" s="1">
        <v>266791000</v>
      </c>
      <c r="Y327" s="1">
        <v>1175000</v>
      </c>
      <c r="Z327" s="1">
        <v>110585000</v>
      </c>
      <c r="AA327" s="1">
        <v>103065000</v>
      </c>
      <c r="AB327" s="1">
        <v>2882000</v>
      </c>
      <c r="AC327" s="1">
        <v>0</v>
      </c>
      <c r="AD327" s="1">
        <v>0</v>
      </c>
      <c r="AE327" s="7" t="s">
        <v>331</v>
      </c>
      <c r="AF327" s="7" t="s">
        <v>1015</v>
      </c>
      <c r="AG327" s="7" t="s">
        <v>46</v>
      </c>
    </row>
    <row r="328" spans="1:33" ht="15.75" x14ac:dyDescent="0.25">
      <c r="A328" s="3">
        <v>1197746473473</v>
      </c>
      <c r="B328" s="9">
        <v>7727424598</v>
      </c>
      <c r="C328" s="10" t="s">
        <v>3055</v>
      </c>
      <c r="D328" s="10" t="s">
        <v>3056</v>
      </c>
      <c r="E328" s="9">
        <v>40838776</v>
      </c>
      <c r="F328" s="9">
        <v>45293554000</v>
      </c>
      <c r="G328" s="9">
        <v>16</v>
      </c>
      <c r="H328" s="9">
        <v>12300</v>
      </c>
      <c r="I328" s="9">
        <v>772701001</v>
      </c>
      <c r="J328" s="10" t="s">
        <v>1081</v>
      </c>
      <c r="K328" s="10"/>
      <c r="L328" s="3" t="s">
        <v>404</v>
      </c>
      <c r="M328" s="10" t="s">
        <v>405</v>
      </c>
      <c r="N328" s="10" t="s">
        <v>3057</v>
      </c>
      <c r="O328" s="10" t="s">
        <v>3058</v>
      </c>
      <c r="P328" s="11">
        <v>770970241831</v>
      </c>
      <c r="Q328" s="10" t="s">
        <v>41</v>
      </c>
      <c r="R328" s="10" t="s">
        <v>3059</v>
      </c>
      <c r="S328" s="10" t="s">
        <v>3060</v>
      </c>
      <c r="T328" s="10"/>
      <c r="U328" s="10" t="s">
        <v>3061</v>
      </c>
      <c r="V328" s="3">
        <v>10053000</v>
      </c>
      <c r="W328" s="3">
        <v>148365000</v>
      </c>
      <c r="X328" s="3">
        <v>15157000</v>
      </c>
      <c r="Y328" s="3">
        <v>0</v>
      </c>
      <c r="Z328" s="3">
        <v>97929000</v>
      </c>
      <c r="AA328" s="3">
        <v>32518000</v>
      </c>
      <c r="AB328" s="3">
        <v>121965000</v>
      </c>
      <c r="AC328" s="3">
        <v>0</v>
      </c>
      <c r="AD328" s="3">
        <v>0</v>
      </c>
      <c r="AE328" s="10" t="s">
        <v>331</v>
      </c>
      <c r="AF328" s="10" t="s">
        <v>461</v>
      </c>
      <c r="AG328" s="10" t="s">
        <v>319</v>
      </c>
    </row>
    <row r="329" spans="1:33" ht="15.75" x14ac:dyDescent="0.25">
      <c r="A329" s="3">
        <v>1026402661251</v>
      </c>
      <c r="B329" s="9">
        <v>6452043770</v>
      </c>
      <c r="C329" s="10" t="s">
        <v>3062</v>
      </c>
      <c r="D329" s="10" t="s">
        <v>3063</v>
      </c>
      <c r="E329" s="9">
        <v>36239585</v>
      </c>
      <c r="F329" s="9">
        <v>45296561000</v>
      </c>
      <c r="G329" s="9">
        <v>16</v>
      </c>
      <c r="H329" s="9">
        <v>12300</v>
      </c>
      <c r="I329" s="9">
        <v>772601001</v>
      </c>
      <c r="J329" s="10" t="s">
        <v>3064</v>
      </c>
      <c r="K329" s="10"/>
      <c r="L329" s="3" t="s">
        <v>2585</v>
      </c>
      <c r="M329" s="10" t="s">
        <v>2586</v>
      </c>
      <c r="N329" s="10" t="s">
        <v>3065</v>
      </c>
      <c r="O329" s="10" t="s">
        <v>3066</v>
      </c>
      <c r="P329" s="11">
        <v>645302278388</v>
      </c>
      <c r="Q329" s="10" t="s">
        <v>150</v>
      </c>
      <c r="R329" s="10" t="s">
        <v>3067</v>
      </c>
      <c r="S329" s="10" t="s">
        <v>3068</v>
      </c>
      <c r="T329" s="10" t="s">
        <v>3069</v>
      </c>
      <c r="U329" s="10" t="s">
        <v>3070</v>
      </c>
      <c r="V329" s="3">
        <v>15420000</v>
      </c>
      <c r="W329" s="3">
        <v>543322000</v>
      </c>
      <c r="X329" s="3">
        <v>0</v>
      </c>
      <c r="Y329" s="3">
        <v>6878000</v>
      </c>
      <c r="Z329" s="3">
        <v>543306000</v>
      </c>
      <c r="AA329" s="3">
        <v>12319000</v>
      </c>
      <c r="AB329" s="3">
        <v>29641000</v>
      </c>
      <c r="AC329" s="3">
        <v>98126000</v>
      </c>
      <c r="AD329" s="3">
        <v>39540000</v>
      </c>
      <c r="AE329" s="10" t="s">
        <v>331</v>
      </c>
      <c r="AF329" s="10" t="s">
        <v>1534</v>
      </c>
      <c r="AG329" s="10" t="s">
        <v>46</v>
      </c>
    </row>
    <row r="330" spans="1:33" ht="15.75" x14ac:dyDescent="0.25">
      <c r="A330" s="1">
        <v>1197746712470</v>
      </c>
      <c r="B330" s="6">
        <v>9706004050</v>
      </c>
      <c r="C330" s="7" t="s">
        <v>3071</v>
      </c>
      <c r="D330" s="7" t="s">
        <v>3072</v>
      </c>
      <c r="E330" s="6">
        <v>42518923</v>
      </c>
      <c r="F330" s="6">
        <v>45280580000</v>
      </c>
      <c r="G330" s="6">
        <v>23</v>
      </c>
      <c r="H330" s="6">
        <v>12300</v>
      </c>
      <c r="I330" s="6">
        <v>771601001</v>
      </c>
      <c r="J330" s="7" t="s">
        <v>3073</v>
      </c>
      <c r="K330" s="7"/>
      <c r="L330" s="1" t="s">
        <v>1661</v>
      </c>
      <c r="M330" s="7" t="s">
        <v>1662</v>
      </c>
      <c r="N330" s="7" t="s">
        <v>3074</v>
      </c>
      <c r="O330" s="7" t="s">
        <v>3075</v>
      </c>
      <c r="P330" s="8" t="s">
        <v>3076</v>
      </c>
      <c r="Q330" s="7" t="s">
        <v>887</v>
      </c>
      <c r="R330" s="7" t="s">
        <v>3077</v>
      </c>
      <c r="S330" s="7" t="s">
        <v>3078</v>
      </c>
      <c r="T330" s="7"/>
      <c r="U330" s="7"/>
      <c r="V330" s="1">
        <v>10750000</v>
      </c>
      <c r="W330" s="1">
        <v>318621000</v>
      </c>
      <c r="X330" s="1">
        <v>10229000</v>
      </c>
      <c r="Y330" s="1">
        <v>150257000</v>
      </c>
      <c r="Z330" s="1">
        <v>15933000</v>
      </c>
      <c r="AA330" s="1">
        <v>106487000</v>
      </c>
      <c r="AB330" s="1">
        <v>18499000</v>
      </c>
      <c r="AC330" s="1">
        <v>17892000</v>
      </c>
      <c r="AD330" s="1">
        <v>24993000</v>
      </c>
      <c r="AE330" s="7"/>
      <c r="AF330" s="7" t="s">
        <v>530</v>
      </c>
      <c r="AG330" s="7" t="s">
        <v>46</v>
      </c>
    </row>
    <row r="331" spans="1:33" ht="15.75" x14ac:dyDescent="0.25">
      <c r="A331" s="3">
        <v>1215000036536</v>
      </c>
      <c r="B331" s="9">
        <v>5032327544</v>
      </c>
      <c r="C331" s="10" t="s">
        <v>3079</v>
      </c>
      <c r="D331" s="10" t="s">
        <v>3080</v>
      </c>
      <c r="E331" s="9">
        <v>54958751</v>
      </c>
      <c r="F331" s="9">
        <v>45268569000</v>
      </c>
      <c r="G331" s="9">
        <v>16</v>
      </c>
      <c r="H331" s="9">
        <v>12300</v>
      </c>
      <c r="I331" s="9">
        <v>773101001</v>
      </c>
      <c r="J331" s="10" t="s">
        <v>1115</v>
      </c>
      <c r="K331" s="10"/>
      <c r="L331" s="3" t="s">
        <v>3081</v>
      </c>
      <c r="M331" s="10" t="s">
        <v>3082</v>
      </c>
      <c r="N331" s="10" t="s">
        <v>3083</v>
      </c>
      <c r="O331" s="10" t="s">
        <v>3084</v>
      </c>
      <c r="P331" s="11">
        <v>253614791290</v>
      </c>
      <c r="Q331" s="10" t="s">
        <v>41</v>
      </c>
      <c r="R331" s="10" t="s">
        <v>3085</v>
      </c>
      <c r="S331" s="10" t="s">
        <v>3086</v>
      </c>
      <c r="T331" s="10"/>
      <c r="U331" s="10" t="s">
        <v>3087</v>
      </c>
      <c r="V331" s="3">
        <v>70500000</v>
      </c>
      <c r="W331" s="3">
        <v>320178000</v>
      </c>
      <c r="X331" s="3">
        <v>0</v>
      </c>
      <c r="Y331" s="3">
        <v>32382000</v>
      </c>
      <c r="Z331" s="3">
        <v>64277000</v>
      </c>
      <c r="AA331" s="3">
        <v>23979000</v>
      </c>
      <c r="AB331" s="3">
        <v>13782000</v>
      </c>
      <c r="AC331" s="3">
        <v>20859000</v>
      </c>
      <c r="AD331" s="3">
        <v>18736000</v>
      </c>
      <c r="AE331" s="10" t="s">
        <v>317</v>
      </c>
      <c r="AF331" s="10" t="s">
        <v>493</v>
      </c>
      <c r="AG331" s="10" t="s">
        <v>46</v>
      </c>
    </row>
    <row r="332" spans="1:33" ht="15.75" x14ac:dyDescent="0.25">
      <c r="A332" s="1">
        <v>1075074002057</v>
      </c>
      <c r="B332" s="6">
        <v>5036079469</v>
      </c>
      <c r="C332" s="7" t="s">
        <v>3088</v>
      </c>
      <c r="D332" s="7" t="s">
        <v>3089</v>
      </c>
      <c r="E332" s="6">
        <v>2426986</v>
      </c>
      <c r="F332" s="6">
        <v>46460000000</v>
      </c>
      <c r="G332" s="6">
        <v>16</v>
      </c>
      <c r="H332" s="6">
        <v>12247</v>
      </c>
      <c r="I332" s="6">
        <v>503601001</v>
      </c>
      <c r="J332" s="7" t="s">
        <v>591</v>
      </c>
      <c r="K332" s="7"/>
      <c r="L332" s="1" t="s">
        <v>1219</v>
      </c>
      <c r="M332" s="7" t="s">
        <v>1220</v>
      </c>
      <c r="N332" s="7" t="s">
        <v>3090</v>
      </c>
      <c r="O332" s="7" t="s">
        <v>3091</v>
      </c>
      <c r="P332" s="8">
        <v>503605163539</v>
      </c>
      <c r="Q332" s="7" t="s">
        <v>340</v>
      </c>
      <c r="R332" s="7" t="s">
        <v>3092</v>
      </c>
      <c r="S332" s="7" t="s">
        <v>3093</v>
      </c>
      <c r="T332" s="7" t="s">
        <v>3094</v>
      </c>
      <c r="U332" s="7" t="s">
        <v>3095</v>
      </c>
      <c r="V332" s="1">
        <v>12965160</v>
      </c>
      <c r="W332" s="1">
        <v>732571000</v>
      </c>
      <c r="X332" s="1">
        <v>239207000</v>
      </c>
      <c r="Y332" s="1">
        <v>91925000</v>
      </c>
      <c r="Z332" s="1">
        <v>72939000</v>
      </c>
      <c r="AA332" s="1">
        <v>142029000</v>
      </c>
      <c r="AB332" s="1">
        <v>4521000</v>
      </c>
      <c r="AC332" s="1">
        <v>4557000</v>
      </c>
      <c r="AD332" s="1">
        <v>6043000</v>
      </c>
      <c r="AE332" s="7"/>
      <c r="AF332" s="7" t="s">
        <v>3096</v>
      </c>
      <c r="AG332" s="7" t="s">
        <v>46</v>
      </c>
    </row>
    <row r="333" spans="1:33" ht="15.75" x14ac:dyDescent="0.25">
      <c r="A333" s="3">
        <v>5187746028542</v>
      </c>
      <c r="B333" s="9">
        <v>9709040585</v>
      </c>
      <c r="C333" s="10" t="s">
        <v>3097</v>
      </c>
      <c r="D333" s="10" t="s">
        <v>3098</v>
      </c>
      <c r="E333" s="9">
        <v>35246016</v>
      </c>
      <c r="F333" s="9">
        <v>45286555000</v>
      </c>
      <c r="G333" s="9">
        <v>16</v>
      </c>
      <c r="H333" s="9">
        <v>12300</v>
      </c>
      <c r="I333" s="9">
        <v>770901001</v>
      </c>
      <c r="J333" s="10" t="s">
        <v>3099</v>
      </c>
      <c r="K333" s="10"/>
      <c r="L333" s="3" t="s">
        <v>3100</v>
      </c>
      <c r="M333" s="10" t="s">
        <v>3101</v>
      </c>
      <c r="N333" s="10" t="s">
        <v>3102</v>
      </c>
      <c r="O333" s="10" t="s">
        <v>3103</v>
      </c>
      <c r="P333" s="11" t="s">
        <v>3104</v>
      </c>
      <c r="Q333" s="10" t="s">
        <v>3105</v>
      </c>
      <c r="R333" s="10" t="s">
        <v>3106</v>
      </c>
      <c r="S333" s="10" t="s">
        <v>3107</v>
      </c>
      <c r="T333" s="10"/>
      <c r="U333" s="10" t="s">
        <v>3108</v>
      </c>
      <c r="V333" s="3">
        <v>71268000</v>
      </c>
      <c r="W333" s="3">
        <v>126188000</v>
      </c>
      <c r="X333" s="3">
        <v>60404000</v>
      </c>
      <c r="Y333" s="3">
        <v>9753000</v>
      </c>
      <c r="Z333" s="3">
        <v>1037894000</v>
      </c>
      <c r="AA333" s="3">
        <v>565945000</v>
      </c>
      <c r="AB333" s="3">
        <v>5842000</v>
      </c>
      <c r="AC333" s="3">
        <v>-3153000</v>
      </c>
      <c r="AD333" s="3">
        <v>13064000</v>
      </c>
      <c r="AE333" s="10" t="s">
        <v>331</v>
      </c>
      <c r="AF333" s="10" t="s">
        <v>1465</v>
      </c>
      <c r="AG333" s="10" t="s">
        <v>319</v>
      </c>
    </row>
    <row r="334" spans="1:33" ht="15.75" x14ac:dyDescent="0.25">
      <c r="A334" s="3">
        <v>5167746274944</v>
      </c>
      <c r="B334" s="9">
        <v>7707374691</v>
      </c>
      <c r="C334" s="10" t="s">
        <v>3109</v>
      </c>
      <c r="D334" s="10" t="s">
        <v>3110</v>
      </c>
      <c r="E334" s="9">
        <v>5389497</v>
      </c>
      <c r="F334" s="9">
        <v>45277556000</v>
      </c>
      <c r="G334" s="9">
        <v>34</v>
      </c>
      <c r="H334" s="9">
        <v>12300</v>
      </c>
      <c r="I334" s="9">
        <v>771401001</v>
      </c>
      <c r="J334" s="10" t="s">
        <v>3111</v>
      </c>
      <c r="K334" s="10"/>
      <c r="L334" s="3" t="s">
        <v>3112</v>
      </c>
      <c r="M334" s="10" t="s">
        <v>3113</v>
      </c>
      <c r="N334" s="10" t="s">
        <v>3114</v>
      </c>
      <c r="O334" s="10" t="s">
        <v>3115</v>
      </c>
      <c r="P334" s="11">
        <v>501910652620</v>
      </c>
      <c r="Q334" s="10" t="s">
        <v>41</v>
      </c>
      <c r="R334" s="10" t="s">
        <v>3116</v>
      </c>
      <c r="S334" s="10" t="s">
        <v>3117</v>
      </c>
      <c r="T334" s="10"/>
      <c r="U334" s="10" t="s">
        <v>3118</v>
      </c>
      <c r="V334" s="3">
        <v>21652057</v>
      </c>
      <c r="W334" s="3">
        <v>237326000</v>
      </c>
      <c r="X334" s="3">
        <v>1300000</v>
      </c>
      <c r="Y334" s="3">
        <v>6000</v>
      </c>
      <c r="Z334" s="3">
        <v>105432000</v>
      </c>
      <c r="AA334" s="3">
        <v>58902000</v>
      </c>
      <c r="AB334" s="3">
        <v>-28498000</v>
      </c>
      <c r="AC334" s="3">
        <v>18851000</v>
      </c>
      <c r="AD334" s="3">
        <v>-20564000</v>
      </c>
      <c r="AE334" s="10"/>
      <c r="AF334" s="10" t="s">
        <v>3119</v>
      </c>
      <c r="AG334" s="10" t="s">
        <v>46</v>
      </c>
    </row>
    <row r="335" spans="1:33" ht="15.75" x14ac:dyDescent="0.25">
      <c r="A335" s="1">
        <v>5067746655972</v>
      </c>
      <c r="B335" s="6">
        <v>7708611881</v>
      </c>
      <c r="C335" s="7" t="s">
        <v>3120</v>
      </c>
      <c r="D335" s="7" t="s">
        <v>3121</v>
      </c>
      <c r="E335" s="6">
        <v>97245464</v>
      </c>
      <c r="F335" s="6">
        <v>45286565000</v>
      </c>
      <c r="G335" s="6">
        <v>34</v>
      </c>
      <c r="H335" s="6">
        <v>12300</v>
      </c>
      <c r="I335" s="6">
        <v>770801001</v>
      </c>
      <c r="J335" s="7" t="s">
        <v>3122</v>
      </c>
      <c r="K335" s="7"/>
      <c r="L335" s="1" t="s">
        <v>86</v>
      </c>
      <c r="M335" s="7" t="s">
        <v>87</v>
      </c>
      <c r="N335" s="7" t="s">
        <v>3123</v>
      </c>
      <c r="O335" s="7" t="s">
        <v>3124</v>
      </c>
      <c r="P335" s="8">
        <v>590402516406</v>
      </c>
      <c r="Q335" s="7" t="s">
        <v>41</v>
      </c>
      <c r="R335" s="7" t="s">
        <v>3125</v>
      </c>
      <c r="S335" s="7" t="s">
        <v>3126</v>
      </c>
      <c r="T335" s="7"/>
      <c r="U335" s="7"/>
      <c r="V335" s="1">
        <v>48019000</v>
      </c>
      <c r="W335" s="1">
        <v>903144000</v>
      </c>
      <c r="X335" s="1">
        <v>357306000</v>
      </c>
      <c r="Y335" s="1">
        <v>47073000</v>
      </c>
      <c r="Z335" s="1">
        <v>42871000</v>
      </c>
      <c r="AA335" s="1">
        <v>154106000</v>
      </c>
      <c r="AB335" s="1">
        <v>247845000</v>
      </c>
      <c r="AC335" s="1">
        <v>328420000</v>
      </c>
      <c r="AD335" s="1">
        <v>330749000</v>
      </c>
      <c r="AE335" s="7"/>
      <c r="AF335" s="7" t="s">
        <v>1104</v>
      </c>
      <c r="AG335" s="7" t="s">
        <v>46</v>
      </c>
    </row>
    <row r="336" spans="1:33" ht="15.75" x14ac:dyDescent="0.25">
      <c r="A336" s="3">
        <v>5067746795067</v>
      </c>
      <c r="B336" s="9">
        <v>7705754793</v>
      </c>
      <c r="C336" s="10" t="s">
        <v>3127</v>
      </c>
      <c r="D336" s="10" t="s">
        <v>3128</v>
      </c>
      <c r="E336" s="9">
        <v>97272202</v>
      </c>
      <c r="F336" s="9">
        <v>45286560000</v>
      </c>
      <c r="G336" s="9">
        <v>23</v>
      </c>
      <c r="H336" s="9">
        <v>12300</v>
      </c>
      <c r="I336" s="9">
        <v>770501001</v>
      </c>
      <c r="J336" s="10" t="s">
        <v>3129</v>
      </c>
      <c r="K336" s="10"/>
      <c r="L336" s="3" t="s">
        <v>565</v>
      </c>
      <c r="M336" s="10" t="s">
        <v>680</v>
      </c>
      <c r="N336" s="10" t="s">
        <v>3130</v>
      </c>
      <c r="O336" s="10" t="s">
        <v>3131</v>
      </c>
      <c r="P336" s="11">
        <v>773000551039</v>
      </c>
      <c r="Q336" s="10" t="s">
        <v>41</v>
      </c>
      <c r="R336" s="10" t="s">
        <v>3132</v>
      </c>
      <c r="S336" s="10" t="s">
        <v>3133</v>
      </c>
      <c r="T336" s="10" t="s">
        <v>3134</v>
      </c>
      <c r="U336" s="10"/>
      <c r="V336" s="3">
        <v>19500000</v>
      </c>
      <c r="W336" s="3">
        <v>346560000</v>
      </c>
      <c r="X336" s="3">
        <v>4819000</v>
      </c>
      <c r="Y336" s="3">
        <v>2000</v>
      </c>
      <c r="Z336" s="3">
        <v>80049000</v>
      </c>
      <c r="AA336" s="3">
        <v>21052000</v>
      </c>
      <c r="AB336" s="3">
        <v>9164000</v>
      </c>
      <c r="AC336" s="3">
        <v>38091000</v>
      </c>
      <c r="AD336" s="3">
        <v>13503000</v>
      </c>
      <c r="AE336" s="10"/>
      <c r="AF336" s="10" t="s">
        <v>461</v>
      </c>
      <c r="AG336" s="10" t="s">
        <v>46</v>
      </c>
    </row>
    <row r="337" spans="1:33" ht="15.75" x14ac:dyDescent="0.25">
      <c r="A337" s="1">
        <v>1177746316758</v>
      </c>
      <c r="B337" s="6">
        <v>9729069173</v>
      </c>
      <c r="C337" s="7" t="s">
        <v>3135</v>
      </c>
      <c r="D337" s="7" t="s">
        <v>3136</v>
      </c>
      <c r="E337" s="6">
        <v>13038501</v>
      </c>
      <c r="F337" s="6">
        <v>45268581000</v>
      </c>
      <c r="G337" s="6">
        <v>16</v>
      </c>
      <c r="H337" s="6">
        <v>12300</v>
      </c>
      <c r="I337" s="6">
        <v>772901001</v>
      </c>
      <c r="J337" s="7" t="s">
        <v>3137</v>
      </c>
      <c r="K337" s="7"/>
      <c r="L337" s="1" t="s">
        <v>445</v>
      </c>
      <c r="M337" s="7" t="s">
        <v>446</v>
      </c>
      <c r="N337" s="7" t="s">
        <v>3138</v>
      </c>
      <c r="O337" s="7" t="s">
        <v>3139</v>
      </c>
      <c r="P337" s="8">
        <v>771317325412</v>
      </c>
      <c r="Q337" s="7" t="s">
        <v>41</v>
      </c>
      <c r="R337" s="7" t="s">
        <v>3140</v>
      </c>
      <c r="S337" s="7" t="s">
        <v>3141</v>
      </c>
      <c r="T337" s="7"/>
      <c r="U337" s="7"/>
      <c r="V337" s="1">
        <v>60000000</v>
      </c>
      <c r="W337" s="1">
        <v>112083000</v>
      </c>
      <c r="X337" s="1">
        <v>143877000</v>
      </c>
      <c r="Y337" s="1">
        <v>0</v>
      </c>
      <c r="Z337" s="1">
        <v>439469000</v>
      </c>
      <c r="AA337" s="1">
        <v>390794000</v>
      </c>
      <c r="AB337" s="1">
        <v>5248000</v>
      </c>
      <c r="AC337" s="1">
        <v>0</v>
      </c>
      <c r="AD337" s="1">
        <v>0</v>
      </c>
      <c r="AE337" s="7" t="s">
        <v>317</v>
      </c>
      <c r="AF337" s="7" t="s">
        <v>512</v>
      </c>
      <c r="AG337" s="7" t="s">
        <v>319</v>
      </c>
    </row>
    <row r="338" spans="1:33" ht="15.75" x14ac:dyDescent="0.25">
      <c r="A338" s="3">
        <v>1027700483722</v>
      </c>
      <c r="B338" s="9">
        <v>7724199256</v>
      </c>
      <c r="C338" s="10" t="s">
        <v>3142</v>
      </c>
      <c r="D338" s="10" t="s">
        <v>3143</v>
      </c>
      <c r="E338" s="9">
        <v>3964862</v>
      </c>
      <c r="F338" s="9">
        <v>45296571000</v>
      </c>
      <c r="G338" s="9">
        <v>53</v>
      </c>
      <c r="H338" s="9">
        <v>12300</v>
      </c>
      <c r="I338" s="9">
        <v>772401001</v>
      </c>
      <c r="J338" s="10" t="s">
        <v>3144</v>
      </c>
      <c r="K338" s="10"/>
      <c r="L338" s="3" t="s">
        <v>3145</v>
      </c>
      <c r="M338" s="10" t="s">
        <v>3146</v>
      </c>
      <c r="N338" s="10" t="s">
        <v>3147</v>
      </c>
      <c r="O338" s="10" t="s">
        <v>3148</v>
      </c>
      <c r="P338" s="11">
        <v>500305329749</v>
      </c>
      <c r="Q338" s="10" t="s">
        <v>41</v>
      </c>
      <c r="R338" s="10" t="s">
        <v>3149</v>
      </c>
      <c r="S338" s="10" t="s">
        <v>3150</v>
      </c>
      <c r="T338" s="10" t="s">
        <v>3151</v>
      </c>
      <c r="U338" s="10" t="s">
        <v>3152</v>
      </c>
      <c r="V338" s="3">
        <v>28118000</v>
      </c>
      <c r="W338" s="3">
        <v>106111000</v>
      </c>
      <c r="X338" s="3">
        <v>9584000</v>
      </c>
      <c r="Y338" s="3">
        <v>48521000</v>
      </c>
      <c r="Z338" s="3">
        <v>24287000</v>
      </c>
      <c r="AA338" s="3">
        <v>12929000</v>
      </c>
      <c r="AB338" s="3">
        <v>37000</v>
      </c>
      <c r="AC338" s="3">
        <v>-37468000</v>
      </c>
      <c r="AD338" s="3">
        <v>-685000</v>
      </c>
      <c r="AE338" s="10" t="s">
        <v>730</v>
      </c>
      <c r="AF338" s="10" t="s">
        <v>392</v>
      </c>
      <c r="AG338" s="10" t="s">
        <v>46</v>
      </c>
    </row>
    <row r="339" spans="1:33" ht="15.75" x14ac:dyDescent="0.25">
      <c r="A339" s="1">
        <v>5147746015841</v>
      </c>
      <c r="B339" s="6">
        <v>7710967733</v>
      </c>
      <c r="C339" s="7" t="s">
        <v>3153</v>
      </c>
      <c r="D339" s="7" t="s">
        <v>3154</v>
      </c>
      <c r="E339" s="6">
        <v>18991289</v>
      </c>
      <c r="F339" s="6">
        <v>45286560000</v>
      </c>
      <c r="G339" s="6">
        <v>34</v>
      </c>
      <c r="H339" s="6">
        <v>12300</v>
      </c>
      <c r="I339" s="6">
        <v>770501001</v>
      </c>
      <c r="J339" s="7" t="s">
        <v>3155</v>
      </c>
      <c r="K339" s="7"/>
      <c r="L339" s="1" t="s">
        <v>3156</v>
      </c>
      <c r="M339" s="7" t="s">
        <v>3157</v>
      </c>
      <c r="N339" s="7" t="s">
        <v>3158</v>
      </c>
      <c r="O339" s="7" t="s">
        <v>3159</v>
      </c>
      <c r="P339" s="8">
        <v>773014795780</v>
      </c>
      <c r="Q339" s="7" t="s">
        <v>41</v>
      </c>
      <c r="R339" s="7" t="s">
        <v>3160</v>
      </c>
      <c r="S339" s="7" t="s">
        <v>3161</v>
      </c>
      <c r="T339" s="7"/>
      <c r="U339" s="7"/>
      <c r="V339" s="1">
        <v>11093854</v>
      </c>
      <c r="W339" s="1">
        <v>968285000</v>
      </c>
      <c r="X339" s="1">
        <v>91014000</v>
      </c>
      <c r="Y339" s="1">
        <v>470415000</v>
      </c>
      <c r="Z339" s="1">
        <v>341353000</v>
      </c>
      <c r="AA339" s="1">
        <v>939335000</v>
      </c>
      <c r="AB339" s="1">
        <v>155729000</v>
      </c>
      <c r="AC339" s="1">
        <v>68816000</v>
      </c>
      <c r="AD339" s="1">
        <v>213011000</v>
      </c>
      <c r="AE339" s="7"/>
      <c r="AF339" s="7" t="s">
        <v>2618</v>
      </c>
      <c r="AG339" s="7" t="s">
        <v>46</v>
      </c>
    </row>
    <row r="340" spans="1:33" ht="15.75" x14ac:dyDescent="0.25">
      <c r="A340" s="3">
        <v>1027700448060</v>
      </c>
      <c r="B340" s="9">
        <v>7703039011</v>
      </c>
      <c r="C340" s="10" t="s">
        <v>3162</v>
      </c>
      <c r="D340" s="10" t="s">
        <v>3163</v>
      </c>
      <c r="E340" s="9">
        <v>42725183</v>
      </c>
      <c r="F340" s="9">
        <v>45263588000</v>
      </c>
      <c r="G340" s="9">
        <v>16</v>
      </c>
      <c r="H340" s="9">
        <v>12267</v>
      </c>
      <c r="I340" s="9">
        <v>771901001</v>
      </c>
      <c r="J340" s="10" t="s">
        <v>3164</v>
      </c>
      <c r="K340" s="10"/>
      <c r="L340" s="3" t="s">
        <v>445</v>
      </c>
      <c r="M340" s="10" t="s">
        <v>446</v>
      </c>
      <c r="N340" s="10" t="s">
        <v>1286</v>
      </c>
      <c r="O340" s="10" t="s">
        <v>3165</v>
      </c>
      <c r="P340" s="11">
        <v>770604969120</v>
      </c>
      <c r="Q340" s="10" t="s">
        <v>41</v>
      </c>
      <c r="R340" s="10" t="s">
        <v>3166</v>
      </c>
      <c r="S340" s="10" t="s">
        <v>3167</v>
      </c>
      <c r="T340" s="10" t="s">
        <v>3168</v>
      </c>
      <c r="U340" s="10"/>
      <c r="V340" s="3">
        <v>44440000</v>
      </c>
      <c r="W340" s="3">
        <v>568431000</v>
      </c>
      <c r="X340" s="3">
        <v>2928000</v>
      </c>
      <c r="Y340" s="3">
        <v>4000</v>
      </c>
      <c r="Z340" s="3">
        <v>157545000</v>
      </c>
      <c r="AA340" s="3">
        <v>172362000</v>
      </c>
      <c r="AB340" s="3">
        <v>-3167000</v>
      </c>
      <c r="AC340" s="3">
        <v>-56092000</v>
      </c>
      <c r="AD340" s="3">
        <v>-3107000</v>
      </c>
      <c r="AE340" s="10" t="s">
        <v>331</v>
      </c>
      <c r="AF340" s="10" t="s">
        <v>821</v>
      </c>
      <c r="AG340" s="10" t="s">
        <v>46</v>
      </c>
    </row>
    <row r="341" spans="1:33" ht="15.75" x14ac:dyDescent="0.25">
      <c r="A341" s="1">
        <v>1027700415852</v>
      </c>
      <c r="B341" s="6">
        <v>7711000988</v>
      </c>
      <c r="C341" s="7" t="s">
        <v>3169</v>
      </c>
      <c r="D341" s="7" t="s">
        <v>3170</v>
      </c>
      <c r="E341" s="6">
        <v>253111</v>
      </c>
      <c r="F341" s="6">
        <v>45277580000</v>
      </c>
      <c r="G341" s="6">
        <v>34</v>
      </c>
      <c r="H341" s="6">
        <v>12247</v>
      </c>
      <c r="I341" s="6">
        <v>774301001</v>
      </c>
      <c r="J341" s="7" t="s">
        <v>3171</v>
      </c>
      <c r="K341" s="7"/>
      <c r="L341" s="1" t="s">
        <v>445</v>
      </c>
      <c r="M341" s="7" t="s">
        <v>446</v>
      </c>
      <c r="N341" s="7" t="s">
        <v>3172</v>
      </c>
      <c r="O341" s="7" t="s">
        <v>3173</v>
      </c>
      <c r="P341" s="8">
        <v>772344386864</v>
      </c>
      <c r="Q341" s="7" t="s">
        <v>41</v>
      </c>
      <c r="R341" s="7" t="s">
        <v>3174</v>
      </c>
      <c r="S341" s="7" t="s">
        <v>3175</v>
      </c>
      <c r="T341" s="7"/>
      <c r="U341" s="7" t="s">
        <v>3176</v>
      </c>
      <c r="V341" s="1">
        <v>12201800</v>
      </c>
      <c r="W341" s="1">
        <v>236729000</v>
      </c>
      <c r="X341" s="1">
        <v>91043000</v>
      </c>
      <c r="Y341" s="1">
        <v>31000</v>
      </c>
      <c r="Z341" s="1">
        <v>64078000</v>
      </c>
      <c r="AA341" s="1">
        <v>53809000</v>
      </c>
      <c r="AB341" s="1">
        <v>-2680000</v>
      </c>
      <c r="AC341" s="1">
        <v>19567000</v>
      </c>
      <c r="AD341" s="1">
        <v>654000</v>
      </c>
      <c r="AE341" s="7" t="s">
        <v>331</v>
      </c>
      <c r="AF341" s="7" t="s">
        <v>3177</v>
      </c>
      <c r="AG341" s="7" t="s">
        <v>46</v>
      </c>
    </row>
    <row r="342" spans="1:33" ht="15.75" x14ac:dyDescent="0.25">
      <c r="A342" s="3">
        <v>1027700434299</v>
      </c>
      <c r="B342" s="9">
        <v>7737036386</v>
      </c>
      <c r="C342" s="10" t="s">
        <v>3178</v>
      </c>
      <c r="D342" s="10" t="s">
        <v>3179</v>
      </c>
      <c r="E342" s="9">
        <v>29174175</v>
      </c>
      <c r="F342" s="9">
        <v>45293562000</v>
      </c>
      <c r="G342" s="9">
        <v>16</v>
      </c>
      <c r="H342" s="9">
        <v>12300</v>
      </c>
      <c r="I342" s="9">
        <v>772701001</v>
      </c>
      <c r="J342" s="10" t="s">
        <v>3180</v>
      </c>
      <c r="K342" s="10"/>
      <c r="L342" s="3" t="s">
        <v>1401</v>
      </c>
      <c r="M342" s="10" t="s">
        <v>1402</v>
      </c>
      <c r="N342" s="10" t="s">
        <v>3181</v>
      </c>
      <c r="O342" s="10" t="s">
        <v>3182</v>
      </c>
      <c r="P342" s="11">
        <v>212710720746</v>
      </c>
      <c r="Q342" s="10" t="s">
        <v>41</v>
      </c>
      <c r="R342" s="10" t="s">
        <v>3183</v>
      </c>
      <c r="S342" s="10" t="s">
        <v>3184</v>
      </c>
      <c r="T342" s="10"/>
      <c r="U342" s="10"/>
      <c r="V342" s="3">
        <v>79835000</v>
      </c>
      <c r="W342" s="3">
        <v>352479000</v>
      </c>
      <c r="X342" s="3">
        <v>17499000</v>
      </c>
      <c r="Y342" s="3">
        <v>8102000</v>
      </c>
      <c r="Z342" s="3">
        <v>434080000</v>
      </c>
      <c r="AA342" s="3">
        <v>415713000</v>
      </c>
      <c r="AB342" s="3">
        <v>342000</v>
      </c>
      <c r="AC342" s="3">
        <v>-3004000</v>
      </c>
      <c r="AD342" s="3">
        <v>868000</v>
      </c>
      <c r="AE342" s="10" t="s">
        <v>730</v>
      </c>
      <c r="AF342" s="10" t="s">
        <v>1534</v>
      </c>
      <c r="AG342" s="10" t="s">
        <v>46</v>
      </c>
    </row>
    <row r="343" spans="1:33" ht="15.75" x14ac:dyDescent="0.25">
      <c r="A343" s="1">
        <v>5157746028270</v>
      </c>
      <c r="B343" s="6">
        <v>7714361510</v>
      </c>
      <c r="C343" s="7" t="s">
        <v>3185</v>
      </c>
      <c r="D343" s="7" t="s">
        <v>3186</v>
      </c>
      <c r="E343" s="6">
        <v>17914603</v>
      </c>
      <c r="F343" s="6">
        <v>45286585000</v>
      </c>
      <c r="G343" s="6">
        <v>23</v>
      </c>
      <c r="H343" s="6">
        <v>12300</v>
      </c>
      <c r="I343" s="6">
        <v>771001001</v>
      </c>
      <c r="J343" s="7" t="s">
        <v>3187</v>
      </c>
      <c r="K343" s="7"/>
      <c r="L343" s="1" t="s">
        <v>3188</v>
      </c>
      <c r="M343" s="7" t="s">
        <v>3189</v>
      </c>
      <c r="N343" s="7" t="s">
        <v>3190</v>
      </c>
      <c r="O343" s="7" t="s">
        <v>3191</v>
      </c>
      <c r="P343" s="8">
        <v>631805850079</v>
      </c>
      <c r="Q343" s="7" t="s">
        <v>41</v>
      </c>
      <c r="R343" s="7" t="s">
        <v>3192</v>
      </c>
      <c r="S343" s="7" t="s">
        <v>3193</v>
      </c>
      <c r="T343" s="7" t="s">
        <v>3194</v>
      </c>
      <c r="U343" s="7"/>
      <c r="V343" s="1">
        <v>21000000</v>
      </c>
      <c r="W343" s="1">
        <v>274867000</v>
      </c>
      <c r="X343" s="1">
        <v>17881000</v>
      </c>
      <c r="Y343" s="1">
        <v>11280000</v>
      </c>
      <c r="Z343" s="1">
        <v>142759000</v>
      </c>
      <c r="AA343" s="1">
        <v>101401000</v>
      </c>
      <c r="AB343" s="1">
        <v>28302000</v>
      </c>
      <c r="AC343" s="1">
        <v>65549000</v>
      </c>
      <c r="AD343" s="1">
        <v>38678000</v>
      </c>
      <c r="AE343" s="7"/>
      <c r="AF343" s="7" t="s">
        <v>286</v>
      </c>
      <c r="AG343" s="7" t="s">
        <v>46</v>
      </c>
    </row>
    <row r="344" spans="1:33" ht="15.75" x14ac:dyDescent="0.25">
      <c r="A344" s="3">
        <v>1027700589003</v>
      </c>
      <c r="B344" s="9">
        <v>7736189319</v>
      </c>
      <c r="C344" s="10" t="s">
        <v>3195</v>
      </c>
      <c r="D344" s="10" t="s">
        <v>3196</v>
      </c>
      <c r="E344" s="9">
        <v>18714125</v>
      </c>
      <c r="F344" s="9">
        <v>46460000000</v>
      </c>
      <c r="G344" s="9">
        <v>16</v>
      </c>
      <c r="H344" s="9">
        <v>12300</v>
      </c>
      <c r="I344" s="9">
        <v>507401001</v>
      </c>
      <c r="J344" s="10" t="s">
        <v>3197</v>
      </c>
      <c r="K344" s="10"/>
      <c r="L344" s="3" t="s">
        <v>404</v>
      </c>
      <c r="M344" s="10" t="s">
        <v>405</v>
      </c>
      <c r="N344" s="10" t="s">
        <v>3198</v>
      </c>
      <c r="O344" s="10" t="s">
        <v>3199</v>
      </c>
      <c r="P344" s="11">
        <v>773114327626</v>
      </c>
      <c r="Q344" s="10" t="s">
        <v>41</v>
      </c>
      <c r="R344" s="10" t="s">
        <v>3200</v>
      </c>
      <c r="S344" s="10" t="s">
        <v>3201</v>
      </c>
      <c r="T344" s="10"/>
      <c r="U344" s="10"/>
      <c r="V344" s="3">
        <v>21139100</v>
      </c>
      <c r="W344" s="3">
        <v>119386000</v>
      </c>
      <c r="X344" s="3">
        <v>6853000</v>
      </c>
      <c r="Y344" s="3">
        <v>1105000</v>
      </c>
      <c r="Z344" s="3">
        <v>9855000</v>
      </c>
      <c r="AA344" s="3">
        <v>14199000</v>
      </c>
      <c r="AB344" s="3">
        <v>2784000</v>
      </c>
      <c r="AC344" s="3">
        <v>0</v>
      </c>
      <c r="AD344" s="3">
        <v>0</v>
      </c>
      <c r="AE344" s="10" t="s">
        <v>317</v>
      </c>
      <c r="AF344" s="10" t="s">
        <v>493</v>
      </c>
      <c r="AG344" s="10" t="s">
        <v>46</v>
      </c>
    </row>
    <row r="345" spans="1:33" ht="15.75" x14ac:dyDescent="0.25">
      <c r="A345" s="1">
        <v>1027701003186</v>
      </c>
      <c r="B345" s="6">
        <v>7701308646</v>
      </c>
      <c r="C345" s="7" t="s">
        <v>3202</v>
      </c>
      <c r="D345" s="7" t="s">
        <v>3203</v>
      </c>
      <c r="E345" s="6">
        <v>58977053</v>
      </c>
      <c r="F345" s="6">
        <v>45283582000</v>
      </c>
      <c r="G345" s="6">
        <v>16</v>
      </c>
      <c r="H345" s="6">
        <v>12300</v>
      </c>
      <c r="I345" s="6">
        <v>773401001</v>
      </c>
      <c r="J345" s="7" t="s">
        <v>3204</v>
      </c>
      <c r="K345" s="7"/>
      <c r="L345" s="1" t="s">
        <v>2885</v>
      </c>
      <c r="M345" s="7" t="s">
        <v>2886</v>
      </c>
      <c r="N345" s="7" t="s">
        <v>3205</v>
      </c>
      <c r="O345" s="7" t="s">
        <v>3206</v>
      </c>
      <c r="P345" s="8">
        <v>773401406208</v>
      </c>
      <c r="Q345" s="7" t="s">
        <v>41</v>
      </c>
      <c r="R345" s="7" t="s">
        <v>3207</v>
      </c>
      <c r="S345" s="7" t="s">
        <v>3208</v>
      </c>
      <c r="T345" s="7" t="s">
        <v>3209</v>
      </c>
      <c r="U345" s="7" t="s">
        <v>3210</v>
      </c>
      <c r="V345" s="1">
        <v>10010000</v>
      </c>
      <c r="W345" s="1">
        <v>759536000</v>
      </c>
      <c r="X345" s="1">
        <v>15214000</v>
      </c>
      <c r="Y345" s="1">
        <v>149250000</v>
      </c>
      <c r="Z345" s="1">
        <v>59774000</v>
      </c>
      <c r="AA345" s="1">
        <v>44890000</v>
      </c>
      <c r="AB345" s="1">
        <v>1212000</v>
      </c>
      <c r="AC345" s="1">
        <v>25451000</v>
      </c>
      <c r="AD345" s="1">
        <v>2110000</v>
      </c>
      <c r="AE345" s="7" t="s">
        <v>331</v>
      </c>
      <c r="AF345" s="7" t="s">
        <v>97</v>
      </c>
      <c r="AG345" s="7" t="s">
        <v>46</v>
      </c>
    </row>
    <row r="346" spans="1:33" ht="15.75" x14ac:dyDescent="0.25">
      <c r="A346" s="3">
        <v>1027701021875</v>
      </c>
      <c r="B346" s="9">
        <v>7701319461</v>
      </c>
      <c r="C346" s="10" t="s">
        <v>3211</v>
      </c>
      <c r="D346" s="10" t="s">
        <v>3212</v>
      </c>
      <c r="E346" s="9">
        <v>59121242</v>
      </c>
      <c r="F346" s="9">
        <v>45286585000</v>
      </c>
      <c r="G346" s="9">
        <v>52</v>
      </c>
      <c r="H346" s="9">
        <v>12300</v>
      </c>
      <c r="I346" s="9">
        <v>770701001</v>
      </c>
      <c r="J346" s="10" t="s">
        <v>3213</v>
      </c>
      <c r="K346" s="10"/>
      <c r="L346" s="3" t="s">
        <v>3214</v>
      </c>
      <c r="M346" s="10" t="s">
        <v>3215</v>
      </c>
      <c r="N346" s="10" t="s">
        <v>3216</v>
      </c>
      <c r="O346" s="10" t="s">
        <v>3217</v>
      </c>
      <c r="P346" s="11">
        <v>771521885090</v>
      </c>
      <c r="Q346" s="10" t="s">
        <v>340</v>
      </c>
      <c r="R346" s="10" t="s">
        <v>3218</v>
      </c>
      <c r="S346" s="10" t="s">
        <v>3219</v>
      </c>
      <c r="T346" s="10"/>
      <c r="U346" s="10" t="s">
        <v>3220</v>
      </c>
      <c r="V346" s="3">
        <v>30360000</v>
      </c>
      <c r="W346" s="3">
        <v>286814000</v>
      </c>
      <c r="X346" s="3">
        <v>125412000</v>
      </c>
      <c r="Y346" s="3">
        <v>703000</v>
      </c>
      <c r="Z346" s="3">
        <v>21270000</v>
      </c>
      <c r="AA346" s="3">
        <v>17894000</v>
      </c>
      <c r="AB346" s="3">
        <v>5603000</v>
      </c>
      <c r="AC346" s="3">
        <v>-4698000</v>
      </c>
      <c r="AD346" s="3">
        <v>7630000</v>
      </c>
      <c r="AE346" s="10"/>
      <c r="AF346" s="10" t="s">
        <v>3221</v>
      </c>
      <c r="AG346" s="10" t="s">
        <v>46</v>
      </c>
    </row>
    <row r="347" spans="1:33" ht="15.75" x14ac:dyDescent="0.25">
      <c r="A347" s="1">
        <v>1027700576298</v>
      </c>
      <c r="B347" s="6">
        <v>7731151400</v>
      </c>
      <c r="C347" s="7" t="s">
        <v>3222</v>
      </c>
      <c r="D347" s="7" t="s">
        <v>3223</v>
      </c>
      <c r="E347" s="6">
        <v>36563865</v>
      </c>
      <c r="F347" s="6">
        <v>46490000000</v>
      </c>
      <c r="G347" s="6">
        <v>16</v>
      </c>
      <c r="H347" s="6">
        <v>12300</v>
      </c>
      <c r="I347" s="6">
        <v>505301001</v>
      </c>
      <c r="J347" s="7" t="s">
        <v>3224</v>
      </c>
      <c r="K347" s="7"/>
      <c r="L347" s="1" t="s">
        <v>404</v>
      </c>
      <c r="M347" s="7" t="s">
        <v>405</v>
      </c>
      <c r="N347" s="7" t="s">
        <v>3225</v>
      </c>
      <c r="O347" s="7" t="s">
        <v>3226</v>
      </c>
      <c r="P347" s="8">
        <v>505309298586</v>
      </c>
      <c r="Q347" s="7" t="s">
        <v>41</v>
      </c>
      <c r="R347" s="7" t="s">
        <v>3227</v>
      </c>
      <c r="S347" s="7" t="s">
        <v>3228</v>
      </c>
      <c r="T347" s="7"/>
      <c r="U347" s="7"/>
      <c r="V347" s="1">
        <v>45279652</v>
      </c>
      <c r="W347" s="1">
        <v>225174000</v>
      </c>
      <c r="X347" s="1">
        <v>267566000</v>
      </c>
      <c r="Y347" s="1">
        <v>3916000</v>
      </c>
      <c r="Z347" s="1">
        <v>170246000</v>
      </c>
      <c r="AA347" s="1">
        <v>187474000</v>
      </c>
      <c r="AB347" s="1">
        <v>914000</v>
      </c>
      <c r="AC347" s="1">
        <v>0</v>
      </c>
      <c r="AD347" s="1">
        <v>0</v>
      </c>
      <c r="AE347" s="7" t="s">
        <v>317</v>
      </c>
      <c r="AF347" s="7" t="s">
        <v>307</v>
      </c>
      <c r="AG347" s="7" t="s">
        <v>46</v>
      </c>
    </row>
    <row r="348" spans="1:33" ht="15.75" x14ac:dyDescent="0.25">
      <c r="A348" s="3">
        <v>5157746215215</v>
      </c>
      <c r="B348" s="9">
        <v>7706432164</v>
      </c>
      <c r="C348" s="10" t="s">
        <v>3229</v>
      </c>
      <c r="D348" s="10" t="s">
        <v>3230</v>
      </c>
      <c r="E348" s="9">
        <v>17483072</v>
      </c>
      <c r="F348" s="9">
        <v>45286585000</v>
      </c>
      <c r="G348" s="9">
        <v>16</v>
      </c>
      <c r="H348" s="9">
        <v>12300</v>
      </c>
      <c r="I348" s="9">
        <v>770701001</v>
      </c>
      <c r="J348" s="10" t="s">
        <v>2935</v>
      </c>
      <c r="K348" s="10"/>
      <c r="L348" s="3" t="s">
        <v>1072</v>
      </c>
      <c r="M348" s="10" t="s">
        <v>1073</v>
      </c>
      <c r="N348" s="10" t="s">
        <v>3231</v>
      </c>
      <c r="O348" s="10" t="s">
        <v>3232</v>
      </c>
      <c r="P348" s="11">
        <v>771614247069</v>
      </c>
      <c r="Q348" s="10" t="s">
        <v>41</v>
      </c>
      <c r="R348" s="10" t="s">
        <v>3233</v>
      </c>
      <c r="S348" s="10" t="s">
        <v>3234</v>
      </c>
      <c r="T348" s="10"/>
      <c r="U348" s="10"/>
      <c r="V348" s="3">
        <v>23268667</v>
      </c>
      <c r="W348" s="3">
        <v>185709000</v>
      </c>
      <c r="X348" s="3">
        <v>83000</v>
      </c>
      <c r="Y348" s="3">
        <v>102917000</v>
      </c>
      <c r="Z348" s="3">
        <v>23988000</v>
      </c>
      <c r="AA348" s="3">
        <v>10513000</v>
      </c>
      <c r="AB348" s="3">
        <v>10175000</v>
      </c>
      <c r="AC348" s="3">
        <v>27708000</v>
      </c>
      <c r="AD348" s="3">
        <v>15533000</v>
      </c>
      <c r="AE348" s="10" t="s">
        <v>331</v>
      </c>
      <c r="AF348" s="10" t="s">
        <v>1689</v>
      </c>
      <c r="AG348" s="10" t="s">
        <v>319</v>
      </c>
    </row>
    <row r="349" spans="1:33" ht="15.75" x14ac:dyDescent="0.25">
      <c r="A349" s="3">
        <v>1027700108017</v>
      </c>
      <c r="B349" s="9">
        <v>7711002015</v>
      </c>
      <c r="C349" s="10" t="s">
        <v>3235</v>
      </c>
      <c r="D349" s="10" t="s">
        <v>3236</v>
      </c>
      <c r="E349" s="9">
        <v>2965500</v>
      </c>
      <c r="F349" s="9">
        <v>45277571000</v>
      </c>
      <c r="G349" s="9">
        <v>16</v>
      </c>
      <c r="H349" s="9">
        <v>12267</v>
      </c>
      <c r="I349" s="9">
        <v>774301001</v>
      </c>
      <c r="J349" s="10" t="s">
        <v>3237</v>
      </c>
      <c r="K349" s="10"/>
      <c r="L349" s="3" t="s">
        <v>445</v>
      </c>
      <c r="M349" s="10" t="s">
        <v>446</v>
      </c>
      <c r="N349" s="10" t="s">
        <v>3238</v>
      </c>
      <c r="O349" s="10" t="s">
        <v>3239</v>
      </c>
      <c r="P349" s="11">
        <v>772169543102</v>
      </c>
      <c r="Q349" s="10" t="s">
        <v>41</v>
      </c>
      <c r="R349" s="10" t="s">
        <v>3240</v>
      </c>
      <c r="S349" s="10" t="s">
        <v>3241</v>
      </c>
      <c r="T349" s="10" t="s">
        <v>3242</v>
      </c>
      <c r="U349" s="10" t="s">
        <v>3243</v>
      </c>
      <c r="V349" s="3">
        <v>31694247</v>
      </c>
      <c r="W349" s="3">
        <v>244739000</v>
      </c>
      <c r="X349" s="3">
        <v>37063000</v>
      </c>
      <c r="Y349" s="3">
        <v>550000</v>
      </c>
      <c r="Z349" s="3">
        <v>30897000</v>
      </c>
      <c r="AA349" s="3">
        <v>24713000</v>
      </c>
      <c r="AB349" s="3">
        <v>363000</v>
      </c>
      <c r="AC349" s="3">
        <v>14560000</v>
      </c>
      <c r="AD349" s="3">
        <v>3579000</v>
      </c>
      <c r="AE349" s="10" t="s">
        <v>331</v>
      </c>
      <c r="AF349" s="10" t="s">
        <v>2014</v>
      </c>
      <c r="AG349" s="10" t="s">
        <v>46</v>
      </c>
    </row>
    <row r="350" spans="1:33" ht="15.75" x14ac:dyDescent="0.25">
      <c r="A350" s="3">
        <v>1112100000011</v>
      </c>
      <c r="B350" s="9">
        <v>2104008008</v>
      </c>
      <c r="C350" s="10"/>
      <c r="D350" s="10" t="s">
        <v>3244</v>
      </c>
      <c r="E350" s="9">
        <v>65675447</v>
      </c>
      <c r="F350" s="9">
        <v>97210878003</v>
      </c>
      <c r="G350" s="9">
        <v>54</v>
      </c>
      <c r="H350" s="9">
        <v>71500</v>
      </c>
      <c r="I350" s="9">
        <v>210401001</v>
      </c>
      <c r="J350" s="10" t="s">
        <v>3245</v>
      </c>
      <c r="K350" s="10"/>
      <c r="L350" s="3" t="s">
        <v>3246</v>
      </c>
      <c r="M350" s="10" t="s">
        <v>3247</v>
      </c>
      <c r="N350" s="10"/>
      <c r="O350" s="10" t="s">
        <v>3248</v>
      </c>
      <c r="P350" s="11">
        <v>210402907418</v>
      </c>
      <c r="Q350" s="10" t="s">
        <v>3249</v>
      </c>
      <c r="R350" s="10" t="s">
        <v>3250</v>
      </c>
      <c r="S350" s="10" t="s">
        <v>3251</v>
      </c>
      <c r="T350" s="10"/>
      <c r="U350" s="10"/>
      <c r="V350" s="3"/>
      <c r="W350" s="3"/>
      <c r="X350" s="3"/>
      <c r="Y350" s="3"/>
      <c r="Z350" s="3"/>
      <c r="AA350" s="3"/>
      <c r="AB350" s="3"/>
      <c r="AC350" s="3"/>
      <c r="AD350" s="3"/>
      <c r="AE350" s="10"/>
      <c r="AF350" s="10"/>
      <c r="AG350" s="10" t="s">
        <v>46</v>
      </c>
    </row>
    <row r="351" spans="1:33" ht="15.75" x14ac:dyDescent="0.25">
      <c r="A351" s="1">
        <v>1242100000086</v>
      </c>
      <c r="B351" s="6">
        <v>2100013060</v>
      </c>
      <c r="C351" s="7" t="s">
        <v>3252</v>
      </c>
      <c r="D351" s="7" t="s">
        <v>3253</v>
      </c>
      <c r="E351" s="6">
        <v>83819737</v>
      </c>
      <c r="F351" s="6">
        <v>97253501000</v>
      </c>
      <c r="G351" s="6">
        <v>14</v>
      </c>
      <c r="H351" s="6">
        <v>75404</v>
      </c>
      <c r="I351" s="6">
        <v>210001001</v>
      </c>
      <c r="J351" s="7" t="s">
        <v>3254</v>
      </c>
      <c r="K351" s="7"/>
      <c r="L351" s="1" t="s">
        <v>3255</v>
      </c>
      <c r="M351" s="7" t="s">
        <v>3256</v>
      </c>
      <c r="N351" s="7"/>
      <c r="O351" s="7" t="s">
        <v>3257</v>
      </c>
      <c r="P351" s="8">
        <v>211901420692</v>
      </c>
      <c r="Q351" s="7" t="s">
        <v>150</v>
      </c>
      <c r="R351" s="7" t="s">
        <v>3258</v>
      </c>
      <c r="S351" s="7" t="s">
        <v>3259</v>
      </c>
      <c r="T351" s="7"/>
      <c r="U351" s="7"/>
      <c r="V351" s="1"/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7"/>
      <c r="AF351" s="7"/>
      <c r="AG351" s="7" t="s">
        <v>46</v>
      </c>
    </row>
    <row r="352" spans="1:33" ht="15.75" x14ac:dyDescent="0.25">
      <c r="A352" s="1">
        <v>1232100002837</v>
      </c>
      <c r="B352" s="6">
        <v>2100006320</v>
      </c>
      <c r="C352" s="7"/>
      <c r="D352" s="7" t="s">
        <v>3260</v>
      </c>
      <c r="E352" s="6">
        <v>60872098</v>
      </c>
      <c r="F352" s="6">
        <v>97407000000</v>
      </c>
      <c r="G352" s="6">
        <v>54</v>
      </c>
      <c r="H352" s="6">
        <v>71500</v>
      </c>
      <c r="I352" s="6">
        <v>210001001</v>
      </c>
      <c r="J352" s="7" t="s">
        <v>3261</v>
      </c>
      <c r="K352" s="7"/>
      <c r="L352" s="1" t="s">
        <v>3246</v>
      </c>
      <c r="M352" s="7" t="s">
        <v>3247</v>
      </c>
      <c r="N352" s="7"/>
      <c r="O352" s="7" t="s">
        <v>3262</v>
      </c>
      <c r="P352" s="8">
        <v>212300962910</v>
      </c>
      <c r="Q352" s="7" t="s">
        <v>3249</v>
      </c>
      <c r="R352" s="7" t="s">
        <v>3263</v>
      </c>
      <c r="S352" s="7" t="s">
        <v>3264</v>
      </c>
      <c r="T352" s="7"/>
      <c r="U352" s="7"/>
      <c r="V352" s="1"/>
      <c r="W352" s="1"/>
      <c r="X352" s="1"/>
      <c r="Y352" s="1"/>
      <c r="Z352" s="1"/>
      <c r="AA352" s="1"/>
      <c r="AB352" s="1"/>
      <c r="AC352" s="1"/>
      <c r="AD352" s="1"/>
      <c r="AE352" s="7"/>
      <c r="AF352" s="7"/>
      <c r="AG352" s="7" t="s">
        <v>46</v>
      </c>
    </row>
    <row r="353" spans="1:33" ht="15.75" x14ac:dyDescent="0.25">
      <c r="A353" s="3">
        <v>1222100009240</v>
      </c>
      <c r="B353" s="9">
        <v>2100002781</v>
      </c>
      <c r="C353" s="10" t="s">
        <v>3265</v>
      </c>
      <c r="D353" s="10" t="s">
        <v>3266</v>
      </c>
      <c r="E353" s="9">
        <v>78588388</v>
      </c>
      <c r="F353" s="9">
        <v>97221825001</v>
      </c>
      <c r="G353" s="9">
        <v>14</v>
      </c>
      <c r="H353" s="9">
        <v>75404</v>
      </c>
      <c r="I353" s="9">
        <v>210001001</v>
      </c>
      <c r="J353" s="10" t="s">
        <v>3267</v>
      </c>
      <c r="K353" s="10"/>
      <c r="L353" s="3" t="s">
        <v>3268</v>
      </c>
      <c r="M353" s="10" t="s">
        <v>3269</v>
      </c>
      <c r="N353" s="10" t="s">
        <v>3270</v>
      </c>
      <c r="O353" s="10" t="s">
        <v>3271</v>
      </c>
      <c r="P353" s="11">
        <v>511301294645</v>
      </c>
      <c r="Q353" s="10" t="s">
        <v>3272</v>
      </c>
      <c r="R353" s="10" t="s">
        <v>3273</v>
      </c>
      <c r="S353" s="10" t="s">
        <v>3274</v>
      </c>
      <c r="T353" s="10"/>
      <c r="U353" s="10" t="s">
        <v>3275</v>
      </c>
      <c r="V353" s="3"/>
      <c r="W353" s="3"/>
      <c r="X353" s="3"/>
      <c r="Y353" s="3"/>
      <c r="Z353" s="3"/>
      <c r="AA353" s="3"/>
      <c r="AB353" s="3"/>
      <c r="AC353" s="3"/>
      <c r="AD353" s="3"/>
      <c r="AE353" s="10"/>
      <c r="AF353" s="10"/>
      <c r="AG353" s="10" t="s">
        <v>46</v>
      </c>
    </row>
    <row r="354" spans="1:33" ht="15.75" x14ac:dyDescent="0.25">
      <c r="A354" s="1">
        <v>1222100009230</v>
      </c>
      <c r="B354" s="6">
        <v>2100002774</v>
      </c>
      <c r="C354" s="7" t="s">
        <v>3276</v>
      </c>
      <c r="D354" s="7" t="s">
        <v>3277</v>
      </c>
      <c r="E354" s="6">
        <v>78589850</v>
      </c>
      <c r="F354" s="6">
        <v>97205805001</v>
      </c>
      <c r="G354" s="6">
        <v>14</v>
      </c>
      <c r="H354" s="6">
        <v>75404</v>
      </c>
      <c r="I354" s="6">
        <v>210001001</v>
      </c>
      <c r="J354" s="7" t="s">
        <v>3267</v>
      </c>
      <c r="K354" s="7"/>
      <c r="L354" s="1" t="s">
        <v>3268</v>
      </c>
      <c r="M354" s="7" t="s">
        <v>3269</v>
      </c>
      <c r="N354" s="7" t="s">
        <v>3278</v>
      </c>
      <c r="O354" s="7" t="s">
        <v>3279</v>
      </c>
      <c r="P354" s="8">
        <v>210200957744</v>
      </c>
      <c r="Q354" s="7" t="s">
        <v>3280</v>
      </c>
      <c r="R354" s="7" t="s">
        <v>3281</v>
      </c>
      <c r="S354" s="7" t="s">
        <v>3282</v>
      </c>
      <c r="T354" s="7"/>
      <c r="U354" s="7"/>
      <c r="V354" s="1"/>
      <c r="W354" s="1"/>
      <c r="X354" s="1"/>
      <c r="Y354" s="1"/>
      <c r="Z354" s="1"/>
      <c r="AA354" s="1"/>
      <c r="AB354" s="1"/>
      <c r="AC354" s="1"/>
      <c r="AD354" s="1"/>
      <c r="AE354" s="7"/>
      <c r="AF354" s="7"/>
      <c r="AG354" s="7" t="s">
        <v>46</v>
      </c>
    </row>
    <row r="355" spans="1:33" ht="15.75" x14ac:dyDescent="0.25">
      <c r="A355" s="3">
        <v>1222100009702</v>
      </c>
      <c r="B355" s="9">
        <v>2100003256</v>
      </c>
      <c r="C355" s="10" t="s">
        <v>3283</v>
      </c>
      <c r="D355" s="10" t="s">
        <v>3284</v>
      </c>
      <c r="E355" s="9">
        <v>82431215</v>
      </c>
      <c r="F355" s="9">
        <v>97410000000</v>
      </c>
      <c r="G355" s="9">
        <v>16</v>
      </c>
      <c r="H355" s="9">
        <v>71400</v>
      </c>
      <c r="I355" s="9">
        <v>210001001</v>
      </c>
      <c r="J355" s="10" t="s">
        <v>3285</v>
      </c>
      <c r="K355" s="10"/>
      <c r="L355" s="3" t="s">
        <v>3286</v>
      </c>
      <c r="M355" s="10" t="s">
        <v>3287</v>
      </c>
      <c r="N355" s="10" t="s">
        <v>565</v>
      </c>
      <c r="O355" s="10" t="s">
        <v>3288</v>
      </c>
      <c r="P355" s="11">
        <v>212701338178</v>
      </c>
      <c r="Q355" s="10" t="s">
        <v>150</v>
      </c>
      <c r="R355" s="10" t="s">
        <v>3289</v>
      </c>
      <c r="S355" s="10" t="s">
        <v>3290</v>
      </c>
      <c r="T355" s="10"/>
      <c r="U355" s="10" t="s">
        <v>3291</v>
      </c>
      <c r="V355" s="3"/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10"/>
      <c r="AF355" s="10"/>
      <c r="AG355" s="10" t="s">
        <v>46</v>
      </c>
    </row>
    <row r="356" spans="1:33" ht="15.75" x14ac:dyDescent="0.25">
      <c r="A356" s="1">
        <v>1232100002925</v>
      </c>
      <c r="B356" s="6">
        <v>2100006419</v>
      </c>
      <c r="C356" s="7" t="s">
        <v>3292</v>
      </c>
      <c r="D356" s="7" t="s">
        <v>3293</v>
      </c>
      <c r="E356" s="6">
        <v>49762000</v>
      </c>
      <c r="F356" s="6">
        <v>97401000000</v>
      </c>
      <c r="G356" s="6">
        <v>53</v>
      </c>
      <c r="H356" s="6">
        <v>20200</v>
      </c>
      <c r="I356" s="6">
        <v>210001001</v>
      </c>
      <c r="J356" s="7" t="s">
        <v>3294</v>
      </c>
      <c r="K356" s="7"/>
      <c r="L356" s="1" t="s">
        <v>3295</v>
      </c>
      <c r="M356" s="7" t="s">
        <v>3296</v>
      </c>
      <c r="N356" s="7" t="s">
        <v>3297</v>
      </c>
      <c r="O356" s="7" t="s">
        <v>3298</v>
      </c>
      <c r="P356" s="8">
        <v>662100114708</v>
      </c>
      <c r="Q356" s="7" t="s">
        <v>3299</v>
      </c>
      <c r="R356" s="7" t="s">
        <v>3300</v>
      </c>
      <c r="S356" s="7" t="s">
        <v>3301</v>
      </c>
      <c r="T356" s="7"/>
      <c r="U356" s="7" t="s">
        <v>3302</v>
      </c>
      <c r="V356" s="1"/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7"/>
      <c r="AF356" s="7"/>
      <c r="AG356" s="7" t="s">
        <v>46</v>
      </c>
    </row>
    <row r="357" spans="1:33" ht="15.75" x14ac:dyDescent="0.25">
      <c r="A357" s="1">
        <v>1232100009294</v>
      </c>
      <c r="B357" s="6">
        <v>2100012733</v>
      </c>
      <c r="C357" s="7" t="s">
        <v>3303</v>
      </c>
      <c r="D357" s="7" t="s">
        <v>3304</v>
      </c>
      <c r="E357" s="6">
        <v>98401469</v>
      </c>
      <c r="F357" s="6">
        <v>97401000000</v>
      </c>
      <c r="G357" s="6">
        <v>16</v>
      </c>
      <c r="H357" s="6">
        <v>70400</v>
      </c>
      <c r="I357" s="6">
        <v>210001001</v>
      </c>
      <c r="J357" s="7" t="s">
        <v>3305</v>
      </c>
      <c r="K357" s="7"/>
      <c r="L357" s="1" t="s">
        <v>3306</v>
      </c>
      <c r="M357" s="7" t="s">
        <v>3307</v>
      </c>
      <c r="N357" s="7" t="s">
        <v>3308</v>
      </c>
      <c r="O357" s="7" t="s">
        <v>3309</v>
      </c>
      <c r="P357" s="8">
        <v>212717098394</v>
      </c>
      <c r="Q357" s="7" t="s">
        <v>150</v>
      </c>
      <c r="R357" s="7" t="s">
        <v>3310</v>
      </c>
      <c r="S357" s="7" t="s">
        <v>3311</v>
      </c>
      <c r="T357" s="7"/>
      <c r="U357" s="7"/>
      <c r="V357" s="1"/>
      <c r="W357" s="1">
        <v>0</v>
      </c>
      <c r="X357" s="1">
        <v>0</v>
      </c>
      <c r="Y357" s="1">
        <v>0</v>
      </c>
      <c r="Z357" s="1">
        <v>0</v>
      </c>
      <c r="AA357" s="1">
        <v>2000</v>
      </c>
      <c r="AB357" s="1">
        <v>0</v>
      </c>
      <c r="AC357" s="1">
        <v>0</v>
      </c>
      <c r="AD357" s="1">
        <v>0</v>
      </c>
      <c r="AE357" s="7"/>
      <c r="AF357" s="7"/>
      <c r="AG357" s="7" t="s">
        <v>46</v>
      </c>
    </row>
    <row r="358" spans="1:33" ht="15.75" x14ac:dyDescent="0.25">
      <c r="A358" s="3">
        <v>1222100004037</v>
      </c>
      <c r="B358" s="9">
        <v>2108003667</v>
      </c>
      <c r="C358" s="10" t="s">
        <v>3312</v>
      </c>
      <c r="D358" s="10" t="s">
        <v>3313</v>
      </c>
      <c r="E358" s="9">
        <v>49168461</v>
      </c>
      <c r="F358" s="9">
        <v>97221855002</v>
      </c>
      <c r="G358" s="9">
        <v>53</v>
      </c>
      <c r="H358" s="9">
        <v>20200</v>
      </c>
      <c r="I358" s="9">
        <v>210801001</v>
      </c>
      <c r="J358" s="10" t="s">
        <v>3314</v>
      </c>
      <c r="K358" s="10"/>
      <c r="L358" s="3" t="s">
        <v>3315</v>
      </c>
      <c r="M358" s="10" t="s">
        <v>3316</v>
      </c>
      <c r="N358" s="10"/>
      <c r="O358" s="10" t="s">
        <v>3317</v>
      </c>
      <c r="P358" s="11">
        <v>210800018440</v>
      </c>
      <c r="Q358" s="10" t="s">
        <v>3299</v>
      </c>
      <c r="R358" s="10" t="s">
        <v>3318</v>
      </c>
      <c r="S358" s="10" t="s">
        <v>3319</v>
      </c>
      <c r="T358" s="10"/>
      <c r="U358" s="10" t="s">
        <v>3320</v>
      </c>
      <c r="V358" s="3"/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10"/>
      <c r="AF358" s="10"/>
      <c r="AG358" s="10" t="s">
        <v>46</v>
      </c>
    </row>
    <row r="359" spans="1:33" ht="15.75" x14ac:dyDescent="0.25">
      <c r="A359" s="3">
        <v>1242100007181</v>
      </c>
      <c r="B359" s="9">
        <v>2100020149</v>
      </c>
      <c r="C359" s="10"/>
      <c r="D359" s="10" t="s">
        <v>3321</v>
      </c>
      <c r="E359" s="9">
        <v>95915618</v>
      </c>
      <c r="F359" s="9">
        <v>97253501000</v>
      </c>
      <c r="G359" s="9">
        <v>53</v>
      </c>
      <c r="H359" s="9">
        <v>20200</v>
      </c>
      <c r="I359" s="9">
        <v>210001001</v>
      </c>
      <c r="J359" s="10" t="s">
        <v>3322</v>
      </c>
      <c r="K359" s="10"/>
      <c r="L359" s="3" t="s">
        <v>3315</v>
      </c>
      <c r="M359" s="10" t="s">
        <v>3316</v>
      </c>
      <c r="N359" s="10" t="s">
        <v>3323</v>
      </c>
      <c r="O359" s="10" t="s">
        <v>3324</v>
      </c>
      <c r="P359" s="11">
        <v>211902589483</v>
      </c>
      <c r="Q359" s="10" t="s">
        <v>3325</v>
      </c>
      <c r="R359" s="10" t="s">
        <v>3326</v>
      </c>
      <c r="S359" s="10" t="s">
        <v>3327</v>
      </c>
      <c r="T359" s="10"/>
      <c r="U359" s="10" t="s">
        <v>3328</v>
      </c>
      <c r="V359" s="3"/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10"/>
      <c r="AF359" s="10"/>
      <c r="AG359" s="10" t="s">
        <v>46</v>
      </c>
    </row>
    <row r="360" spans="1:33" ht="15.75" x14ac:dyDescent="0.25">
      <c r="A360" s="1">
        <v>1232100006764</v>
      </c>
      <c r="B360" s="6">
        <v>2100010214</v>
      </c>
      <c r="C360" s="7" t="s">
        <v>3329</v>
      </c>
      <c r="D360" s="7" t="s">
        <v>3330</v>
      </c>
      <c r="E360" s="6">
        <v>49252813</v>
      </c>
      <c r="F360" s="6">
        <v>97401000000</v>
      </c>
      <c r="G360" s="6">
        <v>16</v>
      </c>
      <c r="H360" s="6">
        <v>20700</v>
      </c>
      <c r="I360" s="6">
        <v>210001001</v>
      </c>
      <c r="J360" s="7" t="s">
        <v>3331</v>
      </c>
      <c r="K360" s="7"/>
      <c r="L360" s="1" t="s">
        <v>367</v>
      </c>
      <c r="M360" s="7" t="s">
        <v>368</v>
      </c>
      <c r="N360" s="7" t="s">
        <v>3332</v>
      </c>
      <c r="O360" s="7" t="s">
        <v>3333</v>
      </c>
      <c r="P360" s="8">
        <v>211301240401</v>
      </c>
      <c r="Q360" s="7" t="s">
        <v>3299</v>
      </c>
      <c r="R360" s="7" t="s">
        <v>3334</v>
      </c>
      <c r="S360" s="7" t="s">
        <v>3335</v>
      </c>
      <c r="T360" s="7"/>
      <c r="U360" s="7" t="s">
        <v>3336</v>
      </c>
      <c r="V360" s="1"/>
      <c r="W360" s="1">
        <v>0</v>
      </c>
      <c r="X360" s="1">
        <v>0</v>
      </c>
      <c r="Y360" s="1">
        <v>0</v>
      </c>
      <c r="Z360" s="1">
        <v>3216000</v>
      </c>
      <c r="AA360" s="1">
        <v>3098000</v>
      </c>
      <c r="AB360" s="1">
        <v>0</v>
      </c>
      <c r="AC360" s="1">
        <v>0</v>
      </c>
      <c r="AD360" s="1">
        <v>0</v>
      </c>
      <c r="AE360" s="7"/>
      <c r="AF360" s="7"/>
      <c r="AG360" s="7" t="s">
        <v>46</v>
      </c>
    </row>
    <row r="361" spans="1:33" ht="15.75" x14ac:dyDescent="0.25">
      <c r="A361" s="3">
        <v>1222100004125</v>
      </c>
      <c r="B361" s="9">
        <v>2130232422</v>
      </c>
      <c r="C361" s="10" t="s">
        <v>3337</v>
      </c>
      <c r="D361" s="10" t="s">
        <v>3338</v>
      </c>
      <c r="E361" s="9">
        <v>57669125</v>
      </c>
      <c r="F361" s="9">
        <v>97401000000</v>
      </c>
      <c r="G361" s="9">
        <v>53</v>
      </c>
      <c r="H361" s="9">
        <v>20200</v>
      </c>
      <c r="I361" s="9">
        <v>213001001</v>
      </c>
      <c r="J361" s="10" t="s">
        <v>3339</v>
      </c>
      <c r="K361" s="10"/>
      <c r="L361" s="3" t="s">
        <v>3315</v>
      </c>
      <c r="M361" s="10" t="s">
        <v>3316</v>
      </c>
      <c r="N361" s="10" t="s">
        <v>3340</v>
      </c>
      <c r="O361" s="10" t="s">
        <v>3341</v>
      </c>
      <c r="P361" s="11">
        <v>212806211612</v>
      </c>
      <c r="Q361" s="10" t="s">
        <v>3299</v>
      </c>
      <c r="R361" s="10" t="s">
        <v>3342</v>
      </c>
      <c r="S361" s="10" t="s">
        <v>3343</v>
      </c>
      <c r="T361" s="10"/>
      <c r="U361" s="10" t="s">
        <v>3344</v>
      </c>
      <c r="V361" s="3"/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10"/>
      <c r="AF361" s="10"/>
      <c r="AG361" s="10" t="s">
        <v>46</v>
      </c>
    </row>
    <row r="362" spans="1:33" ht="15.75" x14ac:dyDescent="0.25">
      <c r="A362" s="1">
        <v>1222100004114</v>
      </c>
      <c r="B362" s="6">
        <v>2130232415</v>
      </c>
      <c r="C362" s="7" t="s">
        <v>3345</v>
      </c>
      <c r="D362" s="7" t="s">
        <v>3346</v>
      </c>
      <c r="E362" s="6">
        <v>57670453</v>
      </c>
      <c r="F362" s="6">
        <v>97401000000</v>
      </c>
      <c r="G362" s="6">
        <v>53</v>
      </c>
      <c r="H362" s="6">
        <v>20200</v>
      </c>
      <c r="I362" s="6">
        <v>213001001</v>
      </c>
      <c r="J362" s="7" t="s">
        <v>3339</v>
      </c>
      <c r="K362" s="7"/>
      <c r="L362" s="1" t="s">
        <v>3347</v>
      </c>
      <c r="M362" s="7" t="s">
        <v>3348</v>
      </c>
      <c r="N362" s="7" t="s">
        <v>3349</v>
      </c>
      <c r="O362" s="7" t="s">
        <v>3350</v>
      </c>
      <c r="P362" s="8">
        <v>212409343690</v>
      </c>
      <c r="Q362" s="7" t="s">
        <v>3351</v>
      </c>
      <c r="R362" s="7" t="s">
        <v>3352</v>
      </c>
      <c r="S362" s="7" t="s">
        <v>3353</v>
      </c>
      <c r="T362" s="7"/>
      <c r="U362" s="7" t="s">
        <v>3354</v>
      </c>
      <c r="V362" s="1"/>
      <c r="W362" s="1">
        <v>0</v>
      </c>
      <c r="X362" s="1">
        <v>0</v>
      </c>
      <c r="Y362" s="1">
        <v>86000</v>
      </c>
      <c r="Z362" s="1">
        <v>1757000</v>
      </c>
      <c r="AA362" s="1">
        <v>36000</v>
      </c>
      <c r="AB362" s="1">
        <v>0</v>
      </c>
      <c r="AC362" s="1">
        <v>0</v>
      </c>
      <c r="AD362" s="1">
        <v>0</v>
      </c>
      <c r="AE362" s="7"/>
      <c r="AF362" s="7"/>
      <c r="AG362" s="7" t="s">
        <v>46</v>
      </c>
    </row>
    <row r="363" spans="1:33" ht="15.75" x14ac:dyDescent="0.25">
      <c r="A363" s="3">
        <v>1222100009801</v>
      </c>
      <c r="B363" s="9">
        <v>2100003344</v>
      </c>
      <c r="C363" s="10" t="s">
        <v>3355</v>
      </c>
      <c r="D363" s="10" t="s">
        <v>3356</v>
      </c>
      <c r="E363" s="9">
        <v>48338949</v>
      </c>
      <c r="F363" s="9">
        <v>97207810001</v>
      </c>
      <c r="G363" s="9">
        <v>14</v>
      </c>
      <c r="H363" s="9">
        <v>75404</v>
      </c>
      <c r="I363" s="9">
        <v>210001001</v>
      </c>
      <c r="J363" s="10" t="s">
        <v>2123</v>
      </c>
      <c r="K363" s="10"/>
      <c r="L363" s="3" t="s">
        <v>3268</v>
      </c>
      <c r="M363" s="10" t="s">
        <v>3269</v>
      </c>
      <c r="N363" s="10" t="s">
        <v>3270</v>
      </c>
      <c r="O363" s="10" t="s">
        <v>3357</v>
      </c>
      <c r="P363" s="11">
        <v>210301849456</v>
      </c>
      <c r="Q363" s="10" t="s">
        <v>3358</v>
      </c>
      <c r="R363" s="10" t="s">
        <v>3359</v>
      </c>
      <c r="S363" s="10" t="s">
        <v>3360</v>
      </c>
      <c r="T363" s="10"/>
      <c r="U363" s="10" t="s">
        <v>3361</v>
      </c>
      <c r="V363" s="3"/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10"/>
      <c r="AF363" s="10"/>
      <c r="AG363" s="10" t="s">
        <v>46</v>
      </c>
    </row>
    <row r="364" spans="1:33" ht="15.75" x14ac:dyDescent="0.25">
      <c r="A364" s="1">
        <v>1222100009812</v>
      </c>
      <c r="B364" s="6">
        <v>2100003351</v>
      </c>
      <c r="C364" s="7" t="s">
        <v>3362</v>
      </c>
      <c r="D364" s="7" t="s">
        <v>3363</v>
      </c>
      <c r="E364" s="6">
        <v>48383654</v>
      </c>
      <c r="F364" s="6">
        <v>97401000000</v>
      </c>
      <c r="G364" s="6">
        <v>16</v>
      </c>
      <c r="H364" s="6">
        <v>71400</v>
      </c>
      <c r="I364" s="6">
        <v>210001001</v>
      </c>
      <c r="J364" s="7" t="s">
        <v>2123</v>
      </c>
      <c r="K364" s="7"/>
      <c r="L364" s="1" t="s">
        <v>3364</v>
      </c>
      <c r="M364" s="7" t="s">
        <v>3365</v>
      </c>
      <c r="N364" s="7" t="s">
        <v>3366</v>
      </c>
      <c r="O364" s="7" t="s">
        <v>3367</v>
      </c>
      <c r="P364" s="8">
        <v>213001255270</v>
      </c>
      <c r="Q364" s="7" t="s">
        <v>150</v>
      </c>
      <c r="R364" s="7" t="s">
        <v>3368</v>
      </c>
      <c r="S364" s="7" t="s">
        <v>3369</v>
      </c>
      <c r="T364" s="7"/>
      <c r="U364" s="7" t="s">
        <v>3370</v>
      </c>
      <c r="V364" s="1"/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7"/>
      <c r="AF364" s="7"/>
      <c r="AG364" s="7" t="s">
        <v>46</v>
      </c>
    </row>
    <row r="365" spans="1:33" ht="15.75" x14ac:dyDescent="0.25">
      <c r="A365" s="3">
        <v>1222100008657</v>
      </c>
      <c r="B365" s="9">
        <v>2100002196</v>
      </c>
      <c r="C365" s="10" t="s">
        <v>3371</v>
      </c>
      <c r="D365" s="10" t="s">
        <v>3372</v>
      </c>
      <c r="E365" s="9">
        <v>80922191</v>
      </c>
      <c r="F365" s="9">
        <v>97253501000</v>
      </c>
      <c r="G365" s="9">
        <v>14</v>
      </c>
      <c r="H365" s="9">
        <v>75404</v>
      </c>
      <c r="I365" s="9">
        <v>210001001</v>
      </c>
      <c r="J365" s="10" t="s">
        <v>3373</v>
      </c>
      <c r="K365" s="10"/>
      <c r="L365" s="3" t="s">
        <v>3268</v>
      </c>
      <c r="M365" s="10" t="s">
        <v>3269</v>
      </c>
      <c r="N365" s="10" t="s">
        <v>3374</v>
      </c>
      <c r="O365" s="10" t="s">
        <v>3375</v>
      </c>
      <c r="P365" s="11">
        <v>212702725606</v>
      </c>
      <c r="Q365" s="10" t="s">
        <v>3376</v>
      </c>
      <c r="R365" s="10" t="s">
        <v>3258</v>
      </c>
      <c r="S365" s="10" t="s">
        <v>3377</v>
      </c>
      <c r="T365" s="10"/>
      <c r="U365" s="10" t="s">
        <v>3378</v>
      </c>
      <c r="V365" s="3"/>
      <c r="W365" s="3"/>
      <c r="X365" s="3"/>
      <c r="Y365" s="3"/>
      <c r="Z365" s="3"/>
      <c r="AA365" s="3"/>
      <c r="AB365" s="3"/>
      <c r="AC365" s="3"/>
      <c r="AD365" s="3"/>
      <c r="AE365" s="10"/>
      <c r="AF365" s="10"/>
      <c r="AG365" s="10" t="s">
        <v>46</v>
      </c>
    </row>
    <row r="366" spans="1:33" ht="15.75" x14ac:dyDescent="0.25">
      <c r="A366" s="1">
        <v>1222100008646</v>
      </c>
      <c r="B366" s="6">
        <v>2100002171</v>
      </c>
      <c r="C366" s="7" t="s">
        <v>3379</v>
      </c>
      <c r="D366" s="7" t="s">
        <v>3380</v>
      </c>
      <c r="E366" s="6">
        <v>80921914</v>
      </c>
      <c r="F366" s="6">
        <v>97210830001</v>
      </c>
      <c r="G366" s="6">
        <v>14</v>
      </c>
      <c r="H366" s="6">
        <v>75404</v>
      </c>
      <c r="I366" s="6">
        <v>210001001</v>
      </c>
      <c r="J366" s="7" t="s">
        <v>3373</v>
      </c>
      <c r="K366" s="7"/>
      <c r="L366" s="1" t="s">
        <v>3268</v>
      </c>
      <c r="M366" s="7" t="s">
        <v>3269</v>
      </c>
      <c r="N366" s="7"/>
      <c r="O366" s="7" t="s">
        <v>3381</v>
      </c>
      <c r="P366" s="8">
        <v>210400003086</v>
      </c>
      <c r="Q366" s="7" t="s">
        <v>3382</v>
      </c>
      <c r="R366" s="7" t="s">
        <v>3383</v>
      </c>
      <c r="S366" s="7" t="s">
        <v>3384</v>
      </c>
      <c r="T366" s="7"/>
      <c r="U366" s="7" t="s">
        <v>3385</v>
      </c>
      <c r="V366" s="1"/>
      <c r="W366" s="1"/>
      <c r="X366" s="1"/>
      <c r="Y366" s="1"/>
      <c r="Z366" s="1"/>
      <c r="AA366" s="1"/>
      <c r="AB366" s="1"/>
      <c r="AC366" s="1"/>
      <c r="AD366" s="1"/>
      <c r="AE366" s="7"/>
      <c r="AF366" s="7"/>
      <c r="AG366" s="7" t="s">
        <v>46</v>
      </c>
    </row>
    <row r="367" spans="1:33" ht="15.75" x14ac:dyDescent="0.25">
      <c r="A367" s="3">
        <v>1112100000540</v>
      </c>
      <c r="B367" s="9">
        <v>2130998249</v>
      </c>
      <c r="C367" s="10" t="s">
        <v>3386</v>
      </c>
      <c r="D367" s="10" t="s">
        <v>3387</v>
      </c>
      <c r="E367" s="9">
        <v>90946005</v>
      </c>
      <c r="F367" s="9">
        <v>97401000000</v>
      </c>
      <c r="G367" s="9">
        <v>53</v>
      </c>
      <c r="H367" s="9">
        <v>20200</v>
      </c>
      <c r="I367" s="9">
        <v>213001001</v>
      </c>
      <c r="J367" s="10" t="s">
        <v>3388</v>
      </c>
      <c r="K367" s="10"/>
      <c r="L367" s="3" t="s">
        <v>3297</v>
      </c>
      <c r="M367" s="10" t="s">
        <v>3389</v>
      </c>
      <c r="N367" s="10"/>
      <c r="O367" s="10" t="s">
        <v>3390</v>
      </c>
      <c r="P367" s="11">
        <v>212907641900</v>
      </c>
      <c r="Q367" s="10" t="s">
        <v>3391</v>
      </c>
      <c r="R367" s="10" t="s">
        <v>3392</v>
      </c>
      <c r="S367" s="10" t="s">
        <v>3393</v>
      </c>
      <c r="T367" s="10"/>
      <c r="U367" s="10"/>
      <c r="V367" s="3"/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10"/>
      <c r="AF367" s="10"/>
      <c r="AG367" s="10" t="s">
        <v>46</v>
      </c>
    </row>
    <row r="368" spans="1:33" ht="15.75" x14ac:dyDescent="0.25">
      <c r="A368" s="1">
        <v>1242100007313</v>
      </c>
      <c r="B368" s="6">
        <v>2100020276</v>
      </c>
      <c r="C368" s="7" t="s">
        <v>3394</v>
      </c>
      <c r="D368" s="7" t="s">
        <v>3395</v>
      </c>
      <c r="E368" s="6">
        <v>98019244</v>
      </c>
      <c r="F368" s="6">
        <v>97401000000</v>
      </c>
      <c r="G368" s="6">
        <v>53</v>
      </c>
      <c r="H368" s="6">
        <v>20200</v>
      </c>
      <c r="I368" s="6">
        <v>210001001</v>
      </c>
      <c r="J368" s="7" t="s">
        <v>3396</v>
      </c>
      <c r="K368" s="7"/>
      <c r="L368" s="1" t="s">
        <v>3297</v>
      </c>
      <c r="M368" s="7" t="s">
        <v>3389</v>
      </c>
      <c r="N368" s="7" t="s">
        <v>3397</v>
      </c>
      <c r="O368" s="7" t="s">
        <v>3398</v>
      </c>
      <c r="P368" s="8">
        <v>501202660044</v>
      </c>
      <c r="Q368" s="7" t="s">
        <v>138</v>
      </c>
      <c r="R368" s="7" t="s">
        <v>3399</v>
      </c>
      <c r="S368" s="7" t="s">
        <v>3400</v>
      </c>
      <c r="T368" s="7"/>
      <c r="U368" s="7"/>
      <c r="V368" s="1"/>
      <c r="W368" s="1"/>
      <c r="X368" s="1"/>
      <c r="Y368" s="1"/>
      <c r="Z368" s="1"/>
      <c r="AA368" s="1"/>
      <c r="AB368" s="1"/>
      <c r="AC368" s="1"/>
      <c r="AD368" s="1"/>
      <c r="AE368" s="7"/>
      <c r="AF368" s="7"/>
      <c r="AG368" s="7" t="s">
        <v>46</v>
      </c>
    </row>
    <row r="369" spans="1:33" ht="15.75" x14ac:dyDescent="0.25">
      <c r="A369" s="1">
        <v>1222100009317</v>
      </c>
      <c r="B369" s="6">
        <v>2100002855</v>
      </c>
      <c r="C369" s="7" t="s">
        <v>3401</v>
      </c>
      <c r="D369" s="7" t="s">
        <v>3402</v>
      </c>
      <c r="E369" s="6">
        <v>73168380</v>
      </c>
      <c r="F369" s="6">
        <v>97229501000</v>
      </c>
      <c r="G369" s="6">
        <v>14</v>
      </c>
      <c r="H369" s="6">
        <v>75404</v>
      </c>
      <c r="I369" s="6">
        <v>210001001</v>
      </c>
      <c r="J369" s="7" t="s">
        <v>1338</v>
      </c>
      <c r="K369" s="7"/>
      <c r="L369" s="1" t="s">
        <v>3268</v>
      </c>
      <c r="M369" s="7" t="s">
        <v>3269</v>
      </c>
      <c r="N369" s="7" t="s">
        <v>3374</v>
      </c>
      <c r="O369" s="7" t="s">
        <v>3403</v>
      </c>
      <c r="P369" s="8">
        <v>212400825555</v>
      </c>
      <c r="Q369" s="7" t="s">
        <v>3404</v>
      </c>
      <c r="R369" s="7" t="s">
        <v>3405</v>
      </c>
      <c r="S369" s="7" t="s">
        <v>3406</v>
      </c>
      <c r="T369" s="7"/>
      <c r="U369" s="7" t="s">
        <v>3407</v>
      </c>
      <c r="V369" s="1"/>
      <c r="W369" s="1"/>
      <c r="X369" s="1"/>
      <c r="Y369" s="1"/>
      <c r="Z369" s="1"/>
      <c r="AA369" s="1"/>
      <c r="AB369" s="1"/>
      <c r="AC369" s="1"/>
      <c r="AD369" s="1"/>
      <c r="AE369" s="7"/>
      <c r="AF369" s="7"/>
      <c r="AG369" s="7" t="s">
        <v>46</v>
      </c>
    </row>
    <row r="370" spans="1:33" ht="15.75" x14ac:dyDescent="0.25">
      <c r="A370" s="1">
        <v>1232100007260</v>
      </c>
      <c r="B370" s="6">
        <v>2100010711</v>
      </c>
      <c r="C370" s="7" t="s">
        <v>3408</v>
      </c>
      <c r="D370" s="7" t="s">
        <v>3409</v>
      </c>
      <c r="E370" s="6">
        <v>79547670</v>
      </c>
      <c r="F370" s="6">
        <v>97210828003</v>
      </c>
      <c r="G370" s="6">
        <v>53</v>
      </c>
      <c r="H370" s="6">
        <v>20200</v>
      </c>
      <c r="I370" s="6">
        <v>210001001</v>
      </c>
      <c r="J370" s="7" t="s">
        <v>3410</v>
      </c>
      <c r="K370" s="7"/>
      <c r="L370" s="1" t="s">
        <v>3315</v>
      </c>
      <c r="M370" s="7" t="s">
        <v>3316</v>
      </c>
      <c r="N370" s="7"/>
      <c r="O370" s="7" t="s">
        <v>3411</v>
      </c>
      <c r="P370" s="8">
        <v>210402770280</v>
      </c>
      <c r="Q370" s="7" t="s">
        <v>3299</v>
      </c>
      <c r="R370" s="7" t="s">
        <v>3412</v>
      </c>
      <c r="S370" s="7" t="s">
        <v>3413</v>
      </c>
      <c r="T370" s="7"/>
      <c r="U370" s="7" t="s">
        <v>3414</v>
      </c>
      <c r="V370" s="1"/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606000</v>
      </c>
      <c r="AC370" s="1">
        <v>0</v>
      </c>
      <c r="AD370" s="1">
        <v>606000</v>
      </c>
      <c r="AE370" s="7"/>
      <c r="AF370" s="7"/>
      <c r="AG370" s="7" t="s">
        <v>46</v>
      </c>
    </row>
    <row r="371" spans="1:33" ht="15.75" x14ac:dyDescent="0.25">
      <c r="A371" s="1">
        <v>1242100007456</v>
      </c>
      <c r="B371" s="6">
        <v>2100020420</v>
      </c>
      <c r="C371" s="7" t="s">
        <v>3415</v>
      </c>
      <c r="D371" s="7" t="s">
        <v>3416</v>
      </c>
      <c r="E371" s="6">
        <v>88467881</v>
      </c>
      <c r="F371" s="6">
        <v>97207810001</v>
      </c>
      <c r="G371" s="6">
        <v>53</v>
      </c>
      <c r="H371" s="6">
        <v>20200</v>
      </c>
      <c r="I371" s="6">
        <v>210001001</v>
      </c>
      <c r="J371" s="7" t="s">
        <v>3417</v>
      </c>
      <c r="K371" s="7"/>
      <c r="L371" s="1" t="s">
        <v>3315</v>
      </c>
      <c r="M371" s="7" t="s">
        <v>3316</v>
      </c>
      <c r="N371" s="7"/>
      <c r="O371" s="7" t="s">
        <v>3418</v>
      </c>
      <c r="P371" s="8">
        <v>210301485456</v>
      </c>
      <c r="Q371" s="7" t="s">
        <v>3299</v>
      </c>
      <c r="R371" s="7" t="s">
        <v>3419</v>
      </c>
      <c r="S371" s="7" t="s">
        <v>3420</v>
      </c>
      <c r="T371" s="7"/>
      <c r="U371" s="7" t="s">
        <v>3421</v>
      </c>
      <c r="V371" s="1"/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7"/>
      <c r="AF371" s="7"/>
      <c r="AG371" s="7" t="s">
        <v>46</v>
      </c>
    </row>
    <row r="372" spans="1:33" ht="15.75" x14ac:dyDescent="0.25">
      <c r="A372" s="1">
        <v>1242100000218</v>
      </c>
      <c r="B372" s="6">
        <v>2100013198</v>
      </c>
      <c r="C372" s="7" t="s">
        <v>3422</v>
      </c>
      <c r="D372" s="7" t="s">
        <v>3423</v>
      </c>
      <c r="E372" s="6">
        <v>79908151</v>
      </c>
      <c r="F372" s="6">
        <v>97401000000</v>
      </c>
      <c r="G372" s="6">
        <v>13</v>
      </c>
      <c r="H372" s="6">
        <v>75203</v>
      </c>
      <c r="I372" s="6">
        <v>210001001</v>
      </c>
      <c r="J372" s="7" t="s">
        <v>3424</v>
      </c>
      <c r="K372" s="7"/>
      <c r="L372" s="1" t="s">
        <v>861</v>
      </c>
      <c r="M372" s="7" t="s">
        <v>862</v>
      </c>
      <c r="N372" s="7" t="s">
        <v>3425</v>
      </c>
      <c r="O372" s="7" t="s">
        <v>3426</v>
      </c>
      <c r="P372" s="8">
        <v>212908212728</v>
      </c>
      <c r="Q372" s="7" t="s">
        <v>3427</v>
      </c>
      <c r="R372" s="7" t="s">
        <v>3428</v>
      </c>
      <c r="S372" s="7" t="s">
        <v>3429</v>
      </c>
      <c r="T372" s="7"/>
      <c r="U372" s="7" t="s">
        <v>3430</v>
      </c>
      <c r="V372" s="1"/>
      <c r="W372" s="1"/>
      <c r="X372" s="1"/>
      <c r="Y372" s="1"/>
      <c r="Z372" s="1"/>
      <c r="AA372" s="1"/>
      <c r="AB372" s="1"/>
      <c r="AC372" s="1"/>
      <c r="AD372" s="1"/>
      <c r="AE372" s="7"/>
      <c r="AF372" s="7"/>
      <c r="AG372" s="7" t="s">
        <v>46</v>
      </c>
    </row>
    <row r="373" spans="1:33" ht="15.75" x14ac:dyDescent="0.25">
      <c r="A373" s="3">
        <v>1222100009064</v>
      </c>
      <c r="B373" s="9">
        <v>2100002608</v>
      </c>
      <c r="C373" s="10" t="s">
        <v>3431</v>
      </c>
      <c r="D373" s="10" t="s">
        <v>3432</v>
      </c>
      <c r="E373" s="9">
        <v>78650638</v>
      </c>
      <c r="F373" s="9">
        <v>97207810001</v>
      </c>
      <c r="G373" s="9">
        <v>14</v>
      </c>
      <c r="H373" s="9">
        <v>75404</v>
      </c>
      <c r="I373" s="9">
        <v>210001001</v>
      </c>
      <c r="J373" s="10" t="s">
        <v>3433</v>
      </c>
      <c r="K373" s="10"/>
      <c r="L373" s="3" t="s">
        <v>3268</v>
      </c>
      <c r="M373" s="10" t="s">
        <v>3269</v>
      </c>
      <c r="N373" s="10" t="s">
        <v>3434</v>
      </c>
      <c r="O373" s="10" t="s">
        <v>3435</v>
      </c>
      <c r="P373" s="11">
        <v>691400308814</v>
      </c>
      <c r="Q373" s="10" t="s">
        <v>3436</v>
      </c>
      <c r="R373" s="10" t="s">
        <v>3359</v>
      </c>
      <c r="S373" s="10" t="s">
        <v>3360</v>
      </c>
      <c r="T373" s="10"/>
      <c r="U373" s="10" t="s">
        <v>3361</v>
      </c>
      <c r="V373" s="3"/>
      <c r="W373" s="3"/>
      <c r="X373" s="3"/>
      <c r="Y373" s="3"/>
      <c r="Z373" s="3"/>
      <c r="AA373" s="3"/>
      <c r="AB373" s="3"/>
      <c r="AC373" s="3"/>
      <c r="AD373" s="3"/>
      <c r="AE373" s="10"/>
      <c r="AF373" s="10"/>
      <c r="AG373" s="10" t="s">
        <v>46</v>
      </c>
    </row>
    <row r="374" spans="1:33" ht="15.75" x14ac:dyDescent="0.25">
      <c r="A374" s="3">
        <v>1222100008382</v>
      </c>
      <c r="B374" s="9">
        <v>2100001925</v>
      </c>
      <c r="C374" s="10"/>
      <c r="D374" s="10" t="s">
        <v>3437</v>
      </c>
      <c r="E374" s="9">
        <v>95249435</v>
      </c>
      <c r="F374" s="9">
        <v>97401000000</v>
      </c>
      <c r="G374" s="9">
        <v>16</v>
      </c>
      <c r="H374" s="9">
        <v>20600</v>
      </c>
      <c r="I374" s="9">
        <v>210001001</v>
      </c>
      <c r="J374" s="10" t="s">
        <v>3438</v>
      </c>
      <c r="K374" s="10"/>
      <c r="L374" s="3" t="s">
        <v>3439</v>
      </c>
      <c r="M374" s="10" t="s">
        <v>3440</v>
      </c>
      <c r="N374" s="10" t="s">
        <v>3441</v>
      </c>
      <c r="O374" s="10" t="s">
        <v>3442</v>
      </c>
      <c r="P374" s="11">
        <v>212914373265</v>
      </c>
      <c r="Q374" s="10" t="s">
        <v>138</v>
      </c>
      <c r="R374" s="10" t="s">
        <v>3443</v>
      </c>
      <c r="S374" s="10" t="s">
        <v>3444</v>
      </c>
      <c r="T374" s="10"/>
      <c r="U374" s="10" t="s">
        <v>3445</v>
      </c>
      <c r="V374" s="3"/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10"/>
      <c r="AF374" s="10"/>
      <c r="AG374" s="10" t="s">
        <v>46</v>
      </c>
    </row>
    <row r="375" spans="1:33" ht="15.75" x14ac:dyDescent="0.25">
      <c r="A375" s="3">
        <v>1242100000251</v>
      </c>
      <c r="B375" s="9">
        <v>2100013230</v>
      </c>
      <c r="C375" s="10" t="s">
        <v>3446</v>
      </c>
      <c r="D375" s="10" t="s">
        <v>3447</v>
      </c>
      <c r="E375" s="9">
        <v>73000344</v>
      </c>
      <c r="F375" s="9">
        <v>97401000000</v>
      </c>
      <c r="G375" s="9">
        <v>16</v>
      </c>
      <c r="H375" s="9">
        <v>71400</v>
      </c>
      <c r="I375" s="9">
        <v>210001001</v>
      </c>
      <c r="J375" s="10" t="s">
        <v>3448</v>
      </c>
      <c r="K375" s="10"/>
      <c r="L375" s="3" t="s">
        <v>3449</v>
      </c>
      <c r="M375" s="10" t="s">
        <v>3450</v>
      </c>
      <c r="N375" s="10" t="s">
        <v>3451</v>
      </c>
      <c r="O375" s="10" t="s">
        <v>3452</v>
      </c>
      <c r="P375" s="11">
        <v>212909342374</v>
      </c>
      <c r="Q375" s="10" t="s">
        <v>150</v>
      </c>
      <c r="R375" s="10" t="s">
        <v>3453</v>
      </c>
      <c r="S375" s="10" t="s">
        <v>3454</v>
      </c>
      <c r="T375" s="10"/>
      <c r="U375" s="10"/>
      <c r="V375" s="3"/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10"/>
      <c r="AF375" s="10"/>
      <c r="AG375" s="10" t="s">
        <v>46</v>
      </c>
    </row>
    <row r="376" spans="1:33" ht="15.75" x14ac:dyDescent="0.25">
      <c r="A376" s="1">
        <v>1142100000547</v>
      </c>
      <c r="B376" s="6">
        <v>2130996548</v>
      </c>
      <c r="C376" s="7" t="s">
        <v>3455</v>
      </c>
      <c r="D376" s="7" t="s">
        <v>3456</v>
      </c>
      <c r="E376" s="6">
        <v>24355400</v>
      </c>
      <c r="F376" s="6">
        <v>97401000000</v>
      </c>
      <c r="G376" s="6">
        <v>53</v>
      </c>
      <c r="H376" s="6">
        <v>20200</v>
      </c>
      <c r="I376" s="6">
        <v>213001001</v>
      </c>
      <c r="J376" s="7" t="s">
        <v>3457</v>
      </c>
      <c r="K376" s="7"/>
      <c r="L376" s="1" t="s">
        <v>3315</v>
      </c>
      <c r="M376" s="7" t="s">
        <v>3316</v>
      </c>
      <c r="N376" s="7"/>
      <c r="O376" s="7" t="s">
        <v>3458</v>
      </c>
      <c r="P376" s="8">
        <v>211200999104</v>
      </c>
      <c r="Q376" s="7" t="s">
        <v>3459</v>
      </c>
      <c r="R376" s="7" t="s">
        <v>3460</v>
      </c>
      <c r="S376" s="7" t="s">
        <v>3461</v>
      </c>
      <c r="T376" s="7"/>
      <c r="U376" s="7"/>
      <c r="V376" s="1"/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7"/>
      <c r="AF376" s="7"/>
      <c r="AG376" s="7" t="s">
        <v>46</v>
      </c>
    </row>
    <row r="377" spans="1:33" ht="15.75" x14ac:dyDescent="0.25">
      <c r="A377" s="3">
        <v>1242100007599</v>
      </c>
      <c r="B377" s="9">
        <v>2100020565</v>
      </c>
      <c r="C377" s="10" t="s">
        <v>3462</v>
      </c>
      <c r="D377" s="10" t="s">
        <v>3463</v>
      </c>
      <c r="E377" s="9">
        <v>60624356</v>
      </c>
      <c r="F377" s="9">
        <v>97221825001</v>
      </c>
      <c r="G377" s="9">
        <v>14</v>
      </c>
      <c r="H377" s="9">
        <v>75404</v>
      </c>
      <c r="I377" s="9">
        <v>210001001</v>
      </c>
      <c r="J377" s="10" t="s">
        <v>3464</v>
      </c>
      <c r="K377" s="10"/>
      <c r="L377" s="3" t="s">
        <v>3255</v>
      </c>
      <c r="M377" s="10" t="s">
        <v>3256</v>
      </c>
      <c r="N377" s="10"/>
      <c r="O377" s="10" t="s">
        <v>3465</v>
      </c>
      <c r="P377" s="11">
        <v>210802029101</v>
      </c>
      <c r="Q377" s="10" t="s">
        <v>3466</v>
      </c>
      <c r="R377" s="10" t="s">
        <v>3273</v>
      </c>
      <c r="S377" s="10" t="s">
        <v>3467</v>
      </c>
      <c r="T377" s="10"/>
      <c r="U377" s="10" t="s">
        <v>3468</v>
      </c>
      <c r="V377" s="3"/>
      <c r="W377" s="3"/>
      <c r="X377" s="3"/>
      <c r="Y377" s="3"/>
      <c r="Z377" s="3"/>
      <c r="AA377" s="3"/>
      <c r="AB377" s="3"/>
      <c r="AC377" s="3"/>
      <c r="AD377" s="3"/>
      <c r="AE377" s="10"/>
      <c r="AF377" s="10"/>
      <c r="AG377" s="10" t="s">
        <v>46</v>
      </c>
    </row>
    <row r="378" spans="1:33" ht="15.75" x14ac:dyDescent="0.25">
      <c r="A378" s="1">
        <v>1232100003178</v>
      </c>
      <c r="B378" s="6">
        <v>2100006673</v>
      </c>
      <c r="C378" s="7" t="s">
        <v>3469</v>
      </c>
      <c r="D378" s="7" t="s">
        <v>3470</v>
      </c>
      <c r="E378" s="6">
        <v>52249542</v>
      </c>
      <c r="F378" s="6">
        <v>97205850001</v>
      </c>
      <c r="G378" s="6">
        <v>53</v>
      </c>
      <c r="H378" s="6">
        <v>20200</v>
      </c>
      <c r="I378" s="6">
        <v>210001001</v>
      </c>
      <c r="J378" s="7" t="s">
        <v>3471</v>
      </c>
      <c r="K378" s="7"/>
      <c r="L378" s="1" t="s">
        <v>3315</v>
      </c>
      <c r="M378" s="7" t="s">
        <v>3316</v>
      </c>
      <c r="N378" s="7"/>
      <c r="O378" s="7" t="s">
        <v>3472</v>
      </c>
      <c r="P378" s="8">
        <v>210201264083</v>
      </c>
      <c r="Q378" s="7" t="s">
        <v>3299</v>
      </c>
      <c r="R378" s="7" t="s">
        <v>3473</v>
      </c>
      <c r="S378" s="7" t="s">
        <v>3474</v>
      </c>
      <c r="T378" s="7"/>
      <c r="U378" s="7" t="s">
        <v>3475</v>
      </c>
      <c r="V378" s="1"/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-5000</v>
      </c>
      <c r="AC378" s="1">
        <v>0</v>
      </c>
      <c r="AD378" s="1">
        <v>0</v>
      </c>
      <c r="AE378" s="7"/>
      <c r="AF378" s="7"/>
      <c r="AG378" s="7" t="s">
        <v>46</v>
      </c>
    </row>
    <row r="379" spans="1:33" ht="15.75" x14ac:dyDescent="0.25">
      <c r="A379" s="3">
        <v>1242100000328</v>
      </c>
      <c r="B379" s="9">
        <v>2100013303</v>
      </c>
      <c r="C379" s="10" t="s">
        <v>3476</v>
      </c>
      <c r="D379" s="10" t="s">
        <v>3477</v>
      </c>
      <c r="E379" s="9">
        <v>83763385</v>
      </c>
      <c r="F379" s="9">
        <v>97413000000</v>
      </c>
      <c r="G379" s="9">
        <v>14</v>
      </c>
      <c r="H379" s="9">
        <v>75404</v>
      </c>
      <c r="I379" s="9">
        <v>210001001</v>
      </c>
      <c r="J379" s="10" t="s">
        <v>3478</v>
      </c>
      <c r="K379" s="10"/>
      <c r="L379" s="3" t="s">
        <v>3112</v>
      </c>
      <c r="M379" s="10" t="s">
        <v>3113</v>
      </c>
      <c r="N379" s="10" t="s">
        <v>3479</v>
      </c>
      <c r="O379" s="10" t="s">
        <v>3480</v>
      </c>
      <c r="P379" s="11">
        <v>212410303981</v>
      </c>
      <c r="Q379" s="10" t="s">
        <v>150</v>
      </c>
      <c r="R379" s="10" t="s">
        <v>3481</v>
      </c>
      <c r="S379" s="10" t="s">
        <v>3482</v>
      </c>
      <c r="T379" s="10"/>
      <c r="U379" s="10" t="s">
        <v>3483</v>
      </c>
      <c r="V379" s="3"/>
      <c r="W379" s="3"/>
      <c r="X379" s="3"/>
      <c r="Y379" s="3"/>
      <c r="Z379" s="3"/>
      <c r="AA379" s="3"/>
      <c r="AB379" s="3"/>
      <c r="AC379" s="3"/>
      <c r="AD379" s="3"/>
      <c r="AE379" s="10"/>
      <c r="AF379" s="10"/>
      <c r="AG379" s="10" t="s">
        <v>46</v>
      </c>
    </row>
    <row r="380" spans="1:33" ht="15.75" x14ac:dyDescent="0.25">
      <c r="A380" s="3">
        <v>1232100007501</v>
      </c>
      <c r="B380" s="9">
        <v>2100010951</v>
      </c>
      <c r="C380" s="10" t="s">
        <v>3484</v>
      </c>
      <c r="D380" s="10" t="s">
        <v>3485</v>
      </c>
      <c r="E380" s="9">
        <v>84731654</v>
      </c>
      <c r="F380" s="9">
        <v>97207875001</v>
      </c>
      <c r="G380" s="9">
        <v>16</v>
      </c>
      <c r="H380" s="9">
        <v>20112</v>
      </c>
      <c r="I380" s="9">
        <v>210001001</v>
      </c>
      <c r="J380" s="10" t="s">
        <v>3486</v>
      </c>
      <c r="K380" s="10"/>
      <c r="L380" s="3" t="s">
        <v>3487</v>
      </c>
      <c r="M380" s="10" t="s">
        <v>3488</v>
      </c>
      <c r="N380" s="10" t="s">
        <v>3489</v>
      </c>
      <c r="O380" s="10" t="s">
        <v>3490</v>
      </c>
      <c r="P380" s="11">
        <v>210303022365</v>
      </c>
      <c r="Q380" s="10" t="s">
        <v>3299</v>
      </c>
      <c r="R380" s="10" t="s">
        <v>3491</v>
      </c>
      <c r="S380" s="10" t="s">
        <v>3492</v>
      </c>
      <c r="T380" s="10"/>
      <c r="U380" s="10" t="s">
        <v>3493</v>
      </c>
      <c r="V380" s="3"/>
      <c r="W380" s="3">
        <v>0</v>
      </c>
      <c r="X380" s="3">
        <v>0</v>
      </c>
      <c r="Y380" s="3">
        <v>0</v>
      </c>
      <c r="Z380" s="3">
        <v>15000</v>
      </c>
      <c r="AA380" s="3">
        <v>0</v>
      </c>
      <c r="AB380" s="3">
        <v>0</v>
      </c>
      <c r="AC380" s="3">
        <v>0</v>
      </c>
      <c r="AD380" s="3">
        <v>0</v>
      </c>
      <c r="AE380" s="10" t="s">
        <v>317</v>
      </c>
      <c r="AF380" s="10"/>
      <c r="AG380" s="10" t="s">
        <v>46</v>
      </c>
    </row>
    <row r="381" spans="1:33" ht="15.75" x14ac:dyDescent="0.25">
      <c r="A381" s="3">
        <v>1222100008503</v>
      </c>
      <c r="B381" s="9">
        <v>2100002044</v>
      </c>
      <c r="C381" s="10" t="s">
        <v>3494</v>
      </c>
      <c r="D381" s="10" t="s">
        <v>3495</v>
      </c>
      <c r="E381" s="9">
        <v>56334826</v>
      </c>
      <c r="F381" s="9">
        <v>97401000000</v>
      </c>
      <c r="G381" s="9">
        <v>16</v>
      </c>
      <c r="H381" s="9">
        <v>20111</v>
      </c>
      <c r="I381" s="9">
        <v>210001001</v>
      </c>
      <c r="J381" s="10" t="s">
        <v>3496</v>
      </c>
      <c r="K381" s="10"/>
      <c r="L381" s="3" t="s">
        <v>2959</v>
      </c>
      <c r="M381" s="10" t="s">
        <v>2960</v>
      </c>
      <c r="N381" s="10" t="s">
        <v>3497</v>
      </c>
      <c r="O381" s="10" t="s">
        <v>3498</v>
      </c>
      <c r="P381" s="11" t="s">
        <v>3499</v>
      </c>
      <c r="Q381" s="10" t="s">
        <v>3500</v>
      </c>
      <c r="R381" s="10" t="s">
        <v>3501</v>
      </c>
      <c r="S381" s="10" t="s">
        <v>3502</v>
      </c>
      <c r="T381" s="10"/>
      <c r="U381" s="10" t="s">
        <v>3503</v>
      </c>
      <c r="V381" s="3"/>
      <c r="W381" s="3">
        <v>54000</v>
      </c>
      <c r="X381" s="3">
        <v>0</v>
      </c>
      <c r="Y381" s="3">
        <v>0</v>
      </c>
      <c r="Z381" s="3">
        <v>11000</v>
      </c>
      <c r="AA381" s="3">
        <v>11000</v>
      </c>
      <c r="AB381" s="3">
        <v>0</v>
      </c>
      <c r="AC381" s="3">
        <v>54000</v>
      </c>
      <c r="AD381" s="3">
        <v>0</v>
      </c>
      <c r="AE381" s="10" t="s">
        <v>317</v>
      </c>
      <c r="AF381" s="10"/>
      <c r="AG381" s="10" t="s">
        <v>46</v>
      </c>
    </row>
    <row r="382" spans="1:33" ht="15.75" x14ac:dyDescent="0.25">
      <c r="A382" s="1">
        <v>1222100008525</v>
      </c>
      <c r="B382" s="6">
        <v>2100002069</v>
      </c>
      <c r="C382" s="7" t="s">
        <v>3504</v>
      </c>
      <c r="D382" s="7" t="s">
        <v>3505</v>
      </c>
      <c r="E382" s="6">
        <v>56334836</v>
      </c>
      <c r="F382" s="6">
        <v>97229501000</v>
      </c>
      <c r="G382" s="6">
        <v>14</v>
      </c>
      <c r="H382" s="6">
        <v>75404</v>
      </c>
      <c r="I382" s="6">
        <v>210001001</v>
      </c>
      <c r="J382" s="7" t="s">
        <v>3496</v>
      </c>
      <c r="K382" s="7"/>
      <c r="L382" s="1" t="s">
        <v>3268</v>
      </c>
      <c r="M382" s="7" t="s">
        <v>3269</v>
      </c>
      <c r="N382" s="7"/>
      <c r="O382" s="7" t="s">
        <v>3506</v>
      </c>
      <c r="P382" s="8">
        <v>211101248851</v>
      </c>
      <c r="Q382" s="7" t="s">
        <v>3507</v>
      </c>
      <c r="R382" s="7" t="s">
        <v>3405</v>
      </c>
      <c r="S382" s="7" t="s">
        <v>3508</v>
      </c>
      <c r="T382" s="7"/>
      <c r="U382" s="7" t="s">
        <v>3407</v>
      </c>
      <c r="V382" s="1"/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7"/>
      <c r="AF382" s="7"/>
      <c r="AG382" s="7" t="s">
        <v>46</v>
      </c>
    </row>
    <row r="383" spans="1:33" ht="15.75" x14ac:dyDescent="0.25">
      <c r="A383" s="3">
        <v>1222100009383</v>
      </c>
      <c r="B383" s="9">
        <v>2100002929</v>
      </c>
      <c r="C383" s="10" t="s">
        <v>3509</v>
      </c>
      <c r="D383" s="10" t="s">
        <v>3510</v>
      </c>
      <c r="E383" s="9">
        <v>95975626</v>
      </c>
      <c r="F383" s="9">
        <v>97401000000</v>
      </c>
      <c r="G383" s="9">
        <v>16</v>
      </c>
      <c r="H383" s="9">
        <v>71400</v>
      </c>
      <c r="I383" s="9">
        <v>210001001</v>
      </c>
      <c r="J383" s="10" t="s">
        <v>3511</v>
      </c>
      <c r="K383" s="10"/>
      <c r="L383" s="3" t="s">
        <v>3512</v>
      </c>
      <c r="M383" s="10" t="s">
        <v>3513</v>
      </c>
      <c r="N383" s="10" t="s">
        <v>3514</v>
      </c>
      <c r="O383" s="10" t="s">
        <v>3515</v>
      </c>
      <c r="P383" s="11">
        <v>210800875067</v>
      </c>
      <c r="Q383" s="10" t="s">
        <v>150</v>
      </c>
      <c r="R383" s="10" t="s">
        <v>3516</v>
      </c>
      <c r="S383" s="10" t="s">
        <v>3517</v>
      </c>
      <c r="T383" s="10"/>
      <c r="U383" s="10" t="s">
        <v>3518</v>
      </c>
      <c r="V383" s="3"/>
      <c r="W383" s="3">
        <v>90000</v>
      </c>
      <c r="X383" s="3">
        <v>0</v>
      </c>
      <c r="Y383" s="3">
        <v>3000</v>
      </c>
      <c r="Z383" s="3">
        <v>0</v>
      </c>
      <c r="AA383" s="3">
        <v>3000</v>
      </c>
      <c r="AB383" s="3">
        <v>0</v>
      </c>
      <c r="AC383" s="3">
        <v>0</v>
      </c>
      <c r="AD383" s="3">
        <v>0</v>
      </c>
      <c r="AE383" s="10"/>
      <c r="AF383" s="10"/>
      <c r="AG383" s="10" t="s">
        <v>46</v>
      </c>
    </row>
    <row r="384" spans="1:33" ht="15.75" x14ac:dyDescent="0.25">
      <c r="A384" s="1">
        <v>1222100009340</v>
      </c>
      <c r="B384" s="6">
        <v>2100002887</v>
      </c>
      <c r="C384" s="7" t="s">
        <v>3519</v>
      </c>
      <c r="D384" s="7" t="s">
        <v>3520</v>
      </c>
      <c r="E384" s="6">
        <v>95793992</v>
      </c>
      <c r="F384" s="6">
        <v>97410000000</v>
      </c>
      <c r="G384" s="6">
        <v>50</v>
      </c>
      <c r="H384" s="6">
        <v>20200</v>
      </c>
      <c r="I384" s="6">
        <v>210001001</v>
      </c>
      <c r="J384" s="7" t="s">
        <v>3511</v>
      </c>
      <c r="K384" s="7"/>
      <c r="L384" s="1" t="s">
        <v>3297</v>
      </c>
      <c r="M384" s="7" t="s">
        <v>3389</v>
      </c>
      <c r="N384" s="7" t="s">
        <v>3315</v>
      </c>
      <c r="O384" s="7" t="s">
        <v>3521</v>
      </c>
      <c r="P384" s="8">
        <v>212410100491</v>
      </c>
      <c r="Q384" s="7" t="s">
        <v>3299</v>
      </c>
      <c r="R384" s="7" t="s">
        <v>3522</v>
      </c>
      <c r="S384" s="7" t="s">
        <v>3523</v>
      </c>
      <c r="T384" s="7"/>
      <c r="U384" s="7" t="s">
        <v>3524</v>
      </c>
      <c r="V384" s="1"/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7"/>
      <c r="AF384" s="7"/>
      <c r="AG384" s="7" t="s">
        <v>46</v>
      </c>
    </row>
    <row r="385" spans="1:33" ht="15.75" x14ac:dyDescent="0.25">
      <c r="A385" s="1">
        <v>1242100000372</v>
      </c>
      <c r="B385" s="6">
        <v>2100013350</v>
      </c>
      <c r="C385" s="7" t="s">
        <v>3525</v>
      </c>
      <c r="D385" s="7" t="s">
        <v>3526</v>
      </c>
      <c r="E385" s="6">
        <v>98790399</v>
      </c>
      <c r="F385" s="6">
        <v>97401000000</v>
      </c>
      <c r="G385" s="6">
        <v>16</v>
      </c>
      <c r="H385" s="6">
        <v>70400</v>
      </c>
      <c r="I385" s="6">
        <v>210001001</v>
      </c>
      <c r="J385" s="7" t="s">
        <v>3527</v>
      </c>
      <c r="K385" s="7"/>
      <c r="L385" s="1" t="s">
        <v>434</v>
      </c>
      <c r="M385" s="7" t="s">
        <v>435</v>
      </c>
      <c r="N385" s="7" t="s">
        <v>3528</v>
      </c>
      <c r="O385" s="7" t="s">
        <v>3529</v>
      </c>
      <c r="P385" s="8">
        <v>212902103930</v>
      </c>
      <c r="Q385" s="7" t="s">
        <v>41</v>
      </c>
      <c r="R385" s="7" t="s">
        <v>3530</v>
      </c>
      <c r="S385" s="7" t="s">
        <v>3531</v>
      </c>
      <c r="T385" s="7"/>
      <c r="U385" s="7"/>
      <c r="V385" s="1"/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7"/>
      <c r="AF385" s="7"/>
      <c r="AG385" s="7" t="s">
        <v>46</v>
      </c>
    </row>
    <row r="386" spans="1:33" ht="15.75" x14ac:dyDescent="0.25">
      <c r="A386" s="1">
        <v>1242100000383</v>
      </c>
      <c r="B386" s="6">
        <v>2100013367</v>
      </c>
      <c r="C386" s="7" t="s">
        <v>3532</v>
      </c>
      <c r="D386" s="7" t="s">
        <v>3533</v>
      </c>
      <c r="E386" s="6">
        <v>57021424</v>
      </c>
      <c r="F386" s="6">
        <v>97401000000</v>
      </c>
      <c r="G386" s="6">
        <v>16</v>
      </c>
      <c r="H386" s="6">
        <v>20702</v>
      </c>
      <c r="I386" s="6">
        <v>210001001</v>
      </c>
      <c r="J386" s="7" t="s">
        <v>3534</v>
      </c>
      <c r="K386" s="7"/>
      <c r="L386" s="1" t="s">
        <v>851</v>
      </c>
      <c r="M386" s="7" t="s">
        <v>852</v>
      </c>
      <c r="N386" s="7"/>
      <c r="O386" s="7" t="s">
        <v>3535</v>
      </c>
      <c r="P386" s="8">
        <v>212700914693</v>
      </c>
      <c r="Q386" s="7" t="s">
        <v>3299</v>
      </c>
      <c r="R386" s="7" t="s">
        <v>3536</v>
      </c>
      <c r="S386" s="7" t="s">
        <v>3537</v>
      </c>
      <c r="T386" s="7"/>
      <c r="U386" s="7" t="s">
        <v>3538</v>
      </c>
      <c r="V386" s="1"/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7"/>
      <c r="AF386" s="7"/>
      <c r="AG386" s="7" t="s">
        <v>46</v>
      </c>
    </row>
    <row r="387" spans="1:33" ht="15.75" x14ac:dyDescent="0.25">
      <c r="A387" s="3">
        <v>1222100009152</v>
      </c>
      <c r="B387" s="9">
        <v>2100002693</v>
      </c>
      <c r="C387" s="10" t="s">
        <v>3539</v>
      </c>
      <c r="D387" s="10" t="s">
        <v>3540</v>
      </c>
      <c r="E387" s="9">
        <v>80104073</v>
      </c>
      <c r="F387" s="9">
        <v>97401000000</v>
      </c>
      <c r="G387" s="9">
        <v>53</v>
      </c>
      <c r="H387" s="9">
        <v>20200</v>
      </c>
      <c r="I387" s="9">
        <v>210001001</v>
      </c>
      <c r="J387" s="10" t="s">
        <v>3541</v>
      </c>
      <c r="K387" s="10"/>
      <c r="L387" s="3" t="s">
        <v>3315</v>
      </c>
      <c r="M387" s="10" t="s">
        <v>3316</v>
      </c>
      <c r="N387" s="10" t="s">
        <v>3542</v>
      </c>
      <c r="O387" s="10" t="s">
        <v>3543</v>
      </c>
      <c r="P387" s="11">
        <v>212808954123</v>
      </c>
      <c r="Q387" s="10" t="s">
        <v>138</v>
      </c>
      <c r="R387" s="10" t="s">
        <v>3544</v>
      </c>
      <c r="S387" s="10" t="s">
        <v>3545</v>
      </c>
      <c r="T387" s="10"/>
      <c r="U387" s="10"/>
      <c r="V387" s="3"/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10"/>
      <c r="AF387" s="10"/>
      <c r="AG387" s="10" t="s">
        <v>46</v>
      </c>
    </row>
    <row r="388" spans="1:33" ht="15.75" x14ac:dyDescent="0.25">
      <c r="A388" s="1">
        <v>1232100003585</v>
      </c>
      <c r="B388" s="6">
        <v>2100007081</v>
      </c>
      <c r="C388" s="7"/>
      <c r="D388" s="7" t="s">
        <v>3546</v>
      </c>
      <c r="E388" s="6">
        <v>48931601</v>
      </c>
      <c r="F388" s="6">
        <v>97253885001</v>
      </c>
      <c r="G388" s="6">
        <v>53</v>
      </c>
      <c r="H388" s="6">
        <v>20200</v>
      </c>
      <c r="I388" s="6">
        <v>210001001</v>
      </c>
      <c r="J388" s="7" t="s">
        <v>3547</v>
      </c>
      <c r="K388" s="7"/>
      <c r="L388" s="1" t="s">
        <v>3315</v>
      </c>
      <c r="M388" s="7" t="s">
        <v>3316</v>
      </c>
      <c r="N388" s="7"/>
      <c r="O388" s="7" t="s">
        <v>3548</v>
      </c>
      <c r="P388" s="8">
        <v>211902335023</v>
      </c>
      <c r="Q388" s="7" t="s">
        <v>3299</v>
      </c>
      <c r="R388" s="7" t="s">
        <v>3549</v>
      </c>
      <c r="S388" s="7" t="s">
        <v>3550</v>
      </c>
      <c r="T388" s="7"/>
      <c r="U388" s="7" t="s">
        <v>3551</v>
      </c>
      <c r="V388" s="1"/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7"/>
      <c r="AF388" s="7"/>
      <c r="AG388" s="7" t="s">
        <v>46</v>
      </c>
    </row>
    <row r="389" spans="1:33" ht="15.75" x14ac:dyDescent="0.25">
      <c r="A389" s="3">
        <v>1242100000405</v>
      </c>
      <c r="B389" s="9">
        <v>2100013381</v>
      </c>
      <c r="C389" s="10" t="s">
        <v>3552</v>
      </c>
      <c r="D389" s="10" t="s">
        <v>3553</v>
      </c>
      <c r="E389" s="9">
        <v>57034125</v>
      </c>
      <c r="F389" s="9">
        <v>97401000000</v>
      </c>
      <c r="G389" s="9">
        <v>53</v>
      </c>
      <c r="H389" s="9">
        <v>20200</v>
      </c>
      <c r="I389" s="9">
        <v>210001001</v>
      </c>
      <c r="J389" s="10" t="s">
        <v>3534</v>
      </c>
      <c r="K389" s="10"/>
      <c r="L389" s="3" t="s">
        <v>3315</v>
      </c>
      <c r="M389" s="10" t="s">
        <v>3316</v>
      </c>
      <c r="N389" s="10" t="s">
        <v>3554</v>
      </c>
      <c r="O389" s="10" t="s">
        <v>3555</v>
      </c>
      <c r="P389" s="11">
        <v>212902284966</v>
      </c>
      <c r="Q389" s="10" t="s">
        <v>3299</v>
      </c>
      <c r="R389" s="10" t="s">
        <v>3556</v>
      </c>
      <c r="S389" s="10" t="s">
        <v>3557</v>
      </c>
      <c r="T389" s="10"/>
      <c r="U389" s="10"/>
      <c r="V389" s="3"/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10"/>
      <c r="AF389" s="10"/>
      <c r="AG389" s="10" t="s">
        <v>46</v>
      </c>
    </row>
    <row r="390" spans="1:33" ht="15.75" x14ac:dyDescent="0.25">
      <c r="A390" s="3">
        <v>1232100003563</v>
      </c>
      <c r="B390" s="9">
        <v>2100007067</v>
      </c>
      <c r="C390" s="10" t="s">
        <v>3558</v>
      </c>
      <c r="D390" s="10" t="s">
        <v>3559</v>
      </c>
      <c r="E390" s="9">
        <v>48931667</v>
      </c>
      <c r="F390" s="9">
        <v>97258825001</v>
      </c>
      <c r="G390" s="9">
        <v>53</v>
      </c>
      <c r="H390" s="9">
        <v>20200</v>
      </c>
      <c r="I390" s="9">
        <v>210001001</v>
      </c>
      <c r="J390" s="10" t="s">
        <v>3547</v>
      </c>
      <c r="K390" s="10"/>
      <c r="L390" s="3" t="s">
        <v>3315</v>
      </c>
      <c r="M390" s="10" t="s">
        <v>3316</v>
      </c>
      <c r="N390" s="10" t="s">
        <v>3286</v>
      </c>
      <c r="O390" s="10" t="s">
        <v>3560</v>
      </c>
      <c r="P390" s="11">
        <v>212100388551</v>
      </c>
      <c r="Q390" s="10" t="s">
        <v>3299</v>
      </c>
      <c r="R390" s="10" t="s">
        <v>3561</v>
      </c>
      <c r="S390" s="10" t="s">
        <v>3562</v>
      </c>
      <c r="T390" s="10"/>
      <c r="U390" s="10" t="s">
        <v>3563</v>
      </c>
      <c r="V390" s="3"/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10"/>
      <c r="AF390" s="10"/>
      <c r="AG390" s="10" t="s">
        <v>46</v>
      </c>
    </row>
    <row r="391" spans="1:33" ht="15.75" x14ac:dyDescent="0.25">
      <c r="A391" s="1">
        <v>1222100006941</v>
      </c>
      <c r="B391" s="6">
        <v>2100000470</v>
      </c>
      <c r="C391" s="7" t="s">
        <v>3564</v>
      </c>
      <c r="D391" s="7" t="s">
        <v>3565</v>
      </c>
      <c r="E391" s="6">
        <v>71830490</v>
      </c>
      <c r="F391" s="6">
        <v>97401000000</v>
      </c>
      <c r="G391" s="6">
        <v>16</v>
      </c>
      <c r="H391" s="6">
        <v>70400</v>
      </c>
      <c r="I391" s="6">
        <v>210001001</v>
      </c>
      <c r="J391" s="7" t="s">
        <v>3566</v>
      </c>
      <c r="K391" s="7"/>
      <c r="L391" s="1" t="s">
        <v>434</v>
      </c>
      <c r="M391" s="7" t="s">
        <v>435</v>
      </c>
      <c r="N391" s="7" t="s">
        <v>3567</v>
      </c>
      <c r="O391" s="7" t="s">
        <v>3568</v>
      </c>
      <c r="P391" s="8">
        <v>212810267294</v>
      </c>
      <c r="Q391" s="7" t="s">
        <v>150</v>
      </c>
      <c r="R391" s="7" t="s">
        <v>3569</v>
      </c>
      <c r="S391" s="7" t="s">
        <v>3570</v>
      </c>
      <c r="T391" s="7"/>
      <c r="U391" s="7" t="s">
        <v>3571</v>
      </c>
      <c r="V391" s="1"/>
      <c r="W391" s="1">
        <v>0</v>
      </c>
      <c r="X391" s="1">
        <v>0</v>
      </c>
      <c r="Y391" s="1">
        <v>0</v>
      </c>
      <c r="Z391" s="1">
        <v>8000</v>
      </c>
      <c r="AA391" s="1">
        <v>90000</v>
      </c>
      <c r="AB391" s="1">
        <v>-2196000</v>
      </c>
      <c r="AC391" s="1">
        <v>0</v>
      </c>
      <c r="AD391" s="1">
        <v>-2196000</v>
      </c>
      <c r="AE391" s="7"/>
      <c r="AF391" s="7"/>
      <c r="AG391" s="7" t="s">
        <v>46</v>
      </c>
    </row>
    <row r="392" spans="1:33" ht="15.75" x14ac:dyDescent="0.25">
      <c r="A392" s="1">
        <v>1092124000627</v>
      </c>
      <c r="B392" s="6">
        <v>2124030964</v>
      </c>
      <c r="C392" s="7" t="s">
        <v>3572</v>
      </c>
      <c r="D392" s="7" t="s">
        <v>3573</v>
      </c>
      <c r="E392" s="6">
        <v>61921524</v>
      </c>
      <c r="F392" s="6">
        <v>97410000000</v>
      </c>
      <c r="G392" s="6">
        <v>16</v>
      </c>
      <c r="H392" s="6">
        <v>20716</v>
      </c>
      <c r="I392" s="6">
        <v>212401001</v>
      </c>
      <c r="J392" s="7" t="s">
        <v>3574</v>
      </c>
      <c r="K392" s="7"/>
      <c r="L392" s="1" t="s">
        <v>367</v>
      </c>
      <c r="M392" s="7" t="s">
        <v>368</v>
      </c>
      <c r="N392" s="7" t="s">
        <v>3575</v>
      </c>
      <c r="O392" s="7" t="s">
        <v>3576</v>
      </c>
      <c r="P392" s="8">
        <v>212400937805</v>
      </c>
      <c r="Q392" s="7" t="s">
        <v>3459</v>
      </c>
      <c r="R392" s="7" t="s">
        <v>3577</v>
      </c>
      <c r="S392" s="7" t="s">
        <v>3578</v>
      </c>
      <c r="T392" s="7"/>
      <c r="U392" s="7"/>
      <c r="V392" s="1"/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7"/>
      <c r="AF392" s="7"/>
      <c r="AG392" s="7" t="s">
        <v>46</v>
      </c>
    </row>
    <row r="393" spans="1:33" ht="15.75" x14ac:dyDescent="0.25">
      <c r="A393" s="1">
        <v>1222100006974</v>
      </c>
      <c r="B393" s="6">
        <v>2100000505</v>
      </c>
      <c r="C393" s="7" t="s">
        <v>3579</v>
      </c>
      <c r="D393" s="7" t="s">
        <v>3580</v>
      </c>
      <c r="E393" s="6">
        <v>75479061</v>
      </c>
      <c r="F393" s="6">
        <v>97401000000</v>
      </c>
      <c r="G393" s="6">
        <v>53</v>
      </c>
      <c r="H393" s="6">
        <v>20200</v>
      </c>
      <c r="I393" s="6">
        <v>210001001</v>
      </c>
      <c r="J393" s="7" t="s">
        <v>3581</v>
      </c>
      <c r="K393" s="7"/>
      <c r="L393" s="1" t="s">
        <v>3315</v>
      </c>
      <c r="M393" s="7" t="s">
        <v>3316</v>
      </c>
      <c r="N393" s="7"/>
      <c r="O393" s="7" t="s">
        <v>3582</v>
      </c>
      <c r="P393" s="8">
        <v>212901968868</v>
      </c>
      <c r="Q393" s="7" t="s">
        <v>3299</v>
      </c>
      <c r="R393" s="7" t="s">
        <v>3583</v>
      </c>
      <c r="S393" s="7" t="s">
        <v>3584</v>
      </c>
      <c r="T393" s="7"/>
      <c r="U393" s="7" t="s">
        <v>3585</v>
      </c>
      <c r="V393" s="1"/>
      <c r="W393" s="1">
        <v>0</v>
      </c>
      <c r="X393" s="1">
        <v>0</v>
      </c>
      <c r="Y393" s="1">
        <v>74000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7"/>
      <c r="AF393" s="7"/>
      <c r="AG393" s="7" t="s">
        <v>46</v>
      </c>
    </row>
    <row r="394" spans="1:33" ht="15.75" x14ac:dyDescent="0.25">
      <c r="A394" s="3">
        <v>1222100006589</v>
      </c>
      <c r="B394" s="9">
        <v>2100000128</v>
      </c>
      <c r="C394" s="10"/>
      <c r="D394" s="10" t="s">
        <v>3586</v>
      </c>
      <c r="E394" s="9">
        <v>84960001</v>
      </c>
      <c r="F394" s="9">
        <v>97401000000</v>
      </c>
      <c r="G394" s="9">
        <v>16</v>
      </c>
      <c r="H394" s="9">
        <v>20600</v>
      </c>
      <c r="I394" s="9">
        <v>210001001</v>
      </c>
      <c r="J394" s="10" t="s">
        <v>3587</v>
      </c>
      <c r="K394" s="10"/>
      <c r="L394" s="3" t="s">
        <v>3588</v>
      </c>
      <c r="M394" s="10" t="s">
        <v>3589</v>
      </c>
      <c r="N394" s="10" t="s">
        <v>3590</v>
      </c>
      <c r="O394" s="10" t="s">
        <v>3591</v>
      </c>
      <c r="P394" s="11">
        <v>212709830670</v>
      </c>
      <c r="Q394" s="10" t="s">
        <v>41</v>
      </c>
      <c r="R394" s="10" t="s">
        <v>3592</v>
      </c>
      <c r="S394" s="10" t="s">
        <v>3593</v>
      </c>
      <c r="T394" s="10"/>
      <c r="U394" s="10"/>
      <c r="V394" s="3"/>
      <c r="W394" s="3">
        <v>0</v>
      </c>
      <c r="X394" s="3">
        <v>0</v>
      </c>
      <c r="Y394" s="3">
        <v>0</v>
      </c>
      <c r="Z394" s="3">
        <v>1196000</v>
      </c>
      <c r="AA394" s="3">
        <v>219000</v>
      </c>
      <c r="AB394" s="3">
        <v>0</v>
      </c>
      <c r="AC394" s="3">
        <v>0</v>
      </c>
      <c r="AD394" s="3">
        <v>0</v>
      </c>
      <c r="AE394" s="10"/>
      <c r="AF394" s="10"/>
      <c r="AG394" s="10" t="s">
        <v>46</v>
      </c>
    </row>
    <row r="395" spans="1:33" ht="15.75" x14ac:dyDescent="0.25">
      <c r="A395" s="3">
        <v>1222100006996</v>
      </c>
      <c r="B395" s="9">
        <v>2100000520</v>
      </c>
      <c r="C395" s="10" t="s">
        <v>3594</v>
      </c>
      <c r="D395" s="10" t="s">
        <v>3595</v>
      </c>
      <c r="E395" s="9">
        <v>75482620</v>
      </c>
      <c r="F395" s="9">
        <v>97401000000</v>
      </c>
      <c r="G395" s="9">
        <v>53</v>
      </c>
      <c r="H395" s="9">
        <v>20200</v>
      </c>
      <c r="I395" s="9">
        <v>210001001</v>
      </c>
      <c r="J395" s="10" t="s">
        <v>3581</v>
      </c>
      <c r="K395" s="10"/>
      <c r="L395" s="3" t="s">
        <v>3315</v>
      </c>
      <c r="M395" s="10" t="s">
        <v>3316</v>
      </c>
      <c r="N395" s="10" t="s">
        <v>3596</v>
      </c>
      <c r="O395" s="10" t="s">
        <v>3597</v>
      </c>
      <c r="P395" s="11">
        <v>213004131940</v>
      </c>
      <c r="Q395" s="10" t="s">
        <v>3299</v>
      </c>
      <c r="R395" s="10" t="s">
        <v>3598</v>
      </c>
      <c r="S395" s="10" t="s">
        <v>3599</v>
      </c>
      <c r="T395" s="10"/>
      <c r="U395" s="10" t="s">
        <v>3600</v>
      </c>
      <c r="V395" s="3"/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10"/>
      <c r="AF395" s="10"/>
      <c r="AG395" s="10" t="s">
        <v>46</v>
      </c>
    </row>
    <row r="396" spans="1:33" ht="15.75" x14ac:dyDescent="0.25">
      <c r="A396" s="1">
        <v>1242100000460</v>
      </c>
      <c r="B396" s="6">
        <v>2100013416</v>
      </c>
      <c r="C396" s="7" t="s">
        <v>3601</v>
      </c>
      <c r="D396" s="7" t="s">
        <v>3602</v>
      </c>
      <c r="E396" s="6">
        <v>71843305</v>
      </c>
      <c r="F396" s="6">
        <v>97224830001</v>
      </c>
      <c r="G396" s="6">
        <v>14</v>
      </c>
      <c r="H396" s="6">
        <v>75403</v>
      </c>
      <c r="I396" s="6">
        <v>210001001</v>
      </c>
      <c r="J396" s="7" t="s">
        <v>3603</v>
      </c>
      <c r="K396" s="7"/>
      <c r="L396" s="1" t="s">
        <v>3604</v>
      </c>
      <c r="M396" s="7" t="s">
        <v>3605</v>
      </c>
      <c r="N396" s="7"/>
      <c r="O396" s="7" t="s">
        <v>3606</v>
      </c>
      <c r="P396" s="8">
        <v>210900472456</v>
      </c>
      <c r="Q396" s="7" t="s">
        <v>3607</v>
      </c>
      <c r="R396" s="7" t="s">
        <v>3608</v>
      </c>
      <c r="S396" s="7" t="s">
        <v>3609</v>
      </c>
      <c r="T396" s="7"/>
      <c r="U396" s="7" t="s">
        <v>3610</v>
      </c>
      <c r="V396" s="1"/>
      <c r="W396" s="1"/>
      <c r="X396" s="1"/>
      <c r="Y396" s="1"/>
      <c r="Z396" s="1"/>
      <c r="AA396" s="1"/>
      <c r="AB396" s="1"/>
      <c r="AC396" s="1"/>
      <c r="AD396" s="1"/>
      <c r="AE396" s="7"/>
      <c r="AF396" s="7"/>
      <c r="AG396" s="7" t="s">
        <v>46</v>
      </c>
    </row>
    <row r="397" spans="1:33" ht="15.75" x14ac:dyDescent="0.25">
      <c r="A397" s="3">
        <v>1232100003717</v>
      </c>
      <c r="B397" s="9">
        <v>2100007211</v>
      </c>
      <c r="C397" s="10" t="s">
        <v>3611</v>
      </c>
      <c r="D397" s="10" t="s">
        <v>3612</v>
      </c>
      <c r="E397" s="9">
        <v>48994820</v>
      </c>
      <c r="F397" s="9">
        <v>97221825001</v>
      </c>
      <c r="G397" s="9">
        <v>53</v>
      </c>
      <c r="H397" s="9">
        <v>20200</v>
      </c>
      <c r="I397" s="9">
        <v>210001001</v>
      </c>
      <c r="J397" s="10" t="s">
        <v>3613</v>
      </c>
      <c r="K397" s="10"/>
      <c r="L397" s="3" t="s">
        <v>3315</v>
      </c>
      <c r="M397" s="10" t="s">
        <v>3316</v>
      </c>
      <c r="N397" s="10"/>
      <c r="O397" s="10" t="s">
        <v>3614</v>
      </c>
      <c r="P397" s="11">
        <v>210800074050</v>
      </c>
      <c r="Q397" s="10" t="s">
        <v>3299</v>
      </c>
      <c r="R397" s="10" t="s">
        <v>3615</v>
      </c>
      <c r="S397" s="10" t="s">
        <v>3616</v>
      </c>
      <c r="T397" s="10"/>
      <c r="U397" s="10"/>
      <c r="V397" s="3"/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10"/>
      <c r="AF397" s="10"/>
      <c r="AG397" s="10" t="s">
        <v>46</v>
      </c>
    </row>
    <row r="398" spans="1:33" ht="15.75" x14ac:dyDescent="0.25">
      <c r="A398" s="3">
        <v>1232100003761</v>
      </c>
      <c r="B398" s="9">
        <v>2100007268</v>
      </c>
      <c r="C398" s="10" t="s">
        <v>3617</v>
      </c>
      <c r="D398" s="10" t="s">
        <v>3618</v>
      </c>
      <c r="E398" s="9">
        <v>49017802</v>
      </c>
      <c r="F398" s="9">
        <v>97247822001</v>
      </c>
      <c r="G398" s="9">
        <v>53</v>
      </c>
      <c r="H398" s="9">
        <v>20200</v>
      </c>
      <c r="I398" s="9">
        <v>210001001</v>
      </c>
      <c r="J398" s="10" t="s">
        <v>3619</v>
      </c>
      <c r="K398" s="10"/>
      <c r="L398" s="3" t="s">
        <v>3315</v>
      </c>
      <c r="M398" s="10" t="s">
        <v>3316</v>
      </c>
      <c r="N398" s="10"/>
      <c r="O398" s="10" t="s">
        <v>3620</v>
      </c>
      <c r="P398" s="11">
        <v>211700472806</v>
      </c>
      <c r="Q398" s="10" t="s">
        <v>3299</v>
      </c>
      <c r="R398" s="10" t="s">
        <v>3621</v>
      </c>
      <c r="S398" s="10" t="s">
        <v>3622</v>
      </c>
      <c r="T398" s="10"/>
      <c r="U398" s="10"/>
      <c r="V398" s="3"/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10"/>
      <c r="AF398" s="10"/>
      <c r="AG398" s="10" t="s">
        <v>46</v>
      </c>
    </row>
    <row r="399" spans="1:33" ht="15.75" x14ac:dyDescent="0.25">
      <c r="A399" s="1">
        <v>1222100009570</v>
      </c>
      <c r="B399" s="6">
        <v>2100003111</v>
      </c>
      <c r="C399" s="7" t="s">
        <v>3623</v>
      </c>
      <c r="D399" s="7" t="s">
        <v>3624</v>
      </c>
      <c r="E399" s="6">
        <v>83493075</v>
      </c>
      <c r="F399" s="6">
        <v>97241501000</v>
      </c>
      <c r="G399" s="6">
        <v>14</v>
      </c>
      <c r="H399" s="6">
        <v>75404</v>
      </c>
      <c r="I399" s="6">
        <v>210001001</v>
      </c>
      <c r="J399" s="7" t="s">
        <v>3625</v>
      </c>
      <c r="K399" s="7"/>
      <c r="L399" s="1" t="s">
        <v>3268</v>
      </c>
      <c r="M399" s="7" t="s">
        <v>3269</v>
      </c>
      <c r="N399" s="7" t="s">
        <v>3374</v>
      </c>
      <c r="O399" s="7" t="s">
        <v>3626</v>
      </c>
      <c r="P399" s="8">
        <v>212302738640</v>
      </c>
      <c r="Q399" s="7" t="s">
        <v>3627</v>
      </c>
      <c r="R399" s="7" t="s">
        <v>3628</v>
      </c>
      <c r="S399" s="7" t="s">
        <v>3629</v>
      </c>
      <c r="T399" s="7"/>
      <c r="U399" s="7" t="s">
        <v>3630</v>
      </c>
      <c r="V399" s="1"/>
      <c r="W399" s="1"/>
      <c r="X399" s="1"/>
      <c r="Y399" s="1"/>
      <c r="Z399" s="1"/>
      <c r="AA399" s="1"/>
      <c r="AB399" s="1"/>
      <c r="AC399" s="1"/>
      <c r="AD399" s="1"/>
      <c r="AE399" s="7"/>
      <c r="AF399" s="7"/>
      <c r="AG399" s="7" t="s">
        <v>46</v>
      </c>
    </row>
    <row r="400" spans="1:33" ht="15.75" x14ac:dyDescent="0.25">
      <c r="A400" s="1">
        <v>1232100004157</v>
      </c>
      <c r="B400" s="6">
        <v>2100007652</v>
      </c>
      <c r="C400" s="7" t="s">
        <v>3631</v>
      </c>
      <c r="D400" s="7" t="s">
        <v>3632</v>
      </c>
      <c r="E400" s="6">
        <v>52187321</v>
      </c>
      <c r="F400" s="6">
        <v>97410000000</v>
      </c>
      <c r="G400" s="6">
        <v>16</v>
      </c>
      <c r="H400" s="6">
        <v>20702</v>
      </c>
      <c r="I400" s="6">
        <v>210001001</v>
      </c>
      <c r="J400" s="7" t="s">
        <v>3633</v>
      </c>
      <c r="K400" s="7"/>
      <c r="L400" s="1" t="s">
        <v>851</v>
      </c>
      <c r="M400" s="7" t="s">
        <v>852</v>
      </c>
      <c r="N400" s="7"/>
      <c r="O400" s="7" t="s">
        <v>3634</v>
      </c>
      <c r="P400" s="8">
        <v>280920210510</v>
      </c>
      <c r="Q400" s="7" t="s">
        <v>3299</v>
      </c>
      <c r="R400" s="7" t="s">
        <v>3635</v>
      </c>
      <c r="S400" s="7" t="s">
        <v>3636</v>
      </c>
      <c r="T400" s="7"/>
      <c r="U400" s="7"/>
      <c r="V400" s="1"/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7"/>
      <c r="AF400" s="7"/>
      <c r="AG400" s="7" t="s">
        <v>46</v>
      </c>
    </row>
    <row r="401" spans="1:33" ht="15.75" x14ac:dyDescent="0.25">
      <c r="A401" s="3">
        <v>1242100000504</v>
      </c>
      <c r="B401" s="9">
        <v>2100013455</v>
      </c>
      <c r="C401" s="10" t="s">
        <v>3637</v>
      </c>
      <c r="D401" s="10" t="s">
        <v>3638</v>
      </c>
      <c r="E401" s="9">
        <v>80297066</v>
      </c>
      <c r="F401" s="9">
        <v>97401000000</v>
      </c>
      <c r="G401" s="9">
        <v>16</v>
      </c>
      <c r="H401" s="9">
        <v>71400</v>
      </c>
      <c r="I401" s="9">
        <v>210001001</v>
      </c>
      <c r="J401" s="10" t="s">
        <v>3639</v>
      </c>
      <c r="K401" s="10"/>
      <c r="L401" s="3" t="s">
        <v>3297</v>
      </c>
      <c r="M401" s="10" t="s">
        <v>3389</v>
      </c>
      <c r="N401" s="10" t="s">
        <v>3640</v>
      </c>
      <c r="O401" s="10" t="s">
        <v>3641</v>
      </c>
      <c r="P401" s="11">
        <v>213012456726</v>
      </c>
      <c r="Q401" s="10" t="s">
        <v>41</v>
      </c>
      <c r="R401" s="10" t="s">
        <v>3642</v>
      </c>
      <c r="S401" s="10" t="s">
        <v>3643</v>
      </c>
      <c r="T401" s="10"/>
      <c r="U401" s="10" t="s">
        <v>3644</v>
      </c>
      <c r="V401" s="3"/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10"/>
      <c r="AF401" s="10"/>
      <c r="AG401" s="10" t="s">
        <v>46</v>
      </c>
    </row>
    <row r="402" spans="1:33" ht="15.75" x14ac:dyDescent="0.25">
      <c r="A402" s="1">
        <v>1232100004289</v>
      </c>
      <c r="B402" s="6">
        <v>2100007780</v>
      </c>
      <c r="C402" s="7" t="s">
        <v>3645</v>
      </c>
      <c r="D402" s="7" t="s">
        <v>3646</v>
      </c>
      <c r="E402" s="6">
        <v>53264489</v>
      </c>
      <c r="F402" s="6">
        <v>97401000000</v>
      </c>
      <c r="G402" s="6">
        <v>53</v>
      </c>
      <c r="H402" s="6">
        <v>20200</v>
      </c>
      <c r="I402" s="6">
        <v>210001001</v>
      </c>
      <c r="J402" s="7" t="s">
        <v>3647</v>
      </c>
      <c r="K402" s="7"/>
      <c r="L402" s="1" t="s">
        <v>3315</v>
      </c>
      <c r="M402" s="7" t="s">
        <v>3316</v>
      </c>
      <c r="N402" s="7" t="s">
        <v>3648</v>
      </c>
      <c r="O402" s="7" t="s">
        <v>3649</v>
      </c>
      <c r="P402" s="8">
        <v>212909617910</v>
      </c>
      <c r="Q402" s="7" t="s">
        <v>3299</v>
      </c>
      <c r="R402" s="7" t="s">
        <v>3650</v>
      </c>
      <c r="S402" s="7" t="s">
        <v>3651</v>
      </c>
      <c r="T402" s="7"/>
      <c r="U402" s="7" t="s">
        <v>3652</v>
      </c>
      <c r="V402" s="1"/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7"/>
      <c r="AF402" s="7"/>
      <c r="AG402" s="7" t="s">
        <v>46</v>
      </c>
    </row>
    <row r="403" spans="1:33" ht="15.75" x14ac:dyDescent="0.25">
      <c r="A403" s="3">
        <v>1222100009493</v>
      </c>
      <c r="B403" s="9">
        <v>2100003030</v>
      </c>
      <c r="C403" s="10" t="s">
        <v>3653</v>
      </c>
      <c r="D403" s="10" t="s">
        <v>3654</v>
      </c>
      <c r="E403" s="9">
        <v>57994612</v>
      </c>
      <c r="F403" s="9">
        <v>97244836001</v>
      </c>
      <c r="G403" s="9">
        <v>14</v>
      </c>
      <c r="H403" s="9">
        <v>75404</v>
      </c>
      <c r="I403" s="9">
        <v>210001001</v>
      </c>
      <c r="J403" s="10" t="s">
        <v>3655</v>
      </c>
      <c r="K403" s="10"/>
      <c r="L403" s="3" t="s">
        <v>3268</v>
      </c>
      <c r="M403" s="10" t="s">
        <v>3269</v>
      </c>
      <c r="N403" s="10"/>
      <c r="O403" s="10" t="s">
        <v>3656</v>
      </c>
      <c r="P403" s="11">
        <v>212101313326</v>
      </c>
      <c r="Q403" s="10" t="s">
        <v>3657</v>
      </c>
      <c r="R403" s="10" t="s">
        <v>3658</v>
      </c>
      <c r="S403" s="10" t="s">
        <v>3659</v>
      </c>
      <c r="T403" s="10"/>
      <c r="U403" s="10" t="s">
        <v>3660</v>
      </c>
      <c r="V403" s="3"/>
      <c r="W403" s="3"/>
      <c r="X403" s="3"/>
      <c r="Y403" s="3"/>
      <c r="Z403" s="3"/>
      <c r="AA403" s="3"/>
      <c r="AB403" s="3"/>
      <c r="AC403" s="3"/>
      <c r="AD403" s="3"/>
      <c r="AE403" s="10"/>
      <c r="AF403" s="10"/>
      <c r="AG403" s="10" t="s">
        <v>46</v>
      </c>
    </row>
    <row r="404" spans="1:33" ht="15.75" x14ac:dyDescent="0.25">
      <c r="A404" s="1">
        <v>1242100000603</v>
      </c>
      <c r="B404" s="6">
        <v>2100013550</v>
      </c>
      <c r="C404" s="7" t="s">
        <v>3661</v>
      </c>
      <c r="D404" s="7" t="s">
        <v>3662</v>
      </c>
      <c r="E404" s="6">
        <v>77653623</v>
      </c>
      <c r="F404" s="6">
        <v>97255840001</v>
      </c>
      <c r="G404" s="6">
        <v>14</v>
      </c>
      <c r="H404" s="6">
        <v>75404</v>
      </c>
      <c r="I404" s="6">
        <v>210001001</v>
      </c>
      <c r="J404" s="7" t="s">
        <v>3663</v>
      </c>
      <c r="K404" s="7"/>
      <c r="L404" s="1" t="s">
        <v>3112</v>
      </c>
      <c r="M404" s="7" t="s">
        <v>3113</v>
      </c>
      <c r="N404" s="7" t="s">
        <v>3664</v>
      </c>
      <c r="O404" s="7" t="s">
        <v>3665</v>
      </c>
      <c r="P404" s="8">
        <v>212000805699</v>
      </c>
      <c r="Q404" s="7" t="s">
        <v>3427</v>
      </c>
      <c r="R404" s="7" t="s">
        <v>3666</v>
      </c>
      <c r="S404" s="7" t="s">
        <v>3667</v>
      </c>
      <c r="T404" s="7"/>
      <c r="U404" s="7"/>
      <c r="V404" s="1"/>
      <c r="W404" s="1"/>
      <c r="X404" s="1"/>
      <c r="Y404" s="1"/>
      <c r="Z404" s="1"/>
      <c r="AA404" s="1"/>
      <c r="AB404" s="1"/>
      <c r="AC404" s="1"/>
      <c r="AD404" s="1"/>
      <c r="AE404" s="7"/>
      <c r="AF404" s="7"/>
      <c r="AG404" s="7" t="s">
        <v>46</v>
      </c>
    </row>
    <row r="405" spans="1:33" ht="15.75" x14ac:dyDescent="0.25">
      <c r="A405" s="3">
        <v>1222100009790</v>
      </c>
      <c r="B405" s="9">
        <v>2100003337</v>
      </c>
      <c r="C405" s="10" t="s">
        <v>3668</v>
      </c>
      <c r="D405" s="10" t="s">
        <v>3669</v>
      </c>
      <c r="E405" s="9">
        <v>97464841</v>
      </c>
      <c r="F405" s="9">
        <v>97219501000</v>
      </c>
      <c r="G405" s="9">
        <v>14</v>
      </c>
      <c r="H405" s="9">
        <v>75404</v>
      </c>
      <c r="I405" s="9">
        <v>210001001</v>
      </c>
      <c r="J405" s="10" t="s">
        <v>3670</v>
      </c>
      <c r="K405" s="10"/>
      <c r="L405" s="3" t="s">
        <v>3112</v>
      </c>
      <c r="M405" s="10" t="s">
        <v>3113</v>
      </c>
      <c r="N405" s="10" t="s">
        <v>3671</v>
      </c>
      <c r="O405" s="10" t="s">
        <v>3672</v>
      </c>
      <c r="P405" s="11">
        <v>210702011608</v>
      </c>
      <c r="Q405" s="10" t="s">
        <v>3673</v>
      </c>
      <c r="R405" s="10" t="s">
        <v>3674</v>
      </c>
      <c r="S405" s="10" t="s">
        <v>3675</v>
      </c>
      <c r="T405" s="10"/>
      <c r="U405" s="10" t="s">
        <v>3676</v>
      </c>
      <c r="V405" s="3"/>
      <c r="W405" s="3"/>
      <c r="X405" s="3"/>
      <c r="Y405" s="3"/>
      <c r="Z405" s="3"/>
      <c r="AA405" s="3"/>
      <c r="AB405" s="3"/>
      <c r="AC405" s="3"/>
      <c r="AD405" s="3"/>
      <c r="AE405" s="10"/>
      <c r="AF405" s="10"/>
      <c r="AG405" s="10" t="s">
        <v>46</v>
      </c>
    </row>
    <row r="406" spans="1:33" ht="15.75" x14ac:dyDescent="0.25">
      <c r="A406" s="1">
        <v>1242100000614</v>
      </c>
      <c r="B406" s="6">
        <v>2100013568</v>
      </c>
      <c r="C406" s="7"/>
      <c r="D406" s="7" t="s">
        <v>3677</v>
      </c>
      <c r="E406" s="6">
        <v>77676676</v>
      </c>
      <c r="F406" s="6">
        <v>97221810003</v>
      </c>
      <c r="G406" s="6">
        <v>54</v>
      </c>
      <c r="H406" s="6">
        <v>71500</v>
      </c>
      <c r="I406" s="6">
        <v>210001001</v>
      </c>
      <c r="J406" s="7" t="s">
        <v>3663</v>
      </c>
      <c r="K406" s="7"/>
      <c r="L406" s="1" t="s">
        <v>3246</v>
      </c>
      <c r="M406" s="7" t="s">
        <v>3247</v>
      </c>
      <c r="N406" s="7"/>
      <c r="O406" s="7" t="s">
        <v>3678</v>
      </c>
      <c r="P406" s="8">
        <v>210800120429</v>
      </c>
      <c r="Q406" s="7" t="s">
        <v>3249</v>
      </c>
      <c r="R406" s="7" t="s">
        <v>3679</v>
      </c>
      <c r="S406" s="7" t="s">
        <v>3680</v>
      </c>
      <c r="T406" s="7"/>
      <c r="U406" s="7"/>
      <c r="V406" s="1"/>
      <c r="W406" s="1"/>
      <c r="X406" s="1"/>
      <c r="Y406" s="1"/>
      <c r="Z406" s="1"/>
      <c r="AA406" s="1"/>
      <c r="AB406" s="1"/>
      <c r="AC406" s="1"/>
      <c r="AD406" s="1"/>
      <c r="AE406" s="7"/>
      <c r="AF406" s="7"/>
      <c r="AG406" s="7" t="s">
        <v>46</v>
      </c>
    </row>
    <row r="407" spans="1:33" ht="15.75" x14ac:dyDescent="0.25">
      <c r="A407" s="1">
        <v>1222100007040</v>
      </c>
      <c r="B407" s="6">
        <v>2100000576</v>
      </c>
      <c r="C407" s="7" t="s">
        <v>3681</v>
      </c>
      <c r="D407" s="7" t="s">
        <v>3682</v>
      </c>
      <c r="E407" s="6">
        <v>93094078</v>
      </c>
      <c r="F407" s="6">
        <v>97401000000</v>
      </c>
      <c r="G407" s="6">
        <v>16</v>
      </c>
      <c r="H407" s="6">
        <v>20600</v>
      </c>
      <c r="I407" s="6">
        <v>210001001</v>
      </c>
      <c r="J407" s="7" t="s">
        <v>3683</v>
      </c>
      <c r="K407" s="7"/>
      <c r="L407" s="1" t="s">
        <v>3439</v>
      </c>
      <c r="M407" s="7" t="s">
        <v>3440</v>
      </c>
      <c r="N407" s="7"/>
      <c r="O407" s="7" t="s">
        <v>3684</v>
      </c>
      <c r="P407" s="8">
        <v>212801080557</v>
      </c>
      <c r="Q407" s="7" t="s">
        <v>3685</v>
      </c>
      <c r="R407" s="7" t="s">
        <v>3686</v>
      </c>
      <c r="S407" s="7" t="s">
        <v>3687</v>
      </c>
      <c r="T407" s="7"/>
      <c r="U407" s="7"/>
      <c r="V407" s="1"/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7"/>
      <c r="AF407" s="7"/>
      <c r="AG407" s="7" t="s">
        <v>46</v>
      </c>
    </row>
    <row r="408" spans="1:33" ht="15.75" x14ac:dyDescent="0.25">
      <c r="A408" s="3">
        <v>1222100009900</v>
      </c>
      <c r="B408" s="9">
        <v>2100003440</v>
      </c>
      <c r="C408" s="10" t="s">
        <v>3688</v>
      </c>
      <c r="D408" s="10" t="s">
        <v>3689</v>
      </c>
      <c r="E408" s="9">
        <v>82795259</v>
      </c>
      <c r="F408" s="9">
        <v>97255840001</v>
      </c>
      <c r="G408" s="9">
        <v>14</v>
      </c>
      <c r="H408" s="9">
        <v>75404</v>
      </c>
      <c r="I408" s="9">
        <v>210001001</v>
      </c>
      <c r="J408" s="10" t="s">
        <v>3690</v>
      </c>
      <c r="K408" s="10"/>
      <c r="L408" s="3" t="s">
        <v>3268</v>
      </c>
      <c r="M408" s="10" t="s">
        <v>3269</v>
      </c>
      <c r="N408" s="10" t="s">
        <v>3691</v>
      </c>
      <c r="O408" s="10" t="s">
        <v>3692</v>
      </c>
      <c r="P408" s="11">
        <v>212000516560</v>
      </c>
      <c r="Q408" s="10" t="s">
        <v>3693</v>
      </c>
      <c r="R408" s="10" t="s">
        <v>3666</v>
      </c>
      <c r="S408" s="10" t="s">
        <v>3694</v>
      </c>
      <c r="T408" s="10"/>
      <c r="U408" s="10"/>
      <c r="V408" s="3"/>
      <c r="W408" s="3"/>
      <c r="X408" s="3"/>
      <c r="Y408" s="3"/>
      <c r="Z408" s="3"/>
      <c r="AA408" s="3"/>
      <c r="AB408" s="3"/>
      <c r="AC408" s="3"/>
      <c r="AD408" s="3"/>
      <c r="AE408" s="10"/>
      <c r="AF408" s="10"/>
      <c r="AG408" s="10" t="s">
        <v>46</v>
      </c>
    </row>
    <row r="409" spans="1:33" ht="15.75" x14ac:dyDescent="0.25">
      <c r="A409" s="3">
        <v>1222100008020</v>
      </c>
      <c r="B409" s="9">
        <v>2100001562</v>
      </c>
      <c r="C409" s="10" t="s">
        <v>3695</v>
      </c>
      <c r="D409" s="10" t="s">
        <v>3696</v>
      </c>
      <c r="E409" s="9">
        <v>74983515</v>
      </c>
      <c r="F409" s="9">
        <v>97401000000</v>
      </c>
      <c r="G409" s="9">
        <v>16</v>
      </c>
      <c r="H409" s="9">
        <v>70400</v>
      </c>
      <c r="I409" s="9">
        <v>210001001</v>
      </c>
      <c r="J409" s="10" t="s">
        <v>3697</v>
      </c>
      <c r="K409" s="10"/>
      <c r="L409" s="3" t="s">
        <v>434</v>
      </c>
      <c r="M409" s="10" t="s">
        <v>435</v>
      </c>
      <c r="N409" s="10" t="s">
        <v>3698</v>
      </c>
      <c r="O409" s="10" t="s">
        <v>3699</v>
      </c>
      <c r="P409" s="11" t="s">
        <v>3700</v>
      </c>
      <c r="Q409" s="10" t="s">
        <v>3701</v>
      </c>
      <c r="R409" s="10" t="s">
        <v>3702</v>
      </c>
      <c r="S409" s="10" t="s">
        <v>3703</v>
      </c>
      <c r="T409" s="10"/>
      <c r="U409" s="10" t="s">
        <v>3704</v>
      </c>
      <c r="V409" s="3"/>
      <c r="W409" s="3">
        <v>0</v>
      </c>
      <c r="X409" s="3">
        <v>0</v>
      </c>
      <c r="Y409" s="3">
        <v>1115000</v>
      </c>
      <c r="Z409" s="3">
        <v>89000</v>
      </c>
      <c r="AA409" s="3">
        <v>3000</v>
      </c>
      <c r="AB409" s="3">
        <v>503000</v>
      </c>
      <c r="AC409" s="3">
        <v>0</v>
      </c>
      <c r="AD409" s="3">
        <v>0</v>
      </c>
      <c r="AE409" s="10"/>
      <c r="AF409" s="10"/>
      <c r="AG409" s="10" t="s">
        <v>46</v>
      </c>
    </row>
    <row r="410" spans="1:33" ht="15.75" x14ac:dyDescent="0.25">
      <c r="A410" s="3">
        <v>1232100004421</v>
      </c>
      <c r="B410" s="9">
        <v>2100007910</v>
      </c>
      <c r="C410" s="10" t="s">
        <v>3705</v>
      </c>
      <c r="D410" s="10" t="s">
        <v>3706</v>
      </c>
      <c r="E410" s="9">
        <v>54207393</v>
      </c>
      <c r="F410" s="9">
        <v>97207860001</v>
      </c>
      <c r="G410" s="9">
        <v>53</v>
      </c>
      <c r="H410" s="9">
        <v>20200</v>
      </c>
      <c r="I410" s="9">
        <v>210001001</v>
      </c>
      <c r="J410" s="10" t="s">
        <v>3707</v>
      </c>
      <c r="K410" s="10"/>
      <c r="L410" s="3" t="s">
        <v>3315</v>
      </c>
      <c r="M410" s="10" t="s">
        <v>3316</v>
      </c>
      <c r="N410" s="10"/>
      <c r="O410" s="10" t="s">
        <v>3708</v>
      </c>
      <c r="P410" s="11">
        <v>212912237972</v>
      </c>
      <c r="Q410" s="10" t="s">
        <v>3299</v>
      </c>
      <c r="R410" s="10" t="s">
        <v>3709</v>
      </c>
      <c r="S410" s="10" t="s">
        <v>3710</v>
      </c>
      <c r="T410" s="10"/>
      <c r="U410" s="10"/>
      <c r="V410" s="3"/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10"/>
      <c r="AF410" s="10"/>
      <c r="AG410" s="10" t="s">
        <v>46</v>
      </c>
    </row>
    <row r="411" spans="1:33" ht="15.75" x14ac:dyDescent="0.25">
      <c r="A411" s="1">
        <v>1232100004377</v>
      </c>
      <c r="B411" s="6">
        <v>2100007860</v>
      </c>
      <c r="C411" s="7" t="s">
        <v>3711</v>
      </c>
      <c r="D411" s="7" t="s">
        <v>3712</v>
      </c>
      <c r="E411" s="6">
        <v>54176037</v>
      </c>
      <c r="F411" s="6">
        <v>97401000000</v>
      </c>
      <c r="G411" s="6">
        <v>53</v>
      </c>
      <c r="H411" s="6">
        <v>20200</v>
      </c>
      <c r="I411" s="6">
        <v>210001001</v>
      </c>
      <c r="J411" s="7" t="s">
        <v>3713</v>
      </c>
      <c r="K411" s="7"/>
      <c r="L411" s="1" t="s">
        <v>3315</v>
      </c>
      <c r="M411" s="7" t="s">
        <v>3316</v>
      </c>
      <c r="N411" s="7" t="s">
        <v>3714</v>
      </c>
      <c r="O411" s="7" t="s">
        <v>3715</v>
      </c>
      <c r="P411" s="8">
        <v>212904335052</v>
      </c>
      <c r="Q411" s="7" t="s">
        <v>3299</v>
      </c>
      <c r="R411" s="7" t="s">
        <v>3716</v>
      </c>
      <c r="S411" s="7" t="s">
        <v>3717</v>
      </c>
      <c r="T411" s="7"/>
      <c r="U411" s="7" t="s">
        <v>3718</v>
      </c>
      <c r="V411" s="1"/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7"/>
      <c r="AF411" s="7"/>
      <c r="AG411" s="7" t="s">
        <v>46</v>
      </c>
    </row>
    <row r="412" spans="1:33" ht="15.75" x14ac:dyDescent="0.25">
      <c r="A412" s="3">
        <v>1222100007315</v>
      </c>
      <c r="B412" s="9">
        <v>2100000858</v>
      </c>
      <c r="C412" s="10" t="s">
        <v>3719</v>
      </c>
      <c r="D412" s="10" t="s">
        <v>3720</v>
      </c>
      <c r="E412" s="9">
        <v>71323818</v>
      </c>
      <c r="F412" s="9">
        <v>97216848001</v>
      </c>
      <c r="G412" s="9">
        <v>53</v>
      </c>
      <c r="H412" s="9">
        <v>20200</v>
      </c>
      <c r="I412" s="9">
        <v>210001001</v>
      </c>
      <c r="J412" s="10" t="s">
        <v>582</v>
      </c>
      <c r="K412" s="10"/>
      <c r="L412" s="3" t="s">
        <v>3315</v>
      </c>
      <c r="M412" s="10" t="s">
        <v>3316</v>
      </c>
      <c r="N412" s="10"/>
      <c r="O412" s="10" t="s">
        <v>3721</v>
      </c>
      <c r="P412" s="11">
        <v>210604495005</v>
      </c>
      <c r="Q412" s="10" t="s">
        <v>3722</v>
      </c>
      <c r="R412" s="10" t="s">
        <v>3723</v>
      </c>
      <c r="S412" s="10" t="s">
        <v>3724</v>
      </c>
      <c r="T412" s="10"/>
      <c r="U412" s="10" t="s">
        <v>3725</v>
      </c>
      <c r="V412" s="3"/>
      <c r="W412" s="3"/>
      <c r="X412" s="3"/>
      <c r="Y412" s="3"/>
      <c r="Z412" s="3"/>
      <c r="AA412" s="3"/>
      <c r="AB412" s="3"/>
      <c r="AC412" s="3"/>
      <c r="AD412" s="3"/>
      <c r="AE412" s="10"/>
      <c r="AF412" s="10"/>
      <c r="AG412" s="10" t="s">
        <v>46</v>
      </c>
    </row>
    <row r="413" spans="1:33" ht="15.75" x14ac:dyDescent="0.25">
      <c r="A413" s="1">
        <v>1222100008734</v>
      </c>
      <c r="B413" s="6">
        <v>2100002277</v>
      </c>
      <c r="C413" s="7" t="s">
        <v>3726</v>
      </c>
      <c r="D413" s="7" t="s">
        <v>3727</v>
      </c>
      <c r="E413" s="6">
        <v>57664607</v>
      </c>
      <c r="F413" s="6">
        <v>97410000000</v>
      </c>
      <c r="G413" s="6">
        <v>53</v>
      </c>
      <c r="H413" s="6">
        <v>20200</v>
      </c>
      <c r="I413" s="6">
        <v>210001001</v>
      </c>
      <c r="J413" s="7" t="s">
        <v>3728</v>
      </c>
      <c r="K413" s="7"/>
      <c r="L413" s="1" t="s">
        <v>3297</v>
      </c>
      <c r="M413" s="7" t="s">
        <v>3389</v>
      </c>
      <c r="N413" s="7" t="s">
        <v>3729</v>
      </c>
      <c r="O413" s="7" t="s">
        <v>3521</v>
      </c>
      <c r="P413" s="8">
        <v>212410100491</v>
      </c>
      <c r="Q413" s="7" t="s">
        <v>3299</v>
      </c>
      <c r="R413" s="7" t="s">
        <v>3522</v>
      </c>
      <c r="S413" s="7" t="s">
        <v>3523</v>
      </c>
      <c r="T413" s="7"/>
      <c r="U413" s="7" t="s">
        <v>3730</v>
      </c>
      <c r="V413" s="1"/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7"/>
      <c r="AF413" s="7"/>
      <c r="AG413" s="7" t="s">
        <v>46</v>
      </c>
    </row>
    <row r="414" spans="1:33" ht="15.75" x14ac:dyDescent="0.25">
      <c r="A414" s="3">
        <v>1222100009768</v>
      </c>
      <c r="B414" s="9">
        <v>2100003305</v>
      </c>
      <c r="C414" s="10" t="s">
        <v>3731</v>
      </c>
      <c r="D414" s="10" t="s">
        <v>3732</v>
      </c>
      <c r="E414" s="9">
        <v>95157419</v>
      </c>
      <c r="F414" s="9">
        <v>97247864001</v>
      </c>
      <c r="G414" s="9">
        <v>14</v>
      </c>
      <c r="H414" s="9">
        <v>75404</v>
      </c>
      <c r="I414" s="9">
        <v>210001001</v>
      </c>
      <c r="J414" s="10" t="s">
        <v>3733</v>
      </c>
      <c r="K414" s="10"/>
      <c r="L414" s="3" t="s">
        <v>3268</v>
      </c>
      <c r="M414" s="10" t="s">
        <v>3269</v>
      </c>
      <c r="N414" s="10" t="s">
        <v>3734</v>
      </c>
      <c r="O414" s="10" t="s">
        <v>3735</v>
      </c>
      <c r="P414" s="11">
        <v>211700001540</v>
      </c>
      <c r="Q414" s="10" t="s">
        <v>3736</v>
      </c>
      <c r="R414" s="10" t="s">
        <v>3737</v>
      </c>
      <c r="S414" s="10" t="s">
        <v>3738</v>
      </c>
      <c r="T414" s="10"/>
      <c r="U414" s="10"/>
      <c r="V414" s="3"/>
      <c r="W414" s="3"/>
      <c r="X414" s="3"/>
      <c r="Y414" s="3"/>
      <c r="Z414" s="3"/>
      <c r="AA414" s="3"/>
      <c r="AB414" s="3"/>
      <c r="AC414" s="3"/>
      <c r="AD414" s="3"/>
      <c r="AE414" s="10"/>
      <c r="AF414" s="10"/>
      <c r="AG414" s="10" t="s">
        <v>46</v>
      </c>
    </row>
    <row r="415" spans="1:33" ht="15.75" x14ac:dyDescent="0.25">
      <c r="A415" s="1">
        <v>1222100008030</v>
      </c>
      <c r="B415" s="6">
        <v>2100001570</v>
      </c>
      <c r="C415" s="7" t="s">
        <v>3739</v>
      </c>
      <c r="D415" s="7" t="s">
        <v>3740</v>
      </c>
      <c r="E415" s="6">
        <v>74985833</v>
      </c>
      <c r="F415" s="6">
        <v>97244836001</v>
      </c>
      <c r="G415" s="6">
        <v>14</v>
      </c>
      <c r="H415" s="6">
        <v>75404</v>
      </c>
      <c r="I415" s="6">
        <v>210001001</v>
      </c>
      <c r="J415" s="7" t="s">
        <v>3697</v>
      </c>
      <c r="K415" s="7"/>
      <c r="L415" s="1" t="s">
        <v>3268</v>
      </c>
      <c r="M415" s="7" t="s">
        <v>3269</v>
      </c>
      <c r="N415" s="7"/>
      <c r="O415" s="7" t="s">
        <v>3741</v>
      </c>
      <c r="P415" s="8">
        <v>211607016333</v>
      </c>
      <c r="Q415" s="7" t="s">
        <v>3742</v>
      </c>
      <c r="R415" s="7" t="s">
        <v>3658</v>
      </c>
      <c r="S415" s="7" t="s">
        <v>3743</v>
      </c>
      <c r="T415" s="7"/>
      <c r="U415" s="7" t="s">
        <v>3744</v>
      </c>
      <c r="V415" s="1"/>
      <c r="W415" s="1"/>
      <c r="X415" s="1"/>
      <c r="Y415" s="1"/>
      <c r="Z415" s="1"/>
      <c r="AA415" s="1"/>
      <c r="AB415" s="1"/>
      <c r="AC415" s="1"/>
      <c r="AD415" s="1"/>
      <c r="AE415" s="7"/>
      <c r="AF415" s="7"/>
      <c r="AG415" s="7" t="s">
        <v>46</v>
      </c>
    </row>
    <row r="416" spans="1:33" ht="15.75" x14ac:dyDescent="0.25">
      <c r="A416" s="3">
        <v>1222100007128</v>
      </c>
      <c r="B416" s="9">
        <v>2100000664</v>
      </c>
      <c r="C416" s="10" t="s">
        <v>3745</v>
      </c>
      <c r="D416" s="10" t="s">
        <v>3746</v>
      </c>
      <c r="E416" s="9">
        <v>95389360</v>
      </c>
      <c r="F416" s="9">
        <v>97253880001</v>
      </c>
      <c r="G416" s="9">
        <v>16</v>
      </c>
      <c r="H416" s="9">
        <v>15300</v>
      </c>
      <c r="I416" s="9">
        <v>210001001</v>
      </c>
      <c r="J416" s="10" t="s">
        <v>3747</v>
      </c>
      <c r="K416" s="10"/>
      <c r="L416" s="3" t="s">
        <v>1518</v>
      </c>
      <c r="M416" s="10" t="s">
        <v>1519</v>
      </c>
      <c r="N416" s="10" t="s">
        <v>3748</v>
      </c>
      <c r="O416" s="10" t="s">
        <v>3749</v>
      </c>
      <c r="P416" s="11">
        <v>110115354799</v>
      </c>
      <c r="Q416" s="10" t="s">
        <v>3750</v>
      </c>
      <c r="R416" s="10" t="s">
        <v>3751</v>
      </c>
      <c r="S416" s="10" t="s">
        <v>3752</v>
      </c>
      <c r="T416" s="10"/>
      <c r="U416" s="10"/>
      <c r="V416" s="3"/>
      <c r="W416" s="3">
        <v>0</v>
      </c>
      <c r="X416" s="3">
        <v>300000</v>
      </c>
      <c r="Y416" s="3">
        <v>0</v>
      </c>
      <c r="Z416" s="3">
        <v>0</v>
      </c>
      <c r="AA416" s="3">
        <v>300000</v>
      </c>
      <c r="AB416" s="3">
        <v>0</v>
      </c>
      <c r="AC416" s="3">
        <v>0</v>
      </c>
      <c r="AD416" s="3">
        <v>0</v>
      </c>
      <c r="AE416" s="10"/>
      <c r="AF416" s="10"/>
      <c r="AG416" s="10" t="s">
        <v>46</v>
      </c>
    </row>
    <row r="417" spans="1:33" ht="15.75" x14ac:dyDescent="0.25">
      <c r="A417" s="1">
        <v>1222100008250</v>
      </c>
      <c r="B417" s="6">
        <v>2100001795</v>
      </c>
      <c r="C417" s="7" t="s">
        <v>3753</v>
      </c>
      <c r="D417" s="7" t="s">
        <v>3754</v>
      </c>
      <c r="E417" s="6">
        <v>99803833</v>
      </c>
      <c r="F417" s="6">
        <v>97232835001</v>
      </c>
      <c r="G417" s="6">
        <v>14</v>
      </c>
      <c r="H417" s="6">
        <v>75404</v>
      </c>
      <c r="I417" s="6">
        <v>210001001</v>
      </c>
      <c r="J417" s="7" t="s">
        <v>3755</v>
      </c>
      <c r="K417" s="7"/>
      <c r="L417" s="1" t="s">
        <v>3268</v>
      </c>
      <c r="M417" s="7" t="s">
        <v>3269</v>
      </c>
      <c r="N417" s="7"/>
      <c r="O417" s="7" t="s">
        <v>3756</v>
      </c>
      <c r="P417" s="8">
        <v>212903250279</v>
      </c>
      <c r="Q417" s="7" t="s">
        <v>3757</v>
      </c>
      <c r="R417" s="7" t="s">
        <v>3758</v>
      </c>
      <c r="S417" s="7" t="s">
        <v>3759</v>
      </c>
      <c r="T417" s="7"/>
      <c r="U417" s="7"/>
      <c r="V417" s="1"/>
      <c r="W417" s="1"/>
      <c r="X417" s="1"/>
      <c r="Y417" s="1"/>
      <c r="Z417" s="1"/>
      <c r="AA417" s="1"/>
      <c r="AB417" s="1"/>
      <c r="AC417" s="1"/>
      <c r="AD417" s="1"/>
      <c r="AE417" s="7"/>
      <c r="AF417" s="7"/>
      <c r="AG417" s="7" t="s">
        <v>46</v>
      </c>
    </row>
    <row r="418" spans="1:33" ht="15.75" x14ac:dyDescent="0.25">
      <c r="A418" s="3">
        <v>1232100004025</v>
      </c>
      <c r="B418" s="9">
        <v>2100007525</v>
      </c>
      <c r="C418" s="10" t="s">
        <v>3760</v>
      </c>
      <c r="D418" s="10" t="s">
        <v>3761</v>
      </c>
      <c r="E418" s="9">
        <v>51545072</v>
      </c>
      <c r="F418" s="9">
        <v>97232863001</v>
      </c>
      <c r="G418" s="9">
        <v>53</v>
      </c>
      <c r="H418" s="9">
        <v>20200</v>
      </c>
      <c r="I418" s="9">
        <v>210001001</v>
      </c>
      <c r="J418" s="10" t="s">
        <v>2132</v>
      </c>
      <c r="K418" s="10"/>
      <c r="L418" s="3" t="s">
        <v>3315</v>
      </c>
      <c r="M418" s="10" t="s">
        <v>3316</v>
      </c>
      <c r="N418" s="10"/>
      <c r="O418" s="10" t="s">
        <v>3762</v>
      </c>
      <c r="P418" s="11">
        <v>211200585294</v>
      </c>
      <c r="Q418" s="10" t="s">
        <v>3299</v>
      </c>
      <c r="R418" s="10" t="s">
        <v>3763</v>
      </c>
      <c r="S418" s="10" t="s">
        <v>3764</v>
      </c>
      <c r="T418" s="10"/>
      <c r="U418" s="10"/>
      <c r="V418" s="3"/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10"/>
      <c r="AF418" s="10"/>
      <c r="AG418" s="10" t="s">
        <v>46</v>
      </c>
    </row>
    <row r="419" spans="1:33" ht="15.75" x14ac:dyDescent="0.25">
      <c r="A419" s="1">
        <v>1222100007095</v>
      </c>
      <c r="B419" s="6">
        <v>2100000632</v>
      </c>
      <c r="C419" s="7" t="s">
        <v>3765</v>
      </c>
      <c r="D419" s="7" t="s">
        <v>3766</v>
      </c>
      <c r="E419" s="6">
        <v>95394192</v>
      </c>
      <c r="F419" s="6">
        <v>97401000000</v>
      </c>
      <c r="G419" s="6">
        <v>53</v>
      </c>
      <c r="H419" s="6">
        <v>20200</v>
      </c>
      <c r="I419" s="6">
        <v>210001001</v>
      </c>
      <c r="J419" s="7" t="s">
        <v>3747</v>
      </c>
      <c r="K419" s="7"/>
      <c r="L419" s="1" t="s">
        <v>3297</v>
      </c>
      <c r="M419" s="7" t="s">
        <v>3389</v>
      </c>
      <c r="N419" s="7" t="s">
        <v>3767</v>
      </c>
      <c r="O419" s="7" t="s">
        <v>3768</v>
      </c>
      <c r="P419" s="8">
        <v>212804318127</v>
      </c>
      <c r="Q419" s="7" t="s">
        <v>138</v>
      </c>
      <c r="R419" s="7" t="s">
        <v>3769</v>
      </c>
      <c r="S419" s="7" t="s">
        <v>3770</v>
      </c>
      <c r="T419" s="7"/>
      <c r="U419" s="7" t="s">
        <v>3771</v>
      </c>
      <c r="V419" s="1"/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7"/>
      <c r="AF419" s="7"/>
      <c r="AG419" s="7" t="s">
        <v>46</v>
      </c>
    </row>
    <row r="420" spans="1:33" ht="15.75" x14ac:dyDescent="0.25">
      <c r="A420" s="3">
        <v>1222100007579</v>
      </c>
      <c r="B420" s="9">
        <v>2100001114</v>
      </c>
      <c r="C420" s="10" t="s">
        <v>3772</v>
      </c>
      <c r="D420" s="10" t="s">
        <v>3773</v>
      </c>
      <c r="E420" s="9">
        <v>97569416</v>
      </c>
      <c r="F420" s="9">
        <v>97241501000</v>
      </c>
      <c r="G420" s="9">
        <v>14</v>
      </c>
      <c r="H420" s="9">
        <v>75404</v>
      </c>
      <c r="I420" s="9">
        <v>210001001</v>
      </c>
      <c r="J420" s="10" t="s">
        <v>3774</v>
      </c>
      <c r="K420" s="10"/>
      <c r="L420" s="3" t="s">
        <v>3268</v>
      </c>
      <c r="M420" s="10" t="s">
        <v>3269</v>
      </c>
      <c r="N420" s="10"/>
      <c r="O420" s="10" t="s">
        <v>3775</v>
      </c>
      <c r="P420" s="11">
        <v>211500193587</v>
      </c>
      <c r="Q420" s="10" t="s">
        <v>3776</v>
      </c>
      <c r="R420" s="10" t="s">
        <v>3628</v>
      </c>
      <c r="S420" s="10" t="s">
        <v>3629</v>
      </c>
      <c r="T420" s="10"/>
      <c r="U420" s="10" t="s">
        <v>3630</v>
      </c>
      <c r="V420" s="3"/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10"/>
      <c r="AF420" s="10"/>
      <c r="AG420" s="10" t="s">
        <v>46</v>
      </c>
    </row>
    <row r="421" spans="1:33" ht="15.75" x14ac:dyDescent="0.25">
      <c r="A421" s="3">
        <v>1222100007568</v>
      </c>
      <c r="B421" s="9">
        <v>2100001107</v>
      </c>
      <c r="C421" s="10" t="s">
        <v>3777</v>
      </c>
      <c r="D421" s="10" t="s">
        <v>3778</v>
      </c>
      <c r="E421" s="9">
        <v>97555087</v>
      </c>
      <c r="F421" s="9">
        <v>97258845001</v>
      </c>
      <c r="G421" s="9">
        <v>14</v>
      </c>
      <c r="H421" s="9">
        <v>75404</v>
      </c>
      <c r="I421" s="9">
        <v>210001001</v>
      </c>
      <c r="J421" s="10" t="s">
        <v>3774</v>
      </c>
      <c r="K421" s="10"/>
      <c r="L421" s="3" t="s">
        <v>3268</v>
      </c>
      <c r="M421" s="10" t="s">
        <v>3269</v>
      </c>
      <c r="N421" s="10"/>
      <c r="O421" s="10" t="s">
        <v>3779</v>
      </c>
      <c r="P421" s="11">
        <v>212101666177</v>
      </c>
      <c r="Q421" s="10" t="s">
        <v>3780</v>
      </c>
      <c r="R421" s="10" t="s">
        <v>3781</v>
      </c>
      <c r="S421" s="10" t="s">
        <v>3782</v>
      </c>
      <c r="T421" s="10"/>
      <c r="U421" s="10" t="s">
        <v>3783</v>
      </c>
      <c r="V421" s="3"/>
      <c r="W421" s="3"/>
      <c r="X421" s="3"/>
      <c r="Y421" s="3"/>
      <c r="Z421" s="3"/>
      <c r="AA421" s="3"/>
      <c r="AB421" s="3"/>
      <c r="AC421" s="3"/>
      <c r="AD421" s="3"/>
      <c r="AE421" s="10"/>
      <c r="AF421" s="10"/>
      <c r="AG421" s="10" t="s">
        <v>46</v>
      </c>
    </row>
    <row r="422" spans="1:33" ht="15.75" x14ac:dyDescent="0.25">
      <c r="A422" s="1">
        <v>1232100004773</v>
      </c>
      <c r="B422" s="6">
        <v>2100008261</v>
      </c>
      <c r="C422" s="7" t="s">
        <v>3784</v>
      </c>
      <c r="D422" s="7" t="s">
        <v>3785</v>
      </c>
      <c r="E422" s="6">
        <v>56238989</v>
      </c>
      <c r="F422" s="6">
        <v>97401000000</v>
      </c>
      <c r="G422" s="6">
        <v>16</v>
      </c>
      <c r="H422" s="6">
        <v>71400</v>
      </c>
      <c r="I422" s="6">
        <v>210001001</v>
      </c>
      <c r="J422" s="7" t="s">
        <v>3786</v>
      </c>
      <c r="K422" s="7"/>
      <c r="L422" s="1" t="s">
        <v>3449</v>
      </c>
      <c r="M422" s="7" t="s">
        <v>3450</v>
      </c>
      <c r="N422" s="7" t="s">
        <v>3787</v>
      </c>
      <c r="O422" s="7" t="s">
        <v>3788</v>
      </c>
      <c r="P422" s="8">
        <v>212401040863</v>
      </c>
      <c r="Q422" s="7" t="s">
        <v>150</v>
      </c>
      <c r="R422" s="7" t="s">
        <v>3789</v>
      </c>
      <c r="S422" s="7" t="s">
        <v>3790</v>
      </c>
      <c r="T422" s="7"/>
      <c r="U422" s="7" t="s">
        <v>3791</v>
      </c>
      <c r="V422" s="1"/>
      <c r="W422" s="1">
        <v>0</v>
      </c>
      <c r="X422" s="1">
        <v>0</v>
      </c>
      <c r="Y422" s="1">
        <v>290000</v>
      </c>
      <c r="Z422" s="1">
        <v>12000</v>
      </c>
      <c r="AA422" s="1">
        <v>1000</v>
      </c>
      <c r="AB422" s="1">
        <v>0</v>
      </c>
      <c r="AC422" s="1">
        <v>0</v>
      </c>
      <c r="AD422" s="1">
        <v>0</v>
      </c>
      <c r="AE422" s="7"/>
      <c r="AF422" s="7"/>
      <c r="AG422" s="7" t="s">
        <v>46</v>
      </c>
    </row>
    <row r="423" spans="1:33" ht="15.75" x14ac:dyDescent="0.25">
      <c r="A423" s="3">
        <v>1222100007722</v>
      </c>
      <c r="B423" s="9">
        <v>2100001266</v>
      </c>
      <c r="C423" s="10" t="s">
        <v>3792</v>
      </c>
      <c r="D423" s="10" t="s">
        <v>3793</v>
      </c>
      <c r="E423" s="9">
        <v>55476787</v>
      </c>
      <c r="F423" s="9">
        <v>97213860001</v>
      </c>
      <c r="G423" s="9">
        <v>14</v>
      </c>
      <c r="H423" s="9">
        <v>75404</v>
      </c>
      <c r="I423" s="9">
        <v>210001001</v>
      </c>
      <c r="J423" s="10" t="s">
        <v>3794</v>
      </c>
      <c r="K423" s="10"/>
      <c r="L423" s="3" t="s">
        <v>3270</v>
      </c>
      <c r="M423" s="10" t="s">
        <v>3795</v>
      </c>
      <c r="N423" s="10"/>
      <c r="O423" s="10" t="s">
        <v>3796</v>
      </c>
      <c r="P423" s="11">
        <v>210500063096</v>
      </c>
      <c r="Q423" s="10" t="s">
        <v>3299</v>
      </c>
      <c r="R423" s="10" t="s">
        <v>3797</v>
      </c>
      <c r="S423" s="10" t="s">
        <v>3798</v>
      </c>
      <c r="T423" s="10"/>
      <c r="U423" s="10" t="s">
        <v>3799</v>
      </c>
      <c r="V423" s="3"/>
      <c r="W423" s="3"/>
      <c r="X423" s="3"/>
      <c r="Y423" s="3"/>
      <c r="Z423" s="3"/>
      <c r="AA423" s="3"/>
      <c r="AB423" s="3"/>
      <c r="AC423" s="3"/>
      <c r="AD423" s="3"/>
      <c r="AE423" s="10"/>
      <c r="AF423" s="10"/>
      <c r="AG423" s="10" t="s">
        <v>46</v>
      </c>
    </row>
    <row r="424" spans="1:33" ht="15.75" x14ac:dyDescent="0.25">
      <c r="A424" s="1">
        <v>1222100007524</v>
      </c>
      <c r="B424" s="6">
        <v>2100001065</v>
      </c>
      <c r="C424" s="7" t="s">
        <v>3800</v>
      </c>
      <c r="D424" s="7" t="s">
        <v>3801</v>
      </c>
      <c r="E424" s="6">
        <v>95386634</v>
      </c>
      <c r="F424" s="6">
        <v>97221825001</v>
      </c>
      <c r="G424" s="6">
        <v>14</v>
      </c>
      <c r="H424" s="6">
        <v>75404</v>
      </c>
      <c r="I424" s="6">
        <v>210001001</v>
      </c>
      <c r="J424" s="7" t="s">
        <v>3802</v>
      </c>
      <c r="K424" s="7"/>
      <c r="L424" s="1" t="s">
        <v>3268</v>
      </c>
      <c r="M424" s="7" t="s">
        <v>3269</v>
      </c>
      <c r="N424" s="7"/>
      <c r="O424" s="7" t="s">
        <v>3803</v>
      </c>
      <c r="P424" s="8">
        <v>210800352268</v>
      </c>
      <c r="Q424" s="7" t="s">
        <v>3804</v>
      </c>
      <c r="R424" s="7" t="s">
        <v>3273</v>
      </c>
      <c r="S424" s="7" t="s">
        <v>3805</v>
      </c>
      <c r="T424" s="7"/>
      <c r="U424" s="7" t="s">
        <v>3275</v>
      </c>
      <c r="V424" s="1"/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7"/>
      <c r="AF424" s="7"/>
      <c r="AG424" s="7" t="s">
        <v>46</v>
      </c>
    </row>
    <row r="425" spans="1:33" ht="15.75" x14ac:dyDescent="0.25">
      <c r="A425" s="3">
        <v>1222100007766</v>
      </c>
      <c r="B425" s="9">
        <v>2100001308</v>
      </c>
      <c r="C425" s="10" t="s">
        <v>3806</v>
      </c>
      <c r="D425" s="10" t="s">
        <v>3807</v>
      </c>
      <c r="E425" s="9">
        <v>58753098</v>
      </c>
      <c r="F425" s="9">
        <v>97241812016</v>
      </c>
      <c r="G425" s="9">
        <v>16</v>
      </c>
      <c r="H425" s="9">
        <v>15300</v>
      </c>
      <c r="I425" s="9">
        <v>210001001</v>
      </c>
      <c r="J425" s="10" t="s">
        <v>3808</v>
      </c>
      <c r="K425" s="10"/>
      <c r="L425" s="3" t="s">
        <v>3809</v>
      </c>
      <c r="M425" s="10" t="s">
        <v>3810</v>
      </c>
      <c r="N425" s="10" t="s">
        <v>3811</v>
      </c>
      <c r="O425" s="10" t="s">
        <v>3812</v>
      </c>
      <c r="P425" s="11">
        <v>212900628820</v>
      </c>
      <c r="Q425" s="10" t="s">
        <v>3813</v>
      </c>
      <c r="R425" s="10" t="s">
        <v>3814</v>
      </c>
      <c r="S425" s="10" t="s">
        <v>3815</v>
      </c>
      <c r="T425" s="10"/>
      <c r="U425" s="10" t="s">
        <v>3816</v>
      </c>
      <c r="V425" s="3"/>
      <c r="W425" s="3">
        <v>0</v>
      </c>
      <c r="X425" s="3">
        <v>1706000</v>
      </c>
      <c r="Y425" s="3">
        <v>0</v>
      </c>
      <c r="Z425" s="3">
        <v>14000</v>
      </c>
      <c r="AA425" s="3">
        <v>0</v>
      </c>
      <c r="AB425" s="3">
        <v>-327000</v>
      </c>
      <c r="AC425" s="3">
        <v>-322000</v>
      </c>
      <c r="AD425" s="3">
        <v>-327000</v>
      </c>
      <c r="AE425" s="10" t="s">
        <v>317</v>
      </c>
      <c r="AF425" s="10"/>
      <c r="AG425" s="10" t="s">
        <v>46</v>
      </c>
    </row>
    <row r="426" spans="1:33" ht="15.75" x14ac:dyDescent="0.25">
      <c r="A426" s="1">
        <v>1222100007403</v>
      </c>
      <c r="B426" s="6">
        <v>2100000946</v>
      </c>
      <c r="C426" s="7" t="s">
        <v>3817</v>
      </c>
      <c r="D426" s="7" t="s">
        <v>3818</v>
      </c>
      <c r="E426" s="6">
        <v>79374614</v>
      </c>
      <c r="F426" s="6">
        <v>97219501000</v>
      </c>
      <c r="G426" s="6">
        <v>14</v>
      </c>
      <c r="H426" s="6">
        <v>75404</v>
      </c>
      <c r="I426" s="6">
        <v>210001001</v>
      </c>
      <c r="J426" s="7" t="s">
        <v>3819</v>
      </c>
      <c r="K426" s="7"/>
      <c r="L426" s="1" t="s">
        <v>3268</v>
      </c>
      <c r="M426" s="7" t="s">
        <v>3269</v>
      </c>
      <c r="N426" s="7"/>
      <c r="O426" s="7" t="s">
        <v>3820</v>
      </c>
      <c r="P426" s="8">
        <v>210700267442</v>
      </c>
      <c r="Q426" s="7" t="s">
        <v>3821</v>
      </c>
      <c r="R426" s="7" t="s">
        <v>3674</v>
      </c>
      <c r="S426" s="7" t="s">
        <v>3822</v>
      </c>
      <c r="T426" s="7"/>
      <c r="U426" s="7" t="s">
        <v>3823</v>
      </c>
      <c r="V426" s="1"/>
      <c r="W426" s="1"/>
      <c r="X426" s="1"/>
      <c r="Y426" s="1"/>
      <c r="Z426" s="1"/>
      <c r="AA426" s="1"/>
      <c r="AB426" s="1"/>
      <c r="AC426" s="1"/>
      <c r="AD426" s="1"/>
      <c r="AE426" s="7"/>
      <c r="AF426" s="7"/>
      <c r="AG426" s="7" t="s">
        <v>46</v>
      </c>
    </row>
    <row r="427" spans="1:33" ht="15.75" x14ac:dyDescent="0.25">
      <c r="A427" s="1">
        <v>1232100004718</v>
      </c>
      <c r="B427" s="6">
        <v>2100008208</v>
      </c>
      <c r="C427" s="7" t="s">
        <v>3824</v>
      </c>
      <c r="D427" s="7" t="s">
        <v>3825</v>
      </c>
      <c r="E427" s="6">
        <v>56171009</v>
      </c>
      <c r="F427" s="6">
        <v>97401000000</v>
      </c>
      <c r="G427" s="6">
        <v>50</v>
      </c>
      <c r="H427" s="6">
        <v>70412</v>
      </c>
      <c r="I427" s="6">
        <v>210001001</v>
      </c>
      <c r="J427" s="7" t="s">
        <v>3826</v>
      </c>
      <c r="K427" s="7"/>
      <c r="L427" s="1" t="s">
        <v>3286</v>
      </c>
      <c r="M427" s="7" t="s">
        <v>3287</v>
      </c>
      <c r="N427" s="7" t="s">
        <v>3827</v>
      </c>
      <c r="O427" s="7" t="s">
        <v>3828</v>
      </c>
      <c r="P427" s="8">
        <v>211601222347</v>
      </c>
      <c r="Q427" s="7" t="s">
        <v>150</v>
      </c>
      <c r="R427" s="7" t="s">
        <v>3829</v>
      </c>
      <c r="S427" s="7" t="s">
        <v>3830</v>
      </c>
      <c r="T427" s="7"/>
      <c r="U427" s="7" t="s">
        <v>3831</v>
      </c>
      <c r="V427" s="1"/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7"/>
      <c r="AF427" s="7"/>
      <c r="AG427" s="7" t="s">
        <v>46</v>
      </c>
    </row>
    <row r="428" spans="1:33" ht="15.75" x14ac:dyDescent="0.25">
      <c r="A428" s="1">
        <v>1232100005213</v>
      </c>
      <c r="B428" s="6">
        <v>2100008705</v>
      </c>
      <c r="C428" s="7" t="s">
        <v>3832</v>
      </c>
      <c r="D428" s="7" t="s">
        <v>3833</v>
      </c>
      <c r="E428" s="6">
        <v>53365470</v>
      </c>
      <c r="F428" s="6">
        <v>97401000000</v>
      </c>
      <c r="G428" s="6">
        <v>16</v>
      </c>
      <c r="H428" s="6">
        <v>71400</v>
      </c>
      <c r="I428" s="6">
        <v>210001001</v>
      </c>
      <c r="J428" s="7" t="s">
        <v>3834</v>
      </c>
      <c r="K428" s="7"/>
      <c r="L428" s="1" t="s">
        <v>434</v>
      </c>
      <c r="M428" s="7" t="s">
        <v>435</v>
      </c>
      <c r="N428" s="7" t="s">
        <v>3835</v>
      </c>
      <c r="O428" s="7" t="s">
        <v>3836</v>
      </c>
      <c r="P428" s="8">
        <v>212904339219</v>
      </c>
      <c r="Q428" s="7" t="s">
        <v>150</v>
      </c>
      <c r="R428" s="7" t="s">
        <v>3837</v>
      </c>
      <c r="S428" s="7" t="s">
        <v>3838</v>
      </c>
      <c r="T428" s="7"/>
      <c r="U428" s="7"/>
      <c r="V428" s="1"/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7"/>
      <c r="AF428" s="7"/>
      <c r="AG428" s="7" t="s">
        <v>46</v>
      </c>
    </row>
    <row r="429" spans="1:33" ht="15.75" x14ac:dyDescent="0.25">
      <c r="A429" s="3">
        <v>1232100005389</v>
      </c>
      <c r="B429" s="9">
        <v>2100008871</v>
      </c>
      <c r="C429" s="10" t="s">
        <v>3839</v>
      </c>
      <c r="D429" s="10" t="s">
        <v>3840</v>
      </c>
      <c r="E429" s="9">
        <v>79604103</v>
      </c>
      <c r="F429" s="9">
        <v>97401000000</v>
      </c>
      <c r="G429" s="9">
        <v>53</v>
      </c>
      <c r="H429" s="9">
        <v>20200</v>
      </c>
      <c r="I429" s="9">
        <v>210001001</v>
      </c>
      <c r="J429" s="10" t="s">
        <v>3841</v>
      </c>
      <c r="K429" s="10"/>
      <c r="L429" s="3" t="s">
        <v>3315</v>
      </c>
      <c r="M429" s="10" t="s">
        <v>3316</v>
      </c>
      <c r="N429" s="10" t="s">
        <v>3842</v>
      </c>
      <c r="O429" s="10" t="s">
        <v>3843</v>
      </c>
      <c r="P429" s="11">
        <v>213004266440</v>
      </c>
      <c r="Q429" s="10" t="s">
        <v>3299</v>
      </c>
      <c r="R429" s="10" t="s">
        <v>3844</v>
      </c>
      <c r="S429" s="10" t="s">
        <v>3845</v>
      </c>
      <c r="T429" s="10"/>
      <c r="U429" s="10" t="s">
        <v>3846</v>
      </c>
      <c r="V429" s="3"/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10"/>
      <c r="AF429" s="10"/>
      <c r="AG429" s="10" t="s">
        <v>46</v>
      </c>
    </row>
    <row r="430" spans="1:33" ht="15.75" x14ac:dyDescent="0.25">
      <c r="A430" s="3">
        <v>1252100003165</v>
      </c>
      <c r="B430" s="9">
        <v>2100025267</v>
      </c>
      <c r="C430" s="10" t="s">
        <v>3847</v>
      </c>
      <c r="D430" s="10" t="s">
        <v>3848</v>
      </c>
      <c r="E430" s="9">
        <v>81201200</v>
      </c>
      <c r="F430" s="9">
        <v>97410000000</v>
      </c>
      <c r="G430" s="9">
        <v>53</v>
      </c>
      <c r="H430" s="9">
        <v>20200</v>
      </c>
      <c r="I430" s="9">
        <v>210001001</v>
      </c>
      <c r="J430" s="10" t="s">
        <v>3849</v>
      </c>
      <c r="K430" s="10"/>
      <c r="L430" s="3" t="s">
        <v>3297</v>
      </c>
      <c r="M430" s="10" t="s">
        <v>3389</v>
      </c>
      <c r="N430" s="10" t="s">
        <v>3850</v>
      </c>
      <c r="O430" s="10" t="s">
        <v>3851</v>
      </c>
      <c r="P430" s="11">
        <v>212408325113</v>
      </c>
      <c r="Q430" s="10" t="s">
        <v>3299</v>
      </c>
      <c r="R430" s="10" t="s">
        <v>3852</v>
      </c>
      <c r="S430" s="10" t="s">
        <v>3853</v>
      </c>
      <c r="T430" s="10"/>
      <c r="U430" s="10" t="s">
        <v>3854</v>
      </c>
      <c r="V430" s="3"/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10"/>
      <c r="AF430" s="10"/>
      <c r="AG430" s="10" t="s">
        <v>46</v>
      </c>
    </row>
    <row r="431" spans="1:33" ht="15.75" x14ac:dyDescent="0.25">
      <c r="A431" s="3">
        <v>1252100003352</v>
      </c>
      <c r="B431" s="9">
        <v>2100025450</v>
      </c>
      <c r="C431" s="10" t="s">
        <v>3855</v>
      </c>
      <c r="D431" s="10" t="s">
        <v>3856</v>
      </c>
      <c r="E431" s="9">
        <v>60546745</v>
      </c>
      <c r="F431" s="9">
        <v>97219825006</v>
      </c>
      <c r="G431" s="9">
        <v>53</v>
      </c>
      <c r="H431" s="9">
        <v>20200</v>
      </c>
      <c r="I431" s="9">
        <v>210001001</v>
      </c>
      <c r="J431" s="10" t="s">
        <v>3857</v>
      </c>
      <c r="K431" s="10"/>
      <c r="L431" s="3" t="s">
        <v>3315</v>
      </c>
      <c r="M431" s="10" t="s">
        <v>3316</v>
      </c>
      <c r="N431" s="10"/>
      <c r="O431" s="10" t="s">
        <v>3858</v>
      </c>
      <c r="P431" s="11">
        <v>210700888922</v>
      </c>
      <c r="Q431" s="10" t="s">
        <v>3299</v>
      </c>
      <c r="R431" s="10" t="s">
        <v>3859</v>
      </c>
      <c r="S431" s="10" t="s">
        <v>3860</v>
      </c>
      <c r="T431" s="10"/>
      <c r="U431" s="10" t="s">
        <v>3861</v>
      </c>
      <c r="V431" s="3"/>
      <c r="W431" s="3"/>
      <c r="X431" s="3"/>
      <c r="Y431" s="3"/>
      <c r="Z431" s="3"/>
      <c r="AA431" s="3"/>
      <c r="AB431" s="3"/>
      <c r="AC431" s="3"/>
      <c r="AD431" s="3"/>
      <c r="AE431" s="10"/>
      <c r="AF431" s="10"/>
      <c r="AG431" s="10" t="s">
        <v>46</v>
      </c>
    </row>
    <row r="432" spans="1:33" ht="15.75" x14ac:dyDescent="0.25">
      <c r="A432" s="1">
        <v>1022102632914</v>
      </c>
      <c r="B432" s="6">
        <v>2110001829</v>
      </c>
      <c r="C432" s="7" t="s">
        <v>3862</v>
      </c>
      <c r="D432" s="7" t="s">
        <v>3863</v>
      </c>
      <c r="E432" s="6">
        <v>49237274</v>
      </c>
      <c r="F432" s="6">
        <v>97226815001</v>
      </c>
      <c r="G432" s="6">
        <v>14</v>
      </c>
      <c r="H432" s="6">
        <v>75403</v>
      </c>
      <c r="I432" s="6">
        <v>211001001</v>
      </c>
      <c r="J432" s="7" t="s">
        <v>3864</v>
      </c>
      <c r="K432" s="7"/>
      <c r="L432" s="1" t="s">
        <v>3865</v>
      </c>
      <c r="M432" s="7" t="s">
        <v>3866</v>
      </c>
      <c r="N432" s="7" t="s">
        <v>3867</v>
      </c>
      <c r="O432" s="7" t="s">
        <v>3868</v>
      </c>
      <c r="P432" s="8">
        <v>211000131350</v>
      </c>
      <c r="Q432" s="7" t="s">
        <v>150</v>
      </c>
      <c r="R432" s="7" t="s">
        <v>3869</v>
      </c>
      <c r="S432" s="7" t="s">
        <v>3870</v>
      </c>
      <c r="T432" s="7" t="s">
        <v>3871</v>
      </c>
      <c r="U432" s="7" t="s">
        <v>3872</v>
      </c>
      <c r="V432" s="1"/>
      <c r="W432" s="1"/>
      <c r="X432" s="1"/>
      <c r="Y432" s="1"/>
      <c r="Z432" s="1"/>
      <c r="AA432" s="1"/>
      <c r="AB432" s="1"/>
      <c r="AC432" s="1"/>
      <c r="AD432" s="1"/>
      <c r="AE432" s="7"/>
      <c r="AF432" s="7"/>
      <c r="AG432" s="7" t="s">
        <v>46</v>
      </c>
    </row>
    <row r="433" spans="1:33" ht="15.75" x14ac:dyDescent="0.25">
      <c r="A433" s="3">
        <v>1022100910985</v>
      </c>
      <c r="B433" s="9">
        <v>2124005936</v>
      </c>
      <c r="C433" s="10" t="s">
        <v>3873</v>
      </c>
      <c r="D433" s="10" t="s">
        <v>3874</v>
      </c>
      <c r="E433" s="9">
        <v>24365597</v>
      </c>
      <c r="F433" s="9">
        <v>97410000000</v>
      </c>
      <c r="G433" s="9">
        <v>13</v>
      </c>
      <c r="H433" s="9">
        <v>75203</v>
      </c>
      <c r="I433" s="9">
        <v>212401001</v>
      </c>
      <c r="J433" s="10" t="s">
        <v>3875</v>
      </c>
      <c r="K433" s="10"/>
      <c r="L433" s="3" t="s">
        <v>3876</v>
      </c>
      <c r="M433" s="10" t="s">
        <v>3877</v>
      </c>
      <c r="N433" s="10" t="s">
        <v>3878</v>
      </c>
      <c r="O433" s="10" t="s">
        <v>3879</v>
      </c>
      <c r="P433" s="11">
        <v>211301299941</v>
      </c>
      <c r="Q433" s="10" t="s">
        <v>150</v>
      </c>
      <c r="R433" s="10" t="s">
        <v>3880</v>
      </c>
      <c r="S433" s="10" t="s">
        <v>3881</v>
      </c>
      <c r="T433" s="10"/>
      <c r="U433" s="10" t="s">
        <v>3882</v>
      </c>
      <c r="V433" s="3"/>
      <c r="W433" s="3"/>
      <c r="X433" s="3"/>
      <c r="Y433" s="3"/>
      <c r="Z433" s="3"/>
      <c r="AA433" s="3"/>
      <c r="AB433" s="3"/>
      <c r="AC433" s="3"/>
      <c r="AD433" s="3"/>
      <c r="AE433" s="10"/>
      <c r="AF433" s="10"/>
      <c r="AG433" s="10" t="s">
        <v>46</v>
      </c>
    </row>
    <row r="434" spans="1:33" ht="15.75" x14ac:dyDescent="0.25">
      <c r="A434" s="1">
        <v>1032133001207</v>
      </c>
      <c r="B434" s="6">
        <v>2102002360</v>
      </c>
      <c r="C434" s="7" t="s">
        <v>3883</v>
      </c>
      <c r="D434" s="7" t="s">
        <v>3884</v>
      </c>
      <c r="E434" s="6">
        <v>14433688</v>
      </c>
      <c r="F434" s="6">
        <v>97205805001</v>
      </c>
      <c r="G434" s="6">
        <v>14</v>
      </c>
      <c r="H434" s="6">
        <v>75403</v>
      </c>
      <c r="I434" s="6">
        <v>210201001</v>
      </c>
      <c r="J434" s="7" t="s">
        <v>3885</v>
      </c>
      <c r="K434" s="7"/>
      <c r="L434" s="1" t="s">
        <v>3865</v>
      </c>
      <c r="M434" s="7" t="s">
        <v>3866</v>
      </c>
      <c r="N434" s="7" t="s">
        <v>3886</v>
      </c>
      <c r="O434" s="7" t="s">
        <v>3887</v>
      </c>
      <c r="P434" s="8">
        <v>210200319406</v>
      </c>
      <c r="Q434" s="7" t="s">
        <v>150</v>
      </c>
      <c r="R434" s="7" t="s">
        <v>3888</v>
      </c>
      <c r="S434" s="7" t="s">
        <v>3889</v>
      </c>
      <c r="T434" s="7" t="s">
        <v>3890</v>
      </c>
      <c r="U434" s="7" t="s">
        <v>3891</v>
      </c>
      <c r="V434" s="1"/>
      <c r="W434" s="1"/>
      <c r="X434" s="1"/>
      <c r="Y434" s="1"/>
      <c r="Z434" s="1"/>
      <c r="AA434" s="1"/>
      <c r="AB434" s="1"/>
      <c r="AC434" s="1"/>
      <c r="AD434" s="1"/>
      <c r="AE434" s="7"/>
      <c r="AF434" s="7"/>
      <c r="AG434" s="7" t="s">
        <v>46</v>
      </c>
    </row>
    <row r="435" spans="1:33" ht="15.75" x14ac:dyDescent="0.25">
      <c r="A435" s="3">
        <v>1022100003958</v>
      </c>
      <c r="B435" s="9">
        <v>2128014843</v>
      </c>
      <c r="C435" s="10" t="s">
        <v>3892</v>
      </c>
      <c r="D435" s="10" t="s">
        <v>3893</v>
      </c>
      <c r="E435" s="9">
        <v>35945688</v>
      </c>
      <c r="F435" s="9">
        <v>97401000000</v>
      </c>
      <c r="G435" s="9">
        <v>53</v>
      </c>
      <c r="H435" s="9">
        <v>20200</v>
      </c>
      <c r="I435" s="9">
        <v>213001001</v>
      </c>
      <c r="J435" s="10" t="s">
        <v>3894</v>
      </c>
      <c r="K435" s="10"/>
      <c r="L435" s="3" t="s">
        <v>3439</v>
      </c>
      <c r="M435" s="10" t="s">
        <v>3440</v>
      </c>
      <c r="N435" s="10" t="s">
        <v>3895</v>
      </c>
      <c r="O435" s="10" t="s">
        <v>3896</v>
      </c>
      <c r="P435" s="11">
        <v>211701522136</v>
      </c>
      <c r="Q435" s="10" t="s">
        <v>3299</v>
      </c>
      <c r="R435" s="10" t="s">
        <v>3897</v>
      </c>
      <c r="S435" s="10" t="s">
        <v>3898</v>
      </c>
      <c r="T435" s="10"/>
      <c r="U435" s="10"/>
      <c r="V435" s="3"/>
      <c r="W435" s="3">
        <v>0</v>
      </c>
      <c r="X435" s="3">
        <v>41000</v>
      </c>
      <c r="Y435" s="3">
        <v>0</v>
      </c>
      <c r="Z435" s="3">
        <v>12000</v>
      </c>
      <c r="AA435" s="3">
        <v>1000</v>
      </c>
      <c r="AB435" s="3">
        <v>0</v>
      </c>
      <c r="AC435" s="3">
        <v>0</v>
      </c>
      <c r="AD435" s="3">
        <v>0</v>
      </c>
      <c r="AE435" s="10"/>
      <c r="AF435" s="10"/>
      <c r="AG435" s="10" t="s">
        <v>46</v>
      </c>
    </row>
    <row r="436" spans="1:33" ht="15.75" x14ac:dyDescent="0.25">
      <c r="A436" s="1">
        <v>1162130061543</v>
      </c>
      <c r="B436" s="6">
        <v>2130175037</v>
      </c>
      <c r="C436" s="7" t="s">
        <v>3899</v>
      </c>
      <c r="D436" s="7" t="s">
        <v>3900</v>
      </c>
      <c r="E436" s="6">
        <v>3598363</v>
      </c>
      <c r="F436" s="6">
        <v>97401000000</v>
      </c>
      <c r="G436" s="6">
        <v>14</v>
      </c>
      <c r="H436" s="6">
        <v>75403</v>
      </c>
      <c r="I436" s="6">
        <v>213001001</v>
      </c>
      <c r="J436" s="7" t="s">
        <v>3901</v>
      </c>
      <c r="K436" s="7"/>
      <c r="L436" s="1" t="s">
        <v>861</v>
      </c>
      <c r="M436" s="7" t="s">
        <v>862</v>
      </c>
      <c r="N436" s="7" t="s">
        <v>755</v>
      </c>
      <c r="O436" s="7" t="s">
        <v>3902</v>
      </c>
      <c r="P436" s="8">
        <v>210802228114</v>
      </c>
      <c r="Q436" s="7" t="s">
        <v>3903</v>
      </c>
      <c r="R436" s="7" t="s">
        <v>3904</v>
      </c>
      <c r="S436" s="7" t="s">
        <v>3905</v>
      </c>
      <c r="T436" s="7"/>
      <c r="U436" s="7" t="s">
        <v>3906</v>
      </c>
      <c r="V436" s="1"/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7"/>
      <c r="AF436" s="7"/>
      <c r="AG436" s="7" t="s">
        <v>46</v>
      </c>
    </row>
    <row r="437" spans="1:33" ht="15.75" x14ac:dyDescent="0.25">
      <c r="A437" s="3">
        <v>1142130004433</v>
      </c>
      <c r="B437" s="9">
        <v>2130135250</v>
      </c>
      <c r="C437" s="10" t="s">
        <v>3907</v>
      </c>
      <c r="D437" s="10" t="s">
        <v>3908</v>
      </c>
      <c r="E437" s="9">
        <v>24339602</v>
      </c>
      <c r="F437" s="9">
        <v>97401000000</v>
      </c>
      <c r="G437" s="9">
        <v>13</v>
      </c>
      <c r="H437" s="9">
        <v>75204</v>
      </c>
      <c r="I437" s="9">
        <v>213001001</v>
      </c>
      <c r="J437" s="10" t="s">
        <v>3909</v>
      </c>
      <c r="K437" s="10"/>
      <c r="L437" s="3" t="s">
        <v>3910</v>
      </c>
      <c r="M437" s="10" t="s">
        <v>3911</v>
      </c>
      <c r="N437" s="10" t="s">
        <v>3912</v>
      </c>
      <c r="O437" s="10" t="s">
        <v>3913</v>
      </c>
      <c r="P437" s="11">
        <v>211901727081</v>
      </c>
      <c r="Q437" s="10" t="s">
        <v>3427</v>
      </c>
      <c r="R437" s="10" t="s">
        <v>3914</v>
      </c>
      <c r="S437" s="10" t="s">
        <v>3915</v>
      </c>
      <c r="T437" s="10"/>
      <c r="U437" s="10" t="s">
        <v>3916</v>
      </c>
      <c r="V437" s="3"/>
      <c r="W437" s="3"/>
      <c r="X437" s="3"/>
      <c r="Y437" s="3"/>
      <c r="Z437" s="3"/>
      <c r="AA437" s="3"/>
      <c r="AB437" s="3"/>
      <c r="AC437" s="3"/>
      <c r="AD437" s="3"/>
      <c r="AE437" s="10"/>
      <c r="AF437" s="10"/>
      <c r="AG437" s="10" t="s">
        <v>46</v>
      </c>
    </row>
    <row r="438" spans="1:33" ht="15.75" x14ac:dyDescent="0.25">
      <c r="A438" s="1">
        <v>1032129009318</v>
      </c>
      <c r="B438" s="6">
        <v>2129051238</v>
      </c>
      <c r="C438" s="7" t="s">
        <v>3917</v>
      </c>
      <c r="D438" s="7" t="s">
        <v>3918</v>
      </c>
      <c r="E438" s="6">
        <v>71010309</v>
      </c>
      <c r="F438" s="6">
        <v>97401000000</v>
      </c>
      <c r="G438" s="6">
        <v>49</v>
      </c>
      <c r="H438" s="6">
        <v>20600</v>
      </c>
      <c r="I438" s="6">
        <v>213001001</v>
      </c>
      <c r="J438" s="7" t="s">
        <v>3919</v>
      </c>
      <c r="K438" s="7"/>
      <c r="L438" s="1" t="s">
        <v>3306</v>
      </c>
      <c r="M438" s="7" t="s">
        <v>3307</v>
      </c>
      <c r="N438" s="7" t="s">
        <v>3920</v>
      </c>
      <c r="O438" s="7" t="s">
        <v>3921</v>
      </c>
      <c r="P438" s="8">
        <v>212703875795</v>
      </c>
      <c r="Q438" s="7" t="s">
        <v>138</v>
      </c>
      <c r="R438" s="7" t="s">
        <v>3922</v>
      </c>
      <c r="S438" s="7" t="s">
        <v>3923</v>
      </c>
      <c r="T438" s="7"/>
      <c r="U438" s="7"/>
      <c r="V438" s="1"/>
      <c r="W438" s="1">
        <v>0</v>
      </c>
      <c r="X438" s="1">
        <v>0</v>
      </c>
      <c r="Y438" s="1">
        <v>150000</v>
      </c>
      <c r="Z438" s="1">
        <v>0</v>
      </c>
      <c r="AA438" s="1">
        <v>16000</v>
      </c>
      <c r="AB438" s="1">
        <v>0</v>
      </c>
      <c r="AC438" s="1">
        <v>0</v>
      </c>
      <c r="AD438" s="1">
        <v>0</v>
      </c>
      <c r="AE438" s="7"/>
      <c r="AF438" s="7"/>
      <c r="AG438" s="7" t="s">
        <v>46</v>
      </c>
    </row>
    <row r="439" spans="1:33" ht="15.75" x14ac:dyDescent="0.25">
      <c r="A439" s="3">
        <v>1022100978162</v>
      </c>
      <c r="B439" s="9">
        <v>2127313657</v>
      </c>
      <c r="C439" s="10" t="s">
        <v>3924</v>
      </c>
      <c r="D439" s="10" t="s">
        <v>3925</v>
      </c>
      <c r="E439" s="9">
        <v>54076620</v>
      </c>
      <c r="F439" s="9">
        <v>97401000000</v>
      </c>
      <c r="G439" s="9">
        <v>16</v>
      </c>
      <c r="H439" s="9">
        <v>12300</v>
      </c>
      <c r="I439" s="9">
        <v>213001001</v>
      </c>
      <c r="J439" s="10" t="s">
        <v>1447</v>
      </c>
      <c r="K439" s="10"/>
      <c r="L439" s="3" t="s">
        <v>3100</v>
      </c>
      <c r="M439" s="10" t="s">
        <v>3101</v>
      </c>
      <c r="N439" s="10"/>
      <c r="O439" s="10" t="s">
        <v>3926</v>
      </c>
      <c r="P439" s="11">
        <v>212801097960</v>
      </c>
      <c r="Q439" s="10" t="s">
        <v>3927</v>
      </c>
      <c r="R439" s="10" t="s">
        <v>3928</v>
      </c>
      <c r="S439" s="10" t="s">
        <v>3929</v>
      </c>
      <c r="T439" s="10"/>
      <c r="U439" s="10"/>
      <c r="V439" s="3"/>
      <c r="W439" s="3">
        <v>0</v>
      </c>
      <c r="X439" s="3">
        <v>0</v>
      </c>
      <c r="Y439" s="3">
        <v>0</v>
      </c>
      <c r="Z439" s="3">
        <v>0</v>
      </c>
      <c r="AA439" s="3">
        <v>214000</v>
      </c>
      <c r="AB439" s="3">
        <v>-30000</v>
      </c>
      <c r="AC439" s="3">
        <v>-30000</v>
      </c>
      <c r="AD439" s="3">
        <v>-30000</v>
      </c>
      <c r="AE439" s="10" t="s">
        <v>317</v>
      </c>
      <c r="AF439" s="10" t="s">
        <v>421</v>
      </c>
      <c r="AG439" s="10" t="s">
        <v>319</v>
      </c>
    </row>
    <row r="440" spans="1:33" ht="15.75" x14ac:dyDescent="0.25">
      <c r="A440" s="1">
        <v>1222100009471</v>
      </c>
      <c r="B440" s="6">
        <v>2100003016</v>
      </c>
      <c r="C440" s="7" t="s">
        <v>3930</v>
      </c>
      <c r="D440" s="7" t="s">
        <v>3931</v>
      </c>
      <c r="E440" s="6">
        <v>95525900</v>
      </c>
      <c r="F440" s="6">
        <v>97210830001</v>
      </c>
      <c r="G440" s="6">
        <v>14</v>
      </c>
      <c r="H440" s="6">
        <v>75404</v>
      </c>
      <c r="I440" s="6">
        <v>210001001</v>
      </c>
      <c r="J440" s="7" t="s">
        <v>3932</v>
      </c>
      <c r="K440" s="7"/>
      <c r="L440" s="1" t="s">
        <v>3268</v>
      </c>
      <c r="M440" s="7" t="s">
        <v>3269</v>
      </c>
      <c r="N440" s="7" t="s">
        <v>3374</v>
      </c>
      <c r="O440" s="7" t="s">
        <v>3933</v>
      </c>
      <c r="P440" s="8">
        <v>210400121347</v>
      </c>
      <c r="Q440" s="7" t="s">
        <v>3934</v>
      </c>
      <c r="R440" s="7" t="s">
        <v>3383</v>
      </c>
      <c r="S440" s="7" t="s">
        <v>3935</v>
      </c>
      <c r="T440" s="7"/>
      <c r="U440" s="7" t="s">
        <v>3385</v>
      </c>
      <c r="V440" s="1"/>
      <c r="W440" s="1"/>
      <c r="X440" s="1"/>
      <c r="Y440" s="1"/>
      <c r="Z440" s="1"/>
      <c r="AA440" s="1"/>
      <c r="AB440" s="1"/>
      <c r="AC440" s="1"/>
      <c r="AD440" s="1"/>
      <c r="AE440" s="7"/>
      <c r="AF440" s="7"/>
      <c r="AG440" s="7" t="s">
        <v>46</v>
      </c>
    </row>
    <row r="441" spans="1:33" ht="15.75" x14ac:dyDescent="0.25">
      <c r="A441" s="3">
        <v>1212100009186</v>
      </c>
      <c r="B441" s="9">
        <v>2137000082</v>
      </c>
      <c r="C441" s="10" t="s">
        <v>3936</v>
      </c>
      <c r="D441" s="10" t="s">
        <v>3937</v>
      </c>
      <c r="E441" s="9">
        <v>57713103</v>
      </c>
      <c r="F441" s="9">
        <v>97224830001</v>
      </c>
      <c r="G441" s="9">
        <v>14</v>
      </c>
      <c r="H441" s="9">
        <v>75404</v>
      </c>
      <c r="I441" s="9">
        <v>213701001</v>
      </c>
      <c r="J441" s="10" t="s">
        <v>3938</v>
      </c>
      <c r="K441" s="10"/>
      <c r="L441" s="3" t="s">
        <v>3268</v>
      </c>
      <c r="M441" s="10" t="s">
        <v>3269</v>
      </c>
      <c r="N441" s="10"/>
      <c r="O441" s="10" t="s">
        <v>3721</v>
      </c>
      <c r="P441" s="11">
        <v>210604495005</v>
      </c>
      <c r="Q441" s="10" t="s">
        <v>3939</v>
      </c>
      <c r="R441" s="10" t="s">
        <v>3940</v>
      </c>
      <c r="S441" s="10" t="s">
        <v>3941</v>
      </c>
      <c r="T441" s="10"/>
      <c r="U441" s="10" t="s">
        <v>3942</v>
      </c>
      <c r="V441" s="3"/>
      <c r="W441" s="3"/>
      <c r="X441" s="3"/>
      <c r="Y441" s="3"/>
      <c r="Z441" s="3"/>
      <c r="AA441" s="3"/>
      <c r="AB441" s="3"/>
      <c r="AC441" s="3"/>
      <c r="AD441" s="3"/>
      <c r="AE441" s="10"/>
      <c r="AF441" s="10"/>
      <c r="AG441" s="10" t="s">
        <v>46</v>
      </c>
    </row>
    <row r="442" spans="1:33" ht="15.75" x14ac:dyDescent="0.25">
      <c r="A442" s="1">
        <v>1182130013350</v>
      </c>
      <c r="B442" s="6">
        <v>2122007783</v>
      </c>
      <c r="C442" s="7" t="s">
        <v>3943</v>
      </c>
      <c r="D442" s="7" t="s">
        <v>3944</v>
      </c>
      <c r="E442" s="6">
        <v>35035408</v>
      </c>
      <c r="F442" s="6">
        <v>97404000000</v>
      </c>
      <c r="G442" s="6">
        <v>16</v>
      </c>
      <c r="H442" s="6">
        <v>20700</v>
      </c>
      <c r="I442" s="6">
        <v>212201001</v>
      </c>
      <c r="J442" s="7" t="s">
        <v>3945</v>
      </c>
      <c r="K442" s="7"/>
      <c r="L442" s="1" t="s">
        <v>367</v>
      </c>
      <c r="M442" s="7" t="s">
        <v>368</v>
      </c>
      <c r="N442" s="7" t="s">
        <v>1286</v>
      </c>
      <c r="O442" s="7" t="s">
        <v>3946</v>
      </c>
      <c r="P442" s="8">
        <v>212200883260</v>
      </c>
      <c r="Q442" s="7" t="s">
        <v>3299</v>
      </c>
      <c r="R442" s="7" t="s">
        <v>3947</v>
      </c>
      <c r="S442" s="7" t="s">
        <v>3948</v>
      </c>
      <c r="T442" s="7"/>
      <c r="U442" s="7"/>
      <c r="V442" s="1"/>
      <c r="W442" s="1">
        <v>0</v>
      </c>
      <c r="X442" s="1">
        <v>0</v>
      </c>
      <c r="Y442" s="1">
        <v>0</v>
      </c>
      <c r="Z442" s="1">
        <v>415000</v>
      </c>
      <c r="AA442" s="1">
        <v>0</v>
      </c>
      <c r="AB442" s="1">
        <v>0</v>
      </c>
      <c r="AC442" s="1">
        <v>0</v>
      </c>
      <c r="AD442" s="1">
        <v>0</v>
      </c>
      <c r="AE442" s="7"/>
      <c r="AF442" s="7"/>
      <c r="AG442" s="7" t="s">
        <v>46</v>
      </c>
    </row>
    <row r="443" spans="1:33" ht="15.75" x14ac:dyDescent="0.25">
      <c r="A443" s="3">
        <v>1222100009405</v>
      </c>
      <c r="B443" s="9">
        <v>2100002943</v>
      </c>
      <c r="C443" s="10" t="s">
        <v>3949</v>
      </c>
      <c r="D443" s="10" t="s">
        <v>3950</v>
      </c>
      <c r="E443" s="9">
        <v>95493264</v>
      </c>
      <c r="F443" s="9">
        <v>97226830001</v>
      </c>
      <c r="G443" s="9">
        <v>14</v>
      </c>
      <c r="H443" s="9">
        <v>75404</v>
      </c>
      <c r="I443" s="9">
        <v>210001001</v>
      </c>
      <c r="J443" s="10" t="s">
        <v>3932</v>
      </c>
      <c r="K443" s="10"/>
      <c r="L443" s="3" t="s">
        <v>3268</v>
      </c>
      <c r="M443" s="10" t="s">
        <v>3269</v>
      </c>
      <c r="N443" s="10"/>
      <c r="O443" s="10" t="s">
        <v>3951</v>
      </c>
      <c r="P443" s="11">
        <v>211000059209</v>
      </c>
      <c r="Q443" s="10" t="s">
        <v>3952</v>
      </c>
      <c r="R443" s="10" t="s">
        <v>3953</v>
      </c>
      <c r="S443" s="10" t="s">
        <v>3954</v>
      </c>
      <c r="T443" s="10"/>
      <c r="U443" s="10"/>
      <c r="V443" s="3"/>
      <c r="W443" s="3"/>
      <c r="X443" s="3"/>
      <c r="Y443" s="3"/>
      <c r="Z443" s="3"/>
      <c r="AA443" s="3"/>
      <c r="AB443" s="3"/>
      <c r="AC443" s="3"/>
      <c r="AD443" s="3"/>
      <c r="AE443" s="10"/>
      <c r="AF443" s="10"/>
      <c r="AG443" s="10" t="s">
        <v>46</v>
      </c>
    </row>
    <row r="444" spans="1:33" ht="15.75" x14ac:dyDescent="0.25">
      <c r="A444" s="1">
        <v>1222100009207</v>
      </c>
      <c r="B444" s="6">
        <v>2100002742</v>
      </c>
      <c r="C444" s="7" t="s">
        <v>3955</v>
      </c>
      <c r="D444" s="7" t="s">
        <v>3956</v>
      </c>
      <c r="E444" s="6">
        <v>78147786</v>
      </c>
      <c r="F444" s="6">
        <v>97238870001</v>
      </c>
      <c r="G444" s="6">
        <v>14</v>
      </c>
      <c r="H444" s="6">
        <v>75404</v>
      </c>
      <c r="I444" s="6">
        <v>210001001</v>
      </c>
      <c r="J444" s="7" t="s">
        <v>3957</v>
      </c>
      <c r="K444" s="7"/>
      <c r="L444" s="1" t="s">
        <v>3268</v>
      </c>
      <c r="M444" s="7" t="s">
        <v>3269</v>
      </c>
      <c r="N444" s="7"/>
      <c r="O444" s="7" t="s">
        <v>3958</v>
      </c>
      <c r="P444" s="8">
        <v>212911787388</v>
      </c>
      <c r="Q444" s="7" t="s">
        <v>3959</v>
      </c>
      <c r="R444" s="7" t="s">
        <v>3960</v>
      </c>
      <c r="S444" s="7" t="s">
        <v>3961</v>
      </c>
      <c r="T444" s="7"/>
      <c r="U444" s="7" t="s">
        <v>3962</v>
      </c>
      <c r="V444" s="1"/>
      <c r="W444" s="1"/>
      <c r="X444" s="1"/>
      <c r="Y444" s="1"/>
      <c r="Z444" s="1"/>
      <c r="AA444" s="1"/>
      <c r="AB444" s="1"/>
      <c r="AC444" s="1"/>
      <c r="AD444" s="1"/>
      <c r="AE444" s="7"/>
      <c r="AF444" s="7"/>
      <c r="AG444" s="7" t="s">
        <v>46</v>
      </c>
    </row>
    <row r="445" spans="1:33" ht="15.75" x14ac:dyDescent="0.25">
      <c r="A445" s="3">
        <v>1192130009125</v>
      </c>
      <c r="B445" s="9">
        <v>2122007896</v>
      </c>
      <c r="C445" s="10" t="s">
        <v>3963</v>
      </c>
      <c r="D445" s="10" t="s">
        <v>3964</v>
      </c>
      <c r="E445" s="9">
        <v>41189788</v>
      </c>
      <c r="F445" s="9">
        <v>97404000000</v>
      </c>
      <c r="G445" s="9">
        <v>53</v>
      </c>
      <c r="H445" s="9">
        <v>20200</v>
      </c>
      <c r="I445" s="9">
        <v>212201001</v>
      </c>
      <c r="J445" s="10" t="s">
        <v>3965</v>
      </c>
      <c r="K445" s="10"/>
      <c r="L445" s="3" t="s">
        <v>3315</v>
      </c>
      <c r="M445" s="10" t="s">
        <v>3316</v>
      </c>
      <c r="N445" s="10"/>
      <c r="O445" s="10" t="s">
        <v>3966</v>
      </c>
      <c r="P445" s="11">
        <v>212204071950</v>
      </c>
      <c r="Q445" s="10" t="s">
        <v>3299</v>
      </c>
      <c r="R445" s="10" t="s">
        <v>3967</v>
      </c>
      <c r="S445" s="10" t="s">
        <v>3968</v>
      </c>
      <c r="T445" s="10"/>
      <c r="U445" s="10"/>
      <c r="V445" s="3"/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10"/>
      <c r="AF445" s="10"/>
      <c r="AG445" s="10" t="s">
        <v>46</v>
      </c>
    </row>
    <row r="446" spans="1:33" ht="15.75" x14ac:dyDescent="0.25">
      <c r="A446" s="1">
        <v>1022102830089</v>
      </c>
      <c r="B446" s="6">
        <v>2109100078</v>
      </c>
      <c r="C446" s="7" t="s">
        <v>3969</v>
      </c>
      <c r="D446" s="7" t="s">
        <v>3970</v>
      </c>
      <c r="E446" s="6">
        <v>43226594</v>
      </c>
      <c r="F446" s="6">
        <v>97224834001</v>
      </c>
      <c r="G446" s="6">
        <v>14</v>
      </c>
      <c r="H446" s="6">
        <v>75403</v>
      </c>
      <c r="I446" s="6">
        <v>210901001</v>
      </c>
      <c r="J446" s="7" t="s">
        <v>3971</v>
      </c>
      <c r="K446" s="7"/>
      <c r="L446" s="1" t="s">
        <v>3865</v>
      </c>
      <c r="M446" s="7" t="s">
        <v>3866</v>
      </c>
      <c r="N446" s="7" t="s">
        <v>3972</v>
      </c>
      <c r="O446" s="7" t="s">
        <v>3973</v>
      </c>
      <c r="P446" s="8">
        <v>210900117780</v>
      </c>
      <c r="Q446" s="7" t="s">
        <v>150</v>
      </c>
      <c r="R446" s="7" t="s">
        <v>3974</v>
      </c>
      <c r="S446" s="7" t="s">
        <v>3975</v>
      </c>
      <c r="T446" s="7" t="s">
        <v>3976</v>
      </c>
      <c r="U446" s="7" t="s">
        <v>3977</v>
      </c>
      <c r="V446" s="1"/>
      <c r="W446" s="1"/>
      <c r="X446" s="1"/>
      <c r="Y446" s="1"/>
      <c r="Z446" s="1"/>
      <c r="AA446" s="1"/>
      <c r="AB446" s="1"/>
      <c r="AC446" s="1"/>
      <c r="AD446" s="1"/>
      <c r="AE446" s="7"/>
      <c r="AF446" s="7"/>
      <c r="AG446" s="7" t="s">
        <v>46</v>
      </c>
    </row>
    <row r="447" spans="1:33" ht="15.75" x14ac:dyDescent="0.25">
      <c r="A447" s="3">
        <v>1022102829649</v>
      </c>
      <c r="B447" s="9">
        <v>2109002070</v>
      </c>
      <c r="C447" s="10" t="s">
        <v>3978</v>
      </c>
      <c r="D447" s="10" t="s">
        <v>3979</v>
      </c>
      <c r="E447" s="9">
        <v>43226571</v>
      </c>
      <c r="F447" s="9">
        <v>97224860001</v>
      </c>
      <c r="G447" s="9">
        <v>14</v>
      </c>
      <c r="H447" s="9">
        <v>75403</v>
      </c>
      <c r="I447" s="9">
        <v>210901001</v>
      </c>
      <c r="J447" s="10" t="s">
        <v>3971</v>
      </c>
      <c r="K447" s="10"/>
      <c r="L447" s="3" t="s">
        <v>3865</v>
      </c>
      <c r="M447" s="10" t="s">
        <v>3866</v>
      </c>
      <c r="N447" s="10" t="s">
        <v>3972</v>
      </c>
      <c r="O447" s="10" t="s">
        <v>3980</v>
      </c>
      <c r="P447" s="11">
        <v>210900422303</v>
      </c>
      <c r="Q447" s="10" t="s">
        <v>150</v>
      </c>
      <c r="R447" s="10" t="s">
        <v>3981</v>
      </c>
      <c r="S447" s="10" t="s">
        <v>3982</v>
      </c>
      <c r="T447" s="10" t="s">
        <v>3983</v>
      </c>
      <c r="U447" s="10" t="s">
        <v>3984</v>
      </c>
      <c r="V447" s="3"/>
      <c r="W447" s="3"/>
      <c r="X447" s="3"/>
      <c r="Y447" s="3"/>
      <c r="Z447" s="3"/>
      <c r="AA447" s="3"/>
      <c r="AB447" s="3"/>
      <c r="AC447" s="3"/>
      <c r="AD447" s="3"/>
      <c r="AE447" s="10"/>
      <c r="AF447" s="10"/>
      <c r="AG447" s="10" t="s">
        <v>46</v>
      </c>
    </row>
    <row r="448" spans="1:33" ht="15.75" x14ac:dyDescent="0.25">
      <c r="A448" s="1">
        <v>1032132002869</v>
      </c>
      <c r="B448" s="6">
        <v>2117002540</v>
      </c>
      <c r="C448" s="7" t="s">
        <v>3985</v>
      </c>
      <c r="D448" s="7" t="s">
        <v>3986</v>
      </c>
      <c r="E448" s="6">
        <v>71017151</v>
      </c>
      <c r="F448" s="6">
        <v>97247864001</v>
      </c>
      <c r="G448" s="6">
        <v>14</v>
      </c>
      <c r="H448" s="6">
        <v>75403</v>
      </c>
      <c r="I448" s="6">
        <v>211701001</v>
      </c>
      <c r="J448" s="7" t="s">
        <v>3987</v>
      </c>
      <c r="K448" s="7"/>
      <c r="L448" s="1" t="s">
        <v>3865</v>
      </c>
      <c r="M448" s="7" t="s">
        <v>3866</v>
      </c>
      <c r="N448" s="7" t="s">
        <v>3988</v>
      </c>
      <c r="O448" s="7" t="s">
        <v>3989</v>
      </c>
      <c r="P448" s="8">
        <v>211700077450</v>
      </c>
      <c r="Q448" s="7" t="s">
        <v>150</v>
      </c>
      <c r="R448" s="7" t="s">
        <v>3990</v>
      </c>
      <c r="S448" s="7" t="s">
        <v>3991</v>
      </c>
      <c r="T448" s="7" t="s">
        <v>3992</v>
      </c>
      <c r="U448" s="7" t="s">
        <v>3993</v>
      </c>
      <c r="V448" s="1"/>
      <c r="W448" s="1"/>
      <c r="X448" s="1"/>
      <c r="Y448" s="1"/>
      <c r="Z448" s="1"/>
      <c r="AA448" s="1"/>
      <c r="AB448" s="1"/>
      <c r="AC448" s="1"/>
      <c r="AD448" s="1"/>
      <c r="AE448" s="7"/>
      <c r="AF448" s="7"/>
      <c r="AG448" s="7" t="s">
        <v>46</v>
      </c>
    </row>
    <row r="449" spans="1:33" ht="15.75" x14ac:dyDescent="0.25">
      <c r="A449" s="3">
        <v>1052128023001</v>
      </c>
      <c r="B449" s="9">
        <v>2129056878</v>
      </c>
      <c r="C449" s="10" t="s">
        <v>3994</v>
      </c>
      <c r="D449" s="10" t="s">
        <v>3995</v>
      </c>
      <c r="E449" s="9">
        <v>75694999</v>
      </c>
      <c r="F449" s="9">
        <v>97401000000</v>
      </c>
      <c r="G449" s="9">
        <v>12</v>
      </c>
      <c r="H449" s="9">
        <v>75104</v>
      </c>
      <c r="I449" s="9">
        <v>213001001</v>
      </c>
      <c r="J449" s="10" t="s">
        <v>2401</v>
      </c>
      <c r="K449" s="10"/>
      <c r="L449" s="3" t="s">
        <v>3996</v>
      </c>
      <c r="M449" s="10" t="s">
        <v>3997</v>
      </c>
      <c r="N449" s="10" t="s">
        <v>3996</v>
      </c>
      <c r="O449" s="10" t="s">
        <v>3998</v>
      </c>
      <c r="P449" s="11">
        <v>211500712458</v>
      </c>
      <c r="Q449" s="10" t="s">
        <v>3999</v>
      </c>
      <c r="R449" s="10" t="s">
        <v>4000</v>
      </c>
      <c r="S449" s="10" t="s">
        <v>4001</v>
      </c>
      <c r="T449" s="10"/>
      <c r="U449" s="10" t="s">
        <v>4002</v>
      </c>
      <c r="V449" s="3"/>
      <c r="W449" s="3"/>
      <c r="X449" s="3"/>
      <c r="Y449" s="3"/>
      <c r="Z449" s="3"/>
      <c r="AA449" s="3"/>
      <c r="AB449" s="3"/>
      <c r="AC449" s="3"/>
      <c r="AD449" s="3"/>
      <c r="AE449" s="10"/>
      <c r="AF449" s="10"/>
      <c r="AG449" s="10" t="s">
        <v>46</v>
      </c>
    </row>
    <row r="450" spans="1:33" ht="15.75" x14ac:dyDescent="0.25">
      <c r="A450" s="1">
        <v>1042129024112</v>
      </c>
      <c r="B450" s="6">
        <v>2129056035</v>
      </c>
      <c r="C450" s="7" t="s">
        <v>4003</v>
      </c>
      <c r="D450" s="7" t="s">
        <v>4004</v>
      </c>
      <c r="E450" s="6">
        <v>75690382</v>
      </c>
      <c r="F450" s="6">
        <v>97401000000</v>
      </c>
      <c r="G450" s="6">
        <v>12</v>
      </c>
      <c r="H450" s="6">
        <v>75104</v>
      </c>
      <c r="I450" s="6">
        <v>213001001</v>
      </c>
      <c r="J450" s="7" t="s">
        <v>4005</v>
      </c>
      <c r="K450" s="7"/>
      <c r="L450" s="1" t="s">
        <v>4006</v>
      </c>
      <c r="M450" s="7" t="s">
        <v>4007</v>
      </c>
      <c r="N450" s="7" t="s">
        <v>4008</v>
      </c>
      <c r="O450" s="7" t="s">
        <v>4009</v>
      </c>
      <c r="P450" s="8">
        <v>505307521743</v>
      </c>
      <c r="Q450" s="7" t="s">
        <v>4010</v>
      </c>
      <c r="R450" s="7" t="s">
        <v>4011</v>
      </c>
      <c r="S450" s="7" t="s">
        <v>4012</v>
      </c>
      <c r="T450" s="7" t="s">
        <v>4013</v>
      </c>
      <c r="U450" s="7" t="s">
        <v>4014</v>
      </c>
      <c r="V450" s="1"/>
      <c r="W450" s="1"/>
      <c r="X450" s="1"/>
      <c r="Y450" s="1"/>
      <c r="Z450" s="1"/>
      <c r="AA450" s="1"/>
      <c r="AB450" s="1"/>
      <c r="AC450" s="1"/>
      <c r="AD450" s="1"/>
      <c r="AE450" s="7"/>
      <c r="AF450" s="7"/>
      <c r="AG450" s="7" t="s">
        <v>46</v>
      </c>
    </row>
    <row r="451" spans="1:33" ht="15.75" x14ac:dyDescent="0.25">
      <c r="A451" s="3">
        <v>1042129023936</v>
      </c>
      <c r="B451" s="9">
        <v>2129056028</v>
      </c>
      <c r="C451" s="10" t="s">
        <v>4015</v>
      </c>
      <c r="D451" s="10" t="s">
        <v>4016</v>
      </c>
      <c r="E451" s="9">
        <v>75690330</v>
      </c>
      <c r="F451" s="9">
        <v>97401000000</v>
      </c>
      <c r="G451" s="9">
        <v>12</v>
      </c>
      <c r="H451" s="9">
        <v>75104</v>
      </c>
      <c r="I451" s="9">
        <v>213001001</v>
      </c>
      <c r="J451" s="10" t="s">
        <v>4017</v>
      </c>
      <c r="K451" s="10"/>
      <c r="L451" s="3" t="s">
        <v>3996</v>
      </c>
      <c r="M451" s="10" t="s">
        <v>3997</v>
      </c>
      <c r="N451" s="10"/>
      <c r="O451" s="10" t="s">
        <v>4018</v>
      </c>
      <c r="P451" s="11">
        <v>212902489434</v>
      </c>
      <c r="Q451" s="10" t="s">
        <v>3325</v>
      </c>
      <c r="R451" s="10" t="s">
        <v>4019</v>
      </c>
      <c r="S451" s="10" t="s">
        <v>4020</v>
      </c>
      <c r="T451" s="10" t="s">
        <v>4021</v>
      </c>
      <c r="U451" s="10" t="s">
        <v>4022</v>
      </c>
      <c r="V451" s="3"/>
      <c r="W451" s="3"/>
      <c r="X451" s="3"/>
      <c r="Y451" s="3"/>
      <c r="Z451" s="3"/>
      <c r="AA451" s="3"/>
      <c r="AB451" s="3"/>
      <c r="AC451" s="3"/>
      <c r="AD451" s="3"/>
      <c r="AE451" s="10"/>
      <c r="AF451" s="10"/>
      <c r="AG451" s="10" t="s">
        <v>46</v>
      </c>
    </row>
    <row r="452" spans="1:33" ht="15.75" x14ac:dyDescent="0.25">
      <c r="A452" s="1">
        <v>1022100973828</v>
      </c>
      <c r="B452" s="6">
        <v>2127010282</v>
      </c>
      <c r="C452" s="7" t="s">
        <v>4023</v>
      </c>
      <c r="D452" s="7" t="s">
        <v>4024</v>
      </c>
      <c r="E452" s="6">
        <v>24351715</v>
      </c>
      <c r="F452" s="6">
        <v>97401000000</v>
      </c>
      <c r="G452" s="6">
        <v>12</v>
      </c>
      <c r="H452" s="6">
        <v>75103</v>
      </c>
      <c r="I452" s="6">
        <v>213001001</v>
      </c>
      <c r="J452" s="7" t="s">
        <v>4025</v>
      </c>
      <c r="K452" s="7"/>
      <c r="L452" s="1" t="s">
        <v>4026</v>
      </c>
      <c r="M452" s="7" t="s">
        <v>4027</v>
      </c>
      <c r="N452" s="7" t="s">
        <v>4028</v>
      </c>
      <c r="O452" s="7" t="s">
        <v>4029</v>
      </c>
      <c r="P452" s="8">
        <v>526219345130</v>
      </c>
      <c r="Q452" s="7" t="s">
        <v>150</v>
      </c>
      <c r="R452" s="7" t="s">
        <v>4030</v>
      </c>
      <c r="S452" s="7" t="s">
        <v>4031</v>
      </c>
      <c r="T452" s="7"/>
      <c r="U452" s="7" t="s">
        <v>4032</v>
      </c>
      <c r="V452" s="1"/>
      <c r="W452" s="1"/>
      <c r="X452" s="1"/>
      <c r="Y452" s="1"/>
      <c r="Z452" s="1"/>
      <c r="AA452" s="1"/>
      <c r="AB452" s="1"/>
      <c r="AC452" s="1"/>
      <c r="AD452" s="1"/>
      <c r="AE452" s="7"/>
      <c r="AF452" s="7"/>
      <c r="AG452" s="7" t="s">
        <v>46</v>
      </c>
    </row>
    <row r="453" spans="1:33" ht="15.75" x14ac:dyDescent="0.25">
      <c r="A453" s="3">
        <v>1022101149806</v>
      </c>
      <c r="B453" s="9">
        <v>2128015830</v>
      </c>
      <c r="C453" s="10" t="s">
        <v>4033</v>
      </c>
      <c r="D453" s="10" t="s">
        <v>4034</v>
      </c>
      <c r="E453" s="9">
        <v>8593169</v>
      </c>
      <c r="F453" s="9">
        <v>97401000000</v>
      </c>
      <c r="G453" s="9">
        <v>12</v>
      </c>
      <c r="H453" s="9">
        <v>75104</v>
      </c>
      <c r="I453" s="9">
        <v>213001001</v>
      </c>
      <c r="J453" s="10" t="s">
        <v>4035</v>
      </c>
      <c r="K453" s="10"/>
      <c r="L453" s="3" t="s">
        <v>4036</v>
      </c>
      <c r="M453" s="10" t="s">
        <v>4037</v>
      </c>
      <c r="N453" s="10" t="s">
        <v>4008</v>
      </c>
      <c r="O453" s="10" t="s">
        <v>4038</v>
      </c>
      <c r="P453" s="11">
        <v>575203692308</v>
      </c>
      <c r="Q453" s="10" t="s">
        <v>4039</v>
      </c>
      <c r="R453" s="10" t="s">
        <v>4040</v>
      </c>
      <c r="S453" s="10" t="s">
        <v>4041</v>
      </c>
      <c r="T453" s="10"/>
      <c r="U453" s="10" t="s">
        <v>4042</v>
      </c>
      <c r="V453" s="3"/>
      <c r="W453" s="3"/>
      <c r="X453" s="3"/>
      <c r="Y453" s="3"/>
      <c r="Z453" s="3"/>
      <c r="AA453" s="3"/>
      <c r="AB453" s="3"/>
      <c r="AC453" s="3"/>
      <c r="AD453" s="3"/>
      <c r="AE453" s="10"/>
      <c r="AF453" s="10"/>
      <c r="AG453" s="10" t="s">
        <v>46</v>
      </c>
    </row>
    <row r="454" spans="1:33" ht="15.75" x14ac:dyDescent="0.25">
      <c r="A454" s="1">
        <v>1022101143767</v>
      </c>
      <c r="B454" s="6">
        <v>2128014515</v>
      </c>
      <c r="C454" s="7" t="s">
        <v>4043</v>
      </c>
      <c r="D454" s="7" t="s">
        <v>4044</v>
      </c>
      <c r="E454" s="6">
        <v>24351891</v>
      </c>
      <c r="F454" s="6">
        <v>97401000000</v>
      </c>
      <c r="G454" s="6">
        <v>12</v>
      </c>
      <c r="H454" s="6">
        <v>75104</v>
      </c>
      <c r="I454" s="6">
        <v>213001001</v>
      </c>
      <c r="J454" s="7" t="s">
        <v>4045</v>
      </c>
      <c r="K454" s="7"/>
      <c r="L454" s="1" t="s">
        <v>4046</v>
      </c>
      <c r="M454" s="7" t="s">
        <v>4047</v>
      </c>
      <c r="N454" s="7"/>
      <c r="O454" s="7" t="s">
        <v>4048</v>
      </c>
      <c r="P454" s="8">
        <v>212807207658</v>
      </c>
      <c r="Q454" s="7" t="s">
        <v>4049</v>
      </c>
      <c r="R454" s="7" t="s">
        <v>4050</v>
      </c>
      <c r="S454" s="7" t="s">
        <v>4051</v>
      </c>
      <c r="T454" s="7" t="s">
        <v>4052</v>
      </c>
      <c r="U454" s="7" t="s">
        <v>4053</v>
      </c>
      <c r="V454" s="1"/>
      <c r="W454" s="1"/>
      <c r="X454" s="1"/>
      <c r="Y454" s="1"/>
      <c r="Z454" s="1"/>
      <c r="AA454" s="1"/>
      <c r="AB454" s="1"/>
      <c r="AC454" s="1"/>
      <c r="AD454" s="1"/>
      <c r="AE454" s="7"/>
      <c r="AF454" s="7"/>
      <c r="AG454" s="7" t="s">
        <v>46</v>
      </c>
    </row>
    <row r="455" spans="1:33" ht="15.75" x14ac:dyDescent="0.25">
      <c r="A455" s="3">
        <v>1022101286657</v>
      </c>
      <c r="B455" s="9">
        <v>2128017971</v>
      </c>
      <c r="C455" s="10" t="s">
        <v>4054</v>
      </c>
      <c r="D455" s="10" t="s">
        <v>4055</v>
      </c>
      <c r="E455" s="9">
        <v>24331173</v>
      </c>
      <c r="F455" s="9">
        <v>97401000000</v>
      </c>
      <c r="G455" s="9">
        <v>12</v>
      </c>
      <c r="H455" s="9">
        <v>75104</v>
      </c>
      <c r="I455" s="9">
        <v>213001001</v>
      </c>
      <c r="J455" s="10" t="s">
        <v>4056</v>
      </c>
      <c r="K455" s="10"/>
      <c r="L455" s="3" t="s">
        <v>3996</v>
      </c>
      <c r="M455" s="10" t="s">
        <v>3997</v>
      </c>
      <c r="N455" s="10"/>
      <c r="O455" s="10" t="s">
        <v>4057</v>
      </c>
      <c r="P455" s="11">
        <v>212704175370</v>
      </c>
      <c r="Q455" s="10" t="s">
        <v>4058</v>
      </c>
      <c r="R455" s="10" t="s">
        <v>4059</v>
      </c>
      <c r="S455" s="10" t="s">
        <v>4060</v>
      </c>
      <c r="T455" s="10"/>
      <c r="U455" s="10" t="s">
        <v>4061</v>
      </c>
      <c r="V455" s="3"/>
      <c r="W455" s="3"/>
      <c r="X455" s="3"/>
      <c r="Y455" s="3"/>
      <c r="Z455" s="3"/>
      <c r="AA455" s="3"/>
      <c r="AB455" s="3"/>
      <c r="AC455" s="3"/>
      <c r="AD455" s="3"/>
      <c r="AE455" s="10"/>
      <c r="AF455" s="10"/>
      <c r="AG455" s="10" t="s">
        <v>46</v>
      </c>
    </row>
    <row r="456" spans="1:33" ht="15.75" x14ac:dyDescent="0.25">
      <c r="A456" s="1">
        <v>1022101269409</v>
      </c>
      <c r="B456" s="6">
        <v>2126002352</v>
      </c>
      <c r="C456" s="7" t="s">
        <v>4062</v>
      </c>
      <c r="D456" s="7" t="s">
        <v>4063</v>
      </c>
      <c r="E456" s="6">
        <v>24331888</v>
      </c>
      <c r="F456" s="6">
        <v>97401000000</v>
      </c>
      <c r="G456" s="6">
        <v>12</v>
      </c>
      <c r="H456" s="6">
        <v>75105</v>
      </c>
      <c r="I456" s="6">
        <v>213001001</v>
      </c>
      <c r="J456" s="7" t="s">
        <v>4064</v>
      </c>
      <c r="K456" s="7"/>
      <c r="L456" s="1" t="s">
        <v>4065</v>
      </c>
      <c r="M456" s="7" t="s">
        <v>4066</v>
      </c>
      <c r="N456" s="7"/>
      <c r="O456" s="7" t="s">
        <v>4067</v>
      </c>
      <c r="P456" s="8">
        <v>211609005584</v>
      </c>
      <c r="Q456" s="7" t="s">
        <v>4068</v>
      </c>
      <c r="R456" s="7" t="s">
        <v>4069</v>
      </c>
      <c r="S456" s="7" t="s">
        <v>4070</v>
      </c>
      <c r="T456" s="7"/>
      <c r="U456" s="7" t="s">
        <v>4071</v>
      </c>
      <c r="V456" s="1"/>
      <c r="W456" s="1"/>
      <c r="X456" s="1"/>
      <c r="Y456" s="1"/>
      <c r="Z456" s="1"/>
      <c r="AA456" s="1"/>
      <c r="AB456" s="1"/>
      <c r="AC456" s="1"/>
      <c r="AD456" s="1"/>
      <c r="AE456" s="7"/>
      <c r="AF456" s="7"/>
      <c r="AG456" s="7" t="s">
        <v>46</v>
      </c>
    </row>
    <row r="457" spans="1:33" ht="15.75" x14ac:dyDescent="0.25">
      <c r="A457" s="3">
        <v>1022102835468</v>
      </c>
      <c r="B457" s="9">
        <v>2107003946</v>
      </c>
      <c r="C457" s="10" t="s">
        <v>4072</v>
      </c>
      <c r="D457" s="10" t="s">
        <v>4073</v>
      </c>
      <c r="E457" s="9">
        <v>8826656</v>
      </c>
      <c r="F457" s="9">
        <v>97219501000</v>
      </c>
      <c r="G457" s="9">
        <v>12</v>
      </c>
      <c r="H457" s="9">
        <v>75104</v>
      </c>
      <c r="I457" s="9">
        <v>210701001</v>
      </c>
      <c r="J457" s="10" t="s">
        <v>4074</v>
      </c>
      <c r="K457" s="10"/>
      <c r="L457" s="3" t="s">
        <v>4075</v>
      </c>
      <c r="M457" s="10" t="s">
        <v>4076</v>
      </c>
      <c r="N457" s="10" t="s">
        <v>4077</v>
      </c>
      <c r="O457" s="10" t="s">
        <v>4078</v>
      </c>
      <c r="P457" s="11">
        <v>212203062216</v>
      </c>
      <c r="Q457" s="10" t="s">
        <v>3903</v>
      </c>
      <c r="R457" s="10" t="s">
        <v>4079</v>
      </c>
      <c r="S457" s="10" t="s">
        <v>4080</v>
      </c>
      <c r="T457" s="10"/>
      <c r="U457" s="10" t="s">
        <v>4081</v>
      </c>
      <c r="V457" s="3"/>
      <c r="W457" s="3"/>
      <c r="X457" s="3"/>
      <c r="Y457" s="3"/>
      <c r="Z457" s="3"/>
      <c r="AA457" s="3"/>
      <c r="AB457" s="3"/>
      <c r="AC457" s="3"/>
      <c r="AD457" s="3"/>
      <c r="AE457" s="10"/>
      <c r="AF457" s="10"/>
      <c r="AG457" s="10" t="s">
        <v>46</v>
      </c>
    </row>
    <row r="458" spans="1:33" ht="15.75" x14ac:dyDescent="0.25">
      <c r="A458" s="3">
        <v>1242100008050</v>
      </c>
      <c r="B458" s="9">
        <v>2100021022</v>
      </c>
      <c r="C458" s="10" t="s">
        <v>4082</v>
      </c>
      <c r="D458" s="10" t="s">
        <v>4083</v>
      </c>
      <c r="E458" s="9">
        <v>87989815</v>
      </c>
      <c r="F458" s="9">
        <v>97407000000</v>
      </c>
      <c r="G458" s="9">
        <v>14</v>
      </c>
      <c r="H458" s="9">
        <v>75404</v>
      </c>
      <c r="I458" s="9">
        <v>210001001</v>
      </c>
      <c r="J458" s="10" t="s">
        <v>4084</v>
      </c>
      <c r="K458" s="10"/>
      <c r="L458" s="3" t="s">
        <v>3268</v>
      </c>
      <c r="M458" s="10" t="s">
        <v>3269</v>
      </c>
      <c r="N458" s="10"/>
      <c r="O458" s="10" t="s">
        <v>4085</v>
      </c>
      <c r="P458" s="11">
        <v>210600939281</v>
      </c>
      <c r="Q458" s="10" t="s">
        <v>4086</v>
      </c>
      <c r="R458" s="10" t="s">
        <v>4087</v>
      </c>
      <c r="S458" s="10" t="s">
        <v>4088</v>
      </c>
      <c r="T458" s="10"/>
      <c r="U458" s="10" t="s">
        <v>4089</v>
      </c>
      <c r="V458" s="3"/>
      <c r="W458" s="3"/>
      <c r="X458" s="3"/>
      <c r="Y458" s="3"/>
      <c r="Z458" s="3"/>
      <c r="AA458" s="3"/>
      <c r="AB458" s="3"/>
      <c r="AC458" s="3"/>
      <c r="AD458" s="3"/>
      <c r="AE458" s="10"/>
      <c r="AF458" s="10"/>
      <c r="AG458" s="10" t="s">
        <v>46</v>
      </c>
    </row>
    <row r="459" spans="1:33" ht="15.75" x14ac:dyDescent="0.25">
      <c r="A459" s="1">
        <v>1062100025184</v>
      </c>
      <c r="B459" s="6">
        <v>2130012459</v>
      </c>
      <c r="C459" s="7"/>
      <c r="D459" s="7" t="s">
        <v>4090</v>
      </c>
      <c r="E459" s="6">
        <v>99475085</v>
      </c>
      <c r="F459" s="6">
        <v>97401000000</v>
      </c>
      <c r="G459" s="6">
        <v>53</v>
      </c>
      <c r="H459" s="6">
        <v>20200</v>
      </c>
      <c r="I459" s="6">
        <v>213001001</v>
      </c>
      <c r="J459" s="7" t="s">
        <v>4091</v>
      </c>
      <c r="K459" s="7"/>
      <c r="L459" s="1" t="s">
        <v>4092</v>
      </c>
      <c r="M459" s="7" t="s">
        <v>4093</v>
      </c>
      <c r="N459" s="7" t="s">
        <v>4094</v>
      </c>
      <c r="O459" s="7" t="s">
        <v>4095</v>
      </c>
      <c r="P459" s="8">
        <v>212305626655</v>
      </c>
      <c r="Q459" s="7" t="s">
        <v>3299</v>
      </c>
      <c r="R459" s="7" t="s">
        <v>4096</v>
      </c>
      <c r="S459" s="7" t="s">
        <v>4097</v>
      </c>
      <c r="T459" s="7"/>
      <c r="U459" s="7"/>
      <c r="V459" s="1"/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7"/>
      <c r="AF459" s="7"/>
      <c r="AG459" s="7" t="s">
        <v>46</v>
      </c>
    </row>
    <row r="460" spans="1:33" ht="15.75" x14ac:dyDescent="0.25">
      <c r="A460" s="3">
        <v>1072130015154</v>
      </c>
      <c r="B460" s="9">
        <v>2130027215</v>
      </c>
      <c r="C460" s="10" t="s">
        <v>4098</v>
      </c>
      <c r="D460" s="10" t="s">
        <v>4099</v>
      </c>
      <c r="E460" s="9">
        <v>99491776</v>
      </c>
      <c r="F460" s="9">
        <v>97401000000</v>
      </c>
      <c r="G460" s="9">
        <v>16</v>
      </c>
      <c r="H460" s="9">
        <v>20102</v>
      </c>
      <c r="I460" s="9">
        <v>213001001</v>
      </c>
      <c r="J460" s="10" t="s">
        <v>4100</v>
      </c>
      <c r="K460" s="10"/>
      <c r="L460" s="3" t="s">
        <v>367</v>
      </c>
      <c r="M460" s="10" t="s">
        <v>368</v>
      </c>
      <c r="N460" s="10"/>
      <c r="O460" s="10" t="s">
        <v>4101</v>
      </c>
      <c r="P460" s="11">
        <v>212902273192</v>
      </c>
      <c r="Q460" s="10" t="s">
        <v>3299</v>
      </c>
      <c r="R460" s="10" t="s">
        <v>4102</v>
      </c>
      <c r="S460" s="10" t="s">
        <v>4103</v>
      </c>
      <c r="T460" s="10"/>
      <c r="U460" s="10"/>
      <c r="V460" s="3"/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10" t="s">
        <v>317</v>
      </c>
      <c r="AF460" s="10"/>
      <c r="AG460" s="10" t="s">
        <v>46</v>
      </c>
    </row>
    <row r="461" spans="1:33" ht="15.75" x14ac:dyDescent="0.25">
      <c r="A461" s="1">
        <v>1032100002307</v>
      </c>
      <c r="B461" s="6">
        <v>2127324465</v>
      </c>
      <c r="C461" s="7" t="s">
        <v>4104</v>
      </c>
      <c r="D461" s="7" t="s">
        <v>4105</v>
      </c>
      <c r="E461" s="6">
        <v>59551014</v>
      </c>
      <c r="F461" s="6">
        <v>97401000000</v>
      </c>
      <c r="G461" s="6">
        <v>53</v>
      </c>
      <c r="H461" s="6">
        <v>20200</v>
      </c>
      <c r="I461" s="6">
        <v>213001001</v>
      </c>
      <c r="J461" s="7" t="s">
        <v>4106</v>
      </c>
      <c r="K461" s="7"/>
      <c r="L461" s="1" t="s">
        <v>3297</v>
      </c>
      <c r="M461" s="7" t="s">
        <v>3389</v>
      </c>
      <c r="N461" s="7" t="s">
        <v>4107</v>
      </c>
      <c r="O461" s="7" t="s">
        <v>4108</v>
      </c>
      <c r="P461" s="8">
        <v>212900056900</v>
      </c>
      <c r="Q461" s="7" t="s">
        <v>3299</v>
      </c>
      <c r="R461" s="7" t="s">
        <v>4109</v>
      </c>
      <c r="S461" s="7" t="s">
        <v>4110</v>
      </c>
      <c r="T461" s="7"/>
      <c r="U461" s="7"/>
      <c r="V461" s="1"/>
      <c r="W461" s="1">
        <v>42000</v>
      </c>
      <c r="X461" s="1">
        <v>0</v>
      </c>
      <c r="Y461" s="1">
        <v>0</v>
      </c>
      <c r="Z461" s="1">
        <v>0</v>
      </c>
      <c r="AA461" s="1">
        <v>0</v>
      </c>
      <c r="AB461" s="1">
        <v>-38000</v>
      </c>
      <c r="AC461" s="1">
        <v>0</v>
      </c>
      <c r="AD461" s="1">
        <v>0</v>
      </c>
      <c r="AE461" s="7"/>
      <c r="AF461" s="7"/>
      <c r="AG461" s="7" t="s">
        <v>46</v>
      </c>
    </row>
    <row r="462" spans="1:33" ht="15.75" x14ac:dyDescent="0.25">
      <c r="A462" s="1">
        <v>1102130006340</v>
      </c>
      <c r="B462" s="6">
        <v>2130073733</v>
      </c>
      <c r="C462" s="7" t="s">
        <v>4111</v>
      </c>
      <c r="D462" s="7" t="s">
        <v>4112</v>
      </c>
      <c r="E462" s="6">
        <v>65654965</v>
      </c>
      <c r="F462" s="6">
        <v>97401000000</v>
      </c>
      <c r="G462" s="6">
        <v>14</v>
      </c>
      <c r="H462" s="6">
        <v>75401</v>
      </c>
      <c r="I462" s="6">
        <v>213001001</v>
      </c>
      <c r="J462" s="7" t="s">
        <v>4113</v>
      </c>
      <c r="K462" s="7"/>
      <c r="L462" s="1" t="s">
        <v>4114</v>
      </c>
      <c r="M462" s="7" t="s">
        <v>4115</v>
      </c>
      <c r="N462" s="7" t="s">
        <v>4116</v>
      </c>
      <c r="O462" s="7" t="s">
        <v>4117</v>
      </c>
      <c r="P462" s="8">
        <v>211604227103</v>
      </c>
      <c r="Q462" s="7" t="s">
        <v>3325</v>
      </c>
      <c r="R462" s="7" t="s">
        <v>4118</v>
      </c>
      <c r="S462" s="7" t="s">
        <v>4119</v>
      </c>
      <c r="T462" s="7"/>
      <c r="U462" s="7" t="s">
        <v>4120</v>
      </c>
      <c r="V462" s="1"/>
      <c r="W462" s="1">
        <v>0</v>
      </c>
      <c r="X462" s="1">
        <v>3148000</v>
      </c>
      <c r="Y462" s="1">
        <v>196000</v>
      </c>
      <c r="Z462" s="1">
        <v>290000</v>
      </c>
      <c r="AA462" s="1">
        <v>360000</v>
      </c>
      <c r="AB462" s="1">
        <v>0</v>
      </c>
      <c r="AC462" s="1">
        <v>0</v>
      </c>
      <c r="AD462" s="1">
        <v>0</v>
      </c>
      <c r="AE462" s="7"/>
      <c r="AF462" s="7"/>
      <c r="AG462" s="7" t="s">
        <v>46</v>
      </c>
    </row>
    <row r="463" spans="1:33" ht="15.75" x14ac:dyDescent="0.25">
      <c r="A463" s="3">
        <v>1072130005463</v>
      </c>
      <c r="B463" s="9">
        <v>2130016573</v>
      </c>
      <c r="C463" s="10" t="s">
        <v>4121</v>
      </c>
      <c r="D463" s="10" t="s">
        <v>4122</v>
      </c>
      <c r="E463" s="9">
        <v>99478014</v>
      </c>
      <c r="F463" s="9">
        <v>97401000000</v>
      </c>
      <c r="G463" s="9">
        <v>16</v>
      </c>
      <c r="H463" s="9">
        <v>20105</v>
      </c>
      <c r="I463" s="9">
        <v>213001001</v>
      </c>
      <c r="J463" s="10" t="s">
        <v>4123</v>
      </c>
      <c r="K463" s="10"/>
      <c r="L463" s="3" t="s">
        <v>4124</v>
      </c>
      <c r="M463" s="10" t="s">
        <v>4125</v>
      </c>
      <c r="N463" s="10" t="s">
        <v>4126</v>
      </c>
      <c r="O463" s="10" t="s">
        <v>4127</v>
      </c>
      <c r="P463" s="11">
        <v>210501311552</v>
      </c>
      <c r="Q463" s="10" t="s">
        <v>3459</v>
      </c>
      <c r="R463" s="10" t="s">
        <v>4128</v>
      </c>
      <c r="S463" s="10" t="s">
        <v>4129</v>
      </c>
      <c r="T463" s="10"/>
      <c r="U463" s="10" t="s">
        <v>4130</v>
      </c>
      <c r="V463" s="3">
        <v>750</v>
      </c>
      <c r="W463" s="3">
        <v>0</v>
      </c>
      <c r="X463" s="3">
        <v>5397000</v>
      </c>
      <c r="Y463" s="3">
        <v>0</v>
      </c>
      <c r="Z463" s="3">
        <v>8171000</v>
      </c>
      <c r="AA463" s="3">
        <v>870000</v>
      </c>
      <c r="AB463" s="3">
        <v>996000</v>
      </c>
      <c r="AC463" s="3">
        <v>0</v>
      </c>
      <c r="AD463" s="3">
        <v>1042000</v>
      </c>
      <c r="AE463" s="10" t="s">
        <v>317</v>
      </c>
      <c r="AF463" s="10"/>
      <c r="AG463" s="10" t="s">
        <v>46</v>
      </c>
    </row>
    <row r="464" spans="1:33" ht="15.75" x14ac:dyDescent="0.25">
      <c r="A464" s="1">
        <v>1052137020330</v>
      </c>
      <c r="B464" s="6">
        <v>2114902380</v>
      </c>
      <c r="C464" s="7" t="s">
        <v>4131</v>
      </c>
      <c r="D464" s="7" t="s">
        <v>4132</v>
      </c>
      <c r="E464" s="6">
        <v>75709822</v>
      </c>
      <c r="F464" s="6">
        <v>97238870001</v>
      </c>
      <c r="G464" s="6">
        <v>14</v>
      </c>
      <c r="H464" s="6">
        <v>75404</v>
      </c>
      <c r="I464" s="6">
        <v>211401001</v>
      </c>
      <c r="J464" s="7" t="s">
        <v>4133</v>
      </c>
      <c r="K464" s="7"/>
      <c r="L464" s="1" t="s">
        <v>3268</v>
      </c>
      <c r="M464" s="7" t="s">
        <v>3269</v>
      </c>
      <c r="N464" s="7" t="s">
        <v>3270</v>
      </c>
      <c r="O464" s="7" t="s">
        <v>4134</v>
      </c>
      <c r="P464" s="8">
        <v>211401499119</v>
      </c>
      <c r="Q464" s="7" t="s">
        <v>4135</v>
      </c>
      <c r="R464" s="7" t="s">
        <v>4136</v>
      </c>
      <c r="S464" s="7" t="s">
        <v>4137</v>
      </c>
      <c r="T464" s="7"/>
      <c r="U464" s="7" t="s">
        <v>4138</v>
      </c>
      <c r="V464" s="1"/>
      <c r="W464" s="1"/>
      <c r="X464" s="1"/>
      <c r="Y464" s="1"/>
      <c r="Z464" s="1"/>
      <c r="AA464" s="1"/>
      <c r="AB464" s="1"/>
      <c r="AC464" s="1"/>
      <c r="AD464" s="1"/>
      <c r="AE464" s="7"/>
      <c r="AF464" s="7"/>
      <c r="AG464" s="7" t="s">
        <v>46</v>
      </c>
    </row>
    <row r="465" spans="1:33" ht="15.75" x14ac:dyDescent="0.25">
      <c r="A465" s="3">
        <v>1042128022276</v>
      </c>
      <c r="B465" s="9">
        <v>2128700000</v>
      </c>
      <c r="C465" s="10" t="s">
        <v>4139</v>
      </c>
      <c r="D465" s="10" t="s">
        <v>4140</v>
      </c>
      <c r="E465" s="9">
        <v>24357385</v>
      </c>
      <c r="F465" s="9">
        <v>97401000000</v>
      </c>
      <c r="G465" s="9">
        <v>12</v>
      </c>
      <c r="H465" s="9">
        <v>75104</v>
      </c>
      <c r="I465" s="9">
        <v>213001001</v>
      </c>
      <c r="J465" s="10" t="s">
        <v>4017</v>
      </c>
      <c r="K465" s="10"/>
      <c r="L465" s="3" t="s">
        <v>4141</v>
      </c>
      <c r="M465" s="10" t="s">
        <v>4142</v>
      </c>
      <c r="N465" s="10" t="s">
        <v>4143</v>
      </c>
      <c r="O465" s="10" t="s">
        <v>4144</v>
      </c>
      <c r="P465" s="11">
        <v>563805112988</v>
      </c>
      <c r="Q465" s="10" t="s">
        <v>3325</v>
      </c>
      <c r="R465" s="10" t="s">
        <v>4145</v>
      </c>
      <c r="S465" s="10" t="s">
        <v>4146</v>
      </c>
      <c r="T465" s="10"/>
      <c r="U465" s="10" t="s">
        <v>4147</v>
      </c>
      <c r="V465" s="3"/>
      <c r="W465" s="3"/>
      <c r="X465" s="3"/>
      <c r="Y465" s="3"/>
      <c r="Z465" s="3"/>
      <c r="AA465" s="3"/>
      <c r="AB465" s="3"/>
      <c r="AC465" s="3"/>
      <c r="AD465" s="3"/>
      <c r="AE465" s="10"/>
      <c r="AF465" s="10"/>
      <c r="AG465" s="10" t="s">
        <v>46</v>
      </c>
    </row>
    <row r="466" spans="1:33" ht="15.75" x14ac:dyDescent="0.25">
      <c r="A466" s="1">
        <v>1072130011821</v>
      </c>
      <c r="B466" s="6">
        <v>2130024126</v>
      </c>
      <c r="C466" s="7" t="s">
        <v>4148</v>
      </c>
      <c r="D466" s="7" t="s">
        <v>4149</v>
      </c>
      <c r="E466" s="6">
        <v>99487272</v>
      </c>
      <c r="F466" s="6">
        <v>97401000000</v>
      </c>
      <c r="G466" s="6">
        <v>13</v>
      </c>
      <c r="H466" s="6">
        <v>75204</v>
      </c>
      <c r="I466" s="6">
        <v>213001001</v>
      </c>
      <c r="J466" s="7" t="s">
        <v>4150</v>
      </c>
      <c r="K466" s="7"/>
      <c r="L466" s="1" t="s">
        <v>4151</v>
      </c>
      <c r="M466" s="7" t="s">
        <v>4152</v>
      </c>
      <c r="N466" s="7" t="s">
        <v>4153</v>
      </c>
      <c r="O466" s="7" t="s">
        <v>4154</v>
      </c>
      <c r="P466" s="8">
        <v>212702490898</v>
      </c>
      <c r="Q466" s="7" t="s">
        <v>150</v>
      </c>
      <c r="R466" s="7" t="s">
        <v>4155</v>
      </c>
      <c r="S466" s="7" t="s">
        <v>4156</v>
      </c>
      <c r="T466" s="7"/>
      <c r="U466" s="7" t="s">
        <v>4157</v>
      </c>
      <c r="V466" s="1"/>
      <c r="W466" s="1"/>
      <c r="X466" s="1"/>
      <c r="Y466" s="1"/>
      <c r="Z466" s="1"/>
      <c r="AA466" s="1"/>
      <c r="AB466" s="1"/>
      <c r="AC466" s="1"/>
      <c r="AD466" s="1"/>
      <c r="AE466" s="7"/>
      <c r="AF466" s="7"/>
      <c r="AG466" s="7" t="s">
        <v>46</v>
      </c>
    </row>
    <row r="467" spans="1:33" ht="15.75" x14ac:dyDescent="0.25">
      <c r="A467" s="3">
        <v>1122130007438</v>
      </c>
      <c r="B467" s="9">
        <v>2130104830</v>
      </c>
      <c r="C467" s="10" t="s">
        <v>4158</v>
      </c>
      <c r="D467" s="10" t="s">
        <v>4159</v>
      </c>
      <c r="E467" s="9">
        <v>90969360</v>
      </c>
      <c r="F467" s="9">
        <v>97401000000</v>
      </c>
      <c r="G467" s="9">
        <v>13</v>
      </c>
      <c r="H467" s="9">
        <v>75204</v>
      </c>
      <c r="I467" s="9">
        <v>213001001</v>
      </c>
      <c r="J467" s="10" t="s">
        <v>4160</v>
      </c>
      <c r="K467" s="10"/>
      <c r="L467" s="3" t="s">
        <v>4161</v>
      </c>
      <c r="M467" s="10" t="s">
        <v>4162</v>
      </c>
      <c r="N467" s="10"/>
      <c r="O467" s="10" t="s">
        <v>4163</v>
      </c>
      <c r="P467" s="11">
        <v>212719017721</v>
      </c>
      <c r="Q467" s="10" t="s">
        <v>4164</v>
      </c>
      <c r="R467" s="10" t="s">
        <v>4165</v>
      </c>
      <c r="S467" s="10" t="s">
        <v>4166</v>
      </c>
      <c r="T467" s="10"/>
      <c r="U467" s="10" t="s">
        <v>4167</v>
      </c>
      <c r="V467" s="3"/>
      <c r="W467" s="3"/>
      <c r="X467" s="3"/>
      <c r="Y467" s="3"/>
      <c r="Z467" s="3"/>
      <c r="AA467" s="3"/>
      <c r="AB467" s="3"/>
      <c r="AC467" s="3"/>
      <c r="AD467" s="3"/>
      <c r="AE467" s="10"/>
      <c r="AF467" s="10"/>
      <c r="AG467" s="10" t="s">
        <v>46</v>
      </c>
    </row>
    <row r="468" spans="1:33" ht="15.75" x14ac:dyDescent="0.25">
      <c r="A468" s="1">
        <v>1032124005660</v>
      </c>
      <c r="B468" s="6">
        <v>2124021247</v>
      </c>
      <c r="C468" s="7" t="s">
        <v>4168</v>
      </c>
      <c r="D468" s="7" t="s">
        <v>4169</v>
      </c>
      <c r="E468" s="6">
        <v>71015028</v>
      </c>
      <c r="F468" s="6">
        <v>97410000000</v>
      </c>
      <c r="G468" s="6">
        <v>16</v>
      </c>
      <c r="H468" s="6">
        <v>20107</v>
      </c>
      <c r="I468" s="6">
        <v>212401001</v>
      </c>
      <c r="J468" s="7" t="s">
        <v>4170</v>
      </c>
      <c r="K468" s="7"/>
      <c r="L468" s="1" t="s">
        <v>4171</v>
      </c>
      <c r="M468" s="7" t="s">
        <v>4172</v>
      </c>
      <c r="N468" s="7" t="s">
        <v>4173</v>
      </c>
      <c r="O468" s="7" t="s">
        <v>4174</v>
      </c>
      <c r="P468" s="8">
        <v>212402918942</v>
      </c>
      <c r="Q468" s="7" t="s">
        <v>3299</v>
      </c>
      <c r="R468" s="7" t="s">
        <v>4175</v>
      </c>
      <c r="S468" s="7" t="s">
        <v>4176</v>
      </c>
      <c r="T468" s="7"/>
      <c r="U468" s="7"/>
      <c r="V468" s="1">
        <v>3000</v>
      </c>
      <c r="W468" s="1">
        <v>0</v>
      </c>
      <c r="X468" s="1">
        <v>0</v>
      </c>
      <c r="Y468" s="1">
        <v>17000</v>
      </c>
      <c r="Z468" s="1">
        <v>3958000</v>
      </c>
      <c r="AA468" s="1">
        <v>422000</v>
      </c>
      <c r="AB468" s="1">
        <v>0</v>
      </c>
      <c r="AC468" s="1">
        <v>0</v>
      </c>
      <c r="AD468" s="1">
        <v>0</v>
      </c>
      <c r="AE468" s="7" t="s">
        <v>317</v>
      </c>
      <c r="AF468" s="7"/>
      <c r="AG468" s="7" t="s">
        <v>46</v>
      </c>
    </row>
    <row r="469" spans="1:33" ht="15.75" x14ac:dyDescent="0.25">
      <c r="A469" s="3">
        <v>1162100050298</v>
      </c>
      <c r="B469" s="9">
        <v>2130173640</v>
      </c>
      <c r="C469" s="10" t="s">
        <v>4177</v>
      </c>
      <c r="D469" s="10" t="s">
        <v>4178</v>
      </c>
      <c r="E469" s="9">
        <v>3052078</v>
      </c>
      <c r="F469" s="9">
        <v>97401000000</v>
      </c>
      <c r="G469" s="9">
        <v>16</v>
      </c>
      <c r="H469" s="9">
        <v>71400</v>
      </c>
      <c r="I469" s="9">
        <v>213001001</v>
      </c>
      <c r="J469" s="10" t="s">
        <v>4179</v>
      </c>
      <c r="K469" s="10"/>
      <c r="L469" s="3" t="s">
        <v>4026</v>
      </c>
      <c r="M469" s="10" t="s">
        <v>4027</v>
      </c>
      <c r="N469" s="10" t="s">
        <v>4180</v>
      </c>
      <c r="O469" s="10" t="s">
        <v>4181</v>
      </c>
      <c r="P469" s="11">
        <v>212411382009</v>
      </c>
      <c r="Q469" s="10" t="s">
        <v>150</v>
      </c>
      <c r="R469" s="10" t="s">
        <v>4182</v>
      </c>
      <c r="S469" s="10" t="s">
        <v>4183</v>
      </c>
      <c r="T469" s="10"/>
      <c r="U469" s="10"/>
      <c r="V469" s="3"/>
      <c r="W469" s="3">
        <v>0</v>
      </c>
      <c r="X469" s="3">
        <v>258000</v>
      </c>
      <c r="Y469" s="3">
        <v>0</v>
      </c>
      <c r="Z469" s="3">
        <v>1169000</v>
      </c>
      <c r="AA469" s="3">
        <v>5000</v>
      </c>
      <c r="AB469" s="3">
        <v>0</v>
      </c>
      <c r="AC469" s="3">
        <v>0</v>
      </c>
      <c r="AD469" s="3">
        <v>0</v>
      </c>
      <c r="AE469" s="10"/>
      <c r="AF469" s="10"/>
      <c r="AG469" s="10" t="s">
        <v>46</v>
      </c>
    </row>
    <row r="470" spans="1:33" ht="15.75" x14ac:dyDescent="0.25">
      <c r="A470" s="1">
        <v>1032100000602</v>
      </c>
      <c r="B470" s="6">
        <v>2128041526</v>
      </c>
      <c r="C470" s="7" t="s">
        <v>4184</v>
      </c>
      <c r="D470" s="7" t="s">
        <v>4185</v>
      </c>
      <c r="E470" s="6">
        <v>54090005</v>
      </c>
      <c r="F470" s="6">
        <v>97401000000</v>
      </c>
      <c r="G470" s="6">
        <v>53</v>
      </c>
      <c r="H470" s="6">
        <v>20200</v>
      </c>
      <c r="I470" s="6">
        <v>213001001</v>
      </c>
      <c r="J470" s="7" t="s">
        <v>4186</v>
      </c>
      <c r="K470" s="7"/>
      <c r="L470" s="1" t="s">
        <v>3315</v>
      </c>
      <c r="M470" s="7" t="s">
        <v>3316</v>
      </c>
      <c r="N470" s="7"/>
      <c r="O470" s="7" t="s">
        <v>4187</v>
      </c>
      <c r="P470" s="8">
        <v>212801407185</v>
      </c>
      <c r="Q470" s="7" t="s">
        <v>3299</v>
      </c>
      <c r="R470" s="7" t="s">
        <v>4188</v>
      </c>
      <c r="S470" s="7" t="s">
        <v>4189</v>
      </c>
      <c r="T470" s="7"/>
      <c r="U470" s="7"/>
      <c r="V470" s="1"/>
      <c r="W470" s="1">
        <v>42000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7"/>
      <c r="AF470" s="7"/>
      <c r="AG470" s="7" t="s">
        <v>46</v>
      </c>
    </row>
    <row r="471" spans="1:33" ht="15.75" x14ac:dyDescent="0.25">
      <c r="A471" s="3">
        <v>1022101274315</v>
      </c>
      <c r="B471" s="9">
        <v>2129009412</v>
      </c>
      <c r="C471" s="10" t="s">
        <v>4190</v>
      </c>
      <c r="D471" s="10" t="s">
        <v>4191</v>
      </c>
      <c r="E471" s="9">
        <v>2069697</v>
      </c>
      <c r="F471" s="9">
        <v>97401000000</v>
      </c>
      <c r="G471" s="9">
        <v>12</v>
      </c>
      <c r="H471" s="9">
        <v>75103</v>
      </c>
      <c r="I471" s="9">
        <v>213001001</v>
      </c>
      <c r="J471" s="10" t="s">
        <v>4192</v>
      </c>
      <c r="K471" s="10"/>
      <c r="L471" s="3" t="s">
        <v>4193</v>
      </c>
      <c r="M471" s="10" t="s">
        <v>4194</v>
      </c>
      <c r="N471" s="10" t="s">
        <v>4195</v>
      </c>
      <c r="O471" s="10" t="s">
        <v>4196</v>
      </c>
      <c r="P471" s="11">
        <v>212901963186</v>
      </c>
      <c r="Q471" s="10" t="s">
        <v>4197</v>
      </c>
      <c r="R471" s="10" t="s">
        <v>4198</v>
      </c>
      <c r="S471" s="10" t="s">
        <v>4199</v>
      </c>
      <c r="T471" s="10" t="s">
        <v>4200</v>
      </c>
      <c r="U471" s="10" t="s">
        <v>4201</v>
      </c>
      <c r="V471" s="3"/>
      <c r="W471" s="3"/>
      <c r="X471" s="3"/>
      <c r="Y471" s="3"/>
      <c r="Z471" s="3"/>
      <c r="AA471" s="3"/>
      <c r="AB471" s="3"/>
      <c r="AC471" s="3"/>
      <c r="AD471" s="3"/>
      <c r="AE471" s="10"/>
      <c r="AF471" s="10"/>
      <c r="AG471" s="10" t="s">
        <v>46</v>
      </c>
    </row>
    <row r="472" spans="1:33" ht="15.75" x14ac:dyDescent="0.25">
      <c r="A472" s="1">
        <v>1032129014290</v>
      </c>
      <c r="B472" s="6">
        <v>2129052256</v>
      </c>
      <c r="C472" s="7" t="s">
        <v>4202</v>
      </c>
      <c r="D472" s="7" t="s">
        <v>4203</v>
      </c>
      <c r="E472" s="6">
        <v>71016476</v>
      </c>
      <c r="F472" s="6">
        <v>97401000000</v>
      </c>
      <c r="G472" s="6">
        <v>16</v>
      </c>
      <c r="H472" s="6">
        <v>20716</v>
      </c>
      <c r="I472" s="6">
        <v>213001001</v>
      </c>
      <c r="J472" s="7" t="s">
        <v>335</v>
      </c>
      <c r="K472" s="7"/>
      <c r="L472" s="1" t="s">
        <v>1286</v>
      </c>
      <c r="M472" s="7" t="s">
        <v>1287</v>
      </c>
      <c r="N472" s="7" t="s">
        <v>4204</v>
      </c>
      <c r="O472" s="7" t="s">
        <v>4205</v>
      </c>
      <c r="P472" s="8">
        <v>212900402861</v>
      </c>
      <c r="Q472" s="7" t="s">
        <v>3459</v>
      </c>
      <c r="R472" s="7" t="s">
        <v>4206</v>
      </c>
      <c r="S472" s="7" t="s">
        <v>4207</v>
      </c>
      <c r="T472" s="7"/>
      <c r="U472" s="7"/>
      <c r="V472" s="1"/>
      <c r="W472" s="1">
        <v>0</v>
      </c>
      <c r="X472" s="1">
        <v>0</v>
      </c>
      <c r="Y472" s="1">
        <v>0</v>
      </c>
      <c r="Z472" s="1">
        <v>744000</v>
      </c>
      <c r="AA472" s="1">
        <v>390000</v>
      </c>
      <c r="AB472" s="1">
        <v>36000</v>
      </c>
      <c r="AC472" s="1">
        <v>0</v>
      </c>
      <c r="AD472" s="1">
        <v>0</v>
      </c>
      <c r="AE472" s="7"/>
      <c r="AF472" s="7"/>
      <c r="AG472" s="7" t="s">
        <v>46</v>
      </c>
    </row>
    <row r="473" spans="1:33" ht="15.75" x14ac:dyDescent="0.25">
      <c r="A473" s="3">
        <v>1022101131040</v>
      </c>
      <c r="B473" s="9">
        <v>2128018171</v>
      </c>
      <c r="C473" s="10" t="s">
        <v>4208</v>
      </c>
      <c r="D473" s="10" t="s">
        <v>4209</v>
      </c>
      <c r="E473" s="9">
        <v>35953742</v>
      </c>
      <c r="F473" s="9">
        <v>97401000000</v>
      </c>
      <c r="G473" s="9">
        <v>12</v>
      </c>
      <c r="H473" s="9">
        <v>75104</v>
      </c>
      <c r="I473" s="9">
        <v>213001001</v>
      </c>
      <c r="J473" s="10" t="s">
        <v>4210</v>
      </c>
      <c r="K473" s="10"/>
      <c r="L473" s="3" t="s">
        <v>4141</v>
      </c>
      <c r="M473" s="10" t="s">
        <v>4142</v>
      </c>
      <c r="N473" s="10"/>
      <c r="O473" s="10" t="s">
        <v>4211</v>
      </c>
      <c r="P473" s="11">
        <v>212702985516</v>
      </c>
      <c r="Q473" s="10" t="s">
        <v>4058</v>
      </c>
      <c r="R473" s="10" t="s">
        <v>4212</v>
      </c>
      <c r="S473" s="10" t="s">
        <v>4213</v>
      </c>
      <c r="T473" s="10"/>
      <c r="U473" s="10" t="s">
        <v>4214</v>
      </c>
      <c r="V473" s="3"/>
      <c r="W473" s="3"/>
      <c r="X473" s="3"/>
      <c r="Y473" s="3"/>
      <c r="Z473" s="3"/>
      <c r="AA473" s="3"/>
      <c r="AB473" s="3"/>
      <c r="AC473" s="3"/>
      <c r="AD473" s="3"/>
      <c r="AE473" s="10"/>
      <c r="AF473" s="10"/>
      <c r="AG473" s="10" t="s">
        <v>46</v>
      </c>
    </row>
    <row r="474" spans="1:33" ht="15.75" x14ac:dyDescent="0.25">
      <c r="A474" s="1">
        <v>1022101146506</v>
      </c>
      <c r="B474" s="6">
        <v>2128005687</v>
      </c>
      <c r="C474" s="7" t="s">
        <v>4215</v>
      </c>
      <c r="D474" s="7" t="s">
        <v>4216</v>
      </c>
      <c r="E474" s="6">
        <v>5169382</v>
      </c>
      <c r="F474" s="6">
        <v>97401000000</v>
      </c>
      <c r="G474" s="6">
        <v>13</v>
      </c>
      <c r="H474" s="6">
        <v>75203</v>
      </c>
      <c r="I474" s="6">
        <v>213001001</v>
      </c>
      <c r="J474" s="7" t="s">
        <v>4217</v>
      </c>
      <c r="K474" s="7"/>
      <c r="L474" s="1" t="s">
        <v>4218</v>
      </c>
      <c r="M474" s="7" t="s">
        <v>4219</v>
      </c>
      <c r="N474" s="7" t="s">
        <v>4220</v>
      </c>
      <c r="O474" s="7" t="s">
        <v>4221</v>
      </c>
      <c r="P474" s="8">
        <v>212705897441</v>
      </c>
      <c r="Q474" s="7" t="s">
        <v>150</v>
      </c>
      <c r="R474" s="7" t="s">
        <v>4222</v>
      </c>
      <c r="S474" s="7" t="s">
        <v>4223</v>
      </c>
      <c r="T474" s="7" t="s">
        <v>4224</v>
      </c>
      <c r="U474" s="7" t="s">
        <v>4225</v>
      </c>
      <c r="V474" s="1"/>
      <c r="W474" s="1"/>
      <c r="X474" s="1"/>
      <c r="Y474" s="1"/>
      <c r="Z474" s="1"/>
      <c r="AA474" s="1"/>
      <c r="AB474" s="1"/>
      <c r="AC474" s="1"/>
      <c r="AD474" s="1"/>
      <c r="AE474" s="7"/>
      <c r="AF474" s="7"/>
      <c r="AG474" s="7" t="s">
        <v>46</v>
      </c>
    </row>
    <row r="475" spans="1:33" ht="15.75" x14ac:dyDescent="0.25">
      <c r="A475" s="3">
        <v>1022101150224</v>
      </c>
      <c r="B475" s="9">
        <v>2128020491</v>
      </c>
      <c r="C475" s="10" t="s">
        <v>4226</v>
      </c>
      <c r="D475" s="10" t="s">
        <v>4227</v>
      </c>
      <c r="E475" s="9">
        <v>8663384</v>
      </c>
      <c r="F475" s="9">
        <v>97401000000</v>
      </c>
      <c r="G475" s="9">
        <v>12</v>
      </c>
      <c r="H475" s="9">
        <v>75104</v>
      </c>
      <c r="I475" s="9">
        <v>213001001</v>
      </c>
      <c r="J475" s="10" t="s">
        <v>4228</v>
      </c>
      <c r="K475" s="10"/>
      <c r="L475" s="3" t="s">
        <v>4036</v>
      </c>
      <c r="M475" s="10" t="s">
        <v>4037</v>
      </c>
      <c r="N475" s="10"/>
      <c r="O475" s="10" t="s">
        <v>4229</v>
      </c>
      <c r="P475" s="11">
        <v>211301406209</v>
      </c>
      <c r="Q475" s="10" t="s">
        <v>3903</v>
      </c>
      <c r="R475" s="10" t="s">
        <v>4230</v>
      </c>
      <c r="S475" s="10" t="s">
        <v>4231</v>
      </c>
      <c r="T475" s="10"/>
      <c r="U475" s="10" t="s">
        <v>4232</v>
      </c>
      <c r="V475" s="3"/>
      <c r="W475" s="3"/>
      <c r="X475" s="3"/>
      <c r="Y475" s="3"/>
      <c r="Z475" s="3"/>
      <c r="AA475" s="3"/>
      <c r="AB475" s="3"/>
      <c r="AC475" s="3"/>
      <c r="AD475" s="3"/>
      <c r="AE475" s="10"/>
      <c r="AF475" s="10"/>
      <c r="AG475" s="10" t="s">
        <v>46</v>
      </c>
    </row>
    <row r="476" spans="1:33" ht="15.75" x14ac:dyDescent="0.25">
      <c r="A476" s="1">
        <v>1022101150873</v>
      </c>
      <c r="B476" s="6">
        <v>2128014498</v>
      </c>
      <c r="C476" s="7"/>
      <c r="D476" s="7" t="s">
        <v>4233</v>
      </c>
      <c r="E476" s="6">
        <v>2910700</v>
      </c>
      <c r="F476" s="6">
        <v>97401000000</v>
      </c>
      <c r="G476" s="6">
        <v>12</v>
      </c>
      <c r="H476" s="6">
        <v>75104</v>
      </c>
      <c r="I476" s="6">
        <v>213001001</v>
      </c>
      <c r="J476" s="7" t="s">
        <v>4234</v>
      </c>
      <c r="K476" s="7"/>
      <c r="L476" s="1" t="s">
        <v>4235</v>
      </c>
      <c r="M476" s="7" t="s">
        <v>4236</v>
      </c>
      <c r="N476" s="7" t="s">
        <v>4237</v>
      </c>
      <c r="O476" s="7" t="s">
        <v>4238</v>
      </c>
      <c r="P476" s="8">
        <v>722406822991</v>
      </c>
      <c r="Q476" s="7" t="s">
        <v>4239</v>
      </c>
      <c r="R476" s="7" t="s">
        <v>4240</v>
      </c>
      <c r="S476" s="7" t="s">
        <v>4241</v>
      </c>
      <c r="T476" s="7"/>
      <c r="U476" s="7" t="s">
        <v>4242</v>
      </c>
      <c r="V476" s="1"/>
      <c r="W476" s="1"/>
      <c r="X476" s="1"/>
      <c r="Y476" s="1"/>
      <c r="Z476" s="1"/>
      <c r="AA476" s="1"/>
      <c r="AB476" s="1"/>
      <c r="AC476" s="1"/>
      <c r="AD476" s="1"/>
      <c r="AE476" s="7"/>
      <c r="AF476" s="7"/>
      <c r="AG476" s="7" t="s">
        <v>46</v>
      </c>
    </row>
    <row r="477" spans="1:33" ht="15.75" x14ac:dyDescent="0.25">
      <c r="A477" s="3">
        <v>1022101150037</v>
      </c>
      <c r="B477" s="9">
        <v>2126003194</v>
      </c>
      <c r="C477" s="10" t="s">
        <v>4243</v>
      </c>
      <c r="D477" s="10" t="s">
        <v>4244</v>
      </c>
      <c r="E477" s="9">
        <v>4050153</v>
      </c>
      <c r="F477" s="9">
        <v>97401000000</v>
      </c>
      <c r="G477" s="9">
        <v>14</v>
      </c>
      <c r="H477" s="9">
        <v>75404</v>
      </c>
      <c r="I477" s="9">
        <v>213001001</v>
      </c>
      <c r="J477" s="10" t="s">
        <v>4245</v>
      </c>
      <c r="K477" s="10"/>
      <c r="L477" s="3" t="s">
        <v>4246</v>
      </c>
      <c r="M477" s="10" t="s">
        <v>4247</v>
      </c>
      <c r="N477" s="10"/>
      <c r="O477" s="10" t="s">
        <v>4248</v>
      </c>
      <c r="P477" s="11">
        <v>210990606743</v>
      </c>
      <c r="Q477" s="10" t="s">
        <v>4249</v>
      </c>
      <c r="R477" s="10" t="s">
        <v>4250</v>
      </c>
      <c r="S477" s="10" t="s">
        <v>4251</v>
      </c>
      <c r="T477" s="10" t="s">
        <v>4252</v>
      </c>
      <c r="U477" s="10" t="s">
        <v>4253</v>
      </c>
      <c r="V477" s="3"/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10"/>
      <c r="AF477" s="10"/>
      <c r="AG477" s="10" t="s">
        <v>46</v>
      </c>
    </row>
    <row r="478" spans="1:33" ht="15.75" x14ac:dyDescent="0.25">
      <c r="A478" s="1">
        <v>1082130001788</v>
      </c>
      <c r="B478" s="6">
        <v>2130034974</v>
      </c>
      <c r="C478" s="7" t="s">
        <v>4254</v>
      </c>
      <c r="D478" s="7" t="s">
        <v>4255</v>
      </c>
      <c r="E478" s="6">
        <v>3319794</v>
      </c>
      <c r="F478" s="6">
        <v>97401000000</v>
      </c>
      <c r="G478" s="6">
        <v>14</v>
      </c>
      <c r="H478" s="6">
        <v>75404</v>
      </c>
      <c r="I478" s="6">
        <v>213001001</v>
      </c>
      <c r="J478" s="7" t="s">
        <v>2725</v>
      </c>
      <c r="K478" s="7"/>
      <c r="L478" s="1" t="s">
        <v>4256</v>
      </c>
      <c r="M478" s="7" t="s">
        <v>4257</v>
      </c>
      <c r="N478" s="7" t="s">
        <v>4258</v>
      </c>
      <c r="O478" s="7" t="s">
        <v>4259</v>
      </c>
      <c r="P478" s="8">
        <v>213004069120</v>
      </c>
      <c r="Q478" s="7" t="s">
        <v>150</v>
      </c>
      <c r="R478" s="7" t="s">
        <v>4260</v>
      </c>
      <c r="S478" s="7" t="s">
        <v>4261</v>
      </c>
      <c r="T478" s="7"/>
      <c r="U478" s="7" t="s">
        <v>4262</v>
      </c>
      <c r="V478" s="1"/>
      <c r="W478" s="1"/>
      <c r="X478" s="1"/>
      <c r="Y478" s="1"/>
      <c r="Z478" s="1"/>
      <c r="AA478" s="1"/>
      <c r="AB478" s="1"/>
      <c r="AC478" s="1"/>
      <c r="AD478" s="1"/>
      <c r="AE478" s="7"/>
      <c r="AF478" s="7"/>
      <c r="AG478" s="7" t="s">
        <v>46</v>
      </c>
    </row>
    <row r="479" spans="1:33" ht="15.75" x14ac:dyDescent="0.25">
      <c r="A479" s="3">
        <v>1062130006410</v>
      </c>
      <c r="B479" s="9">
        <v>2130003528</v>
      </c>
      <c r="C479" s="10" t="s">
        <v>4263</v>
      </c>
      <c r="D479" s="10" t="s">
        <v>4264</v>
      </c>
      <c r="E479" s="9">
        <v>94081855</v>
      </c>
      <c r="F479" s="9">
        <v>97401000000</v>
      </c>
      <c r="G479" s="9">
        <v>13</v>
      </c>
      <c r="H479" s="9">
        <v>75204</v>
      </c>
      <c r="I479" s="9">
        <v>213001001</v>
      </c>
      <c r="J479" s="10" t="s">
        <v>4265</v>
      </c>
      <c r="K479" s="10"/>
      <c r="L479" s="3" t="s">
        <v>4266</v>
      </c>
      <c r="M479" s="10" t="s">
        <v>4267</v>
      </c>
      <c r="N479" s="10" t="s">
        <v>4268</v>
      </c>
      <c r="O479" s="10" t="s">
        <v>4269</v>
      </c>
      <c r="P479" s="11">
        <v>211613016910</v>
      </c>
      <c r="Q479" s="10" t="s">
        <v>4270</v>
      </c>
      <c r="R479" s="10" t="s">
        <v>4271</v>
      </c>
      <c r="S479" s="10" t="s">
        <v>4272</v>
      </c>
      <c r="T479" s="10"/>
      <c r="U479" s="10" t="s">
        <v>4273</v>
      </c>
      <c r="V479" s="3"/>
      <c r="W479" s="3"/>
      <c r="X479" s="3"/>
      <c r="Y479" s="3"/>
      <c r="Z479" s="3"/>
      <c r="AA479" s="3"/>
      <c r="AB479" s="3"/>
      <c r="AC479" s="3"/>
      <c r="AD479" s="3"/>
      <c r="AE479" s="10"/>
      <c r="AF479" s="10"/>
      <c r="AG479" s="10" t="s">
        <v>46</v>
      </c>
    </row>
    <row r="480" spans="1:33" ht="15.75" x14ac:dyDescent="0.25">
      <c r="A480" s="1">
        <v>1112130000311</v>
      </c>
      <c r="B480" s="6">
        <v>2130082939</v>
      </c>
      <c r="C480" s="7" t="s">
        <v>4274</v>
      </c>
      <c r="D480" s="7" t="s">
        <v>4275</v>
      </c>
      <c r="E480" s="6">
        <v>99499909</v>
      </c>
      <c r="F480" s="6">
        <v>97401000000</v>
      </c>
      <c r="G480" s="6">
        <v>12</v>
      </c>
      <c r="H480" s="6">
        <v>75104</v>
      </c>
      <c r="I480" s="6">
        <v>213001001</v>
      </c>
      <c r="J480" s="7" t="s">
        <v>4276</v>
      </c>
      <c r="K480" s="7"/>
      <c r="L480" s="1" t="s">
        <v>4277</v>
      </c>
      <c r="M480" s="7" t="s">
        <v>4278</v>
      </c>
      <c r="N480" s="7" t="s">
        <v>4279</v>
      </c>
      <c r="O480" s="7" t="s">
        <v>4280</v>
      </c>
      <c r="P480" s="8">
        <v>525911521211</v>
      </c>
      <c r="Q480" s="7" t="s">
        <v>4058</v>
      </c>
      <c r="R480" s="7" t="s">
        <v>4281</v>
      </c>
      <c r="S480" s="7" t="s">
        <v>4282</v>
      </c>
      <c r="T480" s="7"/>
      <c r="U480" s="7" t="s">
        <v>4283</v>
      </c>
      <c r="V480" s="1"/>
      <c r="W480" s="1"/>
      <c r="X480" s="1"/>
      <c r="Y480" s="1"/>
      <c r="Z480" s="1"/>
      <c r="AA480" s="1"/>
      <c r="AB480" s="1"/>
      <c r="AC480" s="1"/>
      <c r="AD480" s="1"/>
      <c r="AE480" s="7"/>
      <c r="AF480" s="7"/>
      <c r="AG480" s="7" t="s">
        <v>46</v>
      </c>
    </row>
    <row r="481" spans="1:33" ht="15.75" x14ac:dyDescent="0.25">
      <c r="A481" s="3">
        <v>1112130011201</v>
      </c>
      <c r="B481" s="9">
        <v>2130092180</v>
      </c>
      <c r="C481" s="10" t="s">
        <v>4284</v>
      </c>
      <c r="D481" s="10" t="s">
        <v>4285</v>
      </c>
      <c r="E481" s="9">
        <v>951362</v>
      </c>
      <c r="F481" s="9">
        <v>97401000000</v>
      </c>
      <c r="G481" s="9">
        <v>13</v>
      </c>
      <c r="H481" s="9">
        <v>12247</v>
      </c>
      <c r="I481" s="9">
        <v>213001001</v>
      </c>
      <c r="J481" s="10" t="s">
        <v>4286</v>
      </c>
      <c r="K481" s="10"/>
      <c r="L481" s="3" t="s">
        <v>4287</v>
      </c>
      <c r="M481" s="10" t="s">
        <v>4288</v>
      </c>
      <c r="N481" s="10" t="s">
        <v>4289</v>
      </c>
      <c r="O481" s="10" t="s">
        <v>4290</v>
      </c>
      <c r="P481" s="11">
        <v>210302729056</v>
      </c>
      <c r="Q481" s="10" t="s">
        <v>41</v>
      </c>
      <c r="R481" s="10" t="s">
        <v>4291</v>
      </c>
      <c r="S481" s="10" t="s">
        <v>4292</v>
      </c>
      <c r="T481" s="10" t="s">
        <v>4293</v>
      </c>
      <c r="U481" s="10" t="s">
        <v>4294</v>
      </c>
      <c r="V481" s="3">
        <v>338586900</v>
      </c>
      <c r="W481" s="3">
        <v>3133430000</v>
      </c>
      <c r="X481" s="3">
        <v>604487000</v>
      </c>
      <c r="Y481" s="3">
        <v>382277000</v>
      </c>
      <c r="Z481" s="3">
        <v>380659000</v>
      </c>
      <c r="AA481" s="3">
        <v>241967000</v>
      </c>
      <c r="AB481" s="3">
        <v>134874000</v>
      </c>
      <c r="AC481" s="3">
        <v>274145000</v>
      </c>
      <c r="AD481" s="3">
        <v>177256000</v>
      </c>
      <c r="AE481" s="10"/>
      <c r="AF481" s="10" t="s">
        <v>4295</v>
      </c>
      <c r="AG481" s="10" t="s">
        <v>46</v>
      </c>
    </row>
    <row r="482" spans="1:33" ht="15.75" x14ac:dyDescent="0.25">
      <c r="A482" s="1">
        <v>1022101274502</v>
      </c>
      <c r="B482" s="6">
        <v>2126003123</v>
      </c>
      <c r="C482" s="7" t="s">
        <v>4296</v>
      </c>
      <c r="D482" s="7" t="s">
        <v>4297</v>
      </c>
      <c r="E482" s="6">
        <v>1906116</v>
      </c>
      <c r="F482" s="6">
        <v>97401000000</v>
      </c>
      <c r="G482" s="6">
        <v>13</v>
      </c>
      <c r="H482" s="6">
        <v>65242</v>
      </c>
      <c r="I482" s="6">
        <v>213001001</v>
      </c>
      <c r="J482" s="7" t="s">
        <v>4298</v>
      </c>
      <c r="K482" s="7"/>
      <c r="L482" s="1" t="s">
        <v>4299</v>
      </c>
      <c r="M482" s="7" t="s">
        <v>4300</v>
      </c>
      <c r="N482" s="7" t="s">
        <v>4301</v>
      </c>
      <c r="O482" s="7" t="s">
        <v>4302</v>
      </c>
      <c r="P482" s="8">
        <v>780430906326</v>
      </c>
      <c r="Q482" s="7" t="s">
        <v>41</v>
      </c>
      <c r="R482" s="7" t="s">
        <v>4303</v>
      </c>
      <c r="S482" s="7" t="s">
        <v>4304</v>
      </c>
      <c r="T482" s="7" t="s">
        <v>4305</v>
      </c>
      <c r="U482" s="7" t="s">
        <v>4306</v>
      </c>
      <c r="V482" s="1">
        <v>20000000</v>
      </c>
      <c r="W482" s="1">
        <v>2984586000</v>
      </c>
      <c r="X482" s="1">
        <v>59853000</v>
      </c>
      <c r="Y482" s="1">
        <v>455437000</v>
      </c>
      <c r="Z482" s="1">
        <v>57440000</v>
      </c>
      <c r="AA482" s="1">
        <v>462410000</v>
      </c>
      <c r="AB482" s="1">
        <v>703000</v>
      </c>
      <c r="AC482" s="1">
        <v>3035000</v>
      </c>
      <c r="AD482" s="1">
        <v>330000</v>
      </c>
      <c r="AE482" s="7"/>
      <c r="AF482" s="7"/>
      <c r="AG482" s="7" t="s">
        <v>46</v>
      </c>
    </row>
    <row r="483" spans="1:33" ht="15.75" x14ac:dyDescent="0.25">
      <c r="A483" s="3">
        <v>1022101137398</v>
      </c>
      <c r="B483" s="9">
        <v>2129005369</v>
      </c>
      <c r="C483" s="10" t="s">
        <v>4307</v>
      </c>
      <c r="D483" s="10" t="s">
        <v>4308</v>
      </c>
      <c r="E483" s="9">
        <v>13110003</v>
      </c>
      <c r="F483" s="9">
        <v>97401000000</v>
      </c>
      <c r="G483" s="9">
        <v>16</v>
      </c>
      <c r="H483" s="9">
        <v>12267</v>
      </c>
      <c r="I483" s="9">
        <v>213001001</v>
      </c>
      <c r="J483" s="10" t="s">
        <v>4309</v>
      </c>
      <c r="K483" s="10"/>
      <c r="L483" s="3" t="s">
        <v>4310</v>
      </c>
      <c r="M483" s="10" t="s">
        <v>4311</v>
      </c>
      <c r="N483" s="10" t="s">
        <v>4312</v>
      </c>
      <c r="O483" s="10" t="s">
        <v>4313</v>
      </c>
      <c r="P483" s="11">
        <v>212905298639</v>
      </c>
      <c r="Q483" s="10" t="s">
        <v>41</v>
      </c>
      <c r="R483" s="10" t="s">
        <v>4314</v>
      </c>
      <c r="S483" s="10" t="s">
        <v>4315</v>
      </c>
      <c r="T483" s="10" t="s">
        <v>4316</v>
      </c>
      <c r="U483" s="10" t="s">
        <v>4317</v>
      </c>
      <c r="V483" s="3">
        <v>150000000</v>
      </c>
      <c r="W483" s="3">
        <v>2187431000</v>
      </c>
      <c r="X483" s="3">
        <v>1053025000</v>
      </c>
      <c r="Y483" s="3">
        <v>698628000</v>
      </c>
      <c r="Z483" s="3">
        <v>226971000</v>
      </c>
      <c r="AA483" s="3">
        <v>612943000</v>
      </c>
      <c r="AB483" s="3">
        <v>34198000</v>
      </c>
      <c r="AC483" s="3">
        <v>76282000</v>
      </c>
      <c r="AD483" s="3">
        <v>42747000</v>
      </c>
      <c r="AE483" s="10"/>
      <c r="AF483" s="10" t="s">
        <v>1104</v>
      </c>
      <c r="AG483" s="10" t="s">
        <v>46</v>
      </c>
    </row>
    <row r="484" spans="1:33" ht="15.75" x14ac:dyDescent="0.25">
      <c r="A484" s="1">
        <v>1022102030389</v>
      </c>
      <c r="B484" s="6">
        <v>2104000312</v>
      </c>
      <c r="C484" s="7" t="s">
        <v>4318</v>
      </c>
      <c r="D484" s="7" t="s">
        <v>4319</v>
      </c>
      <c r="E484" s="6">
        <v>5315866</v>
      </c>
      <c r="F484" s="6">
        <v>97210830001</v>
      </c>
      <c r="G484" s="6">
        <v>16</v>
      </c>
      <c r="H484" s="6">
        <v>12267</v>
      </c>
      <c r="I484" s="6">
        <v>210401001</v>
      </c>
      <c r="J484" s="7" t="s">
        <v>4320</v>
      </c>
      <c r="K484" s="7"/>
      <c r="L484" s="1" t="s">
        <v>1208</v>
      </c>
      <c r="M484" s="7" t="s">
        <v>1209</v>
      </c>
      <c r="N484" s="7" t="s">
        <v>4321</v>
      </c>
      <c r="O484" s="7" t="s">
        <v>4322</v>
      </c>
      <c r="P484" s="8">
        <v>210401047625</v>
      </c>
      <c r="Q484" s="7" t="s">
        <v>41</v>
      </c>
      <c r="R484" s="7" t="s">
        <v>4323</v>
      </c>
      <c r="S484" s="7" t="s">
        <v>4324</v>
      </c>
      <c r="T484" s="7" t="s">
        <v>4325</v>
      </c>
      <c r="U484" s="7" t="s">
        <v>4326</v>
      </c>
      <c r="V484" s="1">
        <v>100845200</v>
      </c>
      <c r="W484" s="1">
        <v>1072383000</v>
      </c>
      <c r="X484" s="1">
        <v>999187000</v>
      </c>
      <c r="Y484" s="1">
        <v>625625000</v>
      </c>
      <c r="Z484" s="1">
        <v>398566000</v>
      </c>
      <c r="AA484" s="1">
        <v>63003000</v>
      </c>
      <c r="AB484" s="1">
        <v>132088000</v>
      </c>
      <c r="AC484" s="1">
        <v>94297000</v>
      </c>
      <c r="AD484" s="1">
        <v>132763000</v>
      </c>
      <c r="AE484" s="7" t="s">
        <v>730</v>
      </c>
      <c r="AF484" s="7" t="s">
        <v>4327</v>
      </c>
      <c r="AG484" s="7" t="s">
        <v>46</v>
      </c>
    </row>
    <row r="485" spans="1:33" ht="15.75" x14ac:dyDescent="0.25">
      <c r="A485" s="3">
        <v>1092124000616</v>
      </c>
      <c r="B485" s="9">
        <v>2124030957</v>
      </c>
      <c r="C485" s="10" t="s">
        <v>4328</v>
      </c>
      <c r="D485" s="10" t="s">
        <v>4329</v>
      </c>
      <c r="E485" s="9">
        <v>61921197</v>
      </c>
      <c r="F485" s="9">
        <v>97410000000</v>
      </c>
      <c r="G485" s="9">
        <v>34</v>
      </c>
      <c r="H485" s="9">
        <v>12300</v>
      </c>
      <c r="I485" s="9">
        <v>212401001</v>
      </c>
      <c r="J485" s="10" t="s">
        <v>4330</v>
      </c>
      <c r="K485" s="10"/>
      <c r="L485" s="3" t="s">
        <v>4331</v>
      </c>
      <c r="M485" s="10" t="s">
        <v>4332</v>
      </c>
      <c r="N485" s="10" t="s">
        <v>4333</v>
      </c>
      <c r="O485" s="10" t="s">
        <v>4334</v>
      </c>
      <c r="P485" s="11">
        <v>212701779662</v>
      </c>
      <c r="Q485" s="10" t="s">
        <v>150</v>
      </c>
      <c r="R485" s="10" t="s">
        <v>4335</v>
      </c>
      <c r="S485" s="10" t="s">
        <v>4336</v>
      </c>
      <c r="T485" s="10" t="s">
        <v>4337</v>
      </c>
      <c r="U485" s="10" t="s">
        <v>4338</v>
      </c>
      <c r="V485" s="3">
        <v>7561400000</v>
      </c>
      <c r="W485" s="3">
        <v>16291924000</v>
      </c>
      <c r="X485" s="3">
        <v>10484015000</v>
      </c>
      <c r="Y485" s="3">
        <v>6202028000</v>
      </c>
      <c r="Z485" s="3">
        <v>8999701000</v>
      </c>
      <c r="AA485" s="3">
        <v>2224630000</v>
      </c>
      <c r="AB485" s="3">
        <v>-551863000</v>
      </c>
      <c r="AC485" s="3">
        <v>1197622000</v>
      </c>
      <c r="AD485" s="3">
        <v>-677033000</v>
      </c>
      <c r="AE485" s="10"/>
      <c r="AF485" s="10"/>
      <c r="AG485" s="10" t="s">
        <v>46</v>
      </c>
    </row>
    <row r="486" spans="1:33" ht="15.75" x14ac:dyDescent="0.25">
      <c r="A486" s="1">
        <v>1076639000855</v>
      </c>
      <c r="B486" s="6">
        <v>6639016397</v>
      </c>
      <c r="C486" s="7" t="s">
        <v>4339</v>
      </c>
      <c r="D486" s="7" t="s">
        <v>4340</v>
      </c>
      <c r="E486" s="6">
        <v>81782208</v>
      </c>
      <c r="F486" s="6">
        <v>97244844006</v>
      </c>
      <c r="G486" s="6">
        <v>23</v>
      </c>
      <c r="H486" s="6">
        <v>12300</v>
      </c>
      <c r="I486" s="6">
        <v>211601001</v>
      </c>
      <c r="J486" s="7" t="s">
        <v>4341</v>
      </c>
      <c r="K486" s="7"/>
      <c r="L486" s="1" t="s">
        <v>4342</v>
      </c>
      <c r="M486" s="7" t="s">
        <v>4343</v>
      </c>
      <c r="N486" s="7" t="s">
        <v>4344</v>
      </c>
      <c r="O486" s="7" t="s">
        <v>4345</v>
      </c>
      <c r="P486" s="8">
        <v>660900172208</v>
      </c>
      <c r="Q486" s="7" t="s">
        <v>41</v>
      </c>
      <c r="R486" s="7" t="s">
        <v>4346</v>
      </c>
      <c r="S486" s="7" t="s">
        <v>4347</v>
      </c>
      <c r="T486" s="7" t="s">
        <v>4348</v>
      </c>
      <c r="U486" s="7" t="s">
        <v>4349</v>
      </c>
      <c r="V486" s="1">
        <v>210326495</v>
      </c>
      <c r="W486" s="1">
        <v>1717516000</v>
      </c>
      <c r="X486" s="1">
        <v>279876000</v>
      </c>
      <c r="Y486" s="1">
        <v>382827000</v>
      </c>
      <c r="Z486" s="1">
        <v>248926000</v>
      </c>
      <c r="AA486" s="1">
        <v>121154000</v>
      </c>
      <c r="AB486" s="1">
        <v>175296000</v>
      </c>
      <c r="AC486" s="1">
        <v>157145000</v>
      </c>
      <c r="AD486" s="1">
        <v>234326000</v>
      </c>
      <c r="AE486" s="7"/>
      <c r="AF486" s="7" t="s">
        <v>4350</v>
      </c>
      <c r="AG486" s="7" t="s">
        <v>46</v>
      </c>
    </row>
    <row r="487" spans="1:33" ht="15.75" x14ac:dyDescent="0.25">
      <c r="A487" s="3">
        <v>1112130006746</v>
      </c>
      <c r="B487" s="9">
        <v>2130088634</v>
      </c>
      <c r="C487" s="10" t="s">
        <v>4351</v>
      </c>
      <c r="D487" s="10" t="s">
        <v>4352</v>
      </c>
      <c r="E487" s="9">
        <v>61931468</v>
      </c>
      <c r="F487" s="9">
        <v>97401000000</v>
      </c>
      <c r="G487" s="9">
        <v>23</v>
      </c>
      <c r="H487" s="9">
        <v>12300</v>
      </c>
      <c r="I487" s="9">
        <v>213001001</v>
      </c>
      <c r="J487" s="10" t="s">
        <v>4353</v>
      </c>
      <c r="K487" s="10"/>
      <c r="L487" s="3" t="s">
        <v>4354</v>
      </c>
      <c r="M487" s="10" t="s">
        <v>4355</v>
      </c>
      <c r="N487" s="10" t="s">
        <v>4356</v>
      </c>
      <c r="O487" s="10" t="s">
        <v>4357</v>
      </c>
      <c r="P487" s="11">
        <v>212301781138</v>
      </c>
      <c r="Q487" s="10" t="s">
        <v>150</v>
      </c>
      <c r="R487" s="10" t="s">
        <v>4358</v>
      </c>
      <c r="S487" s="10" t="s">
        <v>4359</v>
      </c>
      <c r="T487" s="10" t="s">
        <v>4360</v>
      </c>
      <c r="U487" s="10" t="s">
        <v>4361</v>
      </c>
      <c r="V487" s="3">
        <v>426126869</v>
      </c>
      <c r="W487" s="3">
        <v>1728014000</v>
      </c>
      <c r="X487" s="3">
        <v>302142000</v>
      </c>
      <c r="Y487" s="3">
        <v>695520000</v>
      </c>
      <c r="Z487" s="3">
        <v>239224000</v>
      </c>
      <c r="AA487" s="3">
        <v>50692000</v>
      </c>
      <c r="AB487" s="3">
        <v>449897000</v>
      </c>
      <c r="AC487" s="3">
        <v>452710000</v>
      </c>
      <c r="AD487" s="3">
        <v>569811000</v>
      </c>
      <c r="AE487" s="10"/>
      <c r="AF487" s="10" t="s">
        <v>4362</v>
      </c>
      <c r="AG487" s="10" t="s">
        <v>46</v>
      </c>
    </row>
    <row r="488" spans="1:33" ht="15.75" x14ac:dyDescent="0.25">
      <c r="A488" s="1">
        <v>1162130067219</v>
      </c>
      <c r="B488" s="6">
        <v>2130179610</v>
      </c>
      <c r="C488" s="7" t="s">
        <v>4363</v>
      </c>
      <c r="D488" s="7" t="s">
        <v>4364</v>
      </c>
      <c r="E488" s="6">
        <v>5257123</v>
      </c>
      <c r="F488" s="6">
        <v>97401000000</v>
      </c>
      <c r="G488" s="6">
        <v>16</v>
      </c>
      <c r="H488" s="6">
        <v>12300</v>
      </c>
      <c r="I488" s="6">
        <v>213001001</v>
      </c>
      <c r="J488" s="7" t="s">
        <v>4365</v>
      </c>
      <c r="K488" s="7"/>
      <c r="L488" s="1" t="s">
        <v>2676</v>
      </c>
      <c r="M488" s="7" t="s">
        <v>2677</v>
      </c>
      <c r="N488" s="7" t="s">
        <v>4366</v>
      </c>
      <c r="O488" s="7" t="s">
        <v>4367</v>
      </c>
      <c r="P488" s="8">
        <v>212700346225</v>
      </c>
      <c r="Q488" s="7" t="s">
        <v>41</v>
      </c>
      <c r="R488" s="7" t="s">
        <v>4368</v>
      </c>
      <c r="S488" s="7" t="s">
        <v>4369</v>
      </c>
      <c r="T488" s="7"/>
      <c r="U488" s="7"/>
      <c r="V488" s="1">
        <v>104193000</v>
      </c>
      <c r="W488" s="1">
        <v>1119708000</v>
      </c>
      <c r="X488" s="1">
        <v>191788000</v>
      </c>
      <c r="Y488" s="1">
        <v>112759000</v>
      </c>
      <c r="Z488" s="1">
        <v>1280998000</v>
      </c>
      <c r="AA488" s="1">
        <v>911336000</v>
      </c>
      <c r="AB488" s="1">
        <v>13900000</v>
      </c>
      <c r="AC488" s="1">
        <v>220087000</v>
      </c>
      <c r="AD488" s="1">
        <v>29715000</v>
      </c>
      <c r="AE488" s="7" t="s">
        <v>730</v>
      </c>
      <c r="AF488" s="7" t="s">
        <v>4370</v>
      </c>
      <c r="AG488" s="7" t="s">
        <v>46</v>
      </c>
    </row>
    <row r="489" spans="1:33" ht="15.75" x14ac:dyDescent="0.25">
      <c r="A489" s="3">
        <v>1022101277934</v>
      </c>
      <c r="B489" s="9">
        <v>2126002786</v>
      </c>
      <c r="C489" s="10" t="s">
        <v>4371</v>
      </c>
      <c r="D489" s="10" t="s">
        <v>4372</v>
      </c>
      <c r="E489" s="9">
        <v>5444977</v>
      </c>
      <c r="F489" s="9">
        <v>97401000000</v>
      </c>
      <c r="G489" s="9">
        <v>16</v>
      </c>
      <c r="H489" s="9">
        <v>12267</v>
      </c>
      <c r="I489" s="9">
        <v>213001001</v>
      </c>
      <c r="J489" s="10" t="s">
        <v>4373</v>
      </c>
      <c r="K489" s="10"/>
      <c r="L489" s="3" t="s">
        <v>4374</v>
      </c>
      <c r="M489" s="10" t="s">
        <v>4375</v>
      </c>
      <c r="N489" s="10" t="s">
        <v>4376</v>
      </c>
      <c r="O489" s="10" t="s">
        <v>4377</v>
      </c>
      <c r="P489" s="11">
        <v>212904929666</v>
      </c>
      <c r="Q489" s="10" t="s">
        <v>150</v>
      </c>
      <c r="R489" s="10" t="s">
        <v>4378</v>
      </c>
      <c r="S489" s="10" t="s">
        <v>4379</v>
      </c>
      <c r="T489" s="10" t="s">
        <v>4380</v>
      </c>
      <c r="U489" s="10" t="s">
        <v>4381</v>
      </c>
      <c r="V489" s="3">
        <v>135450000</v>
      </c>
      <c r="W489" s="3">
        <v>5713778000</v>
      </c>
      <c r="X489" s="3">
        <v>1805114000</v>
      </c>
      <c r="Y489" s="3">
        <v>1283194000</v>
      </c>
      <c r="Z489" s="3">
        <v>343765000</v>
      </c>
      <c r="AA489" s="3">
        <v>1024764000</v>
      </c>
      <c r="AB489" s="3">
        <v>340433000</v>
      </c>
      <c r="AC489" s="3">
        <v>667135000</v>
      </c>
      <c r="AD489" s="3">
        <v>444574000</v>
      </c>
      <c r="AE489" s="10"/>
      <c r="AF489" s="10" t="s">
        <v>4382</v>
      </c>
      <c r="AG489" s="10" t="s">
        <v>46</v>
      </c>
    </row>
    <row r="490" spans="1:33" ht="15.75" x14ac:dyDescent="0.25">
      <c r="A490" s="1">
        <v>1022102432186</v>
      </c>
      <c r="B490" s="6">
        <v>2116491707</v>
      </c>
      <c r="C490" s="7" t="s">
        <v>4383</v>
      </c>
      <c r="D490" s="7" t="s">
        <v>4384</v>
      </c>
      <c r="E490" s="6">
        <v>213397</v>
      </c>
      <c r="F490" s="6">
        <v>97244832001</v>
      </c>
      <c r="G490" s="6">
        <v>16</v>
      </c>
      <c r="H490" s="6">
        <v>12300</v>
      </c>
      <c r="I490" s="6">
        <v>211601001</v>
      </c>
      <c r="J490" s="7" t="s">
        <v>4385</v>
      </c>
      <c r="K490" s="7"/>
      <c r="L490" s="1" t="s">
        <v>2124</v>
      </c>
      <c r="M490" s="7" t="s">
        <v>2125</v>
      </c>
      <c r="N490" s="7" t="s">
        <v>4386</v>
      </c>
      <c r="O490" s="7" t="s">
        <v>4387</v>
      </c>
      <c r="P490" s="8">
        <v>212911242507</v>
      </c>
      <c r="Q490" s="7" t="s">
        <v>41</v>
      </c>
      <c r="R490" s="7" t="s">
        <v>4388</v>
      </c>
      <c r="S490" s="7" t="s">
        <v>4389</v>
      </c>
      <c r="T490" s="7" t="s">
        <v>4390</v>
      </c>
      <c r="U490" s="7" t="s">
        <v>4391</v>
      </c>
      <c r="V490" s="1">
        <v>124150000</v>
      </c>
      <c r="W490" s="1">
        <v>1803486000</v>
      </c>
      <c r="X490" s="1">
        <v>105396000</v>
      </c>
      <c r="Y490" s="1">
        <v>237036000</v>
      </c>
      <c r="Z490" s="1">
        <v>942856000</v>
      </c>
      <c r="AA490" s="1">
        <v>420737000</v>
      </c>
      <c r="AB490" s="1">
        <v>181423000</v>
      </c>
      <c r="AC490" s="1">
        <v>273618000</v>
      </c>
      <c r="AD490" s="1">
        <v>231196000</v>
      </c>
      <c r="AE490" s="7"/>
      <c r="AF490" s="7" t="s">
        <v>4392</v>
      </c>
      <c r="AG490" s="7" t="s">
        <v>46</v>
      </c>
    </row>
    <row r="491" spans="1:33" ht="15.75" x14ac:dyDescent="0.25">
      <c r="A491" s="3">
        <v>1072130006376</v>
      </c>
      <c r="B491" s="9">
        <v>2130017760</v>
      </c>
      <c r="C491" s="10" t="s">
        <v>4393</v>
      </c>
      <c r="D491" s="10" t="s">
        <v>4394</v>
      </c>
      <c r="E491" s="9">
        <v>3319848</v>
      </c>
      <c r="F491" s="9">
        <v>97401000000</v>
      </c>
      <c r="G491" s="9">
        <v>13</v>
      </c>
      <c r="H491" s="9">
        <v>12267</v>
      </c>
      <c r="I491" s="9">
        <v>213001001</v>
      </c>
      <c r="J491" s="10" t="s">
        <v>4395</v>
      </c>
      <c r="K491" s="10"/>
      <c r="L491" s="3" t="s">
        <v>4396</v>
      </c>
      <c r="M491" s="10" t="s">
        <v>4397</v>
      </c>
      <c r="N491" s="10" t="s">
        <v>4398</v>
      </c>
      <c r="O491" s="10" t="s">
        <v>4399</v>
      </c>
      <c r="P491" s="11">
        <v>212913706401</v>
      </c>
      <c r="Q491" s="10" t="s">
        <v>150</v>
      </c>
      <c r="R491" s="10" t="s">
        <v>4400</v>
      </c>
      <c r="S491" s="10" t="s">
        <v>4401</v>
      </c>
      <c r="T491" s="10" t="s">
        <v>4402</v>
      </c>
      <c r="U491" s="10" t="s">
        <v>4403</v>
      </c>
      <c r="V491" s="3">
        <v>536013000</v>
      </c>
      <c r="W491" s="3">
        <v>1932632000</v>
      </c>
      <c r="X491" s="3">
        <v>1550800000</v>
      </c>
      <c r="Y491" s="3">
        <v>74979000</v>
      </c>
      <c r="Z491" s="3">
        <v>256692000</v>
      </c>
      <c r="AA491" s="3">
        <v>315266000</v>
      </c>
      <c r="AB491" s="3">
        <v>54815000</v>
      </c>
      <c r="AC491" s="3">
        <v>88922000</v>
      </c>
      <c r="AD491" s="3">
        <v>77145000</v>
      </c>
      <c r="AE491" s="10"/>
      <c r="AF491" s="10" t="s">
        <v>4404</v>
      </c>
      <c r="AG491" s="10" t="s">
        <v>46</v>
      </c>
    </row>
    <row r="492" spans="1:33" ht="15.75" x14ac:dyDescent="0.25">
      <c r="A492" s="1">
        <v>1062130012141</v>
      </c>
      <c r="B492" s="6">
        <v>2130007787</v>
      </c>
      <c r="C492" s="7" t="s">
        <v>4405</v>
      </c>
      <c r="D492" s="7" t="s">
        <v>4406</v>
      </c>
      <c r="E492" s="6">
        <v>94088828</v>
      </c>
      <c r="F492" s="6">
        <v>97401000000</v>
      </c>
      <c r="G492" s="6">
        <v>16</v>
      </c>
      <c r="H492" s="6">
        <v>12300</v>
      </c>
      <c r="I492" s="6">
        <v>213001001</v>
      </c>
      <c r="J492" s="7" t="s">
        <v>4407</v>
      </c>
      <c r="K492" s="7"/>
      <c r="L492" s="1" t="s">
        <v>4408</v>
      </c>
      <c r="M492" s="7" t="s">
        <v>4409</v>
      </c>
      <c r="N492" s="7" t="s">
        <v>4410</v>
      </c>
      <c r="O492" s="7" t="s">
        <v>4411</v>
      </c>
      <c r="P492" s="8">
        <v>3257013310</v>
      </c>
      <c r="Q492" s="7" t="s">
        <v>90</v>
      </c>
      <c r="R492" s="7" t="s">
        <v>4412</v>
      </c>
      <c r="S492" s="7" t="s">
        <v>4413</v>
      </c>
      <c r="T492" s="7" t="s">
        <v>4414</v>
      </c>
      <c r="U492" s="7" t="s">
        <v>4415</v>
      </c>
      <c r="V492" s="1">
        <v>1243000000</v>
      </c>
      <c r="W492" s="1">
        <v>4389805000</v>
      </c>
      <c r="X492" s="1">
        <v>1795270000</v>
      </c>
      <c r="Y492" s="1">
        <v>649692000</v>
      </c>
      <c r="Z492" s="1">
        <v>1206651000</v>
      </c>
      <c r="AA492" s="1">
        <v>735446000</v>
      </c>
      <c r="AB492" s="1">
        <v>503427000</v>
      </c>
      <c r="AC492" s="1">
        <v>843800000</v>
      </c>
      <c r="AD492" s="1">
        <v>630138000</v>
      </c>
      <c r="AE492" s="7"/>
      <c r="AF492" s="7"/>
      <c r="AG492" s="7" t="s">
        <v>46</v>
      </c>
    </row>
    <row r="493" spans="1:33" ht="15.75" x14ac:dyDescent="0.25">
      <c r="A493" s="3">
        <v>1072130006563</v>
      </c>
      <c r="B493" s="9">
        <v>2130018010</v>
      </c>
      <c r="C493" s="10" t="s">
        <v>4416</v>
      </c>
      <c r="D493" s="10" t="s">
        <v>4417</v>
      </c>
      <c r="E493" s="9">
        <v>2911964</v>
      </c>
      <c r="F493" s="9">
        <v>97401000000</v>
      </c>
      <c r="G493" s="9">
        <v>14</v>
      </c>
      <c r="H493" s="9">
        <v>12267</v>
      </c>
      <c r="I493" s="9">
        <v>213001001</v>
      </c>
      <c r="J493" s="10" t="s">
        <v>4418</v>
      </c>
      <c r="K493" s="10"/>
      <c r="L493" s="3" t="s">
        <v>4419</v>
      </c>
      <c r="M493" s="10" t="s">
        <v>4420</v>
      </c>
      <c r="N493" s="10" t="s">
        <v>4421</v>
      </c>
      <c r="O493" s="10" t="s">
        <v>4422</v>
      </c>
      <c r="P493" s="11">
        <v>210402881400</v>
      </c>
      <c r="Q493" s="10" t="s">
        <v>150</v>
      </c>
      <c r="R493" s="10" t="s">
        <v>4423</v>
      </c>
      <c r="S493" s="10" t="s">
        <v>4424</v>
      </c>
      <c r="T493" s="10" t="s">
        <v>4425</v>
      </c>
      <c r="U493" s="10" t="s">
        <v>4426</v>
      </c>
      <c r="V493" s="3">
        <v>399294000</v>
      </c>
      <c r="W493" s="3">
        <v>1140432000</v>
      </c>
      <c r="X493" s="3">
        <v>225147000</v>
      </c>
      <c r="Y493" s="3">
        <v>67222000</v>
      </c>
      <c r="Z493" s="3">
        <v>11077000</v>
      </c>
      <c r="AA493" s="3">
        <v>107663000</v>
      </c>
      <c r="AB493" s="3">
        <v>48000</v>
      </c>
      <c r="AC493" s="3">
        <v>11113000</v>
      </c>
      <c r="AD493" s="3">
        <v>5034000</v>
      </c>
      <c r="AE493" s="10"/>
      <c r="AF493" s="10" t="s">
        <v>4427</v>
      </c>
      <c r="AG493" s="10" t="s">
        <v>46</v>
      </c>
    </row>
    <row r="494" spans="1:33" ht="15.75" x14ac:dyDescent="0.25">
      <c r="A494" s="1">
        <v>1022101135726</v>
      </c>
      <c r="B494" s="6">
        <v>2126001172</v>
      </c>
      <c r="C494" s="7" t="s">
        <v>4428</v>
      </c>
      <c r="D494" s="7" t="s">
        <v>4429</v>
      </c>
      <c r="E494" s="6">
        <v>20572135</v>
      </c>
      <c r="F494" s="6">
        <v>97401000000</v>
      </c>
      <c r="G494" s="6">
        <v>16</v>
      </c>
      <c r="H494" s="6">
        <v>12300</v>
      </c>
      <c r="I494" s="6">
        <v>213001001</v>
      </c>
      <c r="J494" s="7" t="s">
        <v>4430</v>
      </c>
      <c r="K494" s="7"/>
      <c r="L494" s="1" t="s">
        <v>2124</v>
      </c>
      <c r="M494" s="7" t="s">
        <v>2125</v>
      </c>
      <c r="N494" s="7" t="s">
        <v>4431</v>
      </c>
      <c r="O494" s="7" t="s">
        <v>4432</v>
      </c>
      <c r="P494" s="8">
        <v>212702387210</v>
      </c>
      <c r="Q494" s="7" t="s">
        <v>41</v>
      </c>
      <c r="R494" s="7" t="s">
        <v>4433</v>
      </c>
      <c r="S494" s="7" t="s">
        <v>4434</v>
      </c>
      <c r="T494" s="7" t="s">
        <v>4435</v>
      </c>
      <c r="U494" s="7" t="s">
        <v>4436</v>
      </c>
      <c r="V494" s="1">
        <v>35406000</v>
      </c>
      <c r="W494" s="1">
        <v>8038240000</v>
      </c>
      <c r="X494" s="1">
        <v>1387525000</v>
      </c>
      <c r="Y494" s="1">
        <v>1856166000</v>
      </c>
      <c r="Z494" s="1">
        <v>2604012000</v>
      </c>
      <c r="AA494" s="1">
        <v>1172125000</v>
      </c>
      <c r="AB494" s="1">
        <v>2450103000</v>
      </c>
      <c r="AC494" s="1">
        <v>3207847000</v>
      </c>
      <c r="AD494" s="1">
        <v>3116391000</v>
      </c>
      <c r="AE494" s="7"/>
      <c r="AF494" s="7"/>
      <c r="AG494" s="7" t="s">
        <v>46</v>
      </c>
    </row>
    <row r="495" spans="1:33" ht="15.75" x14ac:dyDescent="0.25">
      <c r="A495" s="3">
        <v>1022101140082</v>
      </c>
      <c r="B495" s="9">
        <v>2129013377</v>
      </c>
      <c r="C495" s="10" t="s">
        <v>4437</v>
      </c>
      <c r="D495" s="10" t="s">
        <v>4438</v>
      </c>
      <c r="E495" s="9">
        <v>24328946</v>
      </c>
      <c r="F495" s="9">
        <v>97401000000</v>
      </c>
      <c r="G495" s="9">
        <v>16</v>
      </c>
      <c r="H495" s="9">
        <v>12300</v>
      </c>
      <c r="I495" s="9">
        <v>213001001</v>
      </c>
      <c r="J495" s="10" t="s">
        <v>4439</v>
      </c>
      <c r="K495" s="10"/>
      <c r="L495" s="3" t="s">
        <v>4440</v>
      </c>
      <c r="M495" s="10" t="s">
        <v>4441</v>
      </c>
      <c r="N495" s="10" t="s">
        <v>4442</v>
      </c>
      <c r="O495" s="10" t="s">
        <v>4443</v>
      </c>
      <c r="P495" s="11">
        <v>212901690718</v>
      </c>
      <c r="Q495" s="10" t="s">
        <v>150</v>
      </c>
      <c r="R495" s="10" t="s">
        <v>4444</v>
      </c>
      <c r="S495" s="10" t="s">
        <v>4445</v>
      </c>
      <c r="T495" s="10" t="s">
        <v>4446</v>
      </c>
      <c r="U495" s="10"/>
      <c r="V495" s="3">
        <v>56625000</v>
      </c>
      <c r="W495" s="3">
        <v>8303310000</v>
      </c>
      <c r="X495" s="3">
        <v>0</v>
      </c>
      <c r="Y495" s="3">
        <v>2984000</v>
      </c>
      <c r="Z495" s="3">
        <v>27439000</v>
      </c>
      <c r="AA495" s="3">
        <v>67594000</v>
      </c>
      <c r="AB495" s="3">
        <v>719000</v>
      </c>
      <c r="AC495" s="3">
        <v>-10345000</v>
      </c>
      <c r="AD495" s="3">
        <v>3441000</v>
      </c>
      <c r="AE495" s="10" t="s">
        <v>331</v>
      </c>
      <c r="AF495" s="10"/>
      <c r="AG495" s="10" t="s">
        <v>46</v>
      </c>
    </row>
    <row r="496" spans="1:33" ht="15.75" x14ac:dyDescent="0.25">
      <c r="A496" s="1">
        <v>1022101134186</v>
      </c>
      <c r="B496" s="6">
        <v>2126003691</v>
      </c>
      <c r="C496" s="7" t="s">
        <v>4447</v>
      </c>
      <c r="D496" s="7" t="s">
        <v>4448</v>
      </c>
      <c r="E496" s="6">
        <v>49229777</v>
      </c>
      <c r="F496" s="6">
        <v>97401000000</v>
      </c>
      <c r="G496" s="6">
        <v>16</v>
      </c>
      <c r="H496" s="6">
        <v>12267</v>
      </c>
      <c r="I496" s="6">
        <v>213001001</v>
      </c>
      <c r="J496" s="7" t="s">
        <v>4449</v>
      </c>
      <c r="K496" s="7"/>
      <c r="L496" s="1" t="s">
        <v>4450</v>
      </c>
      <c r="M496" s="7" t="s">
        <v>4451</v>
      </c>
      <c r="N496" s="7" t="s">
        <v>4452</v>
      </c>
      <c r="O496" s="7" t="s">
        <v>4453</v>
      </c>
      <c r="P496" s="8">
        <v>212901760933</v>
      </c>
      <c r="Q496" s="7" t="s">
        <v>41</v>
      </c>
      <c r="R496" s="7" t="s">
        <v>4454</v>
      </c>
      <c r="S496" s="7" t="s">
        <v>4455</v>
      </c>
      <c r="T496" s="7" t="s">
        <v>4456</v>
      </c>
      <c r="U496" s="7" t="s">
        <v>4457</v>
      </c>
      <c r="V496" s="1">
        <v>100000000</v>
      </c>
      <c r="W496" s="1">
        <v>2630461000</v>
      </c>
      <c r="X496" s="1">
        <v>295773000</v>
      </c>
      <c r="Y496" s="1">
        <v>3109696000</v>
      </c>
      <c r="Z496" s="1">
        <v>2379129000</v>
      </c>
      <c r="AA496" s="1">
        <v>1759905000</v>
      </c>
      <c r="AB496" s="1">
        <v>4746000</v>
      </c>
      <c r="AC496" s="1">
        <v>20918000</v>
      </c>
      <c r="AD496" s="1">
        <v>12395000</v>
      </c>
      <c r="AE496" s="7" t="s">
        <v>730</v>
      </c>
      <c r="AF496" s="7" t="s">
        <v>4458</v>
      </c>
      <c r="AG496" s="7" t="s">
        <v>46</v>
      </c>
    </row>
    <row r="497" spans="1:33" ht="15.75" x14ac:dyDescent="0.25">
      <c r="A497" s="3">
        <v>1022101139268</v>
      </c>
      <c r="B497" s="9">
        <v>2126000651</v>
      </c>
      <c r="C497" s="10" t="s">
        <v>4459</v>
      </c>
      <c r="D497" s="10" t="s">
        <v>4460</v>
      </c>
      <c r="E497" s="9">
        <v>3223611</v>
      </c>
      <c r="F497" s="9">
        <v>97401000000</v>
      </c>
      <c r="G497" s="9">
        <v>13</v>
      </c>
      <c r="H497" s="9">
        <v>65242</v>
      </c>
      <c r="I497" s="9">
        <v>213001001</v>
      </c>
      <c r="J497" s="10" t="s">
        <v>4461</v>
      </c>
      <c r="K497" s="10"/>
      <c r="L497" s="3" t="s">
        <v>2344</v>
      </c>
      <c r="M497" s="10" t="s">
        <v>2345</v>
      </c>
      <c r="N497" s="10" t="s">
        <v>4462</v>
      </c>
      <c r="O497" s="10" t="s">
        <v>4463</v>
      </c>
      <c r="P497" s="11">
        <v>212908191468</v>
      </c>
      <c r="Q497" s="10" t="s">
        <v>150</v>
      </c>
      <c r="R497" s="10" t="s">
        <v>4464</v>
      </c>
      <c r="S497" s="10" t="s">
        <v>4465</v>
      </c>
      <c r="T497" s="10" t="s">
        <v>4466</v>
      </c>
      <c r="U497" s="10" t="s">
        <v>4467</v>
      </c>
      <c r="V497" s="3">
        <v>15047000</v>
      </c>
      <c r="W497" s="3">
        <v>1511965000</v>
      </c>
      <c r="X497" s="3">
        <v>6213991000</v>
      </c>
      <c r="Y497" s="3">
        <v>68651000</v>
      </c>
      <c r="Z497" s="3">
        <v>63608000</v>
      </c>
      <c r="AA497" s="3">
        <v>169642000</v>
      </c>
      <c r="AB497" s="3">
        <v>-298311000</v>
      </c>
      <c r="AC497" s="3">
        <v>-320883000</v>
      </c>
      <c r="AD497" s="3">
        <v>-255575000</v>
      </c>
      <c r="AE497" s="10"/>
      <c r="AF497" s="10"/>
      <c r="AG497" s="10" t="s">
        <v>46</v>
      </c>
    </row>
    <row r="498" spans="1:33" ht="15.75" x14ac:dyDescent="0.25">
      <c r="A498" s="1">
        <v>1041200453953</v>
      </c>
      <c r="B498" s="6">
        <v>1215099400</v>
      </c>
      <c r="C498" s="7" t="s">
        <v>4468</v>
      </c>
      <c r="D498" s="7" t="s">
        <v>4469</v>
      </c>
      <c r="E498" s="6">
        <v>72513248</v>
      </c>
      <c r="F498" s="6">
        <v>97401000000</v>
      </c>
      <c r="G498" s="6">
        <v>16</v>
      </c>
      <c r="H498" s="6">
        <v>12300</v>
      </c>
      <c r="I498" s="6">
        <v>213001001</v>
      </c>
      <c r="J498" s="7" t="s">
        <v>4470</v>
      </c>
      <c r="K498" s="7"/>
      <c r="L498" s="1" t="s">
        <v>4471</v>
      </c>
      <c r="M498" s="7" t="s">
        <v>4472</v>
      </c>
      <c r="N498" s="7" t="s">
        <v>4473</v>
      </c>
      <c r="O498" s="7" t="s">
        <v>4474</v>
      </c>
      <c r="P498" s="8">
        <v>2130043175</v>
      </c>
      <c r="Q498" s="7" t="s">
        <v>90</v>
      </c>
      <c r="R498" s="7" t="s">
        <v>4475</v>
      </c>
      <c r="S498" s="7" t="s">
        <v>4476</v>
      </c>
      <c r="T498" s="7"/>
      <c r="U498" s="7" t="s">
        <v>4477</v>
      </c>
      <c r="V498" s="1">
        <v>10010000</v>
      </c>
      <c r="W498" s="1">
        <v>1714387000</v>
      </c>
      <c r="X498" s="1">
        <v>20786000</v>
      </c>
      <c r="Y498" s="1">
        <v>162836000</v>
      </c>
      <c r="Z498" s="1">
        <v>39249000</v>
      </c>
      <c r="AA498" s="1">
        <v>64823000</v>
      </c>
      <c r="AB498" s="1">
        <v>28932000</v>
      </c>
      <c r="AC498" s="1">
        <v>33153000</v>
      </c>
      <c r="AD498" s="1">
        <v>38865000</v>
      </c>
      <c r="AE498" s="7" t="s">
        <v>331</v>
      </c>
      <c r="AF498" s="7" t="s">
        <v>4478</v>
      </c>
      <c r="AG498" s="7" t="s">
        <v>46</v>
      </c>
    </row>
    <row r="499" spans="1:33" ht="15.75" x14ac:dyDescent="0.25">
      <c r="A499" s="3">
        <v>1092136000417</v>
      </c>
      <c r="B499" s="9">
        <v>2112390754</v>
      </c>
      <c r="C499" s="10" t="s">
        <v>4479</v>
      </c>
      <c r="D499" s="10" t="s">
        <v>4480</v>
      </c>
      <c r="E499" s="9">
        <v>3508271</v>
      </c>
      <c r="F499" s="9">
        <v>97232830001</v>
      </c>
      <c r="G499" s="9">
        <v>16</v>
      </c>
      <c r="H499" s="9">
        <v>12247</v>
      </c>
      <c r="I499" s="9">
        <v>211201001</v>
      </c>
      <c r="J499" s="10" t="s">
        <v>4481</v>
      </c>
      <c r="K499" s="10"/>
      <c r="L499" s="3" t="s">
        <v>4482</v>
      </c>
      <c r="M499" s="10" t="s">
        <v>4483</v>
      </c>
      <c r="N499" s="10" t="s">
        <v>4484</v>
      </c>
      <c r="O499" s="10" t="s">
        <v>4485</v>
      </c>
      <c r="P499" s="11">
        <v>211901323508</v>
      </c>
      <c r="Q499" s="10" t="s">
        <v>41</v>
      </c>
      <c r="R499" s="10" t="s">
        <v>4486</v>
      </c>
      <c r="S499" s="10" t="s">
        <v>4487</v>
      </c>
      <c r="T499" s="10" t="s">
        <v>4488</v>
      </c>
      <c r="U499" s="10" t="s">
        <v>4489</v>
      </c>
      <c r="V499" s="3">
        <v>57431210</v>
      </c>
      <c r="W499" s="3">
        <v>1181488000</v>
      </c>
      <c r="X499" s="3">
        <v>1243791000</v>
      </c>
      <c r="Y499" s="3">
        <v>1143995000</v>
      </c>
      <c r="Z499" s="3">
        <v>103448000</v>
      </c>
      <c r="AA499" s="3">
        <v>82350000</v>
      </c>
      <c r="AB499" s="3">
        <v>120075000</v>
      </c>
      <c r="AC499" s="3">
        <v>26784000</v>
      </c>
      <c r="AD499" s="3">
        <v>120075000</v>
      </c>
      <c r="AE499" s="10" t="s">
        <v>730</v>
      </c>
      <c r="AF499" s="10" t="s">
        <v>1679</v>
      </c>
      <c r="AG499" s="10" t="s">
        <v>1525</v>
      </c>
    </row>
    <row r="500" spans="1:33" ht="15.75" x14ac:dyDescent="0.25">
      <c r="A500" s="1">
        <v>1022102831277</v>
      </c>
      <c r="B500" s="6">
        <v>2115003788</v>
      </c>
      <c r="C500" s="7" t="s">
        <v>4490</v>
      </c>
      <c r="D500" s="7" t="s">
        <v>4491</v>
      </c>
      <c r="E500" s="6">
        <v>49230912</v>
      </c>
      <c r="F500" s="6">
        <v>97241880001</v>
      </c>
      <c r="G500" s="6">
        <v>16</v>
      </c>
      <c r="H500" s="6">
        <v>12300</v>
      </c>
      <c r="I500" s="6">
        <v>211501001</v>
      </c>
      <c r="J500" s="7" t="s">
        <v>4492</v>
      </c>
      <c r="K500" s="7"/>
      <c r="L500" s="1" t="s">
        <v>4493</v>
      </c>
      <c r="M500" s="7" t="s">
        <v>4494</v>
      </c>
      <c r="N500" s="7" t="s">
        <v>4495</v>
      </c>
      <c r="O500" s="7" t="s">
        <v>4496</v>
      </c>
      <c r="P500" s="8">
        <v>211501331568</v>
      </c>
      <c r="Q500" s="7" t="s">
        <v>41</v>
      </c>
      <c r="R500" s="7" t="s">
        <v>4497</v>
      </c>
      <c r="S500" s="7" t="s">
        <v>4498</v>
      </c>
      <c r="T500" s="7"/>
      <c r="U500" s="7" t="s">
        <v>4499</v>
      </c>
      <c r="V500" s="1">
        <v>15147310</v>
      </c>
      <c r="W500" s="1">
        <v>1870892000</v>
      </c>
      <c r="X500" s="1">
        <v>82123000</v>
      </c>
      <c r="Y500" s="1">
        <v>740443000</v>
      </c>
      <c r="Z500" s="1">
        <v>205283000</v>
      </c>
      <c r="AA500" s="1">
        <v>425867000</v>
      </c>
      <c r="AB500" s="1">
        <v>13706000</v>
      </c>
      <c r="AC500" s="1">
        <v>69720000</v>
      </c>
      <c r="AD500" s="1">
        <v>25880000</v>
      </c>
      <c r="AE500" s="7"/>
      <c r="AF500" s="7" t="s">
        <v>4500</v>
      </c>
      <c r="AG500" s="7" t="s">
        <v>46</v>
      </c>
    </row>
    <row r="501" spans="1:33" ht="15.75" x14ac:dyDescent="0.25">
      <c r="A501" s="3">
        <v>1042124001105</v>
      </c>
      <c r="B501" s="9">
        <v>2124021590</v>
      </c>
      <c r="C501" s="10" t="s">
        <v>4501</v>
      </c>
      <c r="D501" s="10" t="s">
        <v>4502</v>
      </c>
      <c r="E501" s="9">
        <v>71021371</v>
      </c>
      <c r="F501" s="9">
        <v>97401000000</v>
      </c>
      <c r="G501" s="9">
        <v>16</v>
      </c>
      <c r="H501" s="9">
        <v>12267</v>
      </c>
      <c r="I501" s="9">
        <v>213001001</v>
      </c>
      <c r="J501" s="10" t="s">
        <v>4503</v>
      </c>
      <c r="K501" s="10"/>
      <c r="L501" s="3" t="s">
        <v>4450</v>
      </c>
      <c r="M501" s="10" t="s">
        <v>4451</v>
      </c>
      <c r="N501" s="10" t="s">
        <v>4504</v>
      </c>
      <c r="O501" s="10" t="s">
        <v>4505</v>
      </c>
      <c r="P501" s="11">
        <v>212804986879</v>
      </c>
      <c r="Q501" s="10" t="s">
        <v>41</v>
      </c>
      <c r="R501" s="10" t="s">
        <v>4506</v>
      </c>
      <c r="S501" s="10" t="s">
        <v>4507</v>
      </c>
      <c r="T501" s="10" t="s">
        <v>4508</v>
      </c>
      <c r="U501" s="10" t="s">
        <v>4509</v>
      </c>
      <c r="V501" s="3">
        <v>75822000</v>
      </c>
      <c r="W501" s="3">
        <v>1766717000</v>
      </c>
      <c r="X501" s="3">
        <v>495978000</v>
      </c>
      <c r="Y501" s="3">
        <v>409630000</v>
      </c>
      <c r="Z501" s="3">
        <v>393068000</v>
      </c>
      <c r="AA501" s="3">
        <v>118262000</v>
      </c>
      <c r="AB501" s="3">
        <v>780297000</v>
      </c>
      <c r="AC501" s="3">
        <v>932498000</v>
      </c>
      <c r="AD501" s="3">
        <v>977432000</v>
      </c>
      <c r="AE501" s="10" t="s">
        <v>730</v>
      </c>
      <c r="AF501" s="10" t="s">
        <v>4510</v>
      </c>
      <c r="AG501" s="10" t="s">
        <v>46</v>
      </c>
    </row>
    <row r="502" spans="1:33" ht="15.75" x14ac:dyDescent="0.25">
      <c r="A502" s="1">
        <v>1122130000167</v>
      </c>
      <c r="B502" s="6">
        <v>2130097685</v>
      </c>
      <c r="C502" s="7" t="s">
        <v>4511</v>
      </c>
      <c r="D502" s="7" t="s">
        <v>4512</v>
      </c>
      <c r="E502" s="6">
        <v>90957144</v>
      </c>
      <c r="F502" s="6">
        <v>97401000000</v>
      </c>
      <c r="G502" s="6">
        <v>16</v>
      </c>
      <c r="H502" s="6">
        <v>12300</v>
      </c>
      <c r="I502" s="6">
        <v>213001001</v>
      </c>
      <c r="J502" s="7" t="s">
        <v>4513</v>
      </c>
      <c r="K502" s="7"/>
      <c r="L502" s="1" t="s">
        <v>158</v>
      </c>
      <c r="M502" s="7" t="s">
        <v>159</v>
      </c>
      <c r="N502" s="7" t="s">
        <v>4514</v>
      </c>
      <c r="O502" s="7" t="s">
        <v>4515</v>
      </c>
      <c r="P502" s="8">
        <v>212902173670</v>
      </c>
      <c r="Q502" s="7" t="s">
        <v>150</v>
      </c>
      <c r="R502" s="7" t="s">
        <v>4516</v>
      </c>
      <c r="S502" s="7" t="s">
        <v>4517</v>
      </c>
      <c r="T502" s="7"/>
      <c r="U502" s="7"/>
      <c r="V502" s="1">
        <v>25000000</v>
      </c>
      <c r="W502" s="1">
        <v>2875234000</v>
      </c>
      <c r="X502" s="1">
        <v>91054000</v>
      </c>
      <c r="Y502" s="1">
        <v>1680934000</v>
      </c>
      <c r="Z502" s="1">
        <v>321784000</v>
      </c>
      <c r="AA502" s="1">
        <v>384290000</v>
      </c>
      <c r="AB502" s="1">
        <v>1821080000</v>
      </c>
      <c r="AC502" s="1">
        <v>2196621000</v>
      </c>
      <c r="AD502" s="1">
        <v>2283665000</v>
      </c>
      <c r="AE502" s="7"/>
      <c r="AF502" s="7" t="s">
        <v>1997</v>
      </c>
      <c r="AG502" s="7" t="s">
        <v>46</v>
      </c>
    </row>
    <row r="503" spans="1:33" ht="15.75" x14ac:dyDescent="0.25">
      <c r="A503" s="3">
        <v>1132124000304</v>
      </c>
      <c r="B503" s="9">
        <v>2124036934</v>
      </c>
      <c r="C503" s="10" t="s">
        <v>4518</v>
      </c>
      <c r="D503" s="10" t="s">
        <v>4519</v>
      </c>
      <c r="E503" s="9">
        <v>13111847</v>
      </c>
      <c r="F503" s="9">
        <v>97410000000</v>
      </c>
      <c r="G503" s="9">
        <v>16</v>
      </c>
      <c r="H503" s="9">
        <v>12300</v>
      </c>
      <c r="I503" s="9">
        <v>212401001</v>
      </c>
      <c r="J503" s="10" t="s">
        <v>4520</v>
      </c>
      <c r="K503" s="10"/>
      <c r="L503" s="3" t="s">
        <v>2419</v>
      </c>
      <c r="M503" s="10" t="s">
        <v>2420</v>
      </c>
      <c r="N503" s="10" t="s">
        <v>4521</v>
      </c>
      <c r="O503" s="10" t="s">
        <v>4522</v>
      </c>
      <c r="P503" s="11">
        <v>121513701094</v>
      </c>
      <c r="Q503" s="10" t="s">
        <v>150</v>
      </c>
      <c r="R503" s="10" t="s">
        <v>4523</v>
      </c>
      <c r="S503" s="10" t="s">
        <v>4524</v>
      </c>
      <c r="T503" s="10"/>
      <c r="U503" s="10" t="s">
        <v>4525</v>
      </c>
      <c r="V503" s="3">
        <v>10002000</v>
      </c>
      <c r="W503" s="3">
        <v>1769180000</v>
      </c>
      <c r="X503" s="3">
        <v>69870000</v>
      </c>
      <c r="Y503" s="3">
        <v>175887000</v>
      </c>
      <c r="Z503" s="3">
        <v>714878000</v>
      </c>
      <c r="AA503" s="3">
        <v>393934000</v>
      </c>
      <c r="AB503" s="3">
        <v>999000</v>
      </c>
      <c r="AC503" s="3">
        <v>15731000</v>
      </c>
      <c r="AD503" s="3">
        <v>2642000</v>
      </c>
      <c r="AE503" s="10" t="s">
        <v>730</v>
      </c>
      <c r="AF503" s="10" t="s">
        <v>4526</v>
      </c>
      <c r="AG503" s="10" t="s">
        <v>46</v>
      </c>
    </row>
    <row r="504" spans="1:33" ht="15.75" x14ac:dyDescent="0.25">
      <c r="A504" s="3">
        <v>1022101274777</v>
      </c>
      <c r="B504" s="9">
        <v>2129022734</v>
      </c>
      <c r="C504" s="10" t="s">
        <v>4527</v>
      </c>
      <c r="D504" s="10" t="s">
        <v>4528</v>
      </c>
      <c r="E504" s="9">
        <v>35956516</v>
      </c>
      <c r="F504" s="9">
        <v>97244856003</v>
      </c>
      <c r="G504" s="9">
        <v>16</v>
      </c>
      <c r="H504" s="9">
        <v>12267</v>
      </c>
      <c r="I504" s="9">
        <v>211601001</v>
      </c>
      <c r="J504" s="10" t="s">
        <v>4529</v>
      </c>
      <c r="K504" s="10"/>
      <c r="L504" s="3" t="s">
        <v>2124</v>
      </c>
      <c r="M504" s="10" t="s">
        <v>2125</v>
      </c>
      <c r="N504" s="10" t="s">
        <v>4530</v>
      </c>
      <c r="O504" s="10" t="s">
        <v>4531</v>
      </c>
      <c r="P504" s="11">
        <v>212708076404</v>
      </c>
      <c r="Q504" s="10" t="s">
        <v>41</v>
      </c>
      <c r="R504" s="10" t="s">
        <v>4532</v>
      </c>
      <c r="S504" s="10" t="s">
        <v>4533</v>
      </c>
      <c r="T504" s="10" t="s">
        <v>4534</v>
      </c>
      <c r="U504" s="10" t="s">
        <v>4535</v>
      </c>
      <c r="V504" s="3">
        <v>15876430</v>
      </c>
      <c r="W504" s="3">
        <v>1805615000</v>
      </c>
      <c r="X504" s="3">
        <v>140755000</v>
      </c>
      <c r="Y504" s="3">
        <v>354436000</v>
      </c>
      <c r="Z504" s="3">
        <v>350628000</v>
      </c>
      <c r="AA504" s="3">
        <v>301116000</v>
      </c>
      <c r="AB504" s="3">
        <v>139762000</v>
      </c>
      <c r="AC504" s="3">
        <v>148810000</v>
      </c>
      <c r="AD504" s="3">
        <v>178780000</v>
      </c>
      <c r="AE504" s="10" t="s">
        <v>730</v>
      </c>
      <c r="AF504" s="10" t="s">
        <v>4536</v>
      </c>
      <c r="AG504" s="10" t="s">
        <v>46</v>
      </c>
    </row>
    <row r="505" spans="1:33" ht="15.75" x14ac:dyDescent="0.25">
      <c r="A505" s="1">
        <v>1052128000033</v>
      </c>
      <c r="B505" s="6">
        <v>2128700232</v>
      </c>
      <c r="C505" s="7" t="s">
        <v>4537</v>
      </c>
      <c r="D505" s="7" t="s">
        <v>4538</v>
      </c>
      <c r="E505" s="6">
        <v>75691281</v>
      </c>
      <c r="F505" s="6">
        <v>97401000000</v>
      </c>
      <c r="G505" s="6">
        <v>16</v>
      </c>
      <c r="H505" s="6">
        <v>12247</v>
      </c>
      <c r="I505" s="6">
        <v>213001001</v>
      </c>
      <c r="J505" s="7" t="s">
        <v>4539</v>
      </c>
      <c r="K505" s="7"/>
      <c r="L505" s="1" t="s">
        <v>190</v>
      </c>
      <c r="M505" s="7" t="s">
        <v>191</v>
      </c>
      <c r="N505" s="7" t="s">
        <v>4540</v>
      </c>
      <c r="O505" s="7" t="s">
        <v>4541</v>
      </c>
      <c r="P505" s="8">
        <v>7731411714</v>
      </c>
      <c r="Q505" s="7" t="s">
        <v>90</v>
      </c>
      <c r="R505" s="7" t="s">
        <v>4542</v>
      </c>
      <c r="S505" s="7" t="s">
        <v>4543</v>
      </c>
      <c r="T505" s="7" t="s">
        <v>4544</v>
      </c>
      <c r="U505" s="7" t="s">
        <v>4545</v>
      </c>
      <c r="V505" s="1">
        <v>36996417</v>
      </c>
      <c r="W505" s="1">
        <v>13388207000</v>
      </c>
      <c r="X505" s="1">
        <v>307759000</v>
      </c>
      <c r="Y505" s="1">
        <v>6036000</v>
      </c>
      <c r="Z505" s="1">
        <v>1037880000</v>
      </c>
      <c r="AA505" s="1">
        <v>1189251000</v>
      </c>
      <c r="AB505" s="1">
        <v>192268000</v>
      </c>
      <c r="AC505" s="1">
        <v>749703000</v>
      </c>
      <c r="AD505" s="1">
        <v>249217000</v>
      </c>
      <c r="AE505" s="7"/>
      <c r="AF505" s="7"/>
      <c r="AG505" s="7" t="s">
        <v>46</v>
      </c>
    </row>
    <row r="506" spans="1:33" ht="15.75" x14ac:dyDescent="0.25">
      <c r="A506" s="3">
        <v>1152135000654</v>
      </c>
      <c r="B506" s="9">
        <v>2116000589</v>
      </c>
      <c r="C506" s="10" t="s">
        <v>4546</v>
      </c>
      <c r="D506" s="10" t="s">
        <v>4547</v>
      </c>
      <c r="E506" s="9">
        <v>14432513</v>
      </c>
      <c r="F506" s="9">
        <v>97244848001</v>
      </c>
      <c r="G506" s="9">
        <v>16</v>
      </c>
      <c r="H506" s="9">
        <v>12300</v>
      </c>
      <c r="I506" s="9">
        <v>211601001</v>
      </c>
      <c r="J506" s="10" t="s">
        <v>4548</v>
      </c>
      <c r="K506" s="10"/>
      <c r="L506" s="3" t="s">
        <v>4549</v>
      </c>
      <c r="M506" s="10" t="s">
        <v>4550</v>
      </c>
      <c r="N506" s="10" t="s">
        <v>4551</v>
      </c>
      <c r="O506" s="10" t="s">
        <v>4552</v>
      </c>
      <c r="P506" s="11">
        <v>212800272930</v>
      </c>
      <c r="Q506" s="10" t="s">
        <v>4553</v>
      </c>
      <c r="R506" s="10" t="s">
        <v>4554</v>
      </c>
      <c r="S506" s="10" t="s">
        <v>4555</v>
      </c>
      <c r="T506" s="10"/>
      <c r="U506" s="10"/>
      <c r="V506" s="3">
        <v>19410000</v>
      </c>
      <c r="W506" s="3">
        <v>1518454000</v>
      </c>
      <c r="X506" s="3">
        <v>1510418000</v>
      </c>
      <c r="Y506" s="3">
        <v>514714000</v>
      </c>
      <c r="Z506" s="3">
        <v>153082000</v>
      </c>
      <c r="AA506" s="3">
        <v>187064000</v>
      </c>
      <c r="AB506" s="3">
        <v>317130000</v>
      </c>
      <c r="AC506" s="3">
        <v>154229000</v>
      </c>
      <c r="AD506" s="3">
        <v>324257000</v>
      </c>
      <c r="AE506" s="10" t="s">
        <v>730</v>
      </c>
      <c r="AF506" s="10" t="s">
        <v>4556</v>
      </c>
      <c r="AG506" s="10" t="s">
        <v>1525</v>
      </c>
    </row>
    <row r="507" spans="1:33" ht="15.75" x14ac:dyDescent="0.25">
      <c r="A507" s="1">
        <v>1082130003867</v>
      </c>
      <c r="B507" s="6">
        <v>2130037140</v>
      </c>
      <c r="C507" s="7" t="s">
        <v>4557</v>
      </c>
      <c r="D507" s="7" t="s">
        <v>4558</v>
      </c>
      <c r="E507" s="6">
        <v>85840397</v>
      </c>
      <c r="F507" s="6">
        <v>97401000000</v>
      </c>
      <c r="G507" s="6">
        <v>16</v>
      </c>
      <c r="H507" s="6">
        <v>12267</v>
      </c>
      <c r="I507" s="6">
        <v>213001001</v>
      </c>
      <c r="J507" s="7" t="s">
        <v>4559</v>
      </c>
      <c r="K507" s="7"/>
      <c r="L507" s="1" t="s">
        <v>4560</v>
      </c>
      <c r="M507" s="7" t="s">
        <v>4561</v>
      </c>
      <c r="N507" s="7" t="s">
        <v>4562</v>
      </c>
      <c r="O507" s="7" t="s">
        <v>4563</v>
      </c>
      <c r="P507" s="8">
        <v>772446089934</v>
      </c>
      <c r="Q507" s="7" t="s">
        <v>41</v>
      </c>
      <c r="R507" s="7" t="s">
        <v>4564</v>
      </c>
      <c r="S507" s="7" t="s">
        <v>4565</v>
      </c>
      <c r="T507" s="7" t="s">
        <v>4566</v>
      </c>
      <c r="U507" s="7" t="s">
        <v>4567</v>
      </c>
      <c r="V507" s="1">
        <v>26000000</v>
      </c>
      <c r="W507" s="1">
        <v>1179441000</v>
      </c>
      <c r="X507" s="1">
        <v>426000</v>
      </c>
      <c r="Y507" s="1">
        <v>610470000</v>
      </c>
      <c r="Z507" s="1">
        <v>943263000</v>
      </c>
      <c r="AA507" s="1">
        <v>1218731000</v>
      </c>
      <c r="AB507" s="1">
        <v>28023000</v>
      </c>
      <c r="AC507" s="1">
        <v>78418000</v>
      </c>
      <c r="AD507" s="1">
        <v>36802000</v>
      </c>
      <c r="AE507" s="7" t="s">
        <v>730</v>
      </c>
      <c r="AF507" s="7"/>
      <c r="AG507" s="7" t="s">
        <v>46</v>
      </c>
    </row>
    <row r="508" spans="1:33" ht="15.75" x14ac:dyDescent="0.25">
      <c r="A508" s="3">
        <v>1022101130314</v>
      </c>
      <c r="B508" s="9">
        <v>2128006240</v>
      </c>
      <c r="C508" s="10" t="s">
        <v>4568</v>
      </c>
      <c r="D508" s="10" t="s">
        <v>4569</v>
      </c>
      <c r="E508" s="9">
        <v>5784911</v>
      </c>
      <c r="F508" s="9">
        <v>97401000000</v>
      </c>
      <c r="G508" s="9">
        <v>16</v>
      </c>
      <c r="H508" s="9">
        <v>12267</v>
      </c>
      <c r="I508" s="9">
        <v>213001001</v>
      </c>
      <c r="J508" s="10" t="s">
        <v>4570</v>
      </c>
      <c r="K508" s="10"/>
      <c r="L508" s="3" t="s">
        <v>4571</v>
      </c>
      <c r="M508" s="10" t="s">
        <v>4572</v>
      </c>
      <c r="N508" s="10" t="s">
        <v>4573</v>
      </c>
      <c r="O508" s="10" t="s">
        <v>4574</v>
      </c>
      <c r="P508" s="11">
        <v>774300775176</v>
      </c>
      <c r="Q508" s="10" t="s">
        <v>41</v>
      </c>
      <c r="R508" s="10" t="s">
        <v>4575</v>
      </c>
      <c r="S508" s="10" t="s">
        <v>4576</v>
      </c>
      <c r="T508" s="10" t="s">
        <v>4577</v>
      </c>
      <c r="U508" s="10" t="s">
        <v>4578</v>
      </c>
      <c r="V508" s="3">
        <v>79100000</v>
      </c>
      <c r="W508" s="3">
        <v>5088965000</v>
      </c>
      <c r="X508" s="3">
        <v>608917000</v>
      </c>
      <c r="Y508" s="3">
        <v>869630000</v>
      </c>
      <c r="Z508" s="3">
        <v>1199965000</v>
      </c>
      <c r="AA508" s="3">
        <v>1271229000</v>
      </c>
      <c r="AB508" s="3">
        <v>1277187000</v>
      </c>
      <c r="AC508" s="3">
        <v>1690337000</v>
      </c>
      <c r="AD508" s="3">
        <v>1630911000</v>
      </c>
      <c r="AE508" s="10"/>
      <c r="AF508" s="10" t="s">
        <v>4579</v>
      </c>
      <c r="AG508" s="10" t="s">
        <v>46</v>
      </c>
    </row>
    <row r="509" spans="1:33" ht="15.75" x14ac:dyDescent="0.25">
      <c r="A509" s="1">
        <v>1022101129896</v>
      </c>
      <c r="B509" s="6">
        <v>2128000600</v>
      </c>
      <c r="C509" s="7" t="s">
        <v>4580</v>
      </c>
      <c r="D509" s="7" t="s">
        <v>4581</v>
      </c>
      <c r="E509" s="6">
        <v>5797954</v>
      </c>
      <c r="F509" s="6">
        <v>97401000000</v>
      </c>
      <c r="G509" s="6">
        <v>16</v>
      </c>
      <c r="H509" s="6">
        <v>12267</v>
      </c>
      <c r="I509" s="6">
        <v>213001001</v>
      </c>
      <c r="J509" s="7" t="s">
        <v>4582</v>
      </c>
      <c r="K509" s="7"/>
      <c r="L509" s="1" t="s">
        <v>2124</v>
      </c>
      <c r="M509" s="7" t="s">
        <v>2125</v>
      </c>
      <c r="N509" s="7" t="s">
        <v>4583</v>
      </c>
      <c r="O509" s="7" t="s">
        <v>4584</v>
      </c>
      <c r="P509" s="8">
        <v>212705338549</v>
      </c>
      <c r="Q509" s="7" t="s">
        <v>41</v>
      </c>
      <c r="R509" s="7" t="s">
        <v>4585</v>
      </c>
      <c r="S509" s="7" t="s">
        <v>4586</v>
      </c>
      <c r="T509" s="7" t="s">
        <v>4587</v>
      </c>
      <c r="U509" s="7" t="s">
        <v>4588</v>
      </c>
      <c r="V509" s="1">
        <v>27779752</v>
      </c>
      <c r="W509" s="1">
        <v>4749599000</v>
      </c>
      <c r="X509" s="1">
        <v>0</v>
      </c>
      <c r="Y509" s="1">
        <v>1142302000</v>
      </c>
      <c r="Z509" s="1">
        <v>1467980000</v>
      </c>
      <c r="AA509" s="1">
        <v>1204451000</v>
      </c>
      <c r="AB509" s="1">
        <v>315245000</v>
      </c>
      <c r="AC509" s="1">
        <v>503305000</v>
      </c>
      <c r="AD509" s="1">
        <v>360334000</v>
      </c>
      <c r="AE509" s="7"/>
      <c r="AF509" s="7"/>
      <c r="AG509" s="7" t="s">
        <v>46</v>
      </c>
    </row>
    <row r="510" spans="1:33" ht="15.75" x14ac:dyDescent="0.25">
      <c r="A510" s="3">
        <v>1022101269673</v>
      </c>
      <c r="B510" s="9">
        <v>2129003280</v>
      </c>
      <c r="C510" s="10" t="s">
        <v>4589</v>
      </c>
      <c r="D510" s="10" t="s">
        <v>4590</v>
      </c>
      <c r="E510" s="9">
        <v>13092898</v>
      </c>
      <c r="F510" s="9">
        <v>97401000000</v>
      </c>
      <c r="G510" s="9">
        <v>16</v>
      </c>
      <c r="H510" s="9">
        <v>12267</v>
      </c>
      <c r="I510" s="9">
        <v>213001001</v>
      </c>
      <c r="J510" s="10" t="s">
        <v>4591</v>
      </c>
      <c r="K510" s="10"/>
      <c r="L510" s="3" t="s">
        <v>158</v>
      </c>
      <c r="M510" s="10" t="s">
        <v>159</v>
      </c>
      <c r="N510" s="10" t="s">
        <v>4592</v>
      </c>
      <c r="O510" s="10" t="s">
        <v>4593</v>
      </c>
      <c r="P510" s="11">
        <v>212901865100</v>
      </c>
      <c r="Q510" s="10" t="s">
        <v>41</v>
      </c>
      <c r="R510" s="10" t="s">
        <v>4594</v>
      </c>
      <c r="S510" s="10" t="s">
        <v>4595</v>
      </c>
      <c r="T510" s="10" t="s">
        <v>4596</v>
      </c>
      <c r="U510" s="10" t="s">
        <v>4597</v>
      </c>
      <c r="V510" s="3">
        <v>40000000</v>
      </c>
      <c r="W510" s="3">
        <v>1324261000</v>
      </c>
      <c r="X510" s="3">
        <v>368319000</v>
      </c>
      <c r="Y510" s="3">
        <v>1882116000</v>
      </c>
      <c r="Z510" s="3">
        <v>319058000</v>
      </c>
      <c r="AA510" s="3">
        <v>249062000</v>
      </c>
      <c r="AB510" s="3">
        <v>568000000</v>
      </c>
      <c r="AC510" s="3">
        <v>513221000</v>
      </c>
      <c r="AD510" s="3">
        <v>719045000</v>
      </c>
      <c r="AE510" s="10" t="s">
        <v>730</v>
      </c>
      <c r="AF510" s="10" t="s">
        <v>4598</v>
      </c>
      <c r="AG510" s="10" t="s">
        <v>46</v>
      </c>
    </row>
    <row r="511" spans="1:33" ht="15.75" x14ac:dyDescent="0.25">
      <c r="A511" s="1">
        <v>1022103028408</v>
      </c>
      <c r="B511" s="6">
        <v>2125000440</v>
      </c>
      <c r="C511" s="7" t="s">
        <v>4599</v>
      </c>
      <c r="D511" s="7" t="s">
        <v>4600</v>
      </c>
      <c r="E511" s="6">
        <v>255585</v>
      </c>
      <c r="F511" s="6">
        <v>97413000000</v>
      </c>
      <c r="G511" s="6">
        <v>16</v>
      </c>
      <c r="H511" s="6">
        <v>12267</v>
      </c>
      <c r="I511" s="6">
        <v>212501001</v>
      </c>
      <c r="J511" s="7" t="s">
        <v>4601</v>
      </c>
      <c r="K511" s="7"/>
      <c r="L511" s="1" t="s">
        <v>4602</v>
      </c>
      <c r="M511" s="7" t="s">
        <v>4603</v>
      </c>
      <c r="N511" s="7" t="s">
        <v>4604</v>
      </c>
      <c r="O511" s="7" t="s">
        <v>4605</v>
      </c>
      <c r="P511" s="8">
        <v>810701200790</v>
      </c>
      <c r="Q511" s="7" t="s">
        <v>41</v>
      </c>
      <c r="R511" s="7" t="s">
        <v>4606</v>
      </c>
      <c r="S511" s="7" t="s">
        <v>4607</v>
      </c>
      <c r="T511" s="7" t="s">
        <v>4608</v>
      </c>
      <c r="U511" s="7" t="s">
        <v>4609</v>
      </c>
      <c r="V511" s="1">
        <v>83668550</v>
      </c>
      <c r="W511" s="1">
        <v>4729029000</v>
      </c>
      <c r="X511" s="1">
        <v>0</v>
      </c>
      <c r="Y511" s="1">
        <v>1165741000</v>
      </c>
      <c r="Z511" s="1">
        <v>762709000</v>
      </c>
      <c r="AA511" s="1">
        <v>3497747000</v>
      </c>
      <c r="AB511" s="1">
        <v>716170000</v>
      </c>
      <c r="AC511" s="1">
        <v>785319000</v>
      </c>
      <c r="AD511" s="1">
        <v>900343000</v>
      </c>
      <c r="AE511" s="7"/>
      <c r="AF511" s="7"/>
      <c r="AG511" s="7" t="s">
        <v>46</v>
      </c>
    </row>
    <row r="512" spans="1:33" ht="15.75" x14ac:dyDescent="0.25">
      <c r="A512" s="3">
        <v>1042135001600</v>
      </c>
      <c r="B512" s="9">
        <v>2111006918</v>
      </c>
      <c r="C512" s="10" t="s">
        <v>4610</v>
      </c>
      <c r="D512" s="10" t="s">
        <v>4611</v>
      </c>
      <c r="E512" s="9">
        <v>71025920</v>
      </c>
      <c r="F512" s="9">
        <v>97229501000</v>
      </c>
      <c r="G512" s="9">
        <v>16</v>
      </c>
      <c r="H512" s="9">
        <v>12267</v>
      </c>
      <c r="I512" s="9">
        <v>211101001</v>
      </c>
      <c r="J512" s="10" t="s">
        <v>4612</v>
      </c>
      <c r="K512" s="10"/>
      <c r="L512" s="3" t="s">
        <v>4613</v>
      </c>
      <c r="M512" s="10" t="s">
        <v>4614</v>
      </c>
      <c r="N512" s="10" t="s">
        <v>4615</v>
      </c>
      <c r="O512" s="10" t="s">
        <v>4616</v>
      </c>
      <c r="P512" s="11">
        <v>503202106400</v>
      </c>
      <c r="Q512" s="10" t="s">
        <v>41</v>
      </c>
      <c r="R512" s="10" t="s">
        <v>4617</v>
      </c>
      <c r="S512" s="10" t="s">
        <v>4618</v>
      </c>
      <c r="T512" s="10"/>
      <c r="U512" s="10" t="s">
        <v>4619</v>
      </c>
      <c r="V512" s="3">
        <v>25010000</v>
      </c>
      <c r="W512" s="3">
        <v>1967995000</v>
      </c>
      <c r="X512" s="3">
        <v>190748000</v>
      </c>
      <c r="Y512" s="3">
        <v>195776000</v>
      </c>
      <c r="Z512" s="3">
        <v>106661000</v>
      </c>
      <c r="AA512" s="3">
        <v>159888000</v>
      </c>
      <c r="AB512" s="3">
        <v>35662000</v>
      </c>
      <c r="AC512" s="3">
        <v>81725000</v>
      </c>
      <c r="AD512" s="3">
        <v>49582000</v>
      </c>
      <c r="AE512" s="10" t="s">
        <v>730</v>
      </c>
      <c r="AF512" s="10" t="s">
        <v>4620</v>
      </c>
      <c r="AG512" s="10" t="s">
        <v>46</v>
      </c>
    </row>
    <row r="513" spans="1:33" ht="15.75" x14ac:dyDescent="0.25">
      <c r="A513" s="1">
        <v>1022101282455</v>
      </c>
      <c r="B513" s="6">
        <v>2129008850</v>
      </c>
      <c r="C513" s="7" t="s">
        <v>4621</v>
      </c>
      <c r="D513" s="7" t="s">
        <v>4622</v>
      </c>
      <c r="E513" s="6">
        <v>3146626</v>
      </c>
      <c r="F513" s="6">
        <v>97401000000</v>
      </c>
      <c r="G513" s="6">
        <v>16</v>
      </c>
      <c r="H513" s="6">
        <v>12267</v>
      </c>
      <c r="I513" s="6">
        <v>213001001</v>
      </c>
      <c r="J513" s="7" t="s">
        <v>4623</v>
      </c>
      <c r="K513" s="7"/>
      <c r="L513" s="1" t="s">
        <v>4624</v>
      </c>
      <c r="M513" s="7" t="s">
        <v>4625</v>
      </c>
      <c r="N513" s="7" t="s">
        <v>4626</v>
      </c>
      <c r="O513" s="7" t="s">
        <v>4627</v>
      </c>
      <c r="P513" s="8">
        <v>212801357008</v>
      </c>
      <c r="Q513" s="7" t="s">
        <v>41</v>
      </c>
      <c r="R513" s="7" t="s">
        <v>4628</v>
      </c>
      <c r="S513" s="7" t="s">
        <v>4629</v>
      </c>
      <c r="T513" s="7" t="s">
        <v>4630</v>
      </c>
      <c r="U513" s="7" t="s">
        <v>4631</v>
      </c>
      <c r="V513" s="1">
        <v>28838400</v>
      </c>
      <c r="W513" s="1">
        <v>1933519000</v>
      </c>
      <c r="X513" s="1">
        <v>451131000</v>
      </c>
      <c r="Y513" s="1">
        <v>486360000</v>
      </c>
      <c r="Z513" s="1">
        <v>56670000</v>
      </c>
      <c r="AA513" s="1">
        <v>177153000</v>
      </c>
      <c r="AB513" s="1">
        <v>309639000</v>
      </c>
      <c r="AC513" s="1">
        <v>440291000</v>
      </c>
      <c r="AD513" s="1">
        <v>394361000</v>
      </c>
      <c r="AE513" s="7" t="s">
        <v>730</v>
      </c>
      <c r="AF513" s="7" t="s">
        <v>4632</v>
      </c>
      <c r="AG513" s="7" t="s">
        <v>46</v>
      </c>
    </row>
    <row r="514" spans="1:33" ht="15.75" x14ac:dyDescent="0.25">
      <c r="A514" s="3">
        <v>1032128009605</v>
      </c>
      <c r="B514" s="9">
        <v>2128049998</v>
      </c>
      <c r="C514" s="10" t="s">
        <v>4633</v>
      </c>
      <c r="D514" s="10" t="s">
        <v>4634</v>
      </c>
      <c r="E514" s="9">
        <v>54071516</v>
      </c>
      <c r="F514" s="9">
        <v>97401000000</v>
      </c>
      <c r="G514" s="9">
        <v>16</v>
      </c>
      <c r="H514" s="9">
        <v>12267</v>
      </c>
      <c r="I514" s="9">
        <v>213001001</v>
      </c>
      <c r="J514" s="10" t="s">
        <v>4635</v>
      </c>
      <c r="K514" s="10"/>
      <c r="L514" s="3" t="s">
        <v>4636</v>
      </c>
      <c r="M514" s="10" t="s">
        <v>4637</v>
      </c>
      <c r="N514" s="10" t="s">
        <v>4638</v>
      </c>
      <c r="O514" s="10" t="s">
        <v>4639</v>
      </c>
      <c r="P514" s="11">
        <v>212904179692</v>
      </c>
      <c r="Q514" s="10" t="s">
        <v>41</v>
      </c>
      <c r="R514" s="10" t="s">
        <v>4640</v>
      </c>
      <c r="S514" s="10" t="s">
        <v>4641</v>
      </c>
      <c r="T514" s="10" t="s">
        <v>4642</v>
      </c>
      <c r="U514" s="10" t="s">
        <v>4643</v>
      </c>
      <c r="V514" s="3">
        <v>360000</v>
      </c>
      <c r="W514" s="3">
        <v>2228421000</v>
      </c>
      <c r="X514" s="3">
        <v>2655751000</v>
      </c>
      <c r="Y514" s="3">
        <v>93306000</v>
      </c>
      <c r="Z514" s="3">
        <v>300473000</v>
      </c>
      <c r="AA514" s="3">
        <v>348703000</v>
      </c>
      <c r="AB514" s="3">
        <v>-21764000</v>
      </c>
      <c r="AC514" s="3">
        <v>401154000</v>
      </c>
      <c r="AD514" s="3">
        <v>416775000</v>
      </c>
      <c r="AE514" s="10"/>
      <c r="AF514" s="10" t="s">
        <v>4644</v>
      </c>
      <c r="AG514" s="10" t="s">
        <v>46</v>
      </c>
    </row>
    <row r="515" spans="1:33" ht="15.75" x14ac:dyDescent="0.25">
      <c r="A515" s="1">
        <v>1022101630462</v>
      </c>
      <c r="B515" s="6">
        <v>2122003073</v>
      </c>
      <c r="C515" s="7" t="s">
        <v>4645</v>
      </c>
      <c r="D515" s="7" t="s">
        <v>4646</v>
      </c>
      <c r="E515" s="6">
        <v>1602540</v>
      </c>
      <c r="F515" s="6">
        <v>97404000000</v>
      </c>
      <c r="G515" s="6">
        <v>16</v>
      </c>
      <c r="H515" s="6">
        <v>12300</v>
      </c>
      <c r="I515" s="6">
        <v>212201001</v>
      </c>
      <c r="J515" s="7" t="s">
        <v>4647</v>
      </c>
      <c r="K515" s="7"/>
      <c r="L515" s="1" t="s">
        <v>4648</v>
      </c>
      <c r="M515" s="7" t="s">
        <v>4649</v>
      </c>
      <c r="N515" s="7" t="s">
        <v>4650</v>
      </c>
      <c r="O515" s="7" t="s">
        <v>4651</v>
      </c>
      <c r="P515" s="8">
        <v>130100006368</v>
      </c>
      <c r="Q515" s="7" t="s">
        <v>150</v>
      </c>
      <c r="R515" s="7" t="s">
        <v>4652</v>
      </c>
      <c r="S515" s="7" t="s">
        <v>4653</v>
      </c>
      <c r="T515" s="7" t="s">
        <v>4654</v>
      </c>
      <c r="U515" s="7" t="s">
        <v>4655</v>
      </c>
      <c r="V515" s="1">
        <v>3000000</v>
      </c>
      <c r="W515" s="1">
        <v>2256149000</v>
      </c>
      <c r="X515" s="1">
        <v>459177000</v>
      </c>
      <c r="Y515" s="1">
        <v>128494000</v>
      </c>
      <c r="Z515" s="1">
        <v>138182000</v>
      </c>
      <c r="AA515" s="1">
        <v>137353000</v>
      </c>
      <c r="AB515" s="1">
        <v>658626000</v>
      </c>
      <c r="AC515" s="1">
        <v>779886000</v>
      </c>
      <c r="AD515" s="1">
        <v>824048000</v>
      </c>
      <c r="AE515" s="7"/>
      <c r="AF515" s="7" t="s">
        <v>4656</v>
      </c>
      <c r="AG515" s="7" t="s">
        <v>46</v>
      </c>
    </row>
    <row r="516" spans="1:33" ht="15.75" x14ac:dyDescent="0.25">
      <c r="A516" s="3">
        <v>1022101275723</v>
      </c>
      <c r="B516" s="9">
        <v>2129046654</v>
      </c>
      <c r="C516" s="10" t="s">
        <v>4657</v>
      </c>
      <c r="D516" s="10" t="s">
        <v>4658</v>
      </c>
      <c r="E516" s="9">
        <v>24350213</v>
      </c>
      <c r="F516" s="9">
        <v>97401000000</v>
      </c>
      <c r="G516" s="9">
        <v>16</v>
      </c>
      <c r="H516" s="9">
        <v>12300</v>
      </c>
      <c r="I516" s="9">
        <v>213001001</v>
      </c>
      <c r="J516" s="10" t="s">
        <v>4659</v>
      </c>
      <c r="K516" s="10"/>
      <c r="L516" s="3" t="s">
        <v>4450</v>
      </c>
      <c r="M516" s="10" t="s">
        <v>4451</v>
      </c>
      <c r="N516" s="10" t="s">
        <v>4660</v>
      </c>
      <c r="O516" s="10" t="s">
        <v>4661</v>
      </c>
      <c r="P516" s="11">
        <v>210201353463</v>
      </c>
      <c r="Q516" s="10" t="s">
        <v>41</v>
      </c>
      <c r="R516" s="10" t="s">
        <v>4662</v>
      </c>
      <c r="S516" s="10" t="s">
        <v>4663</v>
      </c>
      <c r="T516" s="10" t="s">
        <v>4664</v>
      </c>
      <c r="U516" s="10" t="s">
        <v>4665</v>
      </c>
      <c r="V516" s="3">
        <v>8000000</v>
      </c>
      <c r="W516" s="3">
        <v>1846092000</v>
      </c>
      <c r="X516" s="3">
        <v>90370000</v>
      </c>
      <c r="Y516" s="3">
        <v>243546000</v>
      </c>
      <c r="Z516" s="3">
        <v>275517000</v>
      </c>
      <c r="AA516" s="3">
        <v>661304000</v>
      </c>
      <c r="AB516" s="3">
        <v>81360000</v>
      </c>
      <c r="AC516" s="3">
        <v>115286000</v>
      </c>
      <c r="AD516" s="3">
        <v>105095000</v>
      </c>
      <c r="AE516" s="10" t="s">
        <v>730</v>
      </c>
      <c r="AF516" s="10" t="s">
        <v>3221</v>
      </c>
      <c r="AG516" s="10" t="s">
        <v>46</v>
      </c>
    </row>
    <row r="517" spans="1:33" ht="15.75" x14ac:dyDescent="0.25">
      <c r="A517" s="1">
        <v>1022101135143</v>
      </c>
      <c r="B517" s="6">
        <v>2126001503</v>
      </c>
      <c r="C517" s="7" t="s">
        <v>4666</v>
      </c>
      <c r="D517" s="7" t="s">
        <v>4667</v>
      </c>
      <c r="E517" s="6">
        <v>5762128</v>
      </c>
      <c r="F517" s="6">
        <v>97401000000</v>
      </c>
      <c r="G517" s="6">
        <v>16</v>
      </c>
      <c r="H517" s="6">
        <v>12267</v>
      </c>
      <c r="I517" s="6">
        <v>213001001</v>
      </c>
      <c r="J517" s="7" t="s">
        <v>4668</v>
      </c>
      <c r="K517" s="7"/>
      <c r="L517" s="1" t="s">
        <v>4669</v>
      </c>
      <c r="M517" s="7" t="s">
        <v>4670</v>
      </c>
      <c r="N517" s="7" t="s">
        <v>4671</v>
      </c>
      <c r="O517" s="7" t="s">
        <v>4672</v>
      </c>
      <c r="P517" s="8">
        <v>121511327606</v>
      </c>
      <c r="Q517" s="7" t="s">
        <v>41</v>
      </c>
      <c r="R517" s="7" t="s">
        <v>4673</v>
      </c>
      <c r="S517" s="7" t="s">
        <v>4674</v>
      </c>
      <c r="T517" s="7"/>
      <c r="U517" s="7" t="s">
        <v>4675</v>
      </c>
      <c r="V517" s="1">
        <v>1435629</v>
      </c>
      <c r="W517" s="1">
        <v>1120819000</v>
      </c>
      <c r="X517" s="1">
        <v>95295000</v>
      </c>
      <c r="Y517" s="1">
        <v>132728000</v>
      </c>
      <c r="Z517" s="1">
        <v>73857000</v>
      </c>
      <c r="AA517" s="1">
        <v>103225000</v>
      </c>
      <c r="AB517" s="1">
        <v>-12677000</v>
      </c>
      <c r="AC517" s="1">
        <v>-6046000</v>
      </c>
      <c r="AD517" s="1">
        <v>-19150000</v>
      </c>
      <c r="AE517" s="7"/>
      <c r="AF517" s="7" t="s">
        <v>2564</v>
      </c>
      <c r="AG517" s="7" t="s">
        <v>46</v>
      </c>
    </row>
    <row r="518" spans="1:33" ht="15.75" x14ac:dyDescent="0.25">
      <c r="A518" s="3">
        <v>1022100968317</v>
      </c>
      <c r="B518" s="9">
        <v>2127308248</v>
      </c>
      <c r="C518" s="10" t="s">
        <v>4676</v>
      </c>
      <c r="D518" s="10" t="s">
        <v>4677</v>
      </c>
      <c r="E518" s="9">
        <v>49245078</v>
      </c>
      <c r="F518" s="9">
        <v>97401000000</v>
      </c>
      <c r="G518" s="9">
        <v>16</v>
      </c>
      <c r="H518" s="9">
        <v>12300</v>
      </c>
      <c r="I518" s="9">
        <v>213001001</v>
      </c>
      <c r="J518" s="10" t="s">
        <v>4678</v>
      </c>
      <c r="K518" s="10"/>
      <c r="L518" s="3" t="s">
        <v>4679</v>
      </c>
      <c r="M518" s="10" t="s">
        <v>4680</v>
      </c>
      <c r="N518" s="10" t="s">
        <v>4681</v>
      </c>
      <c r="O518" s="10" t="s">
        <v>4682</v>
      </c>
      <c r="P518" s="11">
        <v>212902345707</v>
      </c>
      <c r="Q518" s="10" t="s">
        <v>1076</v>
      </c>
      <c r="R518" s="10" t="s">
        <v>4683</v>
      </c>
      <c r="S518" s="10" t="s">
        <v>4684</v>
      </c>
      <c r="T518" s="10"/>
      <c r="U518" s="10" t="s">
        <v>4685</v>
      </c>
      <c r="V518" s="3">
        <v>10000000</v>
      </c>
      <c r="W518" s="3">
        <v>1104977000</v>
      </c>
      <c r="X518" s="3">
        <v>73894000</v>
      </c>
      <c r="Y518" s="3">
        <v>128654000</v>
      </c>
      <c r="Z518" s="3">
        <v>347887000</v>
      </c>
      <c r="AA518" s="3">
        <v>321863000</v>
      </c>
      <c r="AB518" s="3">
        <v>31995000</v>
      </c>
      <c r="AC518" s="3">
        <v>80351000</v>
      </c>
      <c r="AD518" s="3">
        <v>44911000</v>
      </c>
      <c r="AE518" s="10" t="s">
        <v>730</v>
      </c>
      <c r="AF518" s="10" t="s">
        <v>698</v>
      </c>
      <c r="AG518" s="10" t="s">
        <v>46</v>
      </c>
    </row>
    <row r="519" spans="1:33" ht="15.75" x14ac:dyDescent="0.25">
      <c r="A519" s="1">
        <v>1022100908510</v>
      </c>
      <c r="B519" s="6">
        <v>2124003784</v>
      </c>
      <c r="C519" s="7" t="s">
        <v>4686</v>
      </c>
      <c r="D519" s="7" t="s">
        <v>4687</v>
      </c>
      <c r="E519" s="6">
        <v>5795567</v>
      </c>
      <c r="F519" s="6">
        <v>97410000000</v>
      </c>
      <c r="G519" s="6">
        <v>16</v>
      </c>
      <c r="H519" s="6">
        <v>12267</v>
      </c>
      <c r="I519" s="6">
        <v>212401001</v>
      </c>
      <c r="J519" s="7" t="s">
        <v>4688</v>
      </c>
      <c r="K519" s="7"/>
      <c r="L519" s="1" t="s">
        <v>4471</v>
      </c>
      <c r="M519" s="7" t="s">
        <v>4472</v>
      </c>
      <c r="N519" s="7" t="s">
        <v>4689</v>
      </c>
      <c r="O519" s="7" t="s">
        <v>4690</v>
      </c>
      <c r="P519" s="8">
        <v>212400685361</v>
      </c>
      <c r="Q519" s="7" t="s">
        <v>41</v>
      </c>
      <c r="R519" s="7" t="s">
        <v>4691</v>
      </c>
      <c r="S519" s="7" t="s">
        <v>4692</v>
      </c>
      <c r="T519" s="7" t="s">
        <v>4693</v>
      </c>
      <c r="U519" s="7" t="s">
        <v>4694</v>
      </c>
      <c r="V519" s="1">
        <v>1140000</v>
      </c>
      <c r="W519" s="1">
        <v>2695681000</v>
      </c>
      <c r="X519" s="1">
        <v>183333000</v>
      </c>
      <c r="Y519" s="1">
        <v>511330000</v>
      </c>
      <c r="Z519" s="1">
        <v>62614000</v>
      </c>
      <c r="AA519" s="1">
        <v>298403000</v>
      </c>
      <c r="AB519" s="1">
        <v>81779000</v>
      </c>
      <c r="AC519" s="1">
        <v>93643000</v>
      </c>
      <c r="AD519" s="1">
        <v>104257000</v>
      </c>
      <c r="AE519" s="7"/>
      <c r="AF519" s="7" t="s">
        <v>4695</v>
      </c>
      <c r="AG519" s="7" t="s">
        <v>46</v>
      </c>
    </row>
    <row r="520" spans="1:33" ht="15.75" x14ac:dyDescent="0.25">
      <c r="A520" s="3">
        <v>1022101271378</v>
      </c>
      <c r="B520" s="9">
        <v>2129001830</v>
      </c>
      <c r="C520" s="10" t="s">
        <v>4696</v>
      </c>
      <c r="D520" s="10" t="s">
        <v>4697</v>
      </c>
      <c r="E520" s="9">
        <v>13092133</v>
      </c>
      <c r="F520" s="9">
        <v>97401000000</v>
      </c>
      <c r="G520" s="9">
        <v>16</v>
      </c>
      <c r="H520" s="9">
        <v>12300</v>
      </c>
      <c r="I520" s="9">
        <v>213001001</v>
      </c>
      <c r="J520" s="10" t="s">
        <v>4698</v>
      </c>
      <c r="K520" s="10"/>
      <c r="L520" s="3" t="s">
        <v>4699</v>
      </c>
      <c r="M520" s="10" t="s">
        <v>4700</v>
      </c>
      <c r="N520" s="10" t="s">
        <v>4701</v>
      </c>
      <c r="O520" s="10" t="s">
        <v>4702</v>
      </c>
      <c r="P520" s="11">
        <v>212804172083</v>
      </c>
      <c r="Q520" s="10" t="s">
        <v>41</v>
      </c>
      <c r="R520" s="10" t="s">
        <v>4703</v>
      </c>
      <c r="S520" s="10" t="s">
        <v>4704</v>
      </c>
      <c r="T520" s="10" t="s">
        <v>4705</v>
      </c>
      <c r="U520" s="10" t="s">
        <v>4706</v>
      </c>
      <c r="V520" s="3">
        <v>10000000</v>
      </c>
      <c r="W520" s="3">
        <v>1224255000</v>
      </c>
      <c r="X520" s="3">
        <v>149476000</v>
      </c>
      <c r="Y520" s="3">
        <v>354597000</v>
      </c>
      <c r="Z520" s="3">
        <v>88127000</v>
      </c>
      <c r="AA520" s="3">
        <v>181975000</v>
      </c>
      <c r="AB520" s="3">
        <v>335812000</v>
      </c>
      <c r="AC520" s="3">
        <v>427554000</v>
      </c>
      <c r="AD520" s="3">
        <v>420156000</v>
      </c>
      <c r="AE520" s="10"/>
      <c r="AF520" s="10"/>
      <c r="AG520" s="10" t="s">
        <v>46</v>
      </c>
    </row>
    <row r="521" spans="1:33" ht="15.75" x14ac:dyDescent="0.25">
      <c r="A521" s="1">
        <v>1022100973223</v>
      </c>
      <c r="B521" s="6">
        <v>2127007963</v>
      </c>
      <c r="C521" s="7" t="s">
        <v>4707</v>
      </c>
      <c r="D521" s="7" t="s">
        <v>4708</v>
      </c>
      <c r="E521" s="6">
        <v>2752557</v>
      </c>
      <c r="F521" s="6">
        <v>97401000000</v>
      </c>
      <c r="G521" s="6">
        <v>16</v>
      </c>
      <c r="H521" s="6">
        <v>12247</v>
      </c>
      <c r="I521" s="6">
        <v>213001001</v>
      </c>
      <c r="J521" s="7" t="s">
        <v>4709</v>
      </c>
      <c r="K521" s="7"/>
      <c r="L521" s="1" t="s">
        <v>2061</v>
      </c>
      <c r="M521" s="7" t="s">
        <v>2062</v>
      </c>
      <c r="N521" s="7" t="s">
        <v>4710</v>
      </c>
      <c r="O521" s="7" t="s">
        <v>4711</v>
      </c>
      <c r="P521" s="8">
        <v>212712534978</v>
      </c>
      <c r="Q521" s="7" t="s">
        <v>41</v>
      </c>
      <c r="R521" s="7" t="s">
        <v>4712</v>
      </c>
      <c r="S521" s="7" t="s">
        <v>4713</v>
      </c>
      <c r="T521" s="7" t="s">
        <v>4714</v>
      </c>
      <c r="U521" s="7" t="s">
        <v>4715</v>
      </c>
      <c r="V521" s="1">
        <v>8873800</v>
      </c>
      <c r="W521" s="1">
        <v>1719480000</v>
      </c>
      <c r="X521" s="1">
        <v>261240000</v>
      </c>
      <c r="Y521" s="1">
        <v>112412000</v>
      </c>
      <c r="Z521" s="1">
        <v>192454000</v>
      </c>
      <c r="AA521" s="1">
        <v>116729000</v>
      </c>
      <c r="AB521" s="1">
        <v>69098000</v>
      </c>
      <c r="AC521" s="1">
        <v>139318000</v>
      </c>
      <c r="AD521" s="1">
        <v>90934000</v>
      </c>
      <c r="AE521" s="7" t="s">
        <v>730</v>
      </c>
      <c r="AF521" s="7" t="s">
        <v>4716</v>
      </c>
      <c r="AG521" s="7" t="s">
        <v>46</v>
      </c>
    </row>
    <row r="522" spans="1:33" ht="15.75" x14ac:dyDescent="0.25">
      <c r="A522" s="3">
        <v>1022100967195</v>
      </c>
      <c r="B522" s="9">
        <v>2127008364</v>
      </c>
      <c r="C522" s="10" t="s">
        <v>4717</v>
      </c>
      <c r="D522" s="10" t="s">
        <v>4718</v>
      </c>
      <c r="E522" s="9">
        <v>1309886</v>
      </c>
      <c r="F522" s="9">
        <v>97401000000</v>
      </c>
      <c r="G522" s="9">
        <v>16</v>
      </c>
      <c r="H522" s="9">
        <v>12247</v>
      </c>
      <c r="I522" s="9">
        <v>213001001</v>
      </c>
      <c r="J522" s="10" t="s">
        <v>4719</v>
      </c>
      <c r="K522" s="10"/>
      <c r="L522" s="3" t="s">
        <v>4493</v>
      </c>
      <c r="M522" s="10" t="s">
        <v>4494</v>
      </c>
      <c r="N522" s="10" t="s">
        <v>4720</v>
      </c>
      <c r="O522" s="10" t="s">
        <v>4721</v>
      </c>
      <c r="P522" s="11">
        <v>212705817911</v>
      </c>
      <c r="Q522" s="10" t="s">
        <v>41</v>
      </c>
      <c r="R522" s="10" t="s">
        <v>4722</v>
      </c>
      <c r="S522" s="10" t="s">
        <v>4723</v>
      </c>
      <c r="T522" s="10" t="s">
        <v>4724</v>
      </c>
      <c r="U522" s="10" t="s">
        <v>4725</v>
      </c>
      <c r="V522" s="3">
        <v>2628175</v>
      </c>
      <c r="W522" s="3">
        <v>6306714000</v>
      </c>
      <c r="X522" s="3">
        <v>534118000</v>
      </c>
      <c r="Y522" s="3">
        <v>43136000</v>
      </c>
      <c r="Z522" s="3">
        <v>3026819000</v>
      </c>
      <c r="AA522" s="3">
        <v>2516480000</v>
      </c>
      <c r="AB522" s="3">
        <v>98945000</v>
      </c>
      <c r="AC522" s="3">
        <v>425897000</v>
      </c>
      <c r="AD522" s="3">
        <v>214895000</v>
      </c>
      <c r="AE522" s="10"/>
      <c r="AF522" s="10" t="s">
        <v>1144</v>
      </c>
      <c r="AG522" s="10" t="s">
        <v>46</v>
      </c>
    </row>
    <row r="523" spans="1:33" ht="15.75" x14ac:dyDescent="0.25">
      <c r="A523" s="1">
        <v>1022101137662</v>
      </c>
      <c r="B523" s="6">
        <v>2128000368</v>
      </c>
      <c r="C523" s="7" t="s">
        <v>4726</v>
      </c>
      <c r="D523" s="7" t="s">
        <v>4727</v>
      </c>
      <c r="E523" s="6">
        <v>13106272</v>
      </c>
      <c r="F523" s="6">
        <v>97401000000</v>
      </c>
      <c r="G523" s="6">
        <v>16</v>
      </c>
      <c r="H523" s="6">
        <v>12300</v>
      </c>
      <c r="I523" s="6">
        <v>213001001</v>
      </c>
      <c r="J523" s="7" t="s">
        <v>4728</v>
      </c>
      <c r="K523" s="7"/>
      <c r="L523" s="1" t="s">
        <v>4729</v>
      </c>
      <c r="M523" s="7" t="s">
        <v>4730</v>
      </c>
      <c r="N523" s="7" t="s">
        <v>4731</v>
      </c>
      <c r="O523" s="7" t="s">
        <v>4732</v>
      </c>
      <c r="P523" s="8">
        <v>2127328124</v>
      </c>
      <c r="Q523" s="7" t="s">
        <v>90</v>
      </c>
      <c r="R523" s="7" t="s">
        <v>4733</v>
      </c>
      <c r="S523" s="7" t="s">
        <v>4734</v>
      </c>
      <c r="T523" s="7"/>
      <c r="U523" s="7" t="s">
        <v>4735</v>
      </c>
      <c r="V523" s="1">
        <v>1000000</v>
      </c>
      <c r="W523" s="1">
        <v>3139439000</v>
      </c>
      <c r="X523" s="1">
        <v>166712000</v>
      </c>
      <c r="Y523" s="1">
        <v>438898000</v>
      </c>
      <c r="Z523" s="1">
        <v>151577000</v>
      </c>
      <c r="AA523" s="1">
        <v>570598000</v>
      </c>
      <c r="AB523" s="1">
        <v>3207000</v>
      </c>
      <c r="AC523" s="1">
        <v>-25195000</v>
      </c>
      <c r="AD523" s="1">
        <v>4548000</v>
      </c>
      <c r="AE523" s="7"/>
      <c r="AF523" s="7" t="s">
        <v>332</v>
      </c>
      <c r="AG523" s="7" t="s">
        <v>46</v>
      </c>
    </row>
    <row r="524" spans="1:33" ht="15.75" x14ac:dyDescent="0.25">
      <c r="A524" s="3">
        <v>1022102430327</v>
      </c>
      <c r="B524" s="9">
        <v>2116480078</v>
      </c>
      <c r="C524" s="10" t="s">
        <v>4736</v>
      </c>
      <c r="D524" s="10" t="s">
        <v>4737</v>
      </c>
      <c r="E524" s="9">
        <v>5344454</v>
      </c>
      <c r="F524" s="9">
        <v>97244860015</v>
      </c>
      <c r="G524" s="9">
        <v>16</v>
      </c>
      <c r="H524" s="9">
        <v>12267</v>
      </c>
      <c r="I524" s="9">
        <v>211601001</v>
      </c>
      <c r="J524" s="10" t="s">
        <v>4738</v>
      </c>
      <c r="K524" s="10"/>
      <c r="L524" s="3" t="s">
        <v>4739</v>
      </c>
      <c r="M524" s="10" t="s">
        <v>4740</v>
      </c>
      <c r="N524" s="10" t="s">
        <v>4741</v>
      </c>
      <c r="O524" s="10" t="s">
        <v>4742</v>
      </c>
      <c r="P524" s="11">
        <v>212408387078</v>
      </c>
      <c r="Q524" s="10" t="s">
        <v>41</v>
      </c>
      <c r="R524" s="10" t="s">
        <v>4743</v>
      </c>
      <c r="S524" s="10" t="s">
        <v>4744</v>
      </c>
      <c r="T524" s="10" t="s">
        <v>4745</v>
      </c>
      <c r="U524" s="10" t="s">
        <v>4746</v>
      </c>
      <c r="V524" s="3">
        <v>2947120</v>
      </c>
      <c r="W524" s="3">
        <v>1233586000</v>
      </c>
      <c r="X524" s="3">
        <v>1538154000</v>
      </c>
      <c r="Y524" s="3">
        <v>322248000</v>
      </c>
      <c r="Z524" s="3">
        <v>62796000</v>
      </c>
      <c r="AA524" s="3">
        <v>72126000</v>
      </c>
      <c r="AB524" s="3">
        <v>25531000</v>
      </c>
      <c r="AC524" s="3">
        <v>91819000</v>
      </c>
      <c r="AD524" s="3">
        <v>26407000</v>
      </c>
      <c r="AE524" s="10"/>
      <c r="AF524" s="10" t="s">
        <v>4747</v>
      </c>
      <c r="AG524" s="10" t="s">
        <v>1525</v>
      </c>
    </row>
    <row r="525" spans="1:33" ht="15.75" x14ac:dyDescent="0.25">
      <c r="A525" s="1">
        <v>1042135001127</v>
      </c>
      <c r="B525" s="6">
        <v>2116470312</v>
      </c>
      <c r="C525" s="7" t="s">
        <v>4748</v>
      </c>
      <c r="D525" s="7" t="s">
        <v>4749</v>
      </c>
      <c r="E525" s="6">
        <v>71021744</v>
      </c>
      <c r="F525" s="6">
        <v>97401000000</v>
      </c>
      <c r="G525" s="6">
        <v>16</v>
      </c>
      <c r="H525" s="6">
        <v>12267</v>
      </c>
      <c r="I525" s="6">
        <v>213001001</v>
      </c>
      <c r="J525" s="7" t="s">
        <v>4750</v>
      </c>
      <c r="K525" s="7"/>
      <c r="L525" s="1" t="s">
        <v>4751</v>
      </c>
      <c r="M525" s="7" t="s">
        <v>4752</v>
      </c>
      <c r="N525" s="7" t="s">
        <v>4753</v>
      </c>
      <c r="O525" s="7" t="s">
        <v>4754</v>
      </c>
      <c r="P525" s="8">
        <v>212801136337</v>
      </c>
      <c r="Q525" s="7" t="s">
        <v>41</v>
      </c>
      <c r="R525" s="7" t="s">
        <v>4755</v>
      </c>
      <c r="S525" s="7" t="s">
        <v>4756</v>
      </c>
      <c r="T525" s="7" t="s">
        <v>4757</v>
      </c>
      <c r="U525" s="7" t="s">
        <v>4758</v>
      </c>
      <c r="V525" s="1">
        <v>6450000</v>
      </c>
      <c r="W525" s="1">
        <v>1405720000</v>
      </c>
      <c r="X525" s="1">
        <v>91553000</v>
      </c>
      <c r="Y525" s="1">
        <v>250167000</v>
      </c>
      <c r="Z525" s="1">
        <v>494396000</v>
      </c>
      <c r="AA525" s="1">
        <v>579277000</v>
      </c>
      <c r="AB525" s="1">
        <v>5453000</v>
      </c>
      <c r="AC525" s="1">
        <v>56761000</v>
      </c>
      <c r="AD525" s="1">
        <v>10211000</v>
      </c>
      <c r="AE525" s="7" t="s">
        <v>730</v>
      </c>
      <c r="AF525" s="7" t="s">
        <v>4695</v>
      </c>
      <c r="AG525" s="7" t="s">
        <v>46</v>
      </c>
    </row>
    <row r="526" spans="1:33" ht="15.75" x14ac:dyDescent="0.25">
      <c r="A526" s="3">
        <v>1032128015193</v>
      </c>
      <c r="B526" s="9">
        <v>2128051718</v>
      </c>
      <c r="C526" s="10" t="s">
        <v>4759</v>
      </c>
      <c r="D526" s="10" t="s">
        <v>4760</v>
      </c>
      <c r="E526" s="9">
        <v>71016163</v>
      </c>
      <c r="F526" s="9">
        <v>97401000000</v>
      </c>
      <c r="G526" s="9">
        <v>16</v>
      </c>
      <c r="H526" s="9">
        <v>12300</v>
      </c>
      <c r="I526" s="9">
        <v>213001001</v>
      </c>
      <c r="J526" s="10" t="s">
        <v>335</v>
      </c>
      <c r="K526" s="10"/>
      <c r="L526" s="3" t="s">
        <v>4761</v>
      </c>
      <c r="M526" s="10" t="s">
        <v>4762</v>
      </c>
      <c r="N526" s="10" t="s">
        <v>4763</v>
      </c>
      <c r="O526" s="10" t="s">
        <v>4474</v>
      </c>
      <c r="P526" s="11">
        <v>2130043175</v>
      </c>
      <c r="Q526" s="10" t="s">
        <v>90</v>
      </c>
      <c r="R526" s="10" t="s">
        <v>4764</v>
      </c>
      <c r="S526" s="10" t="s">
        <v>4765</v>
      </c>
      <c r="T526" s="10" t="s">
        <v>4766</v>
      </c>
      <c r="U526" s="10" t="s">
        <v>4767</v>
      </c>
      <c r="V526" s="3">
        <v>10000000</v>
      </c>
      <c r="W526" s="3">
        <v>3516078000</v>
      </c>
      <c r="X526" s="3">
        <v>79063000</v>
      </c>
      <c r="Y526" s="3">
        <v>270013000</v>
      </c>
      <c r="Z526" s="3">
        <v>95500000</v>
      </c>
      <c r="AA526" s="3">
        <v>113314000</v>
      </c>
      <c r="AB526" s="3">
        <v>77212000</v>
      </c>
      <c r="AC526" s="3">
        <v>75852000</v>
      </c>
      <c r="AD526" s="3">
        <v>103408000</v>
      </c>
      <c r="AE526" s="10"/>
      <c r="AF526" s="10" t="s">
        <v>4768</v>
      </c>
      <c r="AG526" s="10" t="s">
        <v>46</v>
      </c>
    </row>
    <row r="527" spans="1:33" ht="15.75" x14ac:dyDescent="0.25">
      <c r="A527" s="1">
        <v>1052137003566</v>
      </c>
      <c r="B527" s="6">
        <v>2107902319</v>
      </c>
      <c r="C527" s="7" t="s">
        <v>4769</v>
      </c>
      <c r="D527" s="7" t="s">
        <v>4770</v>
      </c>
      <c r="E527" s="6">
        <v>75697160</v>
      </c>
      <c r="F527" s="6">
        <v>97219501000</v>
      </c>
      <c r="G527" s="6">
        <v>16</v>
      </c>
      <c r="H527" s="6">
        <v>12300</v>
      </c>
      <c r="I527" s="6">
        <v>210701001</v>
      </c>
      <c r="J527" s="7" t="s">
        <v>4771</v>
      </c>
      <c r="K527" s="7"/>
      <c r="L527" s="1" t="s">
        <v>4772</v>
      </c>
      <c r="M527" s="7" t="s">
        <v>4773</v>
      </c>
      <c r="N527" s="7" t="s">
        <v>4774</v>
      </c>
      <c r="O527" s="7" t="s">
        <v>4775</v>
      </c>
      <c r="P527" s="8">
        <v>210700561469</v>
      </c>
      <c r="Q527" s="7" t="s">
        <v>150</v>
      </c>
      <c r="R527" s="7" t="s">
        <v>4776</v>
      </c>
      <c r="S527" s="7" t="s">
        <v>4777</v>
      </c>
      <c r="T527" s="7" t="s">
        <v>4778</v>
      </c>
      <c r="U527" s="7" t="s">
        <v>4779</v>
      </c>
      <c r="V527" s="1">
        <v>1000000</v>
      </c>
      <c r="W527" s="1">
        <v>1288602000</v>
      </c>
      <c r="X527" s="1">
        <v>181104000</v>
      </c>
      <c r="Y527" s="1">
        <v>239981000</v>
      </c>
      <c r="Z527" s="1">
        <v>529142000</v>
      </c>
      <c r="AA527" s="1">
        <v>183645000</v>
      </c>
      <c r="AB527" s="1">
        <v>105635000</v>
      </c>
      <c r="AC527" s="1">
        <v>151361000</v>
      </c>
      <c r="AD527" s="1">
        <v>129242000</v>
      </c>
      <c r="AE527" s="7"/>
      <c r="AF527" s="7"/>
      <c r="AG527" s="7" t="s">
        <v>46</v>
      </c>
    </row>
    <row r="528" spans="1:33" ht="15.75" x14ac:dyDescent="0.25">
      <c r="A528" s="3">
        <v>1072130009874</v>
      </c>
      <c r="B528" s="9">
        <v>2130022111</v>
      </c>
      <c r="C528" s="10" t="s">
        <v>4780</v>
      </c>
      <c r="D528" s="10" t="s">
        <v>4781</v>
      </c>
      <c r="E528" s="9">
        <v>1330768</v>
      </c>
      <c r="F528" s="9">
        <v>97401000000</v>
      </c>
      <c r="G528" s="9">
        <v>16</v>
      </c>
      <c r="H528" s="9">
        <v>12300</v>
      </c>
      <c r="I528" s="9">
        <v>213001001</v>
      </c>
      <c r="J528" s="10" t="s">
        <v>4782</v>
      </c>
      <c r="K528" s="10"/>
      <c r="L528" s="3" t="s">
        <v>4783</v>
      </c>
      <c r="M528" s="10" t="s">
        <v>4784</v>
      </c>
      <c r="N528" s="10" t="s">
        <v>4785</v>
      </c>
      <c r="O528" s="10" t="s">
        <v>4786</v>
      </c>
      <c r="P528" s="11">
        <v>212902994405</v>
      </c>
      <c r="Q528" s="10" t="s">
        <v>41</v>
      </c>
      <c r="R528" s="10" t="s">
        <v>4787</v>
      </c>
      <c r="S528" s="10" t="s">
        <v>4788</v>
      </c>
      <c r="T528" s="10" t="s">
        <v>4789</v>
      </c>
      <c r="U528" s="10" t="s">
        <v>4790</v>
      </c>
      <c r="V528" s="3">
        <v>3000000</v>
      </c>
      <c r="W528" s="3">
        <v>2034831000</v>
      </c>
      <c r="X528" s="3">
        <v>243611000</v>
      </c>
      <c r="Y528" s="3">
        <v>1054245000</v>
      </c>
      <c r="Z528" s="3">
        <v>1764598000</v>
      </c>
      <c r="AA528" s="3">
        <v>133489000</v>
      </c>
      <c r="AB528" s="3">
        <v>278269000</v>
      </c>
      <c r="AC528" s="3">
        <v>361019000</v>
      </c>
      <c r="AD528" s="3">
        <v>346252000</v>
      </c>
      <c r="AE528" s="10"/>
      <c r="AF528" s="10" t="s">
        <v>4791</v>
      </c>
      <c r="AG528" s="10" t="s">
        <v>46</v>
      </c>
    </row>
    <row r="529" spans="1:33" ht="15.75" x14ac:dyDescent="0.25">
      <c r="A529" s="1">
        <v>1052128018470</v>
      </c>
      <c r="B529" s="6">
        <v>2128701349</v>
      </c>
      <c r="C529" s="7" t="s">
        <v>4792</v>
      </c>
      <c r="D529" s="7" t="s">
        <v>4793</v>
      </c>
      <c r="E529" s="6">
        <v>75694500</v>
      </c>
      <c r="F529" s="6">
        <v>97401000000</v>
      </c>
      <c r="G529" s="6">
        <v>16</v>
      </c>
      <c r="H529" s="6">
        <v>12300</v>
      </c>
      <c r="I529" s="6">
        <v>213001001</v>
      </c>
      <c r="J529" s="7" t="s">
        <v>4794</v>
      </c>
      <c r="K529" s="7"/>
      <c r="L529" s="1" t="s">
        <v>4795</v>
      </c>
      <c r="M529" s="7" t="s">
        <v>4796</v>
      </c>
      <c r="N529" s="7" t="s">
        <v>4797</v>
      </c>
      <c r="O529" s="7" t="s">
        <v>4798</v>
      </c>
      <c r="P529" s="8">
        <v>212905631664</v>
      </c>
      <c r="Q529" s="7" t="s">
        <v>41</v>
      </c>
      <c r="R529" s="7" t="s">
        <v>4799</v>
      </c>
      <c r="S529" s="7" t="s">
        <v>4800</v>
      </c>
      <c r="T529" s="7" t="s">
        <v>4801</v>
      </c>
      <c r="U529" s="7" t="s">
        <v>4802</v>
      </c>
      <c r="V529" s="1">
        <v>600000</v>
      </c>
      <c r="W529" s="1">
        <v>3256283000</v>
      </c>
      <c r="X529" s="1">
        <v>1797000</v>
      </c>
      <c r="Y529" s="1">
        <v>79532000</v>
      </c>
      <c r="Z529" s="1">
        <v>839020000</v>
      </c>
      <c r="AA529" s="1">
        <v>1043565000</v>
      </c>
      <c r="AB529" s="1">
        <v>434644000</v>
      </c>
      <c r="AC529" s="1">
        <v>501143000</v>
      </c>
      <c r="AD529" s="1">
        <v>532219000</v>
      </c>
      <c r="AE529" s="7"/>
      <c r="AF529" s="7" t="s">
        <v>4803</v>
      </c>
      <c r="AG529" s="7" t="s">
        <v>46</v>
      </c>
    </row>
    <row r="530" spans="1:33" ht="15.75" x14ac:dyDescent="0.25">
      <c r="A530" s="3">
        <v>1052128050479</v>
      </c>
      <c r="B530" s="9">
        <v>2128702350</v>
      </c>
      <c r="C530" s="10" t="s">
        <v>4804</v>
      </c>
      <c r="D530" s="10" t="s">
        <v>4805</v>
      </c>
      <c r="E530" s="9">
        <v>75698389</v>
      </c>
      <c r="F530" s="9">
        <v>97401000000</v>
      </c>
      <c r="G530" s="9">
        <v>16</v>
      </c>
      <c r="H530" s="9">
        <v>12300</v>
      </c>
      <c r="I530" s="9">
        <v>213001001</v>
      </c>
      <c r="J530" s="10" t="s">
        <v>4806</v>
      </c>
      <c r="K530" s="10"/>
      <c r="L530" s="3" t="s">
        <v>923</v>
      </c>
      <c r="M530" s="10" t="s">
        <v>924</v>
      </c>
      <c r="N530" s="10" t="s">
        <v>4807</v>
      </c>
      <c r="O530" s="10" t="s">
        <v>4808</v>
      </c>
      <c r="P530" s="11">
        <v>211101435749</v>
      </c>
      <c r="Q530" s="10" t="s">
        <v>150</v>
      </c>
      <c r="R530" s="10" t="s">
        <v>4809</v>
      </c>
      <c r="S530" s="10" t="s">
        <v>4810</v>
      </c>
      <c r="T530" s="10"/>
      <c r="U530" s="10" t="s">
        <v>4811</v>
      </c>
      <c r="V530" s="3">
        <v>1000000</v>
      </c>
      <c r="W530" s="3">
        <v>1199039000</v>
      </c>
      <c r="X530" s="3">
        <v>95360000</v>
      </c>
      <c r="Y530" s="3">
        <v>79954000</v>
      </c>
      <c r="Z530" s="3">
        <v>1378133000</v>
      </c>
      <c r="AA530" s="3">
        <v>72234000</v>
      </c>
      <c r="AB530" s="3">
        <v>37303000</v>
      </c>
      <c r="AC530" s="3">
        <v>675687000</v>
      </c>
      <c r="AD530" s="3">
        <v>36658000</v>
      </c>
      <c r="AE530" s="10" t="s">
        <v>730</v>
      </c>
      <c r="AF530" s="10" t="s">
        <v>1465</v>
      </c>
      <c r="AG530" s="10" t="s">
        <v>46</v>
      </c>
    </row>
    <row r="531" spans="1:33" ht="15.75" x14ac:dyDescent="0.25">
      <c r="A531" s="1">
        <v>1082135001046</v>
      </c>
      <c r="B531" s="6">
        <v>2111007975</v>
      </c>
      <c r="C531" s="7" t="s">
        <v>4812</v>
      </c>
      <c r="D531" s="7" t="s">
        <v>4813</v>
      </c>
      <c r="E531" s="6">
        <v>85859238</v>
      </c>
      <c r="F531" s="6">
        <v>97401000000</v>
      </c>
      <c r="G531" s="6">
        <v>16</v>
      </c>
      <c r="H531" s="6">
        <v>12300</v>
      </c>
      <c r="I531" s="6">
        <v>213001001</v>
      </c>
      <c r="J531" s="7" t="s">
        <v>4814</v>
      </c>
      <c r="K531" s="7"/>
      <c r="L531" s="1" t="s">
        <v>4815</v>
      </c>
      <c r="M531" s="7" t="s">
        <v>4816</v>
      </c>
      <c r="N531" s="7" t="s">
        <v>4817</v>
      </c>
      <c r="O531" s="7" t="s">
        <v>4818</v>
      </c>
      <c r="P531" s="8">
        <v>213002998769</v>
      </c>
      <c r="Q531" s="7" t="s">
        <v>41</v>
      </c>
      <c r="R531" s="7" t="s">
        <v>4819</v>
      </c>
      <c r="S531" s="7" t="s">
        <v>4820</v>
      </c>
      <c r="T531" s="7"/>
      <c r="U531" s="7"/>
      <c r="V531" s="1">
        <v>3026667</v>
      </c>
      <c r="W531" s="1">
        <v>1142570000</v>
      </c>
      <c r="X531" s="1">
        <v>98226000</v>
      </c>
      <c r="Y531" s="1">
        <v>242515000</v>
      </c>
      <c r="Z531" s="1">
        <v>67015000</v>
      </c>
      <c r="AA531" s="1">
        <v>60243000</v>
      </c>
      <c r="AB531" s="1">
        <v>21179000</v>
      </c>
      <c r="AC531" s="1">
        <v>26029000</v>
      </c>
      <c r="AD531" s="1">
        <v>25505000</v>
      </c>
      <c r="AE531" s="7" t="s">
        <v>331</v>
      </c>
      <c r="AF531" s="7" t="s">
        <v>4821</v>
      </c>
      <c r="AG531" s="7" t="s">
        <v>46</v>
      </c>
    </row>
    <row r="532" spans="1:33" ht="15.75" x14ac:dyDescent="0.25">
      <c r="A532" s="3">
        <v>1102137000074</v>
      </c>
      <c r="B532" s="9">
        <v>2115905070</v>
      </c>
      <c r="C532" s="10" t="s">
        <v>4822</v>
      </c>
      <c r="D532" s="10" t="s">
        <v>4823</v>
      </c>
      <c r="E532" s="9">
        <v>61938140</v>
      </c>
      <c r="F532" s="9">
        <v>97241834003</v>
      </c>
      <c r="G532" s="9">
        <v>16</v>
      </c>
      <c r="H532" s="9">
        <v>12300</v>
      </c>
      <c r="I532" s="9">
        <v>211501001</v>
      </c>
      <c r="J532" s="10" t="s">
        <v>4824</v>
      </c>
      <c r="K532" s="10"/>
      <c r="L532" s="3" t="s">
        <v>2124</v>
      </c>
      <c r="M532" s="10" t="s">
        <v>2125</v>
      </c>
      <c r="N532" s="10" t="s">
        <v>4825</v>
      </c>
      <c r="O532" s="10" t="s">
        <v>4826</v>
      </c>
      <c r="P532" s="11">
        <v>212921044575</v>
      </c>
      <c r="Q532" s="10" t="s">
        <v>41</v>
      </c>
      <c r="R532" s="10" t="s">
        <v>4827</v>
      </c>
      <c r="S532" s="10" t="s">
        <v>4828</v>
      </c>
      <c r="T532" s="10" t="s">
        <v>4829</v>
      </c>
      <c r="U532" s="10" t="s">
        <v>4830</v>
      </c>
      <c r="V532" s="3">
        <v>1000000</v>
      </c>
      <c r="W532" s="3">
        <v>1720417000</v>
      </c>
      <c r="X532" s="3">
        <v>203684000</v>
      </c>
      <c r="Y532" s="3">
        <v>553382000</v>
      </c>
      <c r="Z532" s="3">
        <v>746445000</v>
      </c>
      <c r="AA532" s="3">
        <v>894549000</v>
      </c>
      <c r="AB532" s="3">
        <v>342761000</v>
      </c>
      <c r="AC532" s="3">
        <v>423628000</v>
      </c>
      <c r="AD532" s="3">
        <v>422334000</v>
      </c>
      <c r="AE532" s="10" t="s">
        <v>730</v>
      </c>
      <c r="AF532" s="10" t="s">
        <v>4831</v>
      </c>
      <c r="AG532" s="10" t="s">
        <v>46</v>
      </c>
    </row>
    <row r="533" spans="1:33" ht="15.75" x14ac:dyDescent="0.25">
      <c r="A533" s="1">
        <v>1092130002832</v>
      </c>
      <c r="B533" s="6">
        <v>2130054931</v>
      </c>
      <c r="C533" s="7" t="s">
        <v>4832</v>
      </c>
      <c r="D533" s="7" t="s">
        <v>4833</v>
      </c>
      <c r="E533" s="6">
        <v>85865322</v>
      </c>
      <c r="F533" s="6">
        <v>97401000000</v>
      </c>
      <c r="G533" s="6">
        <v>16</v>
      </c>
      <c r="H533" s="6">
        <v>12300</v>
      </c>
      <c r="I533" s="6">
        <v>213001001</v>
      </c>
      <c r="J533" s="7" t="s">
        <v>4834</v>
      </c>
      <c r="K533" s="7"/>
      <c r="L533" s="1" t="s">
        <v>4761</v>
      </c>
      <c r="M533" s="7" t="s">
        <v>4762</v>
      </c>
      <c r="N533" s="7" t="s">
        <v>4835</v>
      </c>
      <c r="O533" s="7" t="s">
        <v>4474</v>
      </c>
      <c r="P533" s="8">
        <v>2130043175</v>
      </c>
      <c r="Q533" s="7" t="s">
        <v>90</v>
      </c>
      <c r="R533" s="7" t="s">
        <v>4764</v>
      </c>
      <c r="S533" s="7" t="s">
        <v>4836</v>
      </c>
      <c r="T533" s="7" t="s">
        <v>4837</v>
      </c>
      <c r="U533" s="7" t="s">
        <v>4838</v>
      </c>
      <c r="V533" s="1">
        <v>10000000</v>
      </c>
      <c r="W533" s="1">
        <v>3678406000</v>
      </c>
      <c r="X533" s="1">
        <v>40468000</v>
      </c>
      <c r="Y533" s="1">
        <v>124533000</v>
      </c>
      <c r="Z533" s="1">
        <v>45218000</v>
      </c>
      <c r="AA533" s="1">
        <v>90725000</v>
      </c>
      <c r="AB533" s="1">
        <v>103084000</v>
      </c>
      <c r="AC533" s="1">
        <v>100317000</v>
      </c>
      <c r="AD533" s="1">
        <v>134053000</v>
      </c>
      <c r="AE533" s="7"/>
      <c r="AF533" s="7" t="s">
        <v>474</v>
      </c>
      <c r="AG533" s="7" t="s">
        <v>46</v>
      </c>
    </row>
    <row r="534" spans="1:33" ht="15.75" x14ac:dyDescent="0.25">
      <c r="A534" s="3">
        <v>1117847053576</v>
      </c>
      <c r="B534" s="9">
        <v>7801540272</v>
      </c>
      <c r="C534" s="10" t="s">
        <v>4839</v>
      </c>
      <c r="D534" s="10" t="s">
        <v>4840</v>
      </c>
      <c r="E534" s="9">
        <v>90751075</v>
      </c>
      <c r="F534" s="9">
        <v>97401000000</v>
      </c>
      <c r="G534" s="9">
        <v>16</v>
      </c>
      <c r="H534" s="9">
        <v>12300</v>
      </c>
      <c r="I534" s="9">
        <v>213001001</v>
      </c>
      <c r="J534" s="10" t="s">
        <v>4841</v>
      </c>
      <c r="K534" s="10"/>
      <c r="L534" s="3" t="s">
        <v>4783</v>
      </c>
      <c r="M534" s="10" t="s">
        <v>4784</v>
      </c>
      <c r="N534" s="10" t="s">
        <v>4842</v>
      </c>
      <c r="O534" s="10" t="s">
        <v>4843</v>
      </c>
      <c r="P534" s="11">
        <v>212708329422</v>
      </c>
      <c r="Q534" s="10" t="s">
        <v>41</v>
      </c>
      <c r="R534" s="10" t="s">
        <v>4844</v>
      </c>
      <c r="S534" s="10" t="s">
        <v>4845</v>
      </c>
      <c r="T534" s="10"/>
      <c r="U534" s="10" t="s">
        <v>4846</v>
      </c>
      <c r="V534" s="3">
        <v>10000000</v>
      </c>
      <c r="W534" s="3">
        <v>2173713000</v>
      </c>
      <c r="X534" s="3">
        <v>548553000</v>
      </c>
      <c r="Y534" s="3">
        <v>1225421000</v>
      </c>
      <c r="Z534" s="3">
        <v>649245000</v>
      </c>
      <c r="AA534" s="3">
        <v>503375000</v>
      </c>
      <c r="AB534" s="3">
        <v>143318000</v>
      </c>
      <c r="AC534" s="3">
        <v>210645000</v>
      </c>
      <c r="AD534" s="3">
        <v>201690000</v>
      </c>
      <c r="AE534" s="10"/>
      <c r="AF534" s="10" t="s">
        <v>4847</v>
      </c>
      <c r="AG534" s="10" t="s">
        <v>46</v>
      </c>
    </row>
    <row r="535" spans="1:33" ht="15.75" x14ac:dyDescent="0.25">
      <c r="A535" s="1">
        <v>1122124000283</v>
      </c>
      <c r="B535" s="6">
        <v>2124035391</v>
      </c>
      <c r="C535" s="7" t="s">
        <v>4848</v>
      </c>
      <c r="D535" s="7" t="s">
        <v>4849</v>
      </c>
      <c r="E535" s="6">
        <v>90960927</v>
      </c>
      <c r="F535" s="6">
        <v>97401000000</v>
      </c>
      <c r="G535" s="6">
        <v>16</v>
      </c>
      <c r="H535" s="6">
        <v>12300</v>
      </c>
      <c r="I535" s="6">
        <v>213001001</v>
      </c>
      <c r="J535" s="7" t="s">
        <v>4850</v>
      </c>
      <c r="K535" s="7"/>
      <c r="L535" s="1" t="s">
        <v>4851</v>
      </c>
      <c r="M535" s="7" t="s">
        <v>4852</v>
      </c>
      <c r="N535" s="7" t="s">
        <v>4853</v>
      </c>
      <c r="O535" s="7" t="s">
        <v>4854</v>
      </c>
      <c r="P535" s="8">
        <v>211001149374</v>
      </c>
      <c r="Q535" s="7" t="s">
        <v>41</v>
      </c>
      <c r="R535" s="7" t="s">
        <v>4855</v>
      </c>
      <c r="S535" s="7" t="s">
        <v>4856</v>
      </c>
      <c r="T535" s="7" t="s">
        <v>4857</v>
      </c>
      <c r="U535" s="7" t="s">
        <v>4858</v>
      </c>
      <c r="V535" s="1">
        <v>10000000</v>
      </c>
      <c r="W535" s="1">
        <v>2906232000</v>
      </c>
      <c r="X535" s="1">
        <v>793650000</v>
      </c>
      <c r="Y535" s="1">
        <v>235065000</v>
      </c>
      <c r="Z535" s="1">
        <v>303960000</v>
      </c>
      <c r="AA535" s="1">
        <v>343942000</v>
      </c>
      <c r="AB535" s="1">
        <v>257714000</v>
      </c>
      <c r="AC535" s="1">
        <v>258594000</v>
      </c>
      <c r="AD535" s="1">
        <v>332195000</v>
      </c>
      <c r="AE535" s="7"/>
      <c r="AF535" s="7" t="s">
        <v>4859</v>
      </c>
      <c r="AG535" s="7" t="s">
        <v>46</v>
      </c>
    </row>
    <row r="536" spans="1:33" ht="15.75" x14ac:dyDescent="0.25">
      <c r="A536" s="3">
        <v>1162130061477</v>
      </c>
      <c r="B536" s="9">
        <v>2130174989</v>
      </c>
      <c r="C536" s="10" t="s">
        <v>4860</v>
      </c>
      <c r="D536" s="10" t="s">
        <v>4861</v>
      </c>
      <c r="E536" s="9">
        <v>3521857</v>
      </c>
      <c r="F536" s="9">
        <v>97401000000</v>
      </c>
      <c r="G536" s="9">
        <v>16</v>
      </c>
      <c r="H536" s="9">
        <v>12300</v>
      </c>
      <c r="I536" s="9">
        <v>213001001</v>
      </c>
      <c r="J536" s="10" t="s">
        <v>4862</v>
      </c>
      <c r="K536" s="10"/>
      <c r="L536" s="3" t="s">
        <v>3081</v>
      </c>
      <c r="M536" s="10" t="s">
        <v>3082</v>
      </c>
      <c r="N536" s="10" t="s">
        <v>4863</v>
      </c>
      <c r="O536" s="10" t="s">
        <v>4864</v>
      </c>
      <c r="P536" s="11">
        <v>463207275856</v>
      </c>
      <c r="Q536" s="10" t="s">
        <v>41</v>
      </c>
      <c r="R536" s="10" t="s">
        <v>4865</v>
      </c>
      <c r="S536" s="10" t="s">
        <v>4866</v>
      </c>
      <c r="T536" s="10"/>
      <c r="U536" s="10" t="s">
        <v>4867</v>
      </c>
      <c r="V536" s="3">
        <v>4000000</v>
      </c>
      <c r="W536" s="3">
        <v>11010531000</v>
      </c>
      <c r="X536" s="3">
        <v>73940000</v>
      </c>
      <c r="Y536" s="3">
        <v>1060618000</v>
      </c>
      <c r="Z536" s="3">
        <v>2633470000</v>
      </c>
      <c r="AA536" s="3">
        <v>3704841000</v>
      </c>
      <c r="AB536" s="3">
        <v>40314000</v>
      </c>
      <c r="AC536" s="3">
        <v>300667000</v>
      </c>
      <c r="AD536" s="3">
        <v>57027000</v>
      </c>
      <c r="AE536" s="10"/>
      <c r="AF536" s="10" t="s">
        <v>2138</v>
      </c>
      <c r="AG536" s="10" t="s">
        <v>46</v>
      </c>
    </row>
    <row r="537" spans="1:33" ht="15.75" x14ac:dyDescent="0.25">
      <c r="A537" s="1">
        <v>1172130013681</v>
      </c>
      <c r="B537" s="6">
        <v>2130193156</v>
      </c>
      <c r="C537" s="7" t="s">
        <v>4868</v>
      </c>
      <c r="D537" s="7" t="s">
        <v>4869</v>
      </c>
      <c r="E537" s="6">
        <v>19638320</v>
      </c>
      <c r="F537" s="6">
        <v>97401000000</v>
      </c>
      <c r="G537" s="6">
        <v>16</v>
      </c>
      <c r="H537" s="6">
        <v>12300</v>
      </c>
      <c r="I537" s="6">
        <v>213001001</v>
      </c>
      <c r="J537" s="7" t="s">
        <v>4870</v>
      </c>
      <c r="K537" s="7"/>
      <c r="L537" s="1" t="s">
        <v>4871</v>
      </c>
      <c r="M537" s="7" t="s">
        <v>4872</v>
      </c>
      <c r="N537" s="7" t="s">
        <v>4873</v>
      </c>
      <c r="O537" s="7" t="s">
        <v>4874</v>
      </c>
      <c r="P537" s="8">
        <v>166016303250</v>
      </c>
      <c r="Q537" s="7" t="s">
        <v>41</v>
      </c>
      <c r="R537" s="7" t="s">
        <v>4875</v>
      </c>
      <c r="S537" s="7" t="s">
        <v>4876</v>
      </c>
      <c r="T537" s="7"/>
      <c r="U537" s="7"/>
      <c r="V537" s="1">
        <v>1000000</v>
      </c>
      <c r="W537" s="1">
        <v>1689285000</v>
      </c>
      <c r="X537" s="1">
        <v>2086000</v>
      </c>
      <c r="Y537" s="1">
        <v>14681000</v>
      </c>
      <c r="Z537" s="1">
        <v>66000000</v>
      </c>
      <c r="AA537" s="1">
        <v>20158000</v>
      </c>
      <c r="AB537" s="1">
        <v>14296000</v>
      </c>
      <c r="AC537" s="1">
        <v>38241000</v>
      </c>
      <c r="AD537" s="1">
        <v>18648000</v>
      </c>
      <c r="AE537" s="7" t="s">
        <v>730</v>
      </c>
      <c r="AF537" s="7" t="s">
        <v>461</v>
      </c>
      <c r="AG537" s="7" t="s">
        <v>46</v>
      </c>
    </row>
    <row r="538" spans="1:33" ht="15.75" x14ac:dyDescent="0.25">
      <c r="A538" s="3">
        <v>1022101628340</v>
      </c>
      <c r="B538" s="9">
        <v>2122000643</v>
      </c>
      <c r="C538" s="10" t="s">
        <v>4877</v>
      </c>
      <c r="D538" s="10" t="s">
        <v>4878</v>
      </c>
      <c r="E538" s="9">
        <v>24322955</v>
      </c>
      <c r="F538" s="9">
        <v>97404000000</v>
      </c>
      <c r="G538" s="9">
        <v>16</v>
      </c>
      <c r="H538" s="9">
        <v>12267</v>
      </c>
      <c r="I538" s="9">
        <v>212201001</v>
      </c>
      <c r="J538" s="10" t="s">
        <v>4879</v>
      </c>
      <c r="K538" s="10"/>
      <c r="L538" s="3" t="s">
        <v>2124</v>
      </c>
      <c r="M538" s="10" t="s">
        <v>2125</v>
      </c>
      <c r="N538" s="10" t="s">
        <v>4880</v>
      </c>
      <c r="O538" s="10" t="s">
        <v>4881</v>
      </c>
      <c r="P538" s="11">
        <v>212200811690</v>
      </c>
      <c r="Q538" s="10" t="s">
        <v>41</v>
      </c>
      <c r="R538" s="10" t="s">
        <v>4882</v>
      </c>
      <c r="S538" s="10" t="s">
        <v>4883</v>
      </c>
      <c r="T538" s="10" t="s">
        <v>4884</v>
      </c>
      <c r="U538" s="10" t="s">
        <v>4885</v>
      </c>
      <c r="V538" s="3">
        <v>7092429</v>
      </c>
      <c r="W538" s="3">
        <v>1458985000</v>
      </c>
      <c r="X538" s="3">
        <v>0</v>
      </c>
      <c r="Y538" s="3">
        <v>314920000</v>
      </c>
      <c r="Z538" s="3">
        <v>124650000</v>
      </c>
      <c r="AA538" s="3">
        <v>269506000</v>
      </c>
      <c r="AB538" s="3">
        <v>417987000</v>
      </c>
      <c r="AC538" s="3">
        <v>447957000</v>
      </c>
      <c r="AD538" s="3">
        <v>525380000</v>
      </c>
      <c r="AE538" s="10"/>
      <c r="AF538" s="10"/>
      <c r="AG538" s="10" t="s">
        <v>46</v>
      </c>
    </row>
    <row r="539" spans="1:33" ht="15.75" x14ac:dyDescent="0.25">
      <c r="A539" s="1">
        <v>1142130001430</v>
      </c>
      <c r="B539" s="6">
        <v>2130132322</v>
      </c>
      <c r="C539" s="7" t="s">
        <v>4886</v>
      </c>
      <c r="D539" s="7" t="s">
        <v>4887</v>
      </c>
      <c r="E539" s="6">
        <v>24333858</v>
      </c>
      <c r="F539" s="6">
        <v>97401000000</v>
      </c>
      <c r="G539" s="6">
        <v>16</v>
      </c>
      <c r="H539" s="6">
        <v>12300</v>
      </c>
      <c r="I539" s="6">
        <v>213001001</v>
      </c>
      <c r="J539" s="7" t="s">
        <v>4888</v>
      </c>
      <c r="K539" s="7"/>
      <c r="L539" s="1" t="s">
        <v>4889</v>
      </c>
      <c r="M539" s="7" t="s">
        <v>4890</v>
      </c>
      <c r="N539" s="7" t="s">
        <v>4891</v>
      </c>
      <c r="O539" s="7" t="s">
        <v>4892</v>
      </c>
      <c r="P539" s="8">
        <v>344211289801</v>
      </c>
      <c r="Q539" s="7" t="s">
        <v>4893</v>
      </c>
      <c r="R539" s="7" t="s">
        <v>4894</v>
      </c>
      <c r="S539" s="7" t="s">
        <v>4895</v>
      </c>
      <c r="T539" s="7"/>
      <c r="U539" s="7" t="s">
        <v>4896</v>
      </c>
      <c r="V539" s="1">
        <v>1020000</v>
      </c>
      <c r="W539" s="1">
        <v>1229199000</v>
      </c>
      <c r="X539" s="1">
        <v>17144000</v>
      </c>
      <c r="Y539" s="1">
        <v>79000</v>
      </c>
      <c r="Z539" s="1">
        <v>255692000</v>
      </c>
      <c r="AA539" s="1">
        <v>381607000</v>
      </c>
      <c r="AB539" s="1">
        <v>-33937000</v>
      </c>
      <c r="AC539" s="1">
        <v>-74858000</v>
      </c>
      <c r="AD539" s="1">
        <v>-53756000</v>
      </c>
      <c r="AE539" s="7" t="s">
        <v>730</v>
      </c>
      <c r="AF539" s="7" t="s">
        <v>296</v>
      </c>
      <c r="AG539" s="7" t="s">
        <v>46</v>
      </c>
    </row>
    <row r="540" spans="1:33" ht="15.75" x14ac:dyDescent="0.25">
      <c r="A540" s="1">
        <v>1022103028639</v>
      </c>
      <c r="B540" s="6">
        <v>2125000458</v>
      </c>
      <c r="C540" s="7" t="s">
        <v>4897</v>
      </c>
      <c r="D540" s="7" t="s">
        <v>4898</v>
      </c>
      <c r="E540" s="6">
        <v>5808706</v>
      </c>
      <c r="F540" s="6">
        <v>97413000000</v>
      </c>
      <c r="G540" s="6">
        <v>16</v>
      </c>
      <c r="H540" s="6">
        <v>12267</v>
      </c>
      <c r="I540" s="6">
        <v>212501001</v>
      </c>
      <c r="J540" s="7" t="s">
        <v>4899</v>
      </c>
      <c r="K540" s="7"/>
      <c r="L540" s="1" t="s">
        <v>4772</v>
      </c>
      <c r="M540" s="7" t="s">
        <v>4773</v>
      </c>
      <c r="N540" s="7" t="s">
        <v>4900</v>
      </c>
      <c r="O540" s="7" t="s">
        <v>4901</v>
      </c>
      <c r="P540" s="8">
        <v>7702506714</v>
      </c>
      <c r="Q540" s="7" t="s">
        <v>90</v>
      </c>
      <c r="R540" s="7" t="s">
        <v>4902</v>
      </c>
      <c r="S540" s="7" t="s">
        <v>4903</v>
      </c>
      <c r="T540" s="7" t="s">
        <v>4904</v>
      </c>
      <c r="U540" s="7" t="s">
        <v>4905</v>
      </c>
      <c r="V540" s="1">
        <v>4077047</v>
      </c>
      <c r="W540" s="1">
        <v>5010495000</v>
      </c>
      <c r="X540" s="1">
        <v>287947000</v>
      </c>
      <c r="Y540" s="1">
        <v>1753436000</v>
      </c>
      <c r="Z540" s="1">
        <v>1772082000</v>
      </c>
      <c r="AA540" s="1">
        <v>2698169000</v>
      </c>
      <c r="AB540" s="1">
        <v>354499000</v>
      </c>
      <c r="AC540" s="1">
        <v>155963000</v>
      </c>
      <c r="AD540" s="1">
        <v>374018000</v>
      </c>
      <c r="AE540" s="7"/>
      <c r="AF540" s="7"/>
      <c r="AG540" s="7" t="s">
        <v>46</v>
      </c>
    </row>
    <row r="541" spans="1:33" ht="15.75" x14ac:dyDescent="0.25">
      <c r="A541" s="3">
        <v>1082133000344</v>
      </c>
      <c r="B541" s="9">
        <v>2104007660</v>
      </c>
      <c r="C541" s="10" t="s">
        <v>4906</v>
      </c>
      <c r="D541" s="10" t="s">
        <v>4907</v>
      </c>
      <c r="E541" s="9">
        <v>85851159</v>
      </c>
      <c r="F541" s="9">
        <v>97210830001</v>
      </c>
      <c r="G541" s="9">
        <v>16</v>
      </c>
      <c r="H541" s="9">
        <v>12300</v>
      </c>
      <c r="I541" s="9">
        <v>210401001</v>
      </c>
      <c r="J541" s="10" t="s">
        <v>4908</v>
      </c>
      <c r="K541" s="10"/>
      <c r="L541" s="3" t="s">
        <v>2096</v>
      </c>
      <c r="M541" s="10" t="s">
        <v>2097</v>
      </c>
      <c r="N541" s="10" t="s">
        <v>4909</v>
      </c>
      <c r="O541" s="10" t="s">
        <v>4910</v>
      </c>
      <c r="P541" s="11">
        <v>210990317540</v>
      </c>
      <c r="Q541" s="10" t="s">
        <v>150</v>
      </c>
      <c r="R541" s="10" t="s">
        <v>4323</v>
      </c>
      <c r="S541" s="10" t="s">
        <v>4911</v>
      </c>
      <c r="T541" s="10" t="s">
        <v>4912</v>
      </c>
      <c r="U541" s="10" t="s">
        <v>4913</v>
      </c>
      <c r="V541" s="3">
        <v>3281000</v>
      </c>
      <c r="W541" s="3">
        <v>2419692000</v>
      </c>
      <c r="X541" s="3">
        <v>479951000</v>
      </c>
      <c r="Y541" s="3">
        <v>107916000</v>
      </c>
      <c r="Z541" s="3">
        <v>383613000</v>
      </c>
      <c r="AA541" s="3">
        <v>459062000</v>
      </c>
      <c r="AB541" s="3">
        <v>69785000</v>
      </c>
      <c r="AC541" s="3">
        <v>67416000</v>
      </c>
      <c r="AD541" s="3">
        <v>87641000</v>
      </c>
      <c r="AE541" s="10"/>
      <c r="AF541" s="10" t="s">
        <v>4914</v>
      </c>
      <c r="AG541" s="10" t="s">
        <v>46</v>
      </c>
    </row>
    <row r="542" spans="1:33" ht="15.75" x14ac:dyDescent="0.25">
      <c r="A542" s="1">
        <v>1022101268716</v>
      </c>
      <c r="B542" s="6">
        <v>2129042924</v>
      </c>
      <c r="C542" s="7" t="s">
        <v>4915</v>
      </c>
      <c r="D542" s="7" t="s">
        <v>4916</v>
      </c>
      <c r="E542" s="6">
        <v>54088882</v>
      </c>
      <c r="F542" s="6">
        <v>97401000000</v>
      </c>
      <c r="G542" s="6">
        <v>16</v>
      </c>
      <c r="H542" s="6">
        <v>12300</v>
      </c>
      <c r="I542" s="6">
        <v>213001001</v>
      </c>
      <c r="J542" s="7" t="s">
        <v>4917</v>
      </c>
      <c r="K542" s="7"/>
      <c r="L542" s="1" t="s">
        <v>2124</v>
      </c>
      <c r="M542" s="7" t="s">
        <v>2125</v>
      </c>
      <c r="N542" s="7" t="s">
        <v>4918</v>
      </c>
      <c r="O542" s="7" t="s">
        <v>4919</v>
      </c>
      <c r="P542" s="8">
        <v>212900526835</v>
      </c>
      <c r="Q542" s="7" t="s">
        <v>340</v>
      </c>
      <c r="R542" s="7" t="s">
        <v>4920</v>
      </c>
      <c r="S542" s="7" t="s">
        <v>4921</v>
      </c>
      <c r="T542" s="7" t="s">
        <v>4922</v>
      </c>
      <c r="U542" s="7" t="s">
        <v>4923</v>
      </c>
      <c r="V542" s="1">
        <v>10000000</v>
      </c>
      <c r="W542" s="1">
        <v>7552174000</v>
      </c>
      <c r="X542" s="1">
        <v>549619000</v>
      </c>
      <c r="Y542" s="1">
        <v>771569000</v>
      </c>
      <c r="Z542" s="1">
        <v>1210872000</v>
      </c>
      <c r="AA542" s="1">
        <v>703239000</v>
      </c>
      <c r="AB542" s="1">
        <v>2184418000</v>
      </c>
      <c r="AC542" s="1">
        <v>2710804000</v>
      </c>
      <c r="AD542" s="1">
        <v>2907666000</v>
      </c>
      <c r="AE542" s="7"/>
      <c r="AF542" s="7" t="s">
        <v>4924</v>
      </c>
      <c r="AG542" s="7" t="s">
        <v>46</v>
      </c>
    </row>
    <row r="543" spans="1:33" ht="15.75" x14ac:dyDescent="0.25">
      <c r="A543" s="1">
        <v>1022101276735</v>
      </c>
      <c r="B543" s="6">
        <v>2129041046</v>
      </c>
      <c r="C543" s="7" t="s">
        <v>4925</v>
      </c>
      <c r="D543" s="7" t="s">
        <v>4926</v>
      </c>
      <c r="E543" s="6">
        <v>54080722</v>
      </c>
      <c r="F543" s="6">
        <v>97401000000</v>
      </c>
      <c r="G543" s="6">
        <v>16</v>
      </c>
      <c r="H543" s="6">
        <v>12300</v>
      </c>
      <c r="I543" s="6">
        <v>213001001</v>
      </c>
      <c r="J543" s="7" t="s">
        <v>4927</v>
      </c>
      <c r="K543" s="7"/>
      <c r="L543" s="1" t="s">
        <v>2124</v>
      </c>
      <c r="M543" s="7" t="s">
        <v>2125</v>
      </c>
      <c r="N543" s="7" t="s">
        <v>4928</v>
      </c>
      <c r="O543" s="7" t="s">
        <v>4929</v>
      </c>
      <c r="P543" s="8">
        <v>772860440972</v>
      </c>
      <c r="Q543" s="7" t="s">
        <v>41</v>
      </c>
      <c r="R543" s="7" t="s">
        <v>4575</v>
      </c>
      <c r="S543" s="7" t="s">
        <v>4930</v>
      </c>
      <c r="T543" s="7" t="s">
        <v>4931</v>
      </c>
      <c r="U543" s="7" t="s">
        <v>4932</v>
      </c>
      <c r="V543" s="1">
        <v>6560300</v>
      </c>
      <c r="W543" s="1">
        <v>1656626000</v>
      </c>
      <c r="X543" s="1">
        <v>67055000</v>
      </c>
      <c r="Y543" s="1">
        <v>424438000</v>
      </c>
      <c r="Z543" s="1">
        <v>457249000</v>
      </c>
      <c r="AA543" s="1">
        <v>303778000</v>
      </c>
      <c r="AB543" s="1">
        <v>357182000</v>
      </c>
      <c r="AC543" s="1">
        <v>471681000</v>
      </c>
      <c r="AD543" s="1">
        <v>451844000</v>
      </c>
      <c r="AE543" s="7"/>
      <c r="AF543" s="7"/>
      <c r="AG543" s="7" t="s">
        <v>46</v>
      </c>
    </row>
    <row r="544" spans="1:33" ht="15.75" x14ac:dyDescent="0.25">
      <c r="A544" s="3">
        <v>1022100967635</v>
      </c>
      <c r="B544" s="9">
        <v>2127009135</v>
      </c>
      <c r="C544" s="10" t="s">
        <v>4933</v>
      </c>
      <c r="D544" s="10" t="s">
        <v>4934</v>
      </c>
      <c r="E544" s="9">
        <v>214497</v>
      </c>
      <c r="F544" s="9">
        <v>97401000000</v>
      </c>
      <c r="G544" s="9">
        <v>16</v>
      </c>
      <c r="H544" s="9">
        <v>12267</v>
      </c>
      <c r="I544" s="9">
        <v>213001001</v>
      </c>
      <c r="J544" s="10" t="s">
        <v>1374</v>
      </c>
      <c r="K544" s="10"/>
      <c r="L544" s="3" t="s">
        <v>4613</v>
      </c>
      <c r="M544" s="10" t="s">
        <v>4614</v>
      </c>
      <c r="N544" s="10" t="s">
        <v>4935</v>
      </c>
      <c r="O544" s="10" t="s">
        <v>4936</v>
      </c>
      <c r="P544" s="11">
        <v>211601363404</v>
      </c>
      <c r="Q544" s="10" t="s">
        <v>41</v>
      </c>
      <c r="R544" s="10" t="s">
        <v>4937</v>
      </c>
      <c r="S544" s="10" t="s">
        <v>4938</v>
      </c>
      <c r="T544" s="10" t="s">
        <v>4939</v>
      </c>
      <c r="U544" s="10" t="s">
        <v>4940</v>
      </c>
      <c r="V544" s="3">
        <v>1862600</v>
      </c>
      <c r="W544" s="3">
        <v>2508146000</v>
      </c>
      <c r="X544" s="3">
        <v>373355000</v>
      </c>
      <c r="Y544" s="3">
        <v>706064000</v>
      </c>
      <c r="Z544" s="3">
        <v>329569000</v>
      </c>
      <c r="AA544" s="3">
        <v>236793000</v>
      </c>
      <c r="AB544" s="3">
        <v>433950000</v>
      </c>
      <c r="AC544" s="3">
        <v>563149000</v>
      </c>
      <c r="AD544" s="3">
        <v>560211000</v>
      </c>
      <c r="AE544" s="10"/>
      <c r="AF544" s="10"/>
      <c r="AG544" s="10" t="s">
        <v>46</v>
      </c>
    </row>
    <row r="545" spans="1:33" ht="15.75" x14ac:dyDescent="0.25">
      <c r="A545" s="1">
        <v>1112130013270</v>
      </c>
      <c r="B545" s="6">
        <v>2130094170</v>
      </c>
      <c r="C545" s="7" t="s">
        <v>4941</v>
      </c>
      <c r="D545" s="7" t="s">
        <v>4942</v>
      </c>
      <c r="E545" s="6">
        <v>94073637</v>
      </c>
      <c r="F545" s="6">
        <v>97401000000</v>
      </c>
      <c r="G545" s="6">
        <v>16</v>
      </c>
      <c r="H545" s="6">
        <v>12267</v>
      </c>
      <c r="I545" s="6">
        <v>213001001</v>
      </c>
      <c r="J545" s="7" t="s">
        <v>4943</v>
      </c>
      <c r="K545" s="7"/>
      <c r="L545" s="1" t="s">
        <v>914</v>
      </c>
      <c r="M545" s="7" t="s">
        <v>915</v>
      </c>
      <c r="N545" s="7" t="s">
        <v>4944</v>
      </c>
      <c r="O545" s="7" t="s">
        <v>4945</v>
      </c>
      <c r="P545" s="8">
        <v>772410397702</v>
      </c>
      <c r="Q545" s="7" t="s">
        <v>41</v>
      </c>
      <c r="R545" s="7" t="s">
        <v>4564</v>
      </c>
      <c r="S545" s="7" t="s">
        <v>4946</v>
      </c>
      <c r="T545" s="7" t="s">
        <v>4947</v>
      </c>
      <c r="U545" s="7" t="s">
        <v>4948</v>
      </c>
      <c r="V545" s="1">
        <v>1000000</v>
      </c>
      <c r="W545" s="1">
        <v>1794987000</v>
      </c>
      <c r="X545" s="1">
        <v>101071000</v>
      </c>
      <c r="Y545" s="1">
        <v>658090000</v>
      </c>
      <c r="Z545" s="1">
        <v>534941000</v>
      </c>
      <c r="AA545" s="1">
        <v>1628581000</v>
      </c>
      <c r="AB545" s="1">
        <v>135602000</v>
      </c>
      <c r="AC545" s="1">
        <v>209507000</v>
      </c>
      <c r="AD545" s="1">
        <v>176797000</v>
      </c>
      <c r="AE545" s="7"/>
      <c r="AF545" s="7"/>
      <c r="AG545" s="7" t="s">
        <v>46</v>
      </c>
    </row>
    <row r="546" spans="1:33" ht="15.75" x14ac:dyDescent="0.25">
      <c r="A546" s="3">
        <v>1022101131051</v>
      </c>
      <c r="B546" s="9">
        <v>2128002220</v>
      </c>
      <c r="C546" s="10" t="s">
        <v>4949</v>
      </c>
      <c r="D546" s="10" t="s">
        <v>4950</v>
      </c>
      <c r="E546" s="9">
        <v>1439034</v>
      </c>
      <c r="F546" s="9">
        <v>97401000000</v>
      </c>
      <c r="G546" s="9">
        <v>16</v>
      </c>
      <c r="H546" s="9">
        <v>12267</v>
      </c>
      <c r="I546" s="9">
        <v>213001001</v>
      </c>
      <c r="J546" s="10" t="s">
        <v>4951</v>
      </c>
      <c r="K546" s="10"/>
      <c r="L546" s="3" t="s">
        <v>4783</v>
      </c>
      <c r="M546" s="10" t="s">
        <v>4784</v>
      </c>
      <c r="N546" s="10" t="s">
        <v>4952</v>
      </c>
      <c r="O546" s="10" t="s">
        <v>4953</v>
      </c>
      <c r="P546" s="11">
        <v>212700260112</v>
      </c>
      <c r="Q546" s="10" t="s">
        <v>41</v>
      </c>
      <c r="R546" s="10" t="s">
        <v>4954</v>
      </c>
      <c r="S546" s="10" t="s">
        <v>4955</v>
      </c>
      <c r="T546" s="10" t="s">
        <v>4956</v>
      </c>
      <c r="U546" s="10" t="s">
        <v>4957</v>
      </c>
      <c r="V546" s="3">
        <v>148300</v>
      </c>
      <c r="W546" s="3">
        <v>3778133000</v>
      </c>
      <c r="X546" s="3">
        <v>726821000</v>
      </c>
      <c r="Y546" s="3">
        <v>1673660000</v>
      </c>
      <c r="Z546" s="3">
        <v>2084939000</v>
      </c>
      <c r="AA546" s="3">
        <v>466104000</v>
      </c>
      <c r="AB546" s="3">
        <v>1105333000</v>
      </c>
      <c r="AC546" s="3">
        <v>999270000</v>
      </c>
      <c r="AD546" s="3">
        <v>1205981000</v>
      </c>
      <c r="AE546" s="10"/>
      <c r="AF546" s="10" t="s">
        <v>4958</v>
      </c>
      <c r="AG546" s="10" t="s">
        <v>46</v>
      </c>
    </row>
    <row r="547" spans="1:33" ht="15.75" x14ac:dyDescent="0.25">
      <c r="A547" s="1">
        <v>1022100967217</v>
      </c>
      <c r="B547" s="6">
        <v>2126000147</v>
      </c>
      <c r="C547" s="7" t="s">
        <v>4959</v>
      </c>
      <c r="D547" s="7" t="s">
        <v>4960</v>
      </c>
      <c r="E547" s="6">
        <v>361790</v>
      </c>
      <c r="F547" s="6">
        <v>97401000000</v>
      </c>
      <c r="G547" s="6">
        <v>16</v>
      </c>
      <c r="H547" s="6">
        <v>12267</v>
      </c>
      <c r="I547" s="6">
        <v>213001001</v>
      </c>
      <c r="J547" s="7" t="s">
        <v>1374</v>
      </c>
      <c r="K547" s="7"/>
      <c r="L547" s="1" t="s">
        <v>4961</v>
      </c>
      <c r="M547" s="7" t="s">
        <v>4962</v>
      </c>
      <c r="N547" s="7" t="s">
        <v>4963</v>
      </c>
      <c r="O547" s="7" t="s">
        <v>4964</v>
      </c>
      <c r="P547" s="8">
        <v>212803327873</v>
      </c>
      <c r="Q547" s="7" t="s">
        <v>41</v>
      </c>
      <c r="R547" s="7" t="s">
        <v>4965</v>
      </c>
      <c r="S547" s="7" t="s">
        <v>4966</v>
      </c>
      <c r="T547" s="7" t="s">
        <v>4967</v>
      </c>
      <c r="U547" s="7" t="s">
        <v>4968</v>
      </c>
      <c r="V547" s="1">
        <v>445767</v>
      </c>
      <c r="W547" s="1">
        <v>18925717000</v>
      </c>
      <c r="X547" s="1">
        <v>2554612000</v>
      </c>
      <c r="Y547" s="1">
        <v>2612138000</v>
      </c>
      <c r="Z547" s="1">
        <v>1711268000</v>
      </c>
      <c r="AA547" s="1">
        <v>1224868000</v>
      </c>
      <c r="AB547" s="1">
        <v>2852109000</v>
      </c>
      <c r="AC547" s="1">
        <v>3476829000</v>
      </c>
      <c r="AD547" s="1">
        <v>3502519000</v>
      </c>
      <c r="AE547" s="7"/>
      <c r="AF547" s="7" t="s">
        <v>4969</v>
      </c>
      <c r="AG547" s="7" t="s">
        <v>46</v>
      </c>
    </row>
    <row r="548" spans="1:33" ht="15.75" x14ac:dyDescent="0.25">
      <c r="A548" s="3">
        <v>1052128139997</v>
      </c>
      <c r="B548" s="9">
        <v>2129064075</v>
      </c>
      <c r="C548" s="10" t="s">
        <v>4970</v>
      </c>
      <c r="D548" s="10" t="s">
        <v>4971</v>
      </c>
      <c r="E548" s="9">
        <v>75712646</v>
      </c>
      <c r="F548" s="9">
        <v>97401000000</v>
      </c>
      <c r="G548" s="9">
        <v>16</v>
      </c>
      <c r="H548" s="9">
        <v>12300</v>
      </c>
      <c r="I548" s="9">
        <v>213001001</v>
      </c>
      <c r="J548" s="10" t="s">
        <v>4972</v>
      </c>
      <c r="K548" s="10"/>
      <c r="L548" s="3" t="s">
        <v>4973</v>
      </c>
      <c r="M548" s="10" t="s">
        <v>4974</v>
      </c>
      <c r="N548" s="10" t="s">
        <v>4975</v>
      </c>
      <c r="O548" s="10" t="s">
        <v>4976</v>
      </c>
      <c r="P548" s="11">
        <v>212803743922</v>
      </c>
      <c r="Q548" s="10" t="s">
        <v>150</v>
      </c>
      <c r="R548" s="10" t="s">
        <v>4977</v>
      </c>
      <c r="S548" s="10" t="s">
        <v>4978</v>
      </c>
      <c r="T548" s="10"/>
      <c r="U548" s="10" t="s">
        <v>4979</v>
      </c>
      <c r="V548" s="3">
        <v>250000</v>
      </c>
      <c r="W548" s="3">
        <v>1064742000</v>
      </c>
      <c r="X548" s="3">
        <v>354823000</v>
      </c>
      <c r="Y548" s="3">
        <v>52120000</v>
      </c>
      <c r="Z548" s="3">
        <v>30899000</v>
      </c>
      <c r="AA548" s="3">
        <v>45309000</v>
      </c>
      <c r="AB548" s="3">
        <v>172565000</v>
      </c>
      <c r="AC548" s="3">
        <v>109021000</v>
      </c>
      <c r="AD548" s="3">
        <v>200108000</v>
      </c>
      <c r="AE548" s="10" t="s">
        <v>730</v>
      </c>
      <c r="AF548" s="10" t="s">
        <v>4980</v>
      </c>
      <c r="AG548" s="10" t="s">
        <v>46</v>
      </c>
    </row>
    <row r="549" spans="1:33" ht="15.75" x14ac:dyDescent="0.25">
      <c r="A549" s="1">
        <v>1122130002818</v>
      </c>
      <c r="B549" s="6">
        <v>2130100264</v>
      </c>
      <c r="C549" s="7" t="s">
        <v>4981</v>
      </c>
      <c r="D549" s="7" t="s">
        <v>4982</v>
      </c>
      <c r="E549" s="6">
        <v>90961973</v>
      </c>
      <c r="F549" s="6">
        <v>97401000000</v>
      </c>
      <c r="G549" s="6">
        <v>16</v>
      </c>
      <c r="H549" s="6">
        <v>12300</v>
      </c>
      <c r="I549" s="6">
        <v>213001001</v>
      </c>
      <c r="J549" s="7" t="s">
        <v>4983</v>
      </c>
      <c r="K549" s="7"/>
      <c r="L549" s="1" t="s">
        <v>4984</v>
      </c>
      <c r="M549" s="7" t="s">
        <v>4985</v>
      </c>
      <c r="N549" s="7" t="s">
        <v>4986</v>
      </c>
      <c r="O549" s="7" t="s">
        <v>4987</v>
      </c>
      <c r="P549" s="8">
        <v>212406351291</v>
      </c>
      <c r="Q549" s="7" t="s">
        <v>340</v>
      </c>
      <c r="R549" s="7" t="s">
        <v>4988</v>
      </c>
      <c r="S549" s="7" t="s">
        <v>4989</v>
      </c>
      <c r="T549" s="7"/>
      <c r="U549" s="7" t="s">
        <v>4990</v>
      </c>
      <c r="V549" s="1">
        <v>500000</v>
      </c>
      <c r="W549" s="1">
        <v>1081791000</v>
      </c>
      <c r="X549" s="1">
        <v>34448000</v>
      </c>
      <c r="Y549" s="1">
        <v>412329000</v>
      </c>
      <c r="Z549" s="1">
        <v>326490000</v>
      </c>
      <c r="AA549" s="1">
        <v>759581000</v>
      </c>
      <c r="AB549" s="1">
        <v>14166000</v>
      </c>
      <c r="AC549" s="1">
        <v>23417000</v>
      </c>
      <c r="AD549" s="1">
        <v>13940000</v>
      </c>
      <c r="AE549" s="7" t="s">
        <v>331</v>
      </c>
      <c r="AF549" s="7" t="s">
        <v>2333</v>
      </c>
      <c r="AG549" s="7" t="s">
        <v>46</v>
      </c>
    </row>
    <row r="550" spans="1:33" ht="15.75" x14ac:dyDescent="0.25">
      <c r="A550" s="3">
        <v>1152130007710</v>
      </c>
      <c r="B550" s="9">
        <v>2130155947</v>
      </c>
      <c r="C550" s="10" t="s">
        <v>4991</v>
      </c>
      <c r="D550" s="10" t="s">
        <v>4992</v>
      </c>
      <c r="E550" s="9">
        <v>65677162</v>
      </c>
      <c r="F550" s="9">
        <v>97401000000</v>
      </c>
      <c r="G550" s="9">
        <v>16</v>
      </c>
      <c r="H550" s="9">
        <v>12300</v>
      </c>
      <c r="I550" s="9">
        <v>213001001</v>
      </c>
      <c r="J550" s="10" t="s">
        <v>4993</v>
      </c>
      <c r="K550" s="10"/>
      <c r="L550" s="3" t="s">
        <v>2124</v>
      </c>
      <c r="M550" s="10" t="s">
        <v>2125</v>
      </c>
      <c r="N550" s="10" t="s">
        <v>4994</v>
      </c>
      <c r="O550" s="10" t="s">
        <v>4995</v>
      </c>
      <c r="P550" s="11">
        <v>212711352781</v>
      </c>
      <c r="Q550" s="10" t="s">
        <v>41</v>
      </c>
      <c r="R550" s="10" t="s">
        <v>4996</v>
      </c>
      <c r="S550" s="10" t="s">
        <v>4997</v>
      </c>
      <c r="T550" s="10"/>
      <c r="U550" s="10" t="s">
        <v>4998</v>
      </c>
      <c r="V550" s="3">
        <v>500000</v>
      </c>
      <c r="W550" s="3">
        <v>3014402000</v>
      </c>
      <c r="X550" s="3">
        <v>1469244000</v>
      </c>
      <c r="Y550" s="3">
        <v>1479183000</v>
      </c>
      <c r="Z550" s="3">
        <v>2064563000</v>
      </c>
      <c r="AA550" s="3">
        <v>1672151000</v>
      </c>
      <c r="AB550" s="3">
        <v>362119000</v>
      </c>
      <c r="AC550" s="3">
        <v>884288000</v>
      </c>
      <c r="AD550" s="3">
        <v>443959000</v>
      </c>
      <c r="AE550" s="10"/>
      <c r="AF550" s="10" t="s">
        <v>4999</v>
      </c>
      <c r="AG550" s="10" t="s">
        <v>46</v>
      </c>
    </row>
    <row r="551" spans="1:33" ht="15.75" x14ac:dyDescent="0.25">
      <c r="A551" s="1">
        <v>1132130001464</v>
      </c>
      <c r="B551" s="6">
        <v>2130114764</v>
      </c>
      <c r="C551" s="7" t="s">
        <v>5000</v>
      </c>
      <c r="D551" s="7" t="s">
        <v>5001</v>
      </c>
      <c r="E551" s="6">
        <v>13095427</v>
      </c>
      <c r="F551" s="6">
        <v>97401000000</v>
      </c>
      <c r="G551" s="6">
        <v>16</v>
      </c>
      <c r="H551" s="6">
        <v>12300</v>
      </c>
      <c r="I551" s="6">
        <v>213001001</v>
      </c>
      <c r="J551" s="7" t="s">
        <v>5002</v>
      </c>
      <c r="K551" s="7"/>
      <c r="L551" s="1" t="s">
        <v>523</v>
      </c>
      <c r="M551" s="7" t="s">
        <v>524</v>
      </c>
      <c r="N551" s="7" t="s">
        <v>5003</v>
      </c>
      <c r="O551" s="7" t="s">
        <v>5004</v>
      </c>
      <c r="P551" s="8">
        <v>212884662926</v>
      </c>
      <c r="Q551" s="7" t="s">
        <v>1379</v>
      </c>
      <c r="R551" s="7" t="s">
        <v>5005</v>
      </c>
      <c r="S551" s="7" t="s">
        <v>5006</v>
      </c>
      <c r="T551" s="7"/>
      <c r="U551" s="7"/>
      <c r="V551" s="1">
        <v>150000</v>
      </c>
      <c r="W551" s="1">
        <v>1056024000</v>
      </c>
      <c r="X551" s="1">
        <v>0</v>
      </c>
      <c r="Y551" s="1">
        <v>153000</v>
      </c>
      <c r="Z551" s="1">
        <v>585807000</v>
      </c>
      <c r="AA551" s="1">
        <v>583446000</v>
      </c>
      <c r="AB551" s="1">
        <v>162000</v>
      </c>
      <c r="AC551" s="1">
        <v>587000</v>
      </c>
      <c r="AD551" s="1">
        <v>450000</v>
      </c>
      <c r="AE551" s="7" t="s">
        <v>331</v>
      </c>
      <c r="AF551" s="7" t="s">
        <v>461</v>
      </c>
      <c r="AG551" s="7" t="s">
        <v>46</v>
      </c>
    </row>
    <row r="552" spans="1:33" ht="15.75" x14ac:dyDescent="0.25">
      <c r="A552" s="3">
        <v>1142130001936</v>
      </c>
      <c r="B552" s="9">
        <v>2130132795</v>
      </c>
      <c r="C552" s="10" t="s">
        <v>5007</v>
      </c>
      <c r="D552" s="10" t="s">
        <v>5008</v>
      </c>
      <c r="E552" s="9">
        <v>24334823</v>
      </c>
      <c r="F552" s="9">
        <v>97401000000</v>
      </c>
      <c r="G552" s="9">
        <v>16</v>
      </c>
      <c r="H552" s="9">
        <v>12300</v>
      </c>
      <c r="I552" s="9">
        <v>213001001</v>
      </c>
      <c r="J552" s="10" t="s">
        <v>5009</v>
      </c>
      <c r="K552" s="10"/>
      <c r="L552" s="3" t="s">
        <v>5010</v>
      </c>
      <c r="M552" s="10" t="s">
        <v>5011</v>
      </c>
      <c r="N552" s="10" t="s">
        <v>5012</v>
      </c>
      <c r="O552" s="10" t="s">
        <v>4976</v>
      </c>
      <c r="P552" s="11">
        <v>212803743922</v>
      </c>
      <c r="Q552" s="10" t="s">
        <v>150</v>
      </c>
      <c r="R552" s="10" t="s">
        <v>5013</v>
      </c>
      <c r="S552" s="10" t="s">
        <v>5014</v>
      </c>
      <c r="T552" s="10"/>
      <c r="U552" s="10" t="s">
        <v>5015</v>
      </c>
      <c r="V552" s="3">
        <v>250000</v>
      </c>
      <c r="W552" s="3">
        <v>3929915000</v>
      </c>
      <c r="X552" s="3">
        <v>10859000</v>
      </c>
      <c r="Y552" s="3">
        <v>36661000</v>
      </c>
      <c r="Z552" s="3">
        <v>501415000</v>
      </c>
      <c r="AA552" s="3">
        <v>260779000</v>
      </c>
      <c r="AB552" s="3">
        <v>178020000</v>
      </c>
      <c r="AC552" s="3">
        <v>239376000</v>
      </c>
      <c r="AD552" s="3">
        <v>223305000</v>
      </c>
      <c r="AE552" s="10"/>
      <c r="AF552" s="10" t="s">
        <v>5016</v>
      </c>
      <c r="AG552" s="10" t="s">
        <v>46</v>
      </c>
    </row>
    <row r="553" spans="1:33" ht="15.75" x14ac:dyDescent="0.25">
      <c r="A553" s="1">
        <v>1142130015543</v>
      </c>
      <c r="B553" s="6">
        <v>2130146332</v>
      </c>
      <c r="C553" s="7" t="s">
        <v>5017</v>
      </c>
      <c r="D553" s="7" t="s">
        <v>5018</v>
      </c>
      <c r="E553" s="6">
        <v>5223992</v>
      </c>
      <c r="F553" s="6">
        <v>97401000000</v>
      </c>
      <c r="G553" s="6">
        <v>16</v>
      </c>
      <c r="H553" s="6">
        <v>12300</v>
      </c>
      <c r="I553" s="6">
        <v>213001001</v>
      </c>
      <c r="J553" s="7" t="s">
        <v>5019</v>
      </c>
      <c r="K553" s="7"/>
      <c r="L553" s="1" t="s">
        <v>5020</v>
      </c>
      <c r="M553" s="7" t="s">
        <v>5021</v>
      </c>
      <c r="N553" s="7" t="s">
        <v>5022</v>
      </c>
      <c r="O553" s="7" t="s">
        <v>5023</v>
      </c>
      <c r="P553" s="8">
        <v>212905654453</v>
      </c>
      <c r="Q553" s="7" t="s">
        <v>41</v>
      </c>
      <c r="R553" s="7" t="s">
        <v>5024</v>
      </c>
      <c r="S553" s="7" t="s">
        <v>5025</v>
      </c>
      <c r="T553" s="7"/>
      <c r="U553" s="7" t="s">
        <v>5026</v>
      </c>
      <c r="V553" s="1">
        <v>500000</v>
      </c>
      <c r="W553" s="1">
        <v>1623795000</v>
      </c>
      <c r="X553" s="1">
        <v>292608000</v>
      </c>
      <c r="Y553" s="1">
        <v>80134000</v>
      </c>
      <c r="Z553" s="1">
        <v>43442000</v>
      </c>
      <c r="AA553" s="1">
        <v>99115000</v>
      </c>
      <c r="AB553" s="1">
        <v>-1530000</v>
      </c>
      <c r="AC553" s="1">
        <v>15688000</v>
      </c>
      <c r="AD553" s="1">
        <v>1540000</v>
      </c>
      <c r="AE553" s="7"/>
      <c r="AF553" s="7" t="s">
        <v>5027</v>
      </c>
      <c r="AG553" s="7" t="s">
        <v>46</v>
      </c>
    </row>
    <row r="554" spans="1:33" ht="15.75" x14ac:dyDescent="0.25">
      <c r="A554" s="3">
        <v>1172130002582</v>
      </c>
      <c r="B554" s="9">
        <v>2130184458</v>
      </c>
      <c r="C554" s="10" t="s">
        <v>5028</v>
      </c>
      <c r="D554" s="10" t="s">
        <v>5029</v>
      </c>
      <c r="E554" s="9">
        <v>6800055</v>
      </c>
      <c r="F554" s="9">
        <v>97401000000</v>
      </c>
      <c r="G554" s="9">
        <v>16</v>
      </c>
      <c r="H554" s="9">
        <v>12300</v>
      </c>
      <c r="I554" s="9">
        <v>210001001</v>
      </c>
      <c r="J554" s="10" t="s">
        <v>5030</v>
      </c>
      <c r="K554" s="10"/>
      <c r="L554" s="3" t="s">
        <v>4493</v>
      </c>
      <c r="M554" s="10" t="s">
        <v>4494</v>
      </c>
      <c r="N554" s="10" t="s">
        <v>5031</v>
      </c>
      <c r="O554" s="10" t="s">
        <v>5032</v>
      </c>
      <c r="P554" s="11">
        <v>271204716958</v>
      </c>
      <c r="Q554" s="10" t="s">
        <v>150</v>
      </c>
      <c r="R554" s="10" t="s">
        <v>5033</v>
      </c>
      <c r="S554" s="10" t="s">
        <v>5034</v>
      </c>
      <c r="T554" s="10"/>
      <c r="U554" s="10" t="s">
        <v>5035</v>
      </c>
      <c r="V554" s="3">
        <v>250000</v>
      </c>
      <c r="W554" s="3">
        <v>2378273000</v>
      </c>
      <c r="X554" s="3">
        <v>134833000</v>
      </c>
      <c r="Y554" s="3">
        <v>602218000</v>
      </c>
      <c r="Z554" s="3">
        <v>410665000</v>
      </c>
      <c r="AA554" s="3">
        <v>790888000</v>
      </c>
      <c r="AB554" s="3">
        <v>136141000</v>
      </c>
      <c r="AC554" s="3">
        <v>121755000</v>
      </c>
      <c r="AD554" s="3">
        <v>172929000</v>
      </c>
      <c r="AE554" s="10"/>
      <c r="AF554" s="10" t="s">
        <v>5036</v>
      </c>
      <c r="AG554" s="10" t="s">
        <v>46</v>
      </c>
    </row>
    <row r="555" spans="1:33" ht="15.75" x14ac:dyDescent="0.25">
      <c r="A555" s="3">
        <v>1022100972442</v>
      </c>
      <c r="B555" s="9">
        <v>2127017009</v>
      </c>
      <c r="C555" s="10" t="s">
        <v>5037</v>
      </c>
      <c r="D555" s="10" t="s">
        <v>5038</v>
      </c>
      <c r="E555" s="9">
        <v>24357994</v>
      </c>
      <c r="F555" s="9">
        <v>97401000000</v>
      </c>
      <c r="G555" s="9">
        <v>16</v>
      </c>
      <c r="H555" s="9">
        <v>12267</v>
      </c>
      <c r="I555" s="9">
        <v>213001001</v>
      </c>
      <c r="J555" s="10" t="s">
        <v>5039</v>
      </c>
      <c r="K555" s="10"/>
      <c r="L555" s="3" t="s">
        <v>5040</v>
      </c>
      <c r="M555" s="10" t="s">
        <v>5041</v>
      </c>
      <c r="N555" s="10" t="s">
        <v>5042</v>
      </c>
      <c r="O555" s="10" t="s">
        <v>5043</v>
      </c>
      <c r="P555" s="11" t="s">
        <v>5044</v>
      </c>
      <c r="Q555" s="10" t="s">
        <v>887</v>
      </c>
      <c r="R555" s="10" t="s">
        <v>5045</v>
      </c>
      <c r="S555" s="10" t="s">
        <v>5046</v>
      </c>
      <c r="T555" s="10" t="s">
        <v>5047</v>
      </c>
      <c r="U555" s="10" t="s">
        <v>5048</v>
      </c>
      <c r="V555" s="3">
        <v>200000</v>
      </c>
      <c r="W555" s="3">
        <v>2765080000</v>
      </c>
      <c r="X555" s="3">
        <v>270129000</v>
      </c>
      <c r="Y555" s="3">
        <v>672462000</v>
      </c>
      <c r="Z555" s="3">
        <v>360134000</v>
      </c>
      <c r="AA555" s="3">
        <v>95916000</v>
      </c>
      <c r="AB555" s="3">
        <v>223490000</v>
      </c>
      <c r="AC555" s="3">
        <v>273783000</v>
      </c>
      <c r="AD555" s="3">
        <v>281630000</v>
      </c>
      <c r="AE555" s="10"/>
      <c r="AF555" s="10" t="s">
        <v>5049</v>
      </c>
      <c r="AG555" s="10" t="s">
        <v>46</v>
      </c>
    </row>
    <row r="556" spans="1:33" ht="15.75" x14ac:dyDescent="0.25">
      <c r="A556" s="1">
        <v>1022101131580</v>
      </c>
      <c r="B556" s="6">
        <v>2128001516</v>
      </c>
      <c r="C556" s="7" t="s">
        <v>5050</v>
      </c>
      <c r="D556" s="7" t="s">
        <v>5051</v>
      </c>
      <c r="E556" s="6">
        <v>216823</v>
      </c>
      <c r="F556" s="6">
        <v>97401000000</v>
      </c>
      <c r="G556" s="6">
        <v>16</v>
      </c>
      <c r="H556" s="6">
        <v>12267</v>
      </c>
      <c r="I556" s="6">
        <v>213001001</v>
      </c>
      <c r="J556" s="7" t="s">
        <v>4668</v>
      </c>
      <c r="K556" s="7"/>
      <c r="L556" s="1" t="s">
        <v>914</v>
      </c>
      <c r="M556" s="7" t="s">
        <v>915</v>
      </c>
      <c r="N556" s="7" t="s">
        <v>5052</v>
      </c>
      <c r="O556" s="7" t="s">
        <v>5053</v>
      </c>
      <c r="P556" s="8">
        <v>27411346378</v>
      </c>
      <c r="Q556" s="7" t="s">
        <v>41</v>
      </c>
      <c r="R556" s="7" t="s">
        <v>5054</v>
      </c>
      <c r="S556" s="7" t="s">
        <v>5055</v>
      </c>
      <c r="T556" s="7" t="s">
        <v>5056</v>
      </c>
      <c r="U556" s="7" t="s">
        <v>5057</v>
      </c>
      <c r="V556" s="1">
        <v>324987</v>
      </c>
      <c r="W556" s="1">
        <v>1279533000</v>
      </c>
      <c r="X556" s="1">
        <v>472643000</v>
      </c>
      <c r="Y556" s="1">
        <v>1439786000</v>
      </c>
      <c r="Z556" s="1">
        <v>2655048000</v>
      </c>
      <c r="AA556" s="1">
        <v>699072000</v>
      </c>
      <c r="AB556" s="1">
        <v>96585000</v>
      </c>
      <c r="AC556" s="1">
        <v>253634000</v>
      </c>
      <c r="AD556" s="1">
        <v>187255000</v>
      </c>
      <c r="AE556" s="7"/>
      <c r="AF556" s="7"/>
      <c r="AG556" s="7" t="s">
        <v>46</v>
      </c>
    </row>
    <row r="557" spans="1:33" ht="15.75" x14ac:dyDescent="0.25">
      <c r="A557" s="3">
        <v>1022101143239</v>
      </c>
      <c r="B557" s="9">
        <v>2128042181</v>
      </c>
      <c r="C557" s="10" t="s">
        <v>5058</v>
      </c>
      <c r="D557" s="10" t="s">
        <v>5059</v>
      </c>
      <c r="E557" s="9">
        <v>4679690</v>
      </c>
      <c r="F557" s="9">
        <v>97401000000</v>
      </c>
      <c r="G557" s="9">
        <v>16</v>
      </c>
      <c r="H557" s="9">
        <v>12300</v>
      </c>
      <c r="I557" s="9">
        <v>213001001</v>
      </c>
      <c r="J557" s="10" t="s">
        <v>1271</v>
      </c>
      <c r="K557" s="10"/>
      <c r="L557" s="3" t="s">
        <v>288</v>
      </c>
      <c r="M557" s="10" t="s">
        <v>289</v>
      </c>
      <c r="N557" s="10" t="s">
        <v>5060</v>
      </c>
      <c r="O557" s="10" t="s">
        <v>5061</v>
      </c>
      <c r="P557" s="11">
        <v>212907819044</v>
      </c>
      <c r="Q557" s="10" t="s">
        <v>41</v>
      </c>
      <c r="R557" s="10" t="s">
        <v>5062</v>
      </c>
      <c r="S557" s="10" t="s">
        <v>5063</v>
      </c>
      <c r="T557" s="10"/>
      <c r="U557" s="10" t="s">
        <v>5064</v>
      </c>
      <c r="V557" s="3">
        <v>50000</v>
      </c>
      <c r="W557" s="3">
        <v>2280457000</v>
      </c>
      <c r="X557" s="3">
        <v>188685000</v>
      </c>
      <c r="Y557" s="3">
        <v>144052000</v>
      </c>
      <c r="Z557" s="3">
        <v>360475000</v>
      </c>
      <c r="AA557" s="3">
        <v>733721000</v>
      </c>
      <c r="AB557" s="3">
        <v>2348000</v>
      </c>
      <c r="AC557" s="3">
        <v>27376000</v>
      </c>
      <c r="AD557" s="3">
        <v>12539000</v>
      </c>
      <c r="AE557" s="10"/>
      <c r="AF557" s="10" t="s">
        <v>1565</v>
      </c>
      <c r="AG557" s="10" t="s">
        <v>46</v>
      </c>
    </row>
    <row r="558" spans="1:33" ht="15.75" x14ac:dyDescent="0.25">
      <c r="A558" s="1">
        <v>1022101136210</v>
      </c>
      <c r="B558" s="6">
        <v>2128037311</v>
      </c>
      <c r="C558" s="7" t="s">
        <v>5065</v>
      </c>
      <c r="D558" s="7" t="s">
        <v>5066</v>
      </c>
      <c r="E558" s="6">
        <v>54073018</v>
      </c>
      <c r="F558" s="6">
        <v>97401000000</v>
      </c>
      <c r="G558" s="6">
        <v>16</v>
      </c>
      <c r="H558" s="6">
        <v>12300</v>
      </c>
      <c r="I558" s="6">
        <v>213001001</v>
      </c>
      <c r="J558" s="7" t="s">
        <v>5067</v>
      </c>
      <c r="K558" s="7"/>
      <c r="L558" s="1" t="s">
        <v>2018</v>
      </c>
      <c r="M558" s="7" t="s">
        <v>2019</v>
      </c>
      <c r="N558" s="7" t="s">
        <v>5068</v>
      </c>
      <c r="O558" s="7" t="s">
        <v>5069</v>
      </c>
      <c r="P558" s="8">
        <v>211701008185</v>
      </c>
      <c r="Q558" s="7" t="s">
        <v>150</v>
      </c>
      <c r="R558" s="7" t="s">
        <v>5070</v>
      </c>
      <c r="S558" s="7" t="s">
        <v>5071</v>
      </c>
      <c r="T558" s="7" t="s">
        <v>5072</v>
      </c>
      <c r="U558" s="7" t="s">
        <v>5073</v>
      </c>
      <c r="V558" s="1">
        <v>20000</v>
      </c>
      <c r="W558" s="1">
        <v>1743579000</v>
      </c>
      <c r="X558" s="1">
        <v>70089000</v>
      </c>
      <c r="Y558" s="1">
        <v>444851000</v>
      </c>
      <c r="Z558" s="1">
        <v>93854000</v>
      </c>
      <c r="AA558" s="1">
        <v>121769000</v>
      </c>
      <c r="AB558" s="1">
        <v>217376000</v>
      </c>
      <c r="AC558" s="1">
        <v>268613000</v>
      </c>
      <c r="AD558" s="1">
        <v>272007000</v>
      </c>
      <c r="AE558" s="7" t="s">
        <v>730</v>
      </c>
      <c r="AF558" s="7" t="s">
        <v>5074</v>
      </c>
      <c r="AG558" s="7" t="s">
        <v>46</v>
      </c>
    </row>
    <row r="559" spans="1:33" ht="15.75" x14ac:dyDescent="0.25">
      <c r="A559" s="3">
        <v>1022100967085</v>
      </c>
      <c r="B559" s="9">
        <v>2127010300</v>
      </c>
      <c r="C559" s="10" t="s">
        <v>5075</v>
      </c>
      <c r="D559" s="10" t="s">
        <v>5076</v>
      </c>
      <c r="E559" s="9">
        <v>5040731</v>
      </c>
      <c r="F559" s="9">
        <v>97401000000</v>
      </c>
      <c r="G559" s="9">
        <v>16</v>
      </c>
      <c r="H559" s="9">
        <v>12267</v>
      </c>
      <c r="I559" s="9">
        <v>213001001</v>
      </c>
      <c r="J559" s="10" t="s">
        <v>1990</v>
      </c>
      <c r="K559" s="10"/>
      <c r="L559" s="3" t="s">
        <v>5077</v>
      </c>
      <c r="M559" s="10" t="s">
        <v>5078</v>
      </c>
      <c r="N559" s="10" t="s">
        <v>5079</v>
      </c>
      <c r="O559" s="10" t="s">
        <v>5080</v>
      </c>
      <c r="P559" s="11">
        <v>212900016898</v>
      </c>
      <c r="Q559" s="10" t="s">
        <v>41</v>
      </c>
      <c r="R559" s="10" t="s">
        <v>5081</v>
      </c>
      <c r="S559" s="10" t="s">
        <v>5082</v>
      </c>
      <c r="T559" s="10" t="s">
        <v>5083</v>
      </c>
      <c r="U559" s="10" t="s">
        <v>5084</v>
      </c>
      <c r="V559" s="3">
        <v>82515</v>
      </c>
      <c r="W559" s="3">
        <v>869748000</v>
      </c>
      <c r="X559" s="3">
        <v>439054000</v>
      </c>
      <c r="Y559" s="3">
        <v>164468000</v>
      </c>
      <c r="Z559" s="3">
        <v>124562000</v>
      </c>
      <c r="AA559" s="3">
        <v>72411000</v>
      </c>
      <c r="AB559" s="3">
        <v>32732000</v>
      </c>
      <c r="AC559" s="3">
        <v>98501000</v>
      </c>
      <c r="AD559" s="3">
        <v>61873000</v>
      </c>
      <c r="AE559" s="10" t="s">
        <v>730</v>
      </c>
      <c r="AF559" s="10" t="s">
        <v>5085</v>
      </c>
      <c r="AG559" s="10" t="s">
        <v>46</v>
      </c>
    </row>
    <row r="560" spans="1:33" ht="15.75" x14ac:dyDescent="0.25">
      <c r="A560" s="1">
        <v>1022100910017</v>
      </c>
      <c r="B560" s="6">
        <v>2124000409</v>
      </c>
      <c r="C560" s="7" t="s">
        <v>5086</v>
      </c>
      <c r="D560" s="7" t="s">
        <v>5087</v>
      </c>
      <c r="E560" s="6">
        <v>24332971</v>
      </c>
      <c r="F560" s="6">
        <v>97410000000</v>
      </c>
      <c r="G560" s="6">
        <v>16</v>
      </c>
      <c r="H560" s="6">
        <v>12300</v>
      </c>
      <c r="I560" s="6">
        <v>212401001</v>
      </c>
      <c r="J560" s="7" t="s">
        <v>5088</v>
      </c>
      <c r="K560" s="7"/>
      <c r="L560" s="1" t="s">
        <v>288</v>
      </c>
      <c r="M560" s="7" t="s">
        <v>289</v>
      </c>
      <c r="N560" s="7" t="s">
        <v>5089</v>
      </c>
      <c r="O560" s="7" t="s">
        <v>5090</v>
      </c>
      <c r="P560" s="8">
        <v>212902233859</v>
      </c>
      <c r="Q560" s="7" t="s">
        <v>150</v>
      </c>
      <c r="R560" s="7" t="s">
        <v>5091</v>
      </c>
      <c r="S560" s="7" t="s">
        <v>5092</v>
      </c>
      <c r="T560" s="7"/>
      <c r="U560" s="7" t="s">
        <v>5093</v>
      </c>
      <c r="V560" s="1">
        <v>12000</v>
      </c>
      <c r="W560" s="1">
        <v>1467127000</v>
      </c>
      <c r="X560" s="1">
        <v>2856000</v>
      </c>
      <c r="Y560" s="1">
        <v>105622000</v>
      </c>
      <c r="Z560" s="1">
        <v>56829000</v>
      </c>
      <c r="AA560" s="1">
        <v>106409000</v>
      </c>
      <c r="AB560" s="1">
        <v>88849000</v>
      </c>
      <c r="AC560" s="1">
        <v>112192000</v>
      </c>
      <c r="AD560" s="1">
        <v>111093000</v>
      </c>
      <c r="AE560" s="7" t="s">
        <v>331</v>
      </c>
      <c r="AF560" s="7" t="s">
        <v>5094</v>
      </c>
      <c r="AG560" s="7" t="s">
        <v>46</v>
      </c>
    </row>
    <row r="561" spans="1:33" ht="15.75" x14ac:dyDescent="0.25">
      <c r="A561" s="3">
        <v>1022101134505</v>
      </c>
      <c r="B561" s="9">
        <v>2128000329</v>
      </c>
      <c r="C561" s="10" t="s">
        <v>5095</v>
      </c>
      <c r="D561" s="10" t="s">
        <v>5096</v>
      </c>
      <c r="E561" s="9">
        <v>229837</v>
      </c>
      <c r="F561" s="9">
        <v>97401000000</v>
      </c>
      <c r="G561" s="9">
        <v>16</v>
      </c>
      <c r="H561" s="9">
        <v>12267</v>
      </c>
      <c r="I561" s="9">
        <v>213001001</v>
      </c>
      <c r="J561" s="10" t="s">
        <v>5097</v>
      </c>
      <c r="K561" s="10"/>
      <c r="L561" s="3" t="s">
        <v>4571</v>
      </c>
      <c r="M561" s="10" t="s">
        <v>4572</v>
      </c>
      <c r="N561" s="10" t="s">
        <v>5098</v>
      </c>
      <c r="O561" s="10" t="s">
        <v>5099</v>
      </c>
      <c r="P561" s="11">
        <v>212900665660</v>
      </c>
      <c r="Q561" s="10" t="s">
        <v>5100</v>
      </c>
      <c r="R561" s="10" t="s">
        <v>5101</v>
      </c>
      <c r="S561" s="10" t="s">
        <v>5102</v>
      </c>
      <c r="T561" s="10" t="s">
        <v>5103</v>
      </c>
      <c r="U561" s="10" t="s">
        <v>5104</v>
      </c>
      <c r="V561" s="3">
        <v>47322</v>
      </c>
      <c r="W561" s="3">
        <v>1200020000</v>
      </c>
      <c r="X561" s="3">
        <v>136907000</v>
      </c>
      <c r="Y561" s="3">
        <v>237894000</v>
      </c>
      <c r="Z561" s="3">
        <v>146948000</v>
      </c>
      <c r="AA561" s="3">
        <v>440680000</v>
      </c>
      <c r="AB561" s="3">
        <v>133950000</v>
      </c>
      <c r="AC561" s="3">
        <v>141357000</v>
      </c>
      <c r="AD561" s="3">
        <v>165529000</v>
      </c>
      <c r="AE561" s="10" t="s">
        <v>331</v>
      </c>
      <c r="AF561" s="10" t="s">
        <v>2214</v>
      </c>
      <c r="AG561" s="10" t="s">
        <v>46</v>
      </c>
    </row>
    <row r="562" spans="1:33" ht="15.75" x14ac:dyDescent="0.25">
      <c r="A562" s="1">
        <v>1042129004906</v>
      </c>
      <c r="B562" s="6">
        <v>2129053901</v>
      </c>
      <c r="C562" s="7" t="s">
        <v>5105</v>
      </c>
      <c r="D562" s="7" t="s">
        <v>5106</v>
      </c>
      <c r="E562" s="6">
        <v>71026440</v>
      </c>
      <c r="F562" s="6">
        <v>97401000000</v>
      </c>
      <c r="G562" s="6">
        <v>16</v>
      </c>
      <c r="H562" s="6">
        <v>12300</v>
      </c>
      <c r="I562" s="6">
        <v>213001001</v>
      </c>
      <c r="J562" s="7" t="s">
        <v>5107</v>
      </c>
      <c r="K562" s="7" t="s">
        <v>5107</v>
      </c>
      <c r="L562" s="1" t="s">
        <v>2124</v>
      </c>
      <c r="M562" s="7" t="s">
        <v>2125</v>
      </c>
      <c r="N562" s="7" t="s">
        <v>5108</v>
      </c>
      <c r="O562" s="7" t="s">
        <v>5109</v>
      </c>
      <c r="P562" s="8">
        <v>212913585080</v>
      </c>
      <c r="Q562" s="7" t="s">
        <v>5110</v>
      </c>
      <c r="R562" s="7" t="s">
        <v>5111</v>
      </c>
      <c r="S562" s="7" t="s">
        <v>5112</v>
      </c>
      <c r="T562" s="7" t="s">
        <v>5113</v>
      </c>
      <c r="U562" s="7" t="s">
        <v>5114</v>
      </c>
      <c r="V562" s="1">
        <v>48000</v>
      </c>
      <c r="W562" s="1">
        <v>1627715000</v>
      </c>
      <c r="X562" s="1">
        <v>197124000</v>
      </c>
      <c r="Y562" s="1">
        <v>1071592000</v>
      </c>
      <c r="Z562" s="1">
        <v>1509931000</v>
      </c>
      <c r="AA562" s="1">
        <v>507952000</v>
      </c>
      <c r="AB562" s="1">
        <v>180593000</v>
      </c>
      <c r="AC562" s="1">
        <v>254681000</v>
      </c>
      <c r="AD562" s="1">
        <v>235821000</v>
      </c>
      <c r="AE562" s="7" t="s">
        <v>730</v>
      </c>
      <c r="AF562" s="7" t="s">
        <v>5115</v>
      </c>
      <c r="AG562" s="7" t="s">
        <v>46</v>
      </c>
    </row>
    <row r="563" spans="1:33" ht="15.75" x14ac:dyDescent="0.25">
      <c r="A563" s="3">
        <v>1042127013422</v>
      </c>
      <c r="B563" s="9">
        <v>2127332219</v>
      </c>
      <c r="C563" s="10" t="s">
        <v>5116</v>
      </c>
      <c r="D563" s="10" t="s">
        <v>5117</v>
      </c>
      <c r="E563" s="9">
        <v>71030909</v>
      </c>
      <c r="F563" s="9">
        <v>97401000000</v>
      </c>
      <c r="G563" s="9">
        <v>16</v>
      </c>
      <c r="H563" s="9">
        <v>12267</v>
      </c>
      <c r="I563" s="9">
        <v>213001001</v>
      </c>
      <c r="J563" s="10" t="s">
        <v>5118</v>
      </c>
      <c r="K563" s="10"/>
      <c r="L563" s="3" t="s">
        <v>5119</v>
      </c>
      <c r="M563" s="10" t="s">
        <v>5120</v>
      </c>
      <c r="N563" s="10" t="s">
        <v>5121</v>
      </c>
      <c r="O563" s="10" t="s">
        <v>5122</v>
      </c>
      <c r="P563" s="11">
        <v>213005809508</v>
      </c>
      <c r="Q563" s="10" t="s">
        <v>41</v>
      </c>
      <c r="R563" s="10" t="s">
        <v>5123</v>
      </c>
      <c r="S563" s="10" t="s">
        <v>5124</v>
      </c>
      <c r="T563" s="10" t="s">
        <v>5125</v>
      </c>
      <c r="U563" s="10" t="s">
        <v>5126</v>
      </c>
      <c r="V563" s="3">
        <v>15000</v>
      </c>
      <c r="W563" s="3">
        <v>2050923000</v>
      </c>
      <c r="X563" s="3">
        <v>235396000</v>
      </c>
      <c r="Y563" s="3">
        <v>254218000</v>
      </c>
      <c r="Z563" s="3">
        <v>145107000</v>
      </c>
      <c r="AA563" s="3">
        <v>179108000</v>
      </c>
      <c r="AB563" s="3">
        <v>180862000</v>
      </c>
      <c r="AC563" s="3">
        <v>217493000</v>
      </c>
      <c r="AD563" s="3">
        <v>234170000</v>
      </c>
      <c r="AE563" s="10"/>
      <c r="AF563" s="10" t="s">
        <v>5127</v>
      </c>
      <c r="AG563" s="10" t="s">
        <v>46</v>
      </c>
    </row>
    <row r="564" spans="1:33" ht="15.75" x14ac:dyDescent="0.25">
      <c r="A564" s="1">
        <v>1032127016118</v>
      </c>
      <c r="B564" s="6">
        <v>2127328445</v>
      </c>
      <c r="C564" s="7" t="s">
        <v>5128</v>
      </c>
      <c r="D564" s="7" t="s">
        <v>5129</v>
      </c>
      <c r="E564" s="6">
        <v>71015703</v>
      </c>
      <c r="F564" s="6">
        <v>97401000000</v>
      </c>
      <c r="G564" s="6">
        <v>16</v>
      </c>
      <c r="H564" s="6">
        <v>12300</v>
      </c>
      <c r="I564" s="6">
        <v>213001001</v>
      </c>
      <c r="J564" s="7" t="s">
        <v>5130</v>
      </c>
      <c r="K564" s="7"/>
      <c r="L564" s="1" t="s">
        <v>4729</v>
      </c>
      <c r="M564" s="7" t="s">
        <v>4730</v>
      </c>
      <c r="N564" s="7" t="s">
        <v>5131</v>
      </c>
      <c r="O564" s="7" t="s">
        <v>4732</v>
      </c>
      <c r="P564" s="8">
        <v>2127328124</v>
      </c>
      <c r="Q564" s="7" t="s">
        <v>90</v>
      </c>
      <c r="R564" s="7" t="s">
        <v>4733</v>
      </c>
      <c r="S564" s="7" t="s">
        <v>5132</v>
      </c>
      <c r="T564" s="7"/>
      <c r="U564" s="7"/>
      <c r="V564" s="1">
        <v>100000</v>
      </c>
      <c r="W564" s="1">
        <v>2985909000</v>
      </c>
      <c r="X564" s="1">
        <v>0</v>
      </c>
      <c r="Y564" s="1">
        <v>0</v>
      </c>
      <c r="Z564" s="1">
        <v>525448000</v>
      </c>
      <c r="AA564" s="1">
        <v>250250000</v>
      </c>
      <c r="AB564" s="1">
        <v>15487000</v>
      </c>
      <c r="AC564" s="1">
        <v>53865000</v>
      </c>
      <c r="AD564" s="1">
        <v>19359000</v>
      </c>
      <c r="AE564" s="7"/>
      <c r="AF564" s="7" t="s">
        <v>421</v>
      </c>
      <c r="AG564" s="7" t="s">
        <v>46</v>
      </c>
    </row>
    <row r="565" spans="1:33" ht="15.75" x14ac:dyDescent="0.25">
      <c r="A565" s="3">
        <v>1032129014653</v>
      </c>
      <c r="B565" s="9">
        <v>2129052369</v>
      </c>
      <c r="C565" s="10" t="s">
        <v>5133</v>
      </c>
      <c r="D565" s="10" t="s">
        <v>5134</v>
      </c>
      <c r="E565" s="9">
        <v>71016849</v>
      </c>
      <c r="F565" s="9">
        <v>97401000000</v>
      </c>
      <c r="G565" s="9">
        <v>16</v>
      </c>
      <c r="H565" s="9">
        <v>12300</v>
      </c>
      <c r="I565" s="9">
        <v>213001001</v>
      </c>
      <c r="J565" s="10" t="s">
        <v>5135</v>
      </c>
      <c r="K565" s="10"/>
      <c r="L565" s="3" t="s">
        <v>1072</v>
      </c>
      <c r="M565" s="10" t="s">
        <v>1073</v>
      </c>
      <c r="N565" s="10" t="s">
        <v>5136</v>
      </c>
      <c r="O565" s="10" t="s">
        <v>5137</v>
      </c>
      <c r="P565" s="11">
        <v>212401597125</v>
      </c>
      <c r="Q565" s="10" t="s">
        <v>41</v>
      </c>
      <c r="R565" s="10" t="s">
        <v>5138</v>
      </c>
      <c r="S565" s="10" t="s">
        <v>5139</v>
      </c>
      <c r="T565" s="10"/>
      <c r="U565" s="10" t="s">
        <v>5140</v>
      </c>
      <c r="V565" s="3">
        <v>20000</v>
      </c>
      <c r="W565" s="3">
        <v>1109273000</v>
      </c>
      <c r="X565" s="3">
        <v>3039000</v>
      </c>
      <c r="Y565" s="3">
        <v>0</v>
      </c>
      <c r="Z565" s="3">
        <v>604842000</v>
      </c>
      <c r="AA565" s="3">
        <v>73824000</v>
      </c>
      <c r="AB565" s="3">
        <v>250878000</v>
      </c>
      <c r="AC565" s="3">
        <v>253603000</v>
      </c>
      <c r="AD565" s="3">
        <v>310713000</v>
      </c>
      <c r="AE565" s="10" t="s">
        <v>331</v>
      </c>
      <c r="AF565" s="10" t="s">
        <v>878</v>
      </c>
      <c r="AG565" s="10" t="s">
        <v>46</v>
      </c>
    </row>
    <row r="566" spans="1:33" ht="15.75" x14ac:dyDescent="0.25">
      <c r="A566" s="1">
        <v>1032128012267</v>
      </c>
      <c r="B566" s="6">
        <v>2128050753</v>
      </c>
      <c r="C566" s="7" t="s">
        <v>5133</v>
      </c>
      <c r="D566" s="7" t="s">
        <v>5141</v>
      </c>
      <c r="E566" s="6">
        <v>71012685</v>
      </c>
      <c r="F566" s="6">
        <v>97401000000</v>
      </c>
      <c r="G566" s="6">
        <v>16</v>
      </c>
      <c r="H566" s="6">
        <v>12300</v>
      </c>
      <c r="I566" s="6">
        <v>213001001</v>
      </c>
      <c r="J566" s="7" t="s">
        <v>5142</v>
      </c>
      <c r="K566" s="7"/>
      <c r="L566" s="1" t="s">
        <v>1072</v>
      </c>
      <c r="M566" s="7" t="s">
        <v>1073</v>
      </c>
      <c r="N566" s="7" t="s">
        <v>5143</v>
      </c>
      <c r="O566" s="7" t="s">
        <v>5137</v>
      </c>
      <c r="P566" s="8">
        <v>212401597125</v>
      </c>
      <c r="Q566" s="7" t="s">
        <v>41</v>
      </c>
      <c r="R566" s="7" t="s">
        <v>5144</v>
      </c>
      <c r="S566" s="7" t="s">
        <v>5145</v>
      </c>
      <c r="T566" s="7" t="s">
        <v>5146</v>
      </c>
      <c r="U566" s="7" t="s">
        <v>5147</v>
      </c>
      <c r="V566" s="1">
        <v>100000</v>
      </c>
      <c r="W566" s="1">
        <v>2183807000</v>
      </c>
      <c r="X566" s="1">
        <v>1096864000</v>
      </c>
      <c r="Y566" s="1">
        <v>95346000</v>
      </c>
      <c r="Z566" s="1">
        <v>348406000</v>
      </c>
      <c r="AA566" s="1">
        <v>45361000</v>
      </c>
      <c r="AB566" s="1">
        <v>1333738000</v>
      </c>
      <c r="AC566" s="1">
        <v>868907000</v>
      </c>
      <c r="AD566" s="1">
        <v>1334121000</v>
      </c>
      <c r="AE566" s="7"/>
      <c r="AF566" s="7" t="s">
        <v>5148</v>
      </c>
      <c r="AG566" s="7" t="s">
        <v>46</v>
      </c>
    </row>
    <row r="567" spans="1:33" ht="15.75" x14ac:dyDescent="0.25">
      <c r="A567" s="3">
        <v>1062130009457</v>
      </c>
      <c r="B567" s="9">
        <v>2130006582</v>
      </c>
      <c r="C567" s="10" t="s">
        <v>5149</v>
      </c>
      <c r="D567" s="10" t="s">
        <v>5150</v>
      </c>
      <c r="E567" s="9">
        <v>94086737</v>
      </c>
      <c r="F567" s="9">
        <v>97401000000</v>
      </c>
      <c r="G567" s="9">
        <v>16</v>
      </c>
      <c r="H567" s="9">
        <v>12300</v>
      </c>
      <c r="I567" s="9">
        <v>213001001</v>
      </c>
      <c r="J567" s="10" t="s">
        <v>5151</v>
      </c>
      <c r="K567" s="10"/>
      <c r="L567" s="3" t="s">
        <v>5152</v>
      </c>
      <c r="M567" s="10" t="s">
        <v>5153</v>
      </c>
      <c r="N567" s="10" t="s">
        <v>5154</v>
      </c>
      <c r="O567" s="10" t="s">
        <v>5155</v>
      </c>
      <c r="P567" s="11">
        <v>212200139703</v>
      </c>
      <c r="Q567" s="10" t="s">
        <v>150</v>
      </c>
      <c r="R567" s="10" t="s">
        <v>5156</v>
      </c>
      <c r="S567" s="10" t="s">
        <v>5157</v>
      </c>
      <c r="T567" s="10" t="s">
        <v>5158</v>
      </c>
      <c r="U567" s="10" t="s">
        <v>5159</v>
      </c>
      <c r="V567" s="3">
        <v>12000</v>
      </c>
      <c r="W567" s="3">
        <v>1348849000</v>
      </c>
      <c r="X567" s="3">
        <v>11407000</v>
      </c>
      <c r="Y567" s="3">
        <v>310955000</v>
      </c>
      <c r="Z567" s="3">
        <v>101573000</v>
      </c>
      <c r="AA567" s="3">
        <v>166021000</v>
      </c>
      <c r="AB567" s="3">
        <v>31998000</v>
      </c>
      <c r="AC567" s="3">
        <v>23648000</v>
      </c>
      <c r="AD567" s="3">
        <v>46126000</v>
      </c>
      <c r="AE567" s="10" t="s">
        <v>730</v>
      </c>
      <c r="AF567" s="10" t="s">
        <v>1997</v>
      </c>
      <c r="AG567" s="10" t="s">
        <v>46</v>
      </c>
    </row>
    <row r="568" spans="1:33" ht="15.75" x14ac:dyDescent="0.25">
      <c r="A568" s="1">
        <v>1052134004295</v>
      </c>
      <c r="B568" s="6">
        <v>2123010429</v>
      </c>
      <c r="C568" s="7" t="s">
        <v>5160</v>
      </c>
      <c r="D568" s="7" t="s">
        <v>5161</v>
      </c>
      <c r="E568" s="6">
        <v>75700790</v>
      </c>
      <c r="F568" s="6">
        <v>97401000000</v>
      </c>
      <c r="G568" s="6">
        <v>16</v>
      </c>
      <c r="H568" s="6">
        <v>12300</v>
      </c>
      <c r="I568" s="6">
        <v>213001001</v>
      </c>
      <c r="J568" s="7" t="s">
        <v>5162</v>
      </c>
      <c r="K568" s="7"/>
      <c r="L568" s="1" t="s">
        <v>5040</v>
      </c>
      <c r="M568" s="7" t="s">
        <v>5041</v>
      </c>
      <c r="N568" s="7" t="s">
        <v>5163</v>
      </c>
      <c r="O568" s="7" t="s">
        <v>5164</v>
      </c>
      <c r="P568" s="8">
        <v>210802355218</v>
      </c>
      <c r="Q568" s="7" t="s">
        <v>150</v>
      </c>
      <c r="R568" s="7" t="s">
        <v>5165</v>
      </c>
      <c r="S568" s="7" t="s">
        <v>5166</v>
      </c>
      <c r="T568" s="7" t="s">
        <v>5167</v>
      </c>
      <c r="U568" s="7" t="s">
        <v>5168</v>
      </c>
      <c r="V568" s="1">
        <v>13500</v>
      </c>
      <c r="W568" s="1">
        <v>1232238000</v>
      </c>
      <c r="X568" s="1">
        <v>85496000</v>
      </c>
      <c r="Y568" s="1">
        <v>271067000</v>
      </c>
      <c r="Z568" s="1">
        <v>40721000</v>
      </c>
      <c r="AA568" s="1">
        <v>190264000</v>
      </c>
      <c r="AB568" s="1">
        <v>42866000</v>
      </c>
      <c r="AC568" s="1">
        <v>77818000</v>
      </c>
      <c r="AD568" s="1">
        <v>56304000</v>
      </c>
      <c r="AE568" s="7" t="s">
        <v>730</v>
      </c>
      <c r="AF568" s="7" t="s">
        <v>5169</v>
      </c>
      <c r="AG568" s="7" t="s">
        <v>46</v>
      </c>
    </row>
    <row r="569" spans="1:33" ht="15.75" x14ac:dyDescent="0.25">
      <c r="A569" s="3">
        <v>1092130007265</v>
      </c>
      <c r="B569" s="9">
        <v>2130059640</v>
      </c>
      <c r="C569" s="10" t="s">
        <v>5170</v>
      </c>
      <c r="D569" s="10" t="s">
        <v>5171</v>
      </c>
      <c r="E569" s="9">
        <v>61921990</v>
      </c>
      <c r="F569" s="9">
        <v>97401000000</v>
      </c>
      <c r="G569" s="9">
        <v>16</v>
      </c>
      <c r="H569" s="9">
        <v>12300</v>
      </c>
      <c r="I569" s="9">
        <v>213001001</v>
      </c>
      <c r="J569" s="10" t="s">
        <v>5172</v>
      </c>
      <c r="K569" s="10"/>
      <c r="L569" s="3" t="s">
        <v>5173</v>
      </c>
      <c r="M569" s="10" t="s">
        <v>5174</v>
      </c>
      <c r="N569" s="10" t="s">
        <v>5175</v>
      </c>
      <c r="O569" s="10" t="s">
        <v>5176</v>
      </c>
      <c r="P569" s="11">
        <v>212906604590</v>
      </c>
      <c r="Q569" s="10" t="s">
        <v>41</v>
      </c>
      <c r="R569" s="10" t="s">
        <v>5177</v>
      </c>
      <c r="S569" s="10" t="s">
        <v>5178</v>
      </c>
      <c r="T569" s="10"/>
      <c r="U569" s="10" t="s">
        <v>5179</v>
      </c>
      <c r="V569" s="3">
        <v>100000</v>
      </c>
      <c r="W569" s="3">
        <v>1024749000</v>
      </c>
      <c r="X569" s="3">
        <v>266877000</v>
      </c>
      <c r="Y569" s="3">
        <v>2142828000</v>
      </c>
      <c r="Z569" s="3">
        <v>1057600000</v>
      </c>
      <c r="AA569" s="3">
        <v>2996987000</v>
      </c>
      <c r="AB569" s="3">
        <v>47514000</v>
      </c>
      <c r="AC569" s="3">
        <v>41362000</v>
      </c>
      <c r="AD569" s="3">
        <v>52539000</v>
      </c>
      <c r="AE569" s="10"/>
      <c r="AF569" s="10"/>
      <c r="AG569" s="10" t="s">
        <v>46</v>
      </c>
    </row>
    <row r="570" spans="1:33" ht="15.75" x14ac:dyDescent="0.25">
      <c r="A570" s="3">
        <v>1132130004269</v>
      </c>
      <c r="B570" s="9">
        <v>2130117532</v>
      </c>
      <c r="C570" s="10" t="s">
        <v>5180</v>
      </c>
      <c r="D570" s="10" t="s">
        <v>5181</v>
      </c>
      <c r="E570" s="9">
        <v>13112155</v>
      </c>
      <c r="F570" s="9">
        <v>97401000000</v>
      </c>
      <c r="G570" s="9">
        <v>16</v>
      </c>
      <c r="H570" s="9">
        <v>12300</v>
      </c>
      <c r="I570" s="9">
        <v>213001001</v>
      </c>
      <c r="J570" s="10" t="s">
        <v>4520</v>
      </c>
      <c r="K570" s="10"/>
      <c r="L570" s="3" t="s">
        <v>445</v>
      </c>
      <c r="M570" s="10" t="s">
        <v>446</v>
      </c>
      <c r="N570" s="10" t="s">
        <v>5182</v>
      </c>
      <c r="O570" s="10" t="s">
        <v>5183</v>
      </c>
      <c r="P570" s="11">
        <v>212810232774</v>
      </c>
      <c r="Q570" s="10" t="s">
        <v>41</v>
      </c>
      <c r="R570" s="10" t="s">
        <v>5184</v>
      </c>
      <c r="S570" s="10" t="s">
        <v>5185</v>
      </c>
      <c r="T570" s="10"/>
      <c r="U570" s="10"/>
      <c r="V570" s="3">
        <v>25000</v>
      </c>
      <c r="W570" s="3">
        <v>1317301000</v>
      </c>
      <c r="X570" s="3">
        <v>515130000</v>
      </c>
      <c r="Y570" s="3">
        <v>89412000</v>
      </c>
      <c r="Z570" s="3">
        <v>192549000</v>
      </c>
      <c r="AA570" s="3">
        <v>168271000</v>
      </c>
      <c r="AB570" s="3">
        <v>350595000</v>
      </c>
      <c r="AC570" s="3">
        <v>519924000</v>
      </c>
      <c r="AD570" s="3">
        <v>430815000</v>
      </c>
      <c r="AE570" s="10" t="s">
        <v>730</v>
      </c>
      <c r="AF570" s="10" t="s">
        <v>1023</v>
      </c>
      <c r="AG570" s="10" t="s">
        <v>46</v>
      </c>
    </row>
    <row r="571" spans="1:33" ht="15.75" x14ac:dyDescent="0.25">
      <c r="A571" s="1">
        <v>1182130000590</v>
      </c>
      <c r="B571" s="6">
        <v>2130197129</v>
      </c>
      <c r="C571" s="7" t="s">
        <v>5186</v>
      </c>
      <c r="D571" s="7" t="s">
        <v>5187</v>
      </c>
      <c r="E571" s="6">
        <v>23969689</v>
      </c>
      <c r="F571" s="6">
        <v>97401000000</v>
      </c>
      <c r="G571" s="6">
        <v>16</v>
      </c>
      <c r="H571" s="6">
        <v>12300</v>
      </c>
      <c r="I571" s="6">
        <v>213001001</v>
      </c>
      <c r="J571" s="7" t="s">
        <v>5188</v>
      </c>
      <c r="K571" s="7"/>
      <c r="L571" s="1" t="s">
        <v>3081</v>
      </c>
      <c r="M571" s="7" t="s">
        <v>3082</v>
      </c>
      <c r="N571" s="7" t="s">
        <v>5189</v>
      </c>
      <c r="O571" s="7" t="s">
        <v>5190</v>
      </c>
      <c r="P571" s="8">
        <v>212709523334</v>
      </c>
      <c r="Q571" s="7" t="s">
        <v>41</v>
      </c>
      <c r="R571" s="7" t="s">
        <v>5191</v>
      </c>
      <c r="S571" s="7" t="s">
        <v>5192</v>
      </c>
      <c r="T571" s="7"/>
      <c r="U571" s="7" t="s">
        <v>5193</v>
      </c>
      <c r="V571" s="1">
        <v>20000</v>
      </c>
      <c r="W571" s="1">
        <v>2994352000</v>
      </c>
      <c r="X571" s="1">
        <v>790000</v>
      </c>
      <c r="Y571" s="1">
        <v>0</v>
      </c>
      <c r="Z571" s="1">
        <v>369727000</v>
      </c>
      <c r="AA571" s="1">
        <v>295890000</v>
      </c>
      <c r="AB571" s="1">
        <v>77000</v>
      </c>
      <c r="AC571" s="1">
        <v>-628440000</v>
      </c>
      <c r="AD571" s="1">
        <v>96000</v>
      </c>
      <c r="AE571" s="7"/>
      <c r="AF571" s="7" t="s">
        <v>410</v>
      </c>
      <c r="AG571" s="7" t="s">
        <v>46</v>
      </c>
    </row>
    <row r="572" spans="1:33" ht="15.75" x14ac:dyDescent="0.25">
      <c r="A572" s="3">
        <v>1172130012944</v>
      </c>
      <c r="B572" s="9">
        <v>2123019372</v>
      </c>
      <c r="C572" s="10" t="s">
        <v>5194</v>
      </c>
      <c r="D572" s="10" t="s">
        <v>5195</v>
      </c>
      <c r="E572" s="9">
        <v>19476567</v>
      </c>
      <c r="F572" s="9">
        <v>97407000000</v>
      </c>
      <c r="G572" s="9">
        <v>16</v>
      </c>
      <c r="H572" s="9">
        <v>12300</v>
      </c>
      <c r="I572" s="9">
        <v>212301001</v>
      </c>
      <c r="J572" s="10" t="s">
        <v>5196</v>
      </c>
      <c r="K572" s="10"/>
      <c r="L572" s="3" t="s">
        <v>5040</v>
      </c>
      <c r="M572" s="10" t="s">
        <v>5041</v>
      </c>
      <c r="N572" s="10" t="s">
        <v>5197</v>
      </c>
      <c r="O572" s="10" t="s">
        <v>5198</v>
      </c>
      <c r="P572" s="11">
        <v>212001118025</v>
      </c>
      <c r="Q572" s="10" t="s">
        <v>150</v>
      </c>
      <c r="R572" s="10" t="s">
        <v>5199</v>
      </c>
      <c r="S572" s="10" t="s">
        <v>5200</v>
      </c>
      <c r="T572" s="10"/>
      <c r="U572" s="10"/>
      <c r="V572" s="3">
        <v>11000</v>
      </c>
      <c r="W572" s="3">
        <v>1206271000</v>
      </c>
      <c r="X572" s="3">
        <v>65540000</v>
      </c>
      <c r="Y572" s="3">
        <v>37188000</v>
      </c>
      <c r="Z572" s="3">
        <v>310925000</v>
      </c>
      <c r="AA572" s="3">
        <v>263123000</v>
      </c>
      <c r="AB572" s="3">
        <v>52108000</v>
      </c>
      <c r="AC572" s="3">
        <v>85038000</v>
      </c>
      <c r="AD572" s="3">
        <v>66891000</v>
      </c>
      <c r="AE572" s="10" t="s">
        <v>331</v>
      </c>
      <c r="AF572" s="10" t="s">
        <v>2618</v>
      </c>
      <c r="AG572" s="10" t="s">
        <v>46</v>
      </c>
    </row>
    <row r="573" spans="1:33" ht="15.75" x14ac:dyDescent="0.25">
      <c r="A573" s="3">
        <v>1156451025940</v>
      </c>
      <c r="B573" s="9">
        <v>6453143512</v>
      </c>
      <c r="C573" s="10" t="s">
        <v>5201</v>
      </c>
      <c r="D573" s="10" t="s">
        <v>5202</v>
      </c>
      <c r="E573" s="9">
        <v>12233330</v>
      </c>
      <c r="F573" s="9">
        <v>97244820009</v>
      </c>
      <c r="G573" s="9">
        <v>16</v>
      </c>
      <c r="H573" s="9">
        <v>12300</v>
      </c>
      <c r="I573" s="9">
        <v>210001001</v>
      </c>
      <c r="J573" s="10" t="s">
        <v>5203</v>
      </c>
      <c r="K573" s="10"/>
      <c r="L573" s="3" t="s">
        <v>5204</v>
      </c>
      <c r="M573" s="10" t="s">
        <v>5205</v>
      </c>
      <c r="N573" s="10" t="s">
        <v>5206</v>
      </c>
      <c r="O573" s="10" t="s">
        <v>5207</v>
      </c>
      <c r="P573" s="11">
        <v>212810265748</v>
      </c>
      <c r="Q573" s="10" t="s">
        <v>41</v>
      </c>
      <c r="R573" s="10" t="s">
        <v>5208</v>
      </c>
      <c r="S573" s="10" t="s">
        <v>5209</v>
      </c>
      <c r="T573" s="10"/>
      <c r="U573" s="10"/>
      <c r="V573" s="3">
        <v>30000</v>
      </c>
      <c r="W573" s="3">
        <v>1004778000</v>
      </c>
      <c r="X573" s="3">
        <v>346815000</v>
      </c>
      <c r="Y573" s="3">
        <v>48291000</v>
      </c>
      <c r="Z573" s="3">
        <v>95761000</v>
      </c>
      <c r="AA573" s="3">
        <v>25679000</v>
      </c>
      <c r="AB573" s="3">
        <v>147818000</v>
      </c>
      <c r="AC573" s="3">
        <v>184400000</v>
      </c>
      <c r="AD573" s="3">
        <v>180541000</v>
      </c>
      <c r="AE573" s="10" t="s">
        <v>730</v>
      </c>
      <c r="AF573" s="10" t="s">
        <v>1260</v>
      </c>
      <c r="AG573" s="10" t="s">
        <v>46</v>
      </c>
    </row>
    <row r="574" spans="1:33" ht="15.75" x14ac:dyDescent="0.25">
      <c r="A574" s="3">
        <v>1222100001408</v>
      </c>
      <c r="B574" s="9">
        <v>2116005040</v>
      </c>
      <c r="C574" s="10" t="s">
        <v>5210</v>
      </c>
      <c r="D574" s="10" t="s">
        <v>5211</v>
      </c>
      <c r="E574" s="9">
        <v>78472036</v>
      </c>
      <c r="F574" s="9">
        <v>97244860013</v>
      </c>
      <c r="G574" s="9">
        <v>16</v>
      </c>
      <c r="H574" s="9">
        <v>12300</v>
      </c>
      <c r="I574" s="9">
        <v>211601001</v>
      </c>
      <c r="J574" s="10" t="s">
        <v>5212</v>
      </c>
      <c r="K574" s="10"/>
      <c r="L574" s="3" t="s">
        <v>4471</v>
      </c>
      <c r="M574" s="10" t="s">
        <v>4472</v>
      </c>
      <c r="N574" s="10" t="s">
        <v>5213</v>
      </c>
      <c r="O574" s="10" t="s">
        <v>4474</v>
      </c>
      <c r="P574" s="11">
        <v>2130043175</v>
      </c>
      <c r="Q574" s="10" t="s">
        <v>90</v>
      </c>
      <c r="R574" s="10" t="s">
        <v>5214</v>
      </c>
      <c r="S574" s="10" t="s">
        <v>5215</v>
      </c>
      <c r="T574" s="10"/>
      <c r="U574" s="10"/>
      <c r="V574" s="3">
        <v>20000</v>
      </c>
      <c r="W574" s="3">
        <v>2157394000</v>
      </c>
      <c r="X574" s="3">
        <v>32116000</v>
      </c>
      <c r="Y574" s="3">
        <v>198703000</v>
      </c>
      <c r="Z574" s="3">
        <v>91347000</v>
      </c>
      <c r="AA574" s="3">
        <v>10924000</v>
      </c>
      <c r="AB574" s="3">
        <v>15014000</v>
      </c>
      <c r="AC574" s="3">
        <v>56225000</v>
      </c>
      <c r="AD574" s="3">
        <v>23722000</v>
      </c>
      <c r="AE574" s="10"/>
      <c r="AF574" s="10" t="s">
        <v>464</v>
      </c>
      <c r="AG574" s="10" t="s">
        <v>46</v>
      </c>
    </row>
    <row r="575" spans="1:33" ht="15.75" x14ac:dyDescent="0.25">
      <c r="A575" s="1">
        <v>1062130009590</v>
      </c>
      <c r="B575" s="6">
        <v>2130006695</v>
      </c>
      <c r="C575" s="7" t="s">
        <v>5216</v>
      </c>
      <c r="D575" s="7" t="s">
        <v>5217</v>
      </c>
      <c r="E575" s="6">
        <v>94086918</v>
      </c>
      <c r="F575" s="6">
        <v>97401000000</v>
      </c>
      <c r="G575" s="6">
        <v>16</v>
      </c>
      <c r="H575" s="6">
        <v>12300</v>
      </c>
      <c r="I575" s="6">
        <v>213001001</v>
      </c>
      <c r="J575" s="7" t="s">
        <v>5218</v>
      </c>
      <c r="K575" s="7"/>
      <c r="L575" s="1" t="s">
        <v>5040</v>
      </c>
      <c r="M575" s="7" t="s">
        <v>5041</v>
      </c>
      <c r="N575" s="7" t="s">
        <v>5219</v>
      </c>
      <c r="O575" s="7" t="s">
        <v>5220</v>
      </c>
      <c r="P575" s="8">
        <v>212406749854</v>
      </c>
      <c r="Q575" s="7" t="s">
        <v>41</v>
      </c>
      <c r="R575" s="7" t="s">
        <v>5221</v>
      </c>
      <c r="S575" s="7" t="s">
        <v>5222</v>
      </c>
      <c r="T575" s="7"/>
      <c r="U575" s="7" t="s">
        <v>5223</v>
      </c>
      <c r="V575" s="1">
        <v>50000</v>
      </c>
      <c r="W575" s="1">
        <v>15882943000</v>
      </c>
      <c r="X575" s="1">
        <v>4695610000</v>
      </c>
      <c r="Y575" s="1">
        <v>5983196000</v>
      </c>
      <c r="Z575" s="1">
        <v>3017073000</v>
      </c>
      <c r="AA575" s="1">
        <v>4620614000</v>
      </c>
      <c r="AB575" s="1">
        <v>1155620000</v>
      </c>
      <c r="AC575" s="1">
        <v>-171485000</v>
      </c>
      <c r="AD575" s="1">
        <v>1651372000</v>
      </c>
      <c r="AE575" s="7"/>
      <c r="AF575" s="7" t="s">
        <v>5224</v>
      </c>
      <c r="AG575" s="7" t="s">
        <v>46</v>
      </c>
    </row>
    <row r="576" spans="1:33" ht="15.75" x14ac:dyDescent="0.25">
      <c r="A576" s="3">
        <v>1062130012009</v>
      </c>
      <c r="B576" s="9">
        <v>2130007530</v>
      </c>
      <c r="C576" s="10" t="s">
        <v>5225</v>
      </c>
      <c r="D576" s="10" t="s">
        <v>5226</v>
      </c>
      <c r="E576" s="9">
        <v>94088478</v>
      </c>
      <c r="F576" s="9">
        <v>97401000000</v>
      </c>
      <c r="G576" s="9">
        <v>16</v>
      </c>
      <c r="H576" s="9">
        <v>12300</v>
      </c>
      <c r="I576" s="9">
        <v>213001001</v>
      </c>
      <c r="J576" s="10" t="s">
        <v>5227</v>
      </c>
      <c r="K576" s="10"/>
      <c r="L576" s="3" t="s">
        <v>1963</v>
      </c>
      <c r="M576" s="10" t="s">
        <v>1964</v>
      </c>
      <c r="N576" s="10" t="s">
        <v>5228</v>
      </c>
      <c r="O576" s="10" t="s">
        <v>5229</v>
      </c>
      <c r="P576" s="11">
        <v>9704082895</v>
      </c>
      <c r="Q576" s="10" t="s">
        <v>90</v>
      </c>
      <c r="R576" s="10" t="s">
        <v>5230</v>
      </c>
      <c r="S576" s="10" t="s">
        <v>5231</v>
      </c>
      <c r="T576" s="10"/>
      <c r="U576" s="10" t="s">
        <v>5232</v>
      </c>
      <c r="V576" s="3">
        <v>50000</v>
      </c>
      <c r="W576" s="3">
        <v>12063185000</v>
      </c>
      <c r="X576" s="3">
        <v>26879000</v>
      </c>
      <c r="Y576" s="3">
        <v>617622000</v>
      </c>
      <c r="Z576" s="3">
        <v>3844954000</v>
      </c>
      <c r="AA576" s="3">
        <v>2613786000</v>
      </c>
      <c r="AB576" s="3">
        <v>684438000</v>
      </c>
      <c r="AC576" s="3">
        <v>872247000</v>
      </c>
      <c r="AD576" s="3">
        <v>855243000</v>
      </c>
      <c r="AE576" s="10"/>
      <c r="AF576" s="10"/>
      <c r="AG576" s="10" t="s">
        <v>46</v>
      </c>
    </row>
    <row r="577" spans="1:33" ht="15.75" x14ac:dyDescent="0.25">
      <c r="A577" s="1">
        <v>1072130016650</v>
      </c>
      <c r="B577" s="6">
        <v>2130028755</v>
      </c>
      <c r="C577" s="7" t="s">
        <v>5233</v>
      </c>
      <c r="D577" s="7" t="s">
        <v>5234</v>
      </c>
      <c r="E577" s="6">
        <v>99493522</v>
      </c>
      <c r="F577" s="6">
        <v>97401000000</v>
      </c>
      <c r="G577" s="6">
        <v>16</v>
      </c>
      <c r="H577" s="6">
        <v>12300</v>
      </c>
      <c r="I577" s="6">
        <v>213001001</v>
      </c>
      <c r="J577" s="7" t="s">
        <v>5235</v>
      </c>
      <c r="K577" s="7"/>
      <c r="L577" s="1" t="s">
        <v>1823</v>
      </c>
      <c r="M577" s="7" t="s">
        <v>1824</v>
      </c>
      <c r="N577" s="7" t="s">
        <v>5236</v>
      </c>
      <c r="O577" s="7" t="s">
        <v>5237</v>
      </c>
      <c r="P577" s="8">
        <v>212810480953</v>
      </c>
      <c r="Q577" s="7" t="s">
        <v>150</v>
      </c>
      <c r="R577" s="7" t="s">
        <v>5238</v>
      </c>
      <c r="S577" s="7" t="s">
        <v>5239</v>
      </c>
      <c r="T577" s="7"/>
      <c r="U577" s="7"/>
      <c r="V577" s="1">
        <v>20000</v>
      </c>
      <c r="W577" s="1">
        <v>1359903000</v>
      </c>
      <c r="X577" s="1">
        <v>29410000</v>
      </c>
      <c r="Y577" s="1">
        <v>66606000</v>
      </c>
      <c r="Z577" s="1">
        <v>196173000</v>
      </c>
      <c r="AA577" s="1">
        <v>50825000</v>
      </c>
      <c r="AB577" s="1">
        <v>42461000</v>
      </c>
      <c r="AC577" s="1">
        <v>59021000</v>
      </c>
      <c r="AD577" s="1">
        <v>54403000</v>
      </c>
      <c r="AE577" s="7" t="s">
        <v>331</v>
      </c>
      <c r="AF577" s="7" t="s">
        <v>3020</v>
      </c>
      <c r="AG577" s="7" t="s">
        <v>46</v>
      </c>
    </row>
    <row r="578" spans="1:33" ht="15.75" x14ac:dyDescent="0.25">
      <c r="A578" s="3">
        <v>1101650014751</v>
      </c>
      <c r="B578" s="9">
        <v>1650216827</v>
      </c>
      <c r="C578" s="10" t="s">
        <v>5240</v>
      </c>
      <c r="D578" s="10" t="s">
        <v>5241</v>
      </c>
      <c r="E578" s="9">
        <v>90000541</v>
      </c>
      <c r="F578" s="9">
        <v>97401000000</v>
      </c>
      <c r="G578" s="9">
        <v>16</v>
      </c>
      <c r="H578" s="9">
        <v>12300</v>
      </c>
      <c r="I578" s="9">
        <v>213001001</v>
      </c>
      <c r="J578" s="10" t="s">
        <v>5242</v>
      </c>
      <c r="K578" s="10"/>
      <c r="L578" s="3" t="s">
        <v>5243</v>
      </c>
      <c r="M578" s="10" t="s">
        <v>5244</v>
      </c>
      <c r="N578" s="10" t="s">
        <v>5245</v>
      </c>
      <c r="O578" s="10" t="s">
        <v>5246</v>
      </c>
      <c r="P578" s="11">
        <v>165030580292</v>
      </c>
      <c r="Q578" s="10" t="s">
        <v>41</v>
      </c>
      <c r="R578" s="10" t="s">
        <v>5247</v>
      </c>
      <c r="S578" s="10" t="s">
        <v>5248</v>
      </c>
      <c r="T578" s="10"/>
      <c r="U578" s="10" t="s">
        <v>5249</v>
      </c>
      <c r="V578" s="3">
        <v>15000</v>
      </c>
      <c r="W578" s="3">
        <v>1295102000</v>
      </c>
      <c r="X578" s="3">
        <v>32448000</v>
      </c>
      <c r="Y578" s="3">
        <v>416662000</v>
      </c>
      <c r="Z578" s="3">
        <v>379394000</v>
      </c>
      <c r="AA578" s="3">
        <v>123049000</v>
      </c>
      <c r="AB578" s="3">
        <v>206910000</v>
      </c>
      <c r="AC578" s="3">
        <v>267097000</v>
      </c>
      <c r="AD578" s="3">
        <v>259926000</v>
      </c>
      <c r="AE578" s="10" t="s">
        <v>331</v>
      </c>
      <c r="AF578" s="10" t="s">
        <v>5250</v>
      </c>
      <c r="AG578" s="10" t="s">
        <v>46</v>
      </c>
    </row>
    <row r="579" spans="1:33" ht="15.75" x14ac:dyDescent="0.25">
      <c r="A579" s="1">
        <v>1022101276724</v>
      </c>
      <c r="B579" s="6">
        <v>2129004870</v>
      </c>
      <c r="C579" s="7" t="s">
        <v>5251</v>
      </c>
      <c r="D579" s="7" t="s">
        <v>5252</v>
      </c>
      <c r="E579" s="6">
        <v>13105628</v>
      </c>
      <c r="F579" s="6">
        <v>97401000000</v>
      </c>
      <c r="G579" s="6">
        <v>16</v>
      </c>
      <c r="H579" s="6">
        <v>12300</v>
      </c>
      <c r="I579" s="6">
        <v>213001001</v>
      </c>
      <c r="J579" s="7" t="s">
        <v>5253</v>
      </c>
      <c r="K579" s="7"/>
      <c r="L579" s="1" t="s">
        <v>2124</v>
      </c>
      <c r="M579" s="7" t="s">
        <v>2125</v>
      </c>
      <c r="N579" s="7" t="s">
        <v>5254</v>
      </c>
      <c r="O579" s="7" t="s">
        <v>5109</v>
      </c>
      <c r="P579" s="8">
        <v>212913585080</v>
      </c>
      <c r="Q579" s="7" t="s">
        <v>5110</v>
      </c>
      <c r="R579" s="7" t="s">
        <v>5255</v>
      </c>
      <c r="S579" s="7" t="s">
        <v>5256</v>
      </c>
      <c r="T579" s="7"/>
      <c r="U579" s="7" t="s">
        <v>5257</v>
      </c>
      <c r="V579" s="1">
        <v>10000</v>
      </c>
      <c r="W579" s="1">
        <v>1284661000</v>
      </c>
      <c r="X579" s="1">
        <v>32422000</v>
      </c>
      <c r="Y579" s="1">
        <v>1026352000</v>
      </c>
      <c r="Z579" s="1">
        <v>515798000</v>
      </c>
      <c r="AA579" s="1">
        <v>933753000</v>
      </c>
      <c r="AB579" s="1">
        <v>81840000</v>
      </c>
      <c r="AC579" s="1">
        <v>174696000</v>
      </c>
      <c r="AD579" s="1">
        <v>102434000</v>
      </c>
      <c r="AE579" s="7" t="s">
        <v>331</v>
      </c>
      <c r="AF579" s="7" t="s">
        <v>776</v>
      </c>
      <c r="AG579" s="7" t="s">
        <v>46</v>
      </c>
    </row>
    <row r="580" spans="1:33" ht="15.75" x14ac:dyDescent="0.25">
      <c r="A580" s="3">
        <v>1022102834731</v>
      </c>
      <c r="B580" s="9">
        <v>2114001330</v>
      </c>
      <c r="C580" s="10" t="s">
        <v>5258</v>
      </c>
      <c r="D580" s="10" t="s">
        <v>5259</v>
      </c>
      <c r="E580" s="9">
        <v>24339482</v>
      </c>
      <c r="F580" s="9">
        <v>97238870001</v>
      </c>
      <c r="G580" s="9">
        <v>16</v>
      </c>
      <c r="H580" s="9">
        <v>12300</v>
      </c>
      <c r="I580" s="9">
        <v>211401001</v>
      </c>
      <c r="J580" s="10" t="s">
        <v>5260</v>
      </c>
      <c r="K580" s="10"/>
      <c r="L580" s="3" t="s">
        <v>1174</v>
      </c>
      <c r="M580" s="10" t="s">
        <v>1175</v>
      </c>
      <c r="N580" s="10" t="s">
        <v>5261</v>
      </c>
      <c r="O580" s="10" t="s">
        <v>5262</v>
      </c>
      <c r="P580" s="11">
        <v>440200204495</v>
      </c>
      <c r="Q580" s="10" t="s">
        <v>1848</v>
      </c>
      <c r="R580" s="10" t="s">
        <v>5263</v>
      </c>
      <c r="S580" s="10" t="s">
        <v>5264</v>
      </c>
      <c r="T580" s="10"/>
      <c r="U580" s="10" t="s">
        <v>5265</v>
      </c>
      <c r="V580" s="3">
        <v>10000</v>
      </c>
      <c r="W580" s="3">
        <v>1150793000</v>
      </c>
      <c r="X580" s="3">
        <v>2478000</v>
      </c>
      <c r="Y580" s="3">
        <v>1271000</v>
      </c>
      <c r="Z580" s="3">
        <v>88630000</v>
      </c>
      <c r="AA580" s="3">
        <v>55921000</v>
      </c>
      <c r="AB580" s="3">
        <v>4458000</v>
      </c>
      <c r="AC580" s="3">
        <v>4774000</v>
      </c>
      <c r="AD580" s="3">
        <v>5539000</v>
      </c>
      <c r="AE580" s="10" t="s">
        <v>331</v>
      </c>
      <c r="AF580" s="10" t="s">
        <v>352</v>
      </c>
      <c r="AG580" s="10" t="s">
        <v>46</v>
      </c>
    </row>
    <row r="581" spans="1:33" ht="15.75" x14ac:dyDescent="0.25">
      <c r="A581" s="1">
        <v>1042127015040</v>
      </c>
      <c r="B581" s="6">
        <v>2127006720</v>
      </c>
      <c r="C581" s="7" t="s">
        <v>5266</v>
      </c>
      <c r="D581" s="7" t="s">
        <v>5267</v>
      </c>
      <c r="E581" s="6">
        <v>71033492</v>
      </c>
      <c r="F581" s="6">
        <v>97410000000</v>
      </c>
      <c r="G581" s="6">
        <v>16</v>
      </c>
      <c r="H581" s="6">
        <v>12300</v>
      </c>
      <c r="I581" s="6">
        <v>213001001</v>
      </c>
      <c r="J581" s="7" t="s">
        <v>5268</v>
      </c>
      <c r="K581" s="7"/>
      <c r="L581" s="1" t="s">
        <v>2419</v>
      </c>
      <c r="M581" s="7" t="s">
        <v>2420</v>
      </c>
      <c r="N581" s="7" t="s">
        <v>5269</v>
      </c>
      <c r="O581" s="7" t="s">
        <v>5270</v>
      </c>
      <c r="P581" s="8">
        <v>212914300884</v>
      </c>
      <c r="Q581" s="7" t="s">
        <v>4553</v>
      </c>
      <c r="R581" s="7" t="s">
        <v>5271</v>
      </c>
      <c r="S581" s="7" t="s">
        <v>5272</v>
      </c>
      <c r="T581" s="7" t="s">
        <v>5273</v>
      </c>
      <c r="U581" s="7" t="s">
        <v>5274</v>
      </c>
      <c r="V581" s="1">
        <v>10000</v>
      </c>
      <c r="W581" s="1">
        <v>1856408000</v>
      </c>
      <c r="X581" s="1">
        <v>250992000</v>
      </c>
      <c r="Y581" s="1">
        <v>76167000</v>
      </c>
      <c r="Z581" s="1">
        <v>505849000</v>
      </c>
      <c r="AA581" s="1">
        <v>177596000</v>
      </c>
      <c r="AB581" s="1">
        <v>54891000</v>
      </c>
      <c r="AC581" s="1">
        <v>159719000</v>
      </c>
      <c r="AD581" s="1">
        <v>71102000</v>
      </c>
      <c r="AE581" s="7" t="s">
        <v>730</v>
      </c>
      <c r="AF581" s="7" t="s">
        <v>5275</v>
      </c>
      <c r="AG581" s="7" t="s">
        <v>46</v>
      </c>
    </row>
    <row r="582" spans="1:33" ht="15.75" x14ac:dyDescent="0.25">
      <c r="A582" s="3">
        <v>1072130002471</v>
      </c>
      <c r="B582" s="9">
        <v>2130013942</v>
      </c>
      <c r="C582" s="10" t="s">
        <v>5276</v>
      </c>
      <c r="D582" s="10" t="s">
        <v>5277</v>
      </c>
      <c r="E582" s="9">
        <v>94099281</v>
      </c>
      <c r="F582" s="9">
        <v>97401000000</v>
      </c>
      <c r="G582" s="9">
        <v>16</v>
      </c>
      <c r="H582" s="9">
        <v>12300</v>
      </c>
      <c r="I582" s="9">
        <v>213001001</v>
      </c>
      <c r="J582" s="10" t="s">
        <v>1182</v>
      </c>
      <c r="K582" s="10"/>
      <c r="L582" s="3" t="s">
        <v>5278</v>
      </c>
      <c r="M582" s="10" t="s">
        <v>5279</v>
      </c>
      <c r="N582" s="10" t="s">
        <v>5280</v>
      </c>
      <c r="O582" s="10" t="s">
        <v>5281</v>
      </c>
      <c r="P582" s="11">
        <v>212909203934</v>
      </c>
      <c r="Q582" s="10" t="s">
        <v>150</v>
      </c>
      <c r="R582" s="10" t="s">
        <v>5282</v>
      </c>
      <c r="S582" s="10" t="s">
        <v>5283</v>
      </c>
      <c r="T582" s="10" t="s">
        <v>5284</v>
      </c>
      <c r="U582" s="10" t="s">
        <v>5285</v>
      </c>
      <c r="V582" s="3">
        <v>10000</v>
      </c>
      <c r="W582" s="3">
        <v>1689974000</v>
      </c>
      <c r="X582" s="3">
        <v>70737000</v>
      </c>
      <c r="Y582" s="3">
        <v>256846000</v>
      </c>
      <c r="Z582" s="3">
        <v>132058000</v>
      </c>
      <c r="AA582" s="3">
        <v>76335000</v>
      </c>
      <c r="AB582" s="3">
        <v>40505000</v>
      </c>
      <c r="AC582" s="3">
        <v>51617000</v>
      </c>
      <c r="AD582" s="3">
        <v>51673000</v>
      </c>
      <c r="AE582" s="10" t="s">
        <v>730</v>
      </c>
      <c r="AF582" s="10" t="s">
        <v>373</v>
      </c>
      <c r="AG582" s="10" t="s">
        <v>46</v>
      </c>
    </row>
    <row r="583" spans="1:33" ht="15.75" x14ac:dyDescent="0.25">
      <c r="A583" s="1">
        <v>1052128143594</v>
      </c>
      <c r="B583" s="6">
        <v>2127026490</v>
      </c>
      <c r="C583" s="7" t="s">
        <v>5286</v>
      </c>
      <c r="D583" s="7" t="s">
        <v>5287</v>
      </c>
      <c r="E583" s="6">
        <v>75714987</v>
      </c>
      <c r="F583" s="6">
        <v>97401000000</v>
      </c>
      <c r="G583" s="6">
        <v>16</v>
      </c>
      <c r="H583" s="6">
        <v>12300</v>
      </c>
      <c r="I583" s="6">
        <v>213001001</v>
      </c>
      <c r="J583" s="7" t="s">
        <v>5288</v>
      </c>
      <c r="K583" s="7"/>
      <c r="L583" s="1" t="s">
        <v>4471</v>
      </c>
      <c r="M583" s="7" t="s">
        <v>4472</v>
      </c>
      <c r="N583" s="7" t="s">
        <v>5289</v>
      </c>
      <c r="O583" s="7" t="s">
        <v>4474</v>
      </c>
      <c r="P583" s="8">
        <v>2130043175</v>
      </c>
      <c r="Q583" s="7" t="s">
        <v>90</v>
      </c>
      <c r="R583" s="7" t="s">
        <v>5290</v>
      </c>
      <c r="S583" s="7" t="s">
        <v>5291</v>
      </c>
      <c r="T583" s="7" t="s">
        <v>5292</v>
      </c>
      <c r="U583" s="7" t="s">
        <v>5293</v>
      </c>
      <c r="V583" s="1">
        <v>10000</v>
      </c>
      <c r="W583" s="1">
        <v>2321466000</v>
      </c>
      <c r="X583" s="1">
        <v>50080000</v>
      </c>
      <c r="Y583" s="1">
        <v>305403000</v>
      </c>
      <c r="Z583" s="1">
        <v>89146000</v>
      </c>
      <c r="AA583" s="1">
        <v>43266000</v>
      </c>
      <c r="AB583" s="1">
        <v>71031000</v>
      </c>
      <c r="AC583" s="1">
        <v>56957000</v>
      </c>
      <c r="AD583" s="1">
        <v>98270000</v>
      </c>
      <c r="AE583" s="7"/>
      <c r="AF583" s="7" t="s">
        <v>4478</v>
      </c>
      <c r="AG583" s="7" t="s">
        <v>46</v>
      </c>
    </row>
    <row r="584" spans="1:33" ht="15.75" x14ac:dyDescent="0.25">
      <c r="A584" s="3">
        <v>1101215006254</v>
      </c>
      <c r="B584" s="9">
        <v>1215151837</v>
      </c>
      <c r="C584" s="10" t="s">
        <v>5294</v>
      </c>
      <c r="D584" s="10" t="s">
        <v>5295</v>
      </c>
      <c r="E584" s="9">
        <v>68491736</v>
      </c>
      <c r="F584" s="9">
        <v>97401000000</v>
      </c>
      <c r="G584" s="9">
        <v>16</v>
      </c>
      <c r="H584" s="9">
        <v>12300</v>
      </c>
      <c r="I584" s="9">
        <v>213001001</v>
      </c>
      <c r="J584" s="10" t="s">
        <v>5296</v>
      </c>
      <c r="K584" s="10"/>
      <c r="L584" s="3" t="s">
        <v>5297</v>
      </c>
      <c r="M584" s="10" t="s">
        <v>5298</v>
      </c>
      <c r="N584" s="10" t="s">
        <v>5299</v>
      </c>
      <c r="O584" s="10" t="s">
        <v>5300</v>
      </c>
      <c r="P584" s="11">
        <v>212800322796</v>
      </c>
      <c r="Q584" s="10" t="s">
        <v>4553</v>
      </c>
      <c r="R584" s="10" t="s">
        <v>5301</v>
      </c>
      <c r="S584" s="10" t="s">
        <v>5302</v>
      </c>
      <c r="T584" s="10" t="s">
        <v>5303</v>
      </c>
      <c r="U584" s="10" t="s">
        <v>5304</v>
      </c>
      <c r="V584" s="3">
        <v>10000</v>
      </c>
      <c r="W584" s="3">
        <v>1649687000</v>
      </c>
      <c r="X584" s="3">
        <v>6265000</v>
      </c>
      <c r="Y584" s="3">
        <v>275391000</v>
      </c>
      <c r="Z584" s="3">
        <v>375874000</v>
      </c>
      <c r="AA584" s="3">
        <v>493972000</v>
      </c>
      <c r="AB584" s="3">
        <v>110941000</v>
      </c>
      <c r="AC584" s="3">
        <v>170317000</v>
      </c>
      <c r="AD584" s="3">
        <v>150643000</v>
      </c>
      <c r="AE584" s="10" t="s">
        <v>331</v>
      </c>
      <c r="AF584" s="10" t="s">
        <v>363</v>
      </c>
      <c r="AG584" s="10" t="s">
        <v>46</v>
      </c>
    </row>
    <row r="585" spans="1:33" ht="15.75" x14ac:dyDescent="0.25">
      <c r="A585" s="1">
        <v>1082130017859</v>
      </c>
      <c r="B585" s="6">
        <v>2130050888</v>
      </c>
      <c r="C585" s="7" t="s">
        <v>5305</v>
      </c>
      <c r="D585" s="7" t="s">
        <v>5306</v>
      </c>
      <c r="E585" s="6">
        <v>85859869</v>
      </c>
      <c r="F585" s="6">
        <v>97401000000</v>
      </c>
      <c r="G585" s="6">
        <v>16</v>
      </c>
      <c r="H585" s="6">
        <v>12300</v>
      </c>
      <c r="I585" s="6">
        <v>213001001</v>
      </c>
      <c r="J585" s="7" t="s">
        <v>5307</v>
      </c>
      <c r="K585" s="7"/>
      <c r="L585" s="1" t="s">
        <v>5308</v>
      </c>
      <c r="M585" s="7" t="s">
        <v>5309</v>
      </c>
      <c r="N585" s="7" t="s">
        <v>5310</v>
      </c>
      <c r="O585" s="7" t="s">
        <v>5229</v>
      </c>
      <c r="P585" s="8">
        <v>9704082895</v>
      </c>
      <c r="Q585" s="7" t="s">
        <v>90</v>
      </c>
      <c r="R585" s="7" t="s">
        <v>5311</v>
      </c>
      <c r="S585" s="7" t="s">
        <v>5312</v>
      </c>
      <c r="T585" s="7" t="s">
        <v>5313</v>
      </c>
      <c r="U585" s="7" t="s">
        <v>5314</v>
      </c>
      <c r="V585" s="1">
        <v>10000</v>
      </c>
      <c r="W585" s="1">
        <v>3292556000</v>
      </c>
      <c r="X585" s="1">
        <v>169950000</v>
      </c>
      <c r="Y585" s="1">
        <v>754969000</v>
      </c>
      <c r="Z585" s="1">
        <v>507386000</v>
      </c>
      <c r="AA585" s="1">
        <v>69668213000</v>
      </c>
      <c r="AB585" s="1">
        <v>153137000</v>
      </c>
      <c r="AC585" s="1">
        <v>202480000</v>
      </c>
      <c r="AD585" s="1">
        <v>194523000</v>
      </c>
      <c r="AE585" s="7"/>
      <c r="AF585" s="7" t="s">
        <v>5315</v>
      </c>
      <c r="AG585" s="7" t="s">
        <v>46</v>
      </c>
    </row>
    <row r="586" spans="1:33" ht="15.75" x14ac:dyDescent="0.25">
      <c r="A586" s="3">
        <v>1102130010619</v>
      </c>
      <c r="B586" s="9">
        <v>2130078280</v>
      </c>
      <c r="C586" s="10" t="s">
        <v>5316</v>
      </c>
      <c r="D586" s="10" t="s">
        <v>5317</v>
      </c>
      <c r="E586" s="9">
        <v>5201660</v>
      </c>
      <c r="F586" s="9">
        <v>97401000000</v>
      </c>
      <c r="G586" s="9">
        <v>16</v>
      </c>
      <c r="H586" s="9">
        <v>12300</v>
      </c>
      <c r="I586" s="9">
        <v>213001001</v>
      </c>
      <c r="J586" s="10" t="s">
        <v>5318</v>
      </c>
      <c r="K586" s="10"/>
      <c r="L586" s="3" t="s">
        <v>5319</v>
      </c>
      <c r="M586" s="10" t="s">
        <v>5320</v>
      </c>
      <c r="N586" s="10" t="s">
        <v>5321</v>
      </c>
      <c r="O586" s="10" t="s">
        <v>5322</v>
      </c>
      <c r="P586" s="11">
        <v>212800357132</v>
      </c>
      <c r="Q586" s="10" t="s">
        <v>150</v>
      </c>
      <c r="R586" s="10" t="s">
        <v>5323</v>
      </c>
      <c r="S586" s="10" t="s">
        <v>5324</v>
      </c>
      <c r="T586" s="10"/>
      <c r="U586" s="10" t="s">
        <v>5325</v>
      </c>
      <c r="V586" s="3">
        <v>10000</v>
      </c>
      <c r="W586" s="3">
        <v>2064027000</v>
      </c>
      <c r="X586" s="3">
        <v>158885000</v>
      </c>
      <c r="Y586" s="3">
        <v>56064000</v>
      </c>
      <c r="Z586" s="3">
        <v>461442000</v>
      </c>
      <c r="AA586" s="3">
        <v>351014000</v>
      </c>
      <c r="AB586" s="3">
        <v>873354000</v>
      </c>
      <c r="AC586" s="3">
        <v>1066802000</v>
      </c>
      <c r="AD586" s="3">
        <v>1093408000</v>
      </c>
      <c r="AE586" s="10"/>
      <c r="AF586" s="10" t="s">
        <v>5326</v>
      </c>
      <c r="AG586" s="10" t="s">
        <v>46</v>
      </c>
    </row>
    <row r="587" spans="1:33" ht="15.75" x14ac:dyDescent="0.25">
      <c r="A587" s="1">
        <v>1102130002402</v>
      </c>
      <c r="B587" s="6">
        <v>2130069617</v>
      </c>
      <c r="C587" s="7" t="s">
        <v>5327</v>
      </c>
      <c r="D587" s="7" t="s">
        <v>5328</v>
      </c>
      <c r="E587" s="6">
        <v>61938387</v>
      </c>
      <c r="F587" s="6">
        <v>97401000000</v>
      </c>
      <c r="G587" s="6">
        <v>16</v>
      </c>
      <c r="H587" s="6">
        <v>12300</v>
      </c>
      <c r="I587" s="6">
        <v>213001001</v>
      </c>
      <c r="J587" s="7" t="s">
        <v>5329</v>
      </c>
      <c r="K587" s="7"/>
      <c r="L587" s="1" t="s">
        <v>1045</v>
      </c>
      <c r="M587" s="7" t="s">
        <v>1046</v>
      </c>
      <c r="N587" s="7" t="s">
        <v>5330</v>
      </c>
      <c r="O587" s="7" t="s">
        <v>5331</v>
      </c>
      <c r="P587" s="8">
        <v>212700551400</v>
      </c>
      <c r="Q587" s="7" t="s">
        <v>150</v>
      </c>
      <c r="R587" s="7" t="s">
        <v>5332</v>
      </c>
      <c r="S587" s="7" t="s">
        <v>5333</v>
      </c>
      <c r="T587" s="7"/>
      <c r="U587" s="7" t="s">
        <v>5334</v>
      </c>
      <c r="V587" s="1">
        <v>10000</v>
      </c>
      <c r="W587" s="1">
        <v>1248167000</v>
      </c>
      <c r="X587" s="1">
        <v>24504000</v>
      </c>
      <c r="Y587" s="1">
        <v>460000</v>
      </c>
      <c r="Z587" s="1">
        <v>162061000</v>
      </c>
      <c r="AA587" s="1">
        <v>48954000</v>
      </c>
      <c r="AB587" s="1">
        <v>42589000</v>
      </c>
      <c r="AC587" s="1">
        <v>53009000</v>
      </c>
      <c r="AD587" s="1">
        <v>55504000</v>
      </c>
      <c r="AE587" s="7" t="s">
        <v>730</v>
      </c>
      <c r="AF587" s="7" t="s">
        <v>878</v>
      </c>
      <c r="AG587" s="7" t="s">
        <v>46</v>
      </c>
    </row>
    <row r="588" spans="1:33" ht="15.75" x14ac:dyDescent="0.25">
      <c r="A588" s="3">
        <v>1092130009454</v>
      </c>
      <c r="B588" s="9">
        <v>2130061985</v>
      </c>
      <c r="C588" s="10" t="s">
        <v>5335</v>
      </c>
      <c r="D588" s="10" t="s">
        <v>5336</v>
      </c>
      <c r="E588" s="9">
        <v>61925730</v>
      </c>
      <c r="F588" s="9">
        <v>97401000000</v>
      </c>
      <c r="G588" s="9">
        <v>16</v>
      </c>
      <c r="H588" s="9">
        <v>12300</v>
      </c>
      <c r="I588" s="9">
        <v>213001001</v>
      </c>
      <c r="J588" s="10" t="s">
        <v>5337</v>
      </c>
      <c r="K588" s="10"/>
      <c r="L588" s="3" t="s">
        <v>5338</v>
      </c>
      <c r="M588" s="10" t="s">
        <v>5339</v>
      </c>
      <c r="N588" s="10" t="s">
        <v>5340</v>
      </c>
      <c r="O588" s="10" t="s">
        <v>5341</v>
      </c>
      <c r="P588" s="11">
        <v>212300773624</v>
      </c>
      <c r="Q588" s="10" t="s">
        <v>150</v>
      </c>
      <c r="R588" s="10" t="s">
        <v>5342</v>
      </c>
      <c r="S588" s="10" t="s">
        <v>5343</v>
      </c>
      <c r="T588" s="10" t="s">
        <v>5344</v>
      </c>
      <c r="U588" s="10"/>
      <c r="V588" s="3">
        <v>10000</v>
      </c>
      <c r="W588" s="3">
        <v>2714419000</v>
      </c>
      <c r="X588" s="3">
        <v>118279000</v>
      </c>
      <c r="Y588" s="3">
        <v>420843000</v>
      </c>
      <c r="Z588" s="3">
        <v>164833000</v>
      </c>
      <c r="AA588" s="3">
        <v>256893000</v>
      </c>
      <c r="AB588" s="3">
        <v>337066000</v>
      </c>
      <c r="AC588" s="3">
        <v>429200000</v>
      </c>
      <c r="AD588" s="3">
        <v>427813000</v>
      </c>
      <c r="AE588" s="10"/>
      <c r="AF588" s="10"/>
      <c r="AG588" s="10" t="s">
        <v>46</v>
      </c>
    </row>
    <row r="589" spans="1:33" ht="15.75" x14ac:dyDescent="0.25">
      <c r="A589" s="1">
        <v>1112124000669</v>
      </c>
      <c r="B589" s="6">
        <v>2124034454</v>
      </c>
      <c r="C589" s="7" t="s">
        <v>5345</v>
      </c>
      <c r="D589" s="7" t="s">
        <v>5346</v>
      </c>
      <c r="E589" s="6">
        <v>90941491</v>
      </c>
      <c r="F589" s="6">
        <v>97410000000</v>
      </c>
      <c r="G589" s="6">
        <v>16</v>
      </c>
      <c r="H589" s="6">
        <v>12300</v>
      </c>
      <c r="I589" s="6">
        <v>212401001</v>
      </c>
      <c r="J589" s="7" t="s">
        <v>5347</v>
      </c>
      <c r="K589" s="7"/>
      <c r="L589" s="1" t="s">
        <v>5348</v>
      </c>
      <c r="M589" s="7" t="s">
        <v>5349</v>
      </c>
      <c r="N589" s="7" t="s">
        <v>5350</v>
      </c>
      <c r="O589" s="7" t="s">
        <v>5351</v>
      </c>
      <c r="P589" s="8">
        <v>212402814622</v>
      </c>
      <c r="Q589" s="7" t="s">
        <v>5110</v>
      </c>
      <c r="R589" s="7" t="s">
        <v>5352</v>
      </c>
      <c r="S589" s="7" t="s">
        <v>5353</v>
      </c>
      <c r="T589" s="7"/>
      <c r="U589" s="7" t="s">
        <v>5354</v>
      </c>
      <c r="V589" s="1">
        <v>10000</v>
      </c>
      <c r="W589" s="1">
        <v>2722098000</v>
      </c>
      <c r="X589" s="1">
        <v>103623000</v>
      </c>
      <c r="Y589" s="1">
        <v>150240000</v>
      </c>
      <c r="Z589" s="1">
        <v>828878000</v>
      </c>
      <c r="AA589" s="1">
        <v>827500000</v>
      </c>
      <c r="AB589" s="1">
        <v>9212000</v>
      </c>
      <c r="AC589" s="1">
        <v>35351000</v>
      </c>
      <c r="AD589" s="1">
        <v>10673000</v>
      </c>
      <c r="AE589" s="7"/>
      <c r="AF589" s="7" t="s">
        <v>5355</v>
      </c>
      <c r="AG589" s="7" t="s">
        <v>46</v>
      </c>
    </row>
    <row r="590" spans="1:33" ht="15.75" x14ac:dyDescent="0.25">
      <c r="A590" s="3">
        <v>1132130013355</v>
      </c>
      <c r="B590" s="9">
        <v>2130126625</v>
      </c>
      <c r="C590" s="10" t="s">
        <v>5356</v>
      </c>
      <c r="D590" s="10" t="s">
        <v>5357</v>
      </c>
      <c r="E590" s="9">
        <v>20585563</v>
      </c>
      <c r="F590" s="9">
        <v>97401000000</v>
      </c>
      <c r="G590" s="9">
        <v>16</v>
      </c>
      <c r="H590" s="9">
        <v>12300</v>
      </c>
      <c r="I590" s="9">
        <v>213001001</v>
      </c>
      <c r="J590" s="10" t="s">
        <v>5358</v>
      </c>
      <c r="K590" s="10"/>
      <c r="L590" s="3" t="s">
        <v>4471</v>
      </c>
      <c r="M590" s="10" t="s">
        <v>4472</v>
      </c>
      <c r="N590" s="10" t="s">
        <v>5359</v>
      </c>
      <c r="O590" s="10" t="s">
        <v>4474</v>
      </c>
      <c r="P590" s="11">
        <v>2130043175</v>
      </c>
      <c r="Q590" s="10" t="s">
        <v>90</v>
      </c>
      <c r="R590" s="10" t="s">
        <v>4764</v>
      </c>
      <c r="S590" s="10" t="s">
        <v>5360</v>
      </c>
      <c r="T590" s="10"/>
      <c r="U590" s="10"/>
      <c r="V590" s="3">
        <v>10000</v>
      </c>
      <c r="W590" s="3">
        <v>1037699000</v>
      </c>
      <c r="X590" s="3">
        <v>17892000</v>
      </c>
      <c r="Y590" s="3">
        <v>165089000</v>
      </c>
      <c r="Z590" s="3">
        <v>23997000</v>
      </c>
      <c r="AA590" s="3">
        <v>85107000</v>
      </c>
      <c r="AB590" s="3">
        <v>4263000</v>
      </c>
      <c r="AC590" s="3">
        <v>-477000</v>
      </c>
      <c r="AD590" s="3">
        <v>5565000</v>
      </c>
      <c r="AE590" s="10" t="s">
        <v>331</v>
      </c>
      <c r="AF590" s="10" t="s">
        <v>1757</v>
      </c>
      <c r="AG590" s="10" t="s">
        <v>46</v>
      </c>
    </row>
    <row r="591" spans="1:33" ht="15.75" x14ac:dyDescent="0.25">
      <c r="A591" s="1">
        <v>1152130011912</v>
      </c>
      <c r="B591" s="6">
        <v>2130160270</v>
      </c>
      <c r="C591" s="7" t="s">
        <v>5361</v>
      </c>
      <c r="D591" s="7" t="s">
        <v>5362</v>
      </c>
      <c r="E591" s="6">
        <v>14432648</v>
      </c>
      <c r="F591" s="6">
        <v>97401000000</v>
      </c>
      <c r="G591" s="6">
        <v>16</v>
      </c>
      <c r="H591" s="6">
        <v>12300</v>
      </c>
      <c r="I591" s="6">
        <v>213001001</v>
      </c>
      <c r="J591" s="7" t="s">
        <v>2865</v>
      </c>
      <c r="K591" s="7"/>
      <c r="L591" s="1" t="s">
        <v>5363</v>
      </c>
      <c r="M591" s="7" t="s">
        <v>5364</v>
      </c>
      <c r="N591" s="7" t="s">
        <v>5365</v>
      </c>
      <c r="O591" s="7" t="s">
        <v>5366</v>
      </c>
      <c r="P591" s="8">
        <v>213006764433</v>
      </c>
      <c r="Q591" s="7" t="s">
        <v>41</v>
      </c>
      <c r="R591" s="7" t="s">
        <v>5367</v>
      </c>
      <c r="S591" s="7" t="s">
        <v>5368</v>
      </c>
      <c r="T591" s="7" t="s">
        <v>5369</v>
      </c>
      <c r="U591" s="7"/>
      <c r="V591" s="1">
        <v>10000</v>
      </c>
      <c r="W591" s="1">
        <v>1425685000</v>
      </c>
      <c r="X591" s="1">
        <v>184459000</v>
      </c>
      <c r="Y591" s="1">
        <v>338753000</v>
      </c>
      <c r="Z591" s="1">
        <v>233846000</v>
      </c>
      <c r="AA591" s="1">
        <v>75470000</v>
      </c>
      <c r="AB591" s="1">
        <v>371999000</v>
      </c>
      <c r="AC591" s="1">
        <v>457687000</v>
      </c>
      <c r="AD591" s="1">
        <v>488010000</v>
      </c>
      <c r="AE591" s="7" t="s">
        <v>331</v>
      </c>
      <c r="AF591" s="7" t="s">
        <v>5370</v>
      </c>
      <c r="AG591" s="7" t="s">
        <v>46</v>
      </c>
    </row>
    <row r="592" spans="1:33" ht="15.75" x14ac:dyDescent="0.25">
      <c r="A592" s="3">
        <v>1152130013397</v>
      </c>
      <c r="B592" s="9">
        <v>2130161764</v>
      </c>
      <c r="C592" s="10" t="s">
        <v>5371</v>
      </c>
      <c r="D592" s="10" t="s">
        <v>5372</v>
      </c>
      <c r="E592" s="9">
        <v>24327993</v>
      </c>
      <c r="F592" s="9">
        <v>97401000000</v>
      </c>
      <c r="G592" s="9">
        <v>16</v>
      </c>
      <c r="H592" s="9">
        <v>12300</v>
      </c>
      <c r="I592" s="9">
        <v>213001001</v>
      </c>
      <c r="J592" s="10" t="s">
        <v>5373</v>
      </c>
      <c r="K592" s="10"/>
      <c r="L592" s="3" t="s">
        <v>5374</v>
      </c>
      <c r="M592" s="10" t="s">
        <v>5375</v>
      </c>
      <c r="N592" s="10" t="s">
        <v>5376</v>
      </c>
      <c r="O592" s="10" t="s">
        <v>5377</v>
      </c>
      <c r="P592" s="11">
        <v>667477979180</v>
      </c>
      <c r="Q592" s="10" t="s">
        <v>150</v>
      </c>
      <c r="R592" s="10" t="s">
        <v>5378</v>
      </c>
      <c r="S592" s="10" t="s">
        <v>5379</v>
      </c>
      <c r="T592" s="10"/>
      <c r="U592" s="10"/>
      <c r="V592" s="3">
        <v>10000</v>
      </c>
      <c r="W592" s="3">
        <v>1275706000</v>
      </c>
      <c r="X592" s="3">
        <v>10166000</v>
      </c>
      <c r="Y592" s="3">
        <v>162733000</v>
      </c>
      <c r="Z592" s="3">
        <v>216682000</v>
      </c>
      <c r="AA592" s="3">
        <v>127471000</v>
      </c>
      <c r="AB592" s="3">
        <v>14743000</v>
      </c>
      <c r="AC592" s="3">
        <v>56215000</v>
      </c>
      <c r="AD592" s="3">
        <v>18668000</v>
      </c>
      <c r="AE592" s="10" t="s">
        <v>730</v>
      </c>
      <c r="AF592" s="10" t="s">
        <v>1534</v>
      </c>
      <c r="AG592" s="10" t="s">
        <v>46</v>
      </c>
    </row>
    <row r="593" spans="1:33" ht="15.75" x14ac:dyDescent="0.25">
      <c r="A593" s="1">
        <v>1162130069749</v>
      </c>
      <c r="B593" s="6">
        <v>2130181577</v>
      </c>
      <c r="C593" s="7" t="s">
        <v>5380</v>
      </c>
      <c r="D593" s="7" t="s">
        <v>5381</v>
      </c>
      <c r="E593" s="6">
        <v>5926297</v>
      </c>
      <c r="F593" s="6">
        <v>97401000000</v>
      </c>
      <c r="G593" s="6">
        <v>16</v>
      </c>
      <c r="H593" s="6">
        <v>12300</v>
      </c>
      <c r="I593" s="6">
        <v>213001001</v>
      </c>
      <c r="J593" s="7" t="s">
        <v>5382</v>
      </c>
      <c r="K593" s="7"/>
      <c r="L593" s="1" t="s">
        <v>5383</v>
      </c>
      <c r="M593" s="7" t="s">
        <v>5384</v>
      </c>
      <c r="N593" s="7" t="s">
        <v>5385</v>
      </c>
      <c r="O593" s="7" t="s">
        <v>5386</v>
      </c>
      <c r="P593" s="8">
        <v>645404704860</v>
      </c>
      <c r="Q593" s="7" t="s">
        <v>150</v>
      </c>
      <c r="R593" s="7" t="s">
        <v>5387</v>
      </c>
      <c r="S593" s="7" t="s">
        <v>5388</v>
      </c>
      <c r="T593" s="7"/>
      <c r="U593" s="7"/>
      <c r="V593" s="1">
        <v>10000</v>
      </c>
      <c r="W593" s="1">
        <v>1488524000</v>
      </c>
      <c r="X593" s="1">
        <v>355065000</v>
      </c>
      <c r="Y593" s="1">
        <v>188041000</v>
      </c>
      <c r="Z593" s="1">
        <v>345201000</v>
      </c>
      <c r="AA593" s="1">
        <v>115276000</v>
      </c>
      <c r="AB593" s="1">
        <v>201918000</v>
      </c>
      <c r="AC593" s="1">
        <v>183960000</v>
      </c>
      <c r="AD593" s="1">
        <v>252619000</v>
      </c>
      <c r="AE593" s="7"/>
      <c r="AF593" s="7" t="s">
        <v>2067</v>
      </c>
      <c r="AG593" s="7" t="s">
        <v>46</v>
      </c>
    </row>
    <row r="594" spans="1:33" ht="15.75" x14ac:dyDescent="0.25">
      <c r="A594" s="3">
        <v>1132130010429</v>
      </c>
      <c r="B594" s="9">
        <v>2130123663</v>
      </c>
      <c r="C594" s="10" t="s">
        <v>5389</v>
      </c>
      <c r="D594" s="10" t="s">
        <v>5390</v>
      </c>
      <c r="E594" s="9">
        <v>20579628</v>
      </c>
      <c r="F594" s="9">
        <v>97401000000</v>
      </c>
      <c r="G594" s="9">
        <v>16</v>
      </c>
      <c r="H594" s="9">
        <v>12300</v>
      </c>
      <c r="I594" s="9">
        <v>213001001</v>
      </c>
      <c r="J594" s="10" t="s">
        <v>5391</v>
      </c>
      <c r="K594" s="10"/>
      <c r="L594" s="3" t="s">
        <v>288</v>
      </c>
      <c r="M594" s="10" t="s">
        <v>289</v>
      </c>
      <c r="N594" s="10" t="s">
        <v>5392</v>
      </c>
      <c r="O594" s="10" t="s">
        <v>5393</v>
      </c>
      <c r="P594" s="11">
        <v>211700451940</v>
      </c>
      <c r="Q594" s="10" t="s">
        <v>1848</v>
      </c>
      <c r="R594" s="10" t="s">
        <v>5394</v>
      </c>
      <c r="S594" s="10" t="s">
        <v>5395</v>
      </c>
      <c r="T594" s="10"/>
      <c r="U594" s="10" t="s">
        <v>5396</v>
      </c>
      <c r="V594" s="3">
        <v>10000</v>
      </c>
      <c r="W594" s="3">
        <v>311208000</v>
      </c>
      <c r="X594" s="3">
        <v>7940000</v>
      </c>
      <c r="Y594" s="3">
        <v>20864000</v>
      </c>
      <c r="Z594" s="3">
        <v>27313000</v>
      </c>
      <c r="AA594" s="3">
        <v>91092000</v>
      </c>
      <c r="AB594" s="3">
        <v>2625000</v>
      </c>
      <c r="AC594" s="3">
        <v>395000</v>
      </c>
      <c r="AD594" s="3">
        <v>3663000</v>
      </c>
      <c r="AE594" s="10" t="s">
        <v>331</v>
      </c>
      <c r="AF594" s="10" t="s">
        <v>821</v>
      </c>
      <c r="AG594" s="10" t="s">
        <v>46</v>
      </c>
    </row>
    <row r="595" spans="1:33" ht="15.75" x14ac:dyDescent="0.25">
      <c r="A595" s="1">
        <v>1142130002442</v>
      </c>
      <c r="B595" s="6">
        <v>2130133291</v>
      </c>
      <c r="C595" s="7" t="s">
        <v>5397</v>
      </c>
      <c r="D595" s="7" t="s">
        <v>5398</v>
      </c>
      <c r="E595" s="6">
        <v>24335774</v>
      </c>
      <c r="F595" s="6">
        <v>97401000000</v>
      </c>
      <c r="G595" s="6">
        <v>16</v>
      </c>
      <c r="H595" s="6">
        <v>12300</v>
      </c>
      <c r="I595" s="6">
        <v>213001001</v>
      </c>
      <c r="J595" s="7" t="s">
        <v>5399</v>
      </c>
      <c r="K595" s="7"/>
      <c r="L595" s="1" t="s">
        <v>2124</v>
      </c>
      <c r="M595" s="7" t="s">
        <v>2125</v>
      </c>
      <c r="N595" s="7" t="s">
        <v>5400</v>
      </c>
      <c r="O595" s="7" t="s">
        <v>5401</v>
      </c>
      <c r="P595" s="8">
        <v>212703098066</v>
      </c>
      <c r="Q595" s="7" t="s">
        <v>41</v>
      </c>
      <c r="R595" s="7" t="s">
        <v>5402</v>
      </c>
      <c r="S595" s="7" t="s">
        <v>5403</v>
      </c>
      <c r="T595" s="7"/>
      <c r="U595" s="7" t="s">
        <v>5404</v>
      </c>
      <c r="V595" s="1">
        <v>10000</v>
      </c>
      <c r="W595" s="1">
        <v>7839418000</v>
      </c>
      <c r="X595" s="1">
        <v>194977000</v>
      </c>
      <c r="Y595" s="1">
        <v>2302162000</v>
      </c>
      <c r="Z595" s="1">
        <v>1216295000</v>
      </c>
      <c r="AA595" s="1">
        <v>3348693000</v>
      </c>
      <c r="AB595" s="1">
        <v>432168000</v>
      </c>
      <c r="AC595" s="1">
        <v>568768000</v>
      </c>
      <c r="AD595" s="1">
        <v>547482000</v>
      </c>
      <c r="AE595" s="7"/>
      <c r="AF595" s="7" t="s">
        <v>5405</v>
      </c>
      <c r="AG595" s="7" t="s">
        <v>46</v>
      </c>
    </row>
    <row r="596" spans="1:33" ht="15.75" x14ac:dyDescent="0.25">
      <c r="A596" s="3">
        <v>1192130005847</v>
      </c>
      <c r="B596" s="9">
        <v>2103003737</v>
      </c>
      <c r="C596" s="10" t="s">
        <v>5406</v>
      </c>
      <c r="D596" s="10" t="s">
        <v>5407</v>
      </c>
      <c r="E596" s="9">
        <v>39514117</v>
      </c>
      <c r="F596" s="9">
        <v>97207820006</v>
      </c>
      <c r="G596" s="9">
        <v>16</v>
      </c>
      <c r="H596" s="9">
        <v>12300</v>
      </c>
      <c r="I596" s="9">
        <v>210001001</v>
      </c>
      <c r="J596" s="10" t="s">
        <v>5408</v>
      </c>
      <c r="K596" s="10"/>
      <c r="L596" s="3" t="s">
        <v>2491</v>
      </c>
      <c r="M596" s="10" t="s">
        <v>2492</v>
      </c>
      <c r="N596" s="10" t="s">
        <v>5409</v>
      </c>
      <c r="O596" s="10" t="s">
        <v>5410</v>
      </c>
      <c r="P596" s="11">
        <v>210302742360</v>
      </c>
      <c r="Q596" s="10" t="s">
        <v>150</v>
      </c>
      <c r="R596" s="10" t="s">
        <v>5411</v>
      </c>
      <c r="S596" s="10" t="s">
        <v>5412</v>
      </c>
      <c r="T596" s="10"/>
      <c r="U596" s="10"/>
      <c r="V596" s="3">
        <v>10000</v>
      </c>
      <c r="W596" s="3">
        <v>1107579000</v>
      </c>
      <c r="X596" s="3">
        <v>63462000</v>
      </c>
      <c r="Y596" s="3">
        <v>1000</v>
      </c>
      <c r="Z596" s="3">
        <v>87728000</v>
      </c>
      <c r="AA596" s="3">
        <v>3928000</v>
      </c>
      <c r="AB596" s="3">
        <v>6514000</v>
      </c>
      <c r="AC596" s="3">
        <v>17262000</v>
      </c>
      <c r="AD596" s="3">
        <v>6695000</v>
      </c>
      <c r="AE596" s="10" t="s">
        <v>317</v>
      </c>
      <c r="AF596" s="10" t="s">
        <v>530</v>
      </c>
      <c r="AG596" s="10" t="s">
        <v>46</v>
      </c>
    </row>
    <row r="597" spans="1:33" ht="15.75" x14ac:dyDescent="0.25">
      <c r="A597" s="1">
        <v>1192130012051</v>
      </c>
      <c r="B597" s="6">
        <v>2130215280</v>
      </c>
      <c r="C597" s="7" t="s">
        <v>5413</v>
      </c>
      <c r="D597" s="7" t="s">
        <v>5414</v>
      </c>
      <c r="E597" s="6">
        <v>42387496</v>
      </c>
      <c r="F597" s="6">
        <v>97401000000</v>
      </c>
      <c r="G597" s="6">
        <v>16</v>
      </c>
      <c r="H597" s="6">
        <v>12300</v>
      </c>
      <c r="I597" s="6">
        <v>213001001</v>
      </c>
      <c r="J597" s="7" t="s">
        <v>5415</v>
      </c>
      <c r="K597" s="7"/>
      <c r="L597" s="1" t="s">
        <v>4795</v>
      </c>
      <c r="M597" s="7" t="s">
        <v>4796</v>
      </c>
      <c r="N597" s="7" t="s">
        <v>5416</v>
      </c>
      <c r="O597" s="7" t="s">
        <v>5417</v>
      </c>
      <c r="P597" s="8">
        <v>213010683032</v>
      </c>
      <c r="Q597" s="7" t="s">
        <v>150</v>
      </c>
      <c r="R597" s="7" t="s">
        <v>5418</v>
      </c>
      <c r="S597" s="7" t="s">
        <v>5419</v>
      </c>
      <c r="T597" s="7"/>
      <c r="U597" s="7" t="s">
        <v>5420</v>
      </c>
      <c r="V597" s="1">
        <v>10000</v>
      </c>
      <c r="W597" s="1">
        <v>549383000</v>
      </c>
      <c r="X597" s="1">
        <v>23453000</v>
      </c>
      <c r="Y597" s="1">
        <v>661000</v>
      </c>
      <c r="Z597" s="1">
        <v>290854000</v>
      </c>
      <c r="AA597" s="1">
        <v>135879000</v>
      </c>
      <c r="AB597" s="1">
        <v>50620000</v>
      </c>
      <c r="AC597" s="1">
        <v>26475000</v>
      </c>
      <c r="AD597" s="1">
        <v>54090000</v>
      </c>
      <c r="AE597" s="7" t="s">
        <v>317</v>
      </c>
      <c r="AF597" s="7" t="s">
        <v>1023</v>
      </c>
      <c r="AG597" s="7" t="s">
        <v>46</v>
      </c>
    </row>
    <row r="598" spans="1:33" ht="15.75" x14ac:dyDescent="0.25">
      <c r="A598" s="3">
        <v>1152130009503</v>
      </c>
      <c r="B598" s="9">
        <v>2130157743</v>
      </c>
      <c r="C598" s="10" t="s">
        <v>5421</v>
      </c>
      <c r="D598" s="10" t="s">
        <v>5422</v>
      </c>
      <c r="E598" s="9">
        <v>35946340</v>
      </c>
      <c r="F598" s="9">
        <v>97401000000</v>
      </c>
      <c r="G598" s="9">
        <v>16</v>
      </c>
      <c r="H598" s="9">
        <v>12300</v>
      </c>
      <c r="I598" s="9">
        <v>213001001</v>
      </c>
      <c r="J598" s="10" t="s">
        <v>5423</v>
      </c>
      <c r="K598" s="10"/>
      <c r="L598" s="3" t="s">
        <v>4299</v>
      </c>
      <c r="M598" s="10" t="s">
        <v>4300</v>
      </c>
      <c r="N598" s="10" t="s">
        <v>5424</v>
      </c>
      <c r="O598" s="10" t="s">
        <v>5425</v>
      </c>
      <c r="P598" s="11">
        <v>212803028633</v>
      </c>
      <c r="Q598" s="10" t="s">
        <v>150</v>
      </c>
      <c r="R598" s="10" t="s">
        <v>5426</v>
      </c>
      <c r="S598" s="10" t="s">
        <v>5427</v>
      </c>
      <c r="T598" s="10"/>
      <c r="U598" s="10"/>
      <c r="V598" s="3">
        <v>10000</v>
      </c>
      <c r="W598" s="3">
        <v>1720641000</v>
      </c>
      <c r="X598" s="3">
        <v>193677000</v>
      </c>
      <c r="Y598" s="3">
        <v>359541000</v>
      </c>
      <c r="Z598" s="3">
        <v>46980000</v>
      </c>
      <c r="AA598" s="3">
        <v>430940000</v>
      </c>
      <c r="AB598" s="3">
        <v>99054000</v>
      </c>
      <c r="AC598" s="3">
        <v>121397000</v>
      </c>
      <c r="AD598" s="3">
        <v>124486000</v>
      </c>
      <c r="AE598" s="10" t="s">
        <v>730</v>
      </c>
      <c r="AF598" s="10" t="s">
        <v>5428</v>
      </c>
      <c r="AG598" s="10" t="s">
        <v>46</v>
      </c>
    </row>
    <row r="599" spans="1:33" ht="15.75" x14ac:dyDescent="0.25">
      <c r="A599" s="1">
        <v>1175476101602</v>
      </c>
      <c r="B599" s="6">
        <v>5407967263</v>
      </c>
      <c r="C599" s="7" t="s">
        <v>5429</v>
      </c>
      <c r="D599" s="7" t="s">
        <v>5430</v>
      </c>
      <c r="E599" s="6">
        <v>19640937</v>
      </c>
      <c r="F599" s="6">
        <v>97401000000</v>
      </c>
      <c r="G599" s="6">
        <v>16</v>
      </c>
      <c r="H599" s="6">
        <v>12300</v>
      </c>
      <c r="I599" s="6">
        <v>213001001</v>
      </c>
      <c r="J599" s="7" t="s">
        <v>5431</v>
      </c>
      <c r="K599" s="7"/>
      <c r="L599" s="1" t="s">
        <v>5243</v>
      </c>
      <c r="M599" s="7" t="s">
        <v>5244</v>
      </c>
      <c r="N599" s="7" t="s">
        <v>5432</v>
      </c>
      <c r="O599" s="7" t="s">
        <v>5433</v>
      </c>
      <c r="P599" s="8">
        <v>211684139587</v>
      </c>
      <c r="Q599" s="7" t="s">
        <v>41</v>
      </c>
      <c r="R599" s="7" t="s">
        <v>5434</v>
      </c>
      <c r="S599" s="7" t="s">
        <v>5435</v>
      </c>
      <c r="T599" s="7"/>
      <c r="U599" s="7"/>
      <c r="V599" s="1">
        <v>10000</v>
      </c>
      <c r="W599" s="1">
        <v>2952533000</v>
      </c>
      <c r="X599" s="1">
        <v>13236000</v>
      </c>
      <c r="Y599" s="1">
        <v>33210000</v>
      </c>
      <c r="Z599" s="1">
        <v>1938251000</v>
      </c>
      <c r="AA599" s="1">
        <v>668535000</v>
      </c>
      <c r="AB599" s="1">
        <v>563788000</v>
      </c>
      <c r="AC599" s="1">
        <v>752849000</v>
      </c>
      <c r="AD599" s="1">
        <v>714294000</v>
      </c>
      <c r="AE599" s="7"/>
      <c r="AF599" s="7" t="s">
        <v>352</v>
      </c>
      <c r="AG599" s="7" t="s">
        <v>46</v>
      </c>
    </row>
    <row r="600" spans="1:33" ht="15.75" x14ac:dyDescent="0.25">
      <c r="A600" s="3">
        <v>1172130002934</v>
      </c>
      <c r="B600" s="9">
        <v>2130184747</v>
      </c>
      <c r="C600" s="10" t="s">
        <v>5436</v>
      </c>
      <c r="D600" s="10" t="s">
        <v>5437</v>
      </c>
      <c r="E600" s="9">
        <v>6887866</v>
      </c>
      <c r="F600" s="9">
        <v>97244848009</v>
      </c>
      <c r="G600" s="9">
        <v>16</v>
      </c>
      <c r="H600" s="9">
        <v>12300</v>
      </c>
      <c r="I600" s="9">
        <v>211601001</v>
      </c>
      <c r="J600" s="10" t="s">
        <v>5438</v>
      </c>
      <c r="K600" s="10"/>
      <c r="L600" s="3" t="s">
        <v>4739</v>
      </c>
      <c r="M600" s="10" t="s">
        <v>4740</v>
      </c>
      <c r="N600" s="10" t="s">
        <v>5439</v>
      </c>
      <c r="O600" s="10" t="s">
        <v>5440</v>
      </c>
      <c r="P600" s="11">
        <v>753605502041</v>
      </c>
      <c r="Q600" s="10" t="s">
        <v>41</v>
      </c>
      <c r="R600" s="10" t="s">
        <v>5441</v>
      </c>
      <c r="S600" s="10" t="s">
        <v>5442</v>
      </c>
      <c r="T600" s="10"/>
      <c r="U600" s="10" t="s">
        <v>5443</v>
      </c>
      <c r="V600" s="3">
        <v>10000</v>
      </c>
      <c r="W600" s="3">
        <v>2888739000</v>
      </c>
      <c r="X600" s="3">
        <v>5159448000</v>
      </c>
      <c r="Y600" s="3">
        <v>416742000</v>
      </c>
      <c r="Z600" s="3">
        <v>443164000</v>
      </c>
      <c r="AA600" s="3">
        <v>104879000</v>
      </c>
      <c r="AB600" s="3">
        <v>662676000</v>
      </c>
      <c r="AC600" s="3">
        <v>553536000</v>
      </c>
      <c r="AD600" s="3">
        <v>662676000</v>
      </c>
      <c r="AE600" s="10"/>
      <c r="AF600" s="10" t="s">
        <v>5444</v>
      </c>
      <c r="AG600" s="10" t="s">
        <v>1525</v>
      </c>
    </row>
    <row r="601" spans="1:33" ht="15.75" x14ac:dyDescent="0.25">
      <c r="A601" s="1">
        <v>1155024001120</v>
      </c>
      <c r="B601" s="6">
        <v>5024151865</v>
      </c>
      <c r="C601" s="7" t="s">
        <v>5445</v>
      </c>
      <c r="D601" s="7" t="s">
        <v>5446</v>
      </c>
      <c r="E601" s="6">
        <v>58250167</v>
      </c>
      <c r="F601" s="6">
        <v>97410000000</v>
      </c>
      <c r="G601" s="6">
        <v>16</v>
      </c>
      <c r="H601" s="6">
        <v>12300</v>
      </c>
      <c r="I601" s="6">
        <v>212401001</v>
      </c>
      <c r="J601" s="7" t="s">
        <v>5447</v>
      </c>
      <c r="K601" s="7"/>
      <c r="L601" s="1" t="s">
        <v>1174</v>
      </c>
      <c r="M601" s="7" t="s">
        <v>1175</v>
      </c>
      <c r="N601" s="7" t="s">
        <v>5448</v>
      </c>
      <c r="O601" s="7" t="s">
        <v>5449</v>
      </c>
      <c r="P601" s="8">
        <v>344802308337</v>
      </c>
      <c r="Q601" s="7" t="s">
        <v>4893</v>
      </c>
      <c r="R601" s="7" t="s">
        <v>5450</v>
      </c>
      <c r="S601" s="7" t="s">
        <v>5451</v>
      </c>
      <c r="T601" s="7"/>
      <c r="U601" s="7"/>
      <c r="V601" s="1">
        <v>10000</v>
      </c>
      <c r="W601" s="1">
        <v>8759195000</v>
      </c>
      <c r="X601" s="1">
        <v>101000</v>
      </c>
      <c r="Y601" s="1">
        <v>29665000</v>
      </c>
      <c r="Z601" s="1">
        <v>2151154000</v>
      </c>
      <c r="AA601" s="1">
        <v>2144987000</v>
      </c>
      <c r="AB601" s="1">
        <v>735544000</v>
      </c>
      <c r="AC601" s="1">
        <v>903961000</v>
      </c>
      <c r="AD601" s="1">
        <v>919716000</v>
      </c>
      <c r="AE601" s="7"/>
      <c r="AF601" s="7" t="s">
        <v>132</v>
      </c>
      <c r="AG601" s="7" t="s">
        <v>46</v>
      </c>
    </row>
    <row r="602" spans="1:33" ht="15.75" x14ac:dyDescent="0.25">
      <c r="A602" s="1">
        <v>1152130000131</v>
      </c>
      <c r="B602" s="6">
        <v>2130148474</v>
      </c>
      <c r="C602" s="7" t="s">
        <v>5452</v>
      </c>
      <c r="D602" s="7" t="s">
        <v>5453</v>
      </c>
      <c r="E602" s="6">
        <v>24360430</v>
      </c>
      <c r="F602" s="6">
        <v>97401000000</v>
      </c>
      <c r="G602" s="6">
        <v>16</v>
      </c>
      <c r="H602" s="6">
        <v>12300</v>
      </c>
      <c r="I602" s="6">
        <v>213001001</v>
      </c>
      <c r="J602" s="7" t="s">
        <v>5454</v>
      </c>
      <c r="K602" s="7"/>
      <c r="L602" s="1" t="s">
        <v>4450</v>
      </c>
      <c r="M602" s="7" t="s">
        <v>4451</v>
      </c>
      <c r="N602" s="7" t="s">
        <v>5455</v>
      </c>
      <c r="O602" s="7" t="s">
        <v>5456</v>
      </c>
      <c r="P602" s="8">
        <v>212706655798</v>
      </c>
      <c r="Q602" s="7" t="s">
        <v>150</v>
      </c>
      <c r="R602" s="7" t="s">
        <v>5457</v>
      </c>
      <c r="S602" s="7" t="s">
        <v>5458</v>
      </c>
      <c r="T602" s="7"/>
      <c r="U602" s="7" t="s">
        <v>5459</v>
      </c>
      <c r="V602" s="1">
        <v>10000</v>
      </c>
      <c r="W602" s="1">
        <v>2087800000</v>
      </c>
      <c r="X602" s="1">
        <v>51945000</v>
      </c>
      <c r="Y602" s="1">
        <v>28539000</v>
      </c>
      <c r="Z602" s="1">
        <v>288211000</v>
      </c>
      <c r="AA602" s="1">
        <v>278097000</v>
      </c>
      <c r="AB602" s="1">
        <v>94176000</v>
      </c>
      <c r="AC602" s="1">
        <v>120607000</v>
      </c>
      <c r="AD602" s="1">
        <v>121812000</v>
      </c>
      <c r="AE602" s="7"/>
      <c r="AF602" s="7" t="s">
        <v>5460</v>
      </c>
      <c r="AG602" s="7" t="s">
        <v>46</v>
      </c>
    </row>
    <row r="603" spans="1:33" ht="15.75" x14ac:dyDescent="0.25">
      <c r="A603" s="3">
        <v>1062130015661</v>
      </c>
      <c r="B603" s="9">
        <v>2130010780</v>
      </c>
      <c r="C603" s="10" t="s">
        <v>5461</v>
      </c>
      <c r="D603" s="10" t="s">
        <v>5462</v>
      </c>
      <c r="E603" s="9">
        <v>94094208</v>
      </c>
      <c r="F603" s="9">
        <v>97401000000</v>
      </c>
      <c r="G603" s="9">
        <v>16</v>
      </c>
      <c r="H603" s="9">
        <v>12300</v>
      </c>
      <c r="I603" s="9">
        <v>213001001</v>
      </c>
      <c r="J603" s="10" t="s">
        <v>5463</v>
      </c>
      <c r="K603" s="10"/>
      <c r="L603" s="3" t="s">
        <v>4450</v>
      </c>
      <c r="M603" s="10" t="s">
        <v>4451</v>
      </c>
      <c r="N603" s="10" t="s">
        <v>5464</v>
      </c>
      <c r="O603" s="10" t="s">
        <v>5465</v>
      </c>
      <c r="P603" s="11">
        <v>212911354779</v>
      </c>
      <c r="Q603" s="10" t="s">
        <v>150</v>
      </c>
      <c r="R603" s="10" t="s">
        <v>4594</v>
      </c>
      <c r="S603" s="10" t="s">
        <v>5466</v>
      </c>
      <c r="T603" s="10"/>
      <c r="U603" s="10" t="s">
        <v>5467</v>
      </c>
      <c r="V603" s="3">
        <v>10000</v>
      </c>
      <c r="W603" s="3">
        <v>1397474000</v>
      </c>
      <c r="X603" s="3">
        <v>9648000</v>
      </c>
      <c r="Y603" s="3">
        <v>78605000</v>
      </c>
      <c r="Z603" s="3">
        <v>120700000</v>
      </c>
      <c r="AA603" s="3">
        <v>178309000</v>
      </c>
      <c r="AB603" s="3">
        <v>2095000</v>
      </c>
      <c r="AC603" s="3">
        <v>2665000</v>
      </c>
      <c r="AD603" s="3">
        <v>2838000</v>
      </c>
      <c r="AE603" s="10" t="s">
        <v>730</v>
      </c>
      <c r="AF603" s="10" t="s">
        <v>5468</v>
      </c>
      <c r="AG603" s="10" t="s">
        <v>46</v>
      </c>
    </row>
    <row r="604" spans="1:33" ht="15.75" x14ac:dyDescent="0.25">
      <c r="A604" s="1">
        <v>1022101136397</v>
      </c>
      <c r="B604" s="6">
        <v>2126000034</v>
      </c>
      <c r="C604" s="7" t="s">
        <v>5469</v>
      </c>
      <c r="D604" s="7" t="s">
        <v>5470</v>
      </c>
      <c r="E604" s="6">
        <v>361809</v>
      </c>
      <c r="F604" s="6">
        <v>97401000000</v>
      </c>
      <c r="G604" s="6">
        <v>16</v>
      </c>
      <c r="H604" s="6">
        <v>12267</v>
      </c>
      <c r="I604" s="6">
        <v>213001001</v>
      </c>
      <c r="J604" s="7" t="s">
        <v>5471</v>
      </c>
      <c r="K604" s="7"/>
      <c r="L604" s="1" t="s">
        <v>5020</v>
      </c>
      <c r="M604" s="7" t="s">
        <v>5021</v>
      </c>
      <c r="N604" s="7" t="s">
        <v>5472</v>
      </c>
      <c r="O604" s="7" t="s">
        <v>5473</v>
      </c>
      <c r="P604" s="8">
        <v>212903141777</v>
      </c>
      <c r="Q604" s="7" t="s">
        <v>41</v>
      </c>
      <c r="R604" s="7" t="s">
        <v>5474</v>
      </c>
      <c r="S604" s="7" t="s">
        <v>5475</v>
      </c>
      <c r="T604" s="7" t="s">
        <v>5476</v>
      </c>
      <c r="U604" s="7" t="s">
        <v>5477</v>
      </c>
      <c r="V604" s="1"/>
      <c r="W604" s="1">
        <v>1451489000</v>
      </c>
      <c r="X604" s="1">
        <v>405905000</v>
      </c>
      <c r="Y604" s="1">
        <v>40650000</v>
      </c>
      <c r="Z604" s="1">
        <v>129122000</v>
      </c>
      <c r="AA604" s="1">
        <v>76915000</v>
      </c>
      <c r="AB604" s="1">
        <v>25537000</v>
      </c>
      <c r="AC604" s="1">
        <v>1470000</v>
      </c>
      <c r="AD604" s="1">
        <v>31106000</v>
      </c>
      <c r="AE604" s="7"/>
      <c r="AF604" s="7" t="s">
        <v>5478</v>
      </c>
      <c r="AG604" s="7" t="s">
        <v>46</v>
      </c>
    </row>
    <row r="605" spans="1:33" ht="15.75" x14ac:dyDescent="0.25">
      <c r="A605" s="3">
        <v>1022101148398</v>
      </c>
      <c r="B605" s="9">
        <v>2128031334</v>
      </c>
      <c r="C605" s="10" t="s">
        <v>5479</v>
      </c>
      <c r="D605" s="10" t="s">
        <v>5480</v>
      </c>
      <c r="E605" s="9">
        <v>49235111</v>
      </c>
      <c r="F605" s="9">
        <v>97401000000</v>
      </c>
      <c r="G605" s="9">
        <v>16</v>
      </c>
      <c r="H605" s="9">
        <v>12300</v>
      </c>
      <c r="I605" s="9">
        <v>213001001</v>
      </c>
      <c r="J605" s="10" t="s">
        <v>5481</v>
      </c>
      <c r="K605" s="10"/>
      <c r="L605" s="3" t="s">
        <v>1823</v>
      </c>
      <c r="M605" s="10" t="s">
        <v>1824</v>
      </c>
      <c r="N605" s="10" t="s">
        <v>5482</v>
      </c>
      <c r="O605" s="10" t="s">
        <v>5483</v>
      </c>
      <c r="P605" s="11">
        <v>212411695900</v>
      </c>
      <c r="Q605" s="10" t="s">
        <v>41</v>
      </c>
      <c r="R605" s="10" t="s">
        <v>5484</v>
      </c>
      <c r="S605" s="10" t="s">
        <v>5485</v>
      </c>
      <c r="T605" s="10" t="s">
        <v>5486</v>
      </c>
      <c r="U605" s="10" t="s">
        <v>5487</v>
      </c>
      <c r="V605" s="3"/>
      <c r="W605" s="3">
        <v>1236926000</v>
      </c>
      <c r="X605" s="3">
        <v>5399000</v>
      </c>
      <c r="Y605" s="3">
        <v>313400000</v>
      </c>
      <c r="Z605" s="3">
        <v>695751000</v>
      </c>
      <c r="AA605" s="3">
        <v>954903000</v>
      </c>
      <c r="AB605" s="3">
        <v>1651000</v>
      </c>
      <c r="AC605" s="3">
        <v>-9026000</v>
      </c>
      <c r="AD605" s="3">
        <v>2064000</v>
      </c>
      <c r="AE605" s="10" t="s">
        <v>730</v>
      </c>
      <c r="AF605" s="10" t="s">
        <v>1642</v>
      </c>
      <c r="AG605" s="10" t="s">
        <v>46</v>
      </c>
    </row>
    <row r="606" spans="1:33" ht="15.75" x14ac:dyDescent="0.25">
      <c r="A606" s="1">
        <v>1022100967184</v>
      </c>
      <c r="B606" s="6">
        <v>2127317877</v>
      </c>
      <c r="C606" s="7" t="s">
        <v>5488</v>
      </c>
      <c r="D606" s="7" t="s">
        <v>5489</v>
      </c>
      <c r="E606" s="6">
        <v>13094333</v>
      </c>
      <c r="F606" s="6">
        <v>97401000000</v>
      </c>
      <c r="G606" s="6">
        <v>16</v>
      </c>
      <c r="H606" s="6">
        <v>12300</v>
      </c>
      <c r="I606" s="6">
        <v>213001001</v>
      </c>
      <c r="J606" s="7" t="s">
        <v>5490</v>
      </c>
      <c r="K606" s="7"/>
      <c r="L606" s="1" t="s">
        <v>2008</v>
      </c>
      <c r="M606" s="7" t="s">
        <v>2009</v>
      </c>
      <c r="N606" s="7" t="s">
        <v>5491</v>
      </c>
      <c r="O606" s="7" t="s">
        <v>5492</v>
      </c>
      <c r="P606" s="8">
        <v>212702683177</v>
      </c>
      <c r="Q606" s="7" t="s">
        <v>41</v>
      </c>
      <c r="R606" s="7" t="s">
        <v>5332</v>
      </c>
      <c r="S606" s="7" t="s">
        <v>5493</v>
      </c>
      <c r="T606" s="7" t="s">
        <v>5494</v>
      </c>
      <c r="U606" s="7" t="s">
        <v>5495</v>
      </c>
      <c r="V606" s="1"/>
      <c r="W606" s="1">
        <v>1002606000</v>
      </c>
      <c r="X606" s="1">
        <v>385455000</v>
      </c>
      <c r="Y606" s="1">
        <v>152262000</v>
      </c>
      <c r="Z606" s="1">
        <v>70160000</v>
      </c>
      <c r="AA606" s="1">
        <v>168619000</v>
      </c>
      <c r="AB606" s="1">
        <v>91448000</v>
      </c>
      <c r="AC606" s="1">
        <v>137153000</v>
      </c>
      <c r="AD606" s="1">
        <v>117096000</v>
      </c>
      <c r="AE606" s="7" t="s">
        <v>730</v>
      </c>
      <c r="AF606" s="7" t="s">
        <v>5496</v>
      </c>
      <c r="AG606" s="7" t="s">
        <v>46</v>
      </c>
    </row>
    <row r="607" spans="1:33" ht="15.75" x14ac:dyDescent="0.25">
      <c r="A607" s="3">
        <v>1022100968174</v>
      </c>
      <c r="B607" s="9">
        <v>2127009390</v>
      </c>
      <c r="C607" s="10" t="s">
        <v>5497</v>
      </c>
      <c r="D607" s="10" t="s">
        <v>5498</v>
      </c>
      <c r="E607" s="9">
        <v>366391</v>
      </c>
      <c r="F607" s="9">
        <v>97401000000</v>
      </c>
      <c r="G607" s="9">
        <v>16</v>
      </c>
      <c r="H607" s="9">
        <v>12247</v>
      </c>
      <c r="I607" s="9">
        <v>213001001</v>
      </c>
      <c r="J607" s="10" t="s">
        <v>5499</v>
      </c>
      <c r="K607" s="10"/>
      <c r="L607" s="3" t="s">
        <v>5500</v>
      </c>
      <c r="M607" s="10" t="s">
        <v>5501</v>
      </c>
      <c r="N607" s="10" t="s">
        <v>5502</v>
      </c>
      <c r="O607" s="10" t="s">
        <v>5503</v>
      </c>
      <c r="P607" s="11">
        <v>212401431419</v>
      </c>
      <c r="Q607" s="10" t="s">
        <v>41</v>
      </c>
      <c r="R607" s="10" t="s">
        <v>5504</v>
      </c>
      <c r="S607" s="10" t="s">
        <v>5505</v>
      </c>
      <c r="T607" s="10" t="s">
        <v>5506</v>
      </c>
      <c r="U607" s="10" t="s">
        <v>5507</v>
      </c>
      <c r="V607" s="3"/>
      <c r="W607" s="3">
        <v>3498463000</v>
      </c>
      <c r="X607" s="3">
        <v>2523746000</v>
      </c>
      <c r="Y607" s="3">
        <v>440674000</v>
      </c>
      <c r="Z607" s="3">
        <v>1168337000</v>
      </c>
      <c r="AA607" s="3">
        <v>839166000</v>
      </c>
      <c r="AB607" s="3">
        <v>-33966000</v>
      </c>
      <c r="AC607" s="3">
        <v>173657000</v>
      </c>
      <c r="AD607" s="3">
        <v>45265000</v>
      </c>
      <c r="AE607" s="10"/>
      <c r="AF607" s="10" t="s">
        <v>5508</v>
      </c>
      <c r="AG607" s="10" t="s">
        <v>46</v>
      </c>
    </row>
    <row r="608" spans="1:33" ht="15.75" x14ac:dyDescent="0.25">
      <c r="A608" s="1">
        <v>1022101148101</v>
      </c>
      <c r="B608" s="6">
        <v>2128042696</v>
      </c>
      <c r="C608" s="7" t="s">
        <v>5509</v>
      </c>
      <c r="D608" s="7" t="s">
        <v>5510</v>
      </c>
      <c r="E608" s="6">
        <v>13105539</v>
      </c>
      <c r="F608" s="6">
        <v>97401000000</v>
      </c>
      <c r="G608" s="6">
        <v>16</v>
      </c>
      <c r="H608" s="6">
        <v>12300</v>
      </c>
      <c r="I608" s="6">
        <v>213001001</v>
      </c>
      <c r="J608" s="7" t="s">
        <v>5511</v>
      </c>
      <c r="K608" s="7"/>
      <c r="L608" s="1" t="s">
        <v>1045</v>
      </c>
      <c r="M608" s="7" t="s">
        <v>1046</v>
      </c>
      <c r="N608" s="7" t="s">
        <v>5512</v>
      </c>
      <c r="O608" s="7" t="s">
        <v>5513</v>
      </c>
      <c r="P608" s="8">
        <v>212707744401</v>
      </c>
      <c r="Q608" s="7" t="s">
        <v>150</v>
      </c>
      <c r="R608" s="7" t="s">
        <v>5514</v>
      </c>
      <c r="S608" s="7" t="s">
        <v>5515</v>
      </c>
      <c r="T608" s="7" t="s">
        <v>5516</v>
      </c>
      <c r="U608" s="7" t="s">
        <v>5517</v>
      </c>
      <c r="V608" s="1"/>
      <c r="W608" s="1">
        <v>2895464000</v>
      </c>
      <c r="X608" s="1">
        <v>84448000</v>
      </c>
      <c r="Y608" s="1">
        <v>436755000</v>
      </c>
      <c r="Z608" s="1">
        <v>117512000</v>
      </c>
      <c r="AA608" s="1">
        <v>156288000</v>
      </c>
      <c r="AB608" s="1">
        <v>140682000</v>
      </c>
      <c r="AC608" s="1">
        <v>168750000</v>
      </c>
      <c r="AD608" s="1">
        <v>178282000</v>
      </c>
      <c r="AE608" s="7"/>
      <c r="AF608" s="7" t="s">
        <v>5518</v>
      </c>
      <c r="AG608" s="7" t="s">
        <v>46</v>
      </c>
    </row>
    <row r="609" spans="1:33" ht="15.75" x14ac:dyDescent="0.25">
      <c r="A609" s="3">
        <v>1022102628888</v>
      </c>
      <c r="B609" s="9">
        <v>2119000026</v>
      </c>
      <c r="C609" s="10" t="s">
        <v>5519</v>
      </c>
      <c r="D609" s="10" t="s">
        <v>5520</v>
      </c>
      <c r="E609" s="9">
        <v>5315814</v>
      </c>
      <c r="F609" s="9">
        <v>97253501000</v>
      </c>
      <c r="G609" s="9">
        <v>16</v>
      </c>
      <c r="H609" s="9">
        <v>12247</v>
      </c>
      <c r="I609" s="9">
        <v>211901001</v>
      </c>
      <c r="J609" s="10" t="s">
        <v>5521</v>
      </c>
      <c r="K609" s="10"/>
      <c r="L609" s="3" t="s">
        <v>5383</v>
      </c>
      <c r="M609" s="10" t="s">
        <v>5384</v>
      </c>
      <c r="N609" s="10" t="s">
        <v>5522</v>
      </c>
      <c r="O609" s="10" t="s">
        <v>5523</v>
      </c>
      <c r="P609" s="11">
        <v>211900828464</v>
      </c>
      <c r="Q609" s="10" t="s">
        <v>41</v>
      </c>
      <c r="R609" s="10" t="s">
        <v>5524</v>
      </c>
      <c r="S609" s="10" t="s">
        <v>5525</v>
      </c>
      <c r="T609" s="10" t="s">
        <v>5526</v>
      </c>
      <c r="U609" s="10" t="s">
        <v>5527</v>
      </c>
      <c r="V609" s="3"/>
      <c r="W609" s="3">
        <v>6088060000</v>
      </c>
      <c r="X609" s="3">
        <v>820549000</v>
      </c>
      <c r="Y609" s="3">
        <v>280549000</v>
      </c>
      <c r="Z609" s="3">
        <v>468499000</v>
      </c>
      <c r="AA609" s="3">
        <v>360628000</v>
      </c>
      <c r="AB609" s="3">
        <v>677619000</v>
      </c>
      <c r="AC609" s="3">
        <v>790688000</v>
      </c>
      <c r="AD609" s="3">
        <v>869297000</v>
      </c>
      <c r="AE609" s="10"/>
      <c r="AF609" s="10" t="s">
        <v>5528</v>
      </c>
      <c r="AG609" s="10" t="s">
        <v>46</v>
      </c>
    </row>
    <row r="610" spans="1:33" ht="15.75" x14ac:dyDescent="0.25">
      <c r="A610" s="1">
        <v>1022102832146</v>
      </c>
      <c r="B610" s="6">
        <v>2115000346</v>
      </c>
      <c r="C610" s="7" t="s">
        <v>5529</v>
      </c>
      <c r="D610" s="7" t="s">
        <v>5530</v>
      </c>
      <c r="E610" s="6">
        <v>24323438</v>
      </c>
      <c r="F610" s="6">
        <v>97241501000</v>
      </c>
      <c r="G610" s="6">
        <v>16</v>
      </c>
      <c r="H610" s="6">
        <v>12267</v>
      </c>
      <c r="I610" s="6">
        <v>211501001</v>
      </c>
      <c r="J610" s="7" t="s">
        <v>5531</v>
      </c>
      <c r="K610" s="7"/>
      <c r="L610" s="1" t="s">
        <v>5532</v>
      </c>
      <c r="M610" s="7" t="s">
        <v>5533</v>
      </c>
      <c r="N610" s="7" t="s">
        <v>5534</v>
      </c>
      <c r="O610" s="7" t="s">
        <v>5535</v>
      </c>
      <c r="P610" s="8">
        <v>211500247426</v>
      </c>
      <c r="Q610" s="7" t="s">
        <v>41</v>
      </c>
      <c r="R610" s="7" t="s">
        <v>5536</v>
      </c>
      <c r="S610" s="7" t="s">
        <v>5537</v>
      </c>
      <c r="T610" s="7" t="s">
        <v>5538</v>
      </c>
      <c r="U610" s="7" t="s">
        <v>5539</v>
      </c>
      <c r="V610" s="1"/>
      <c r="W610" s="1">
        <v>2810402000</v>
      </c>
      <c r="X610" s="1">
        <v>194137000</v>
      </c>
      <c r="Y610" s="1">
        <v>122587000</v>
      </c>
      <c r="Z610" s="1">
        <v>617723000</v>
      </c>
      <c r="AA610" s="1">
        <v>2140816000</v>
      </c>
      <c r="AB610" s="1">
        <v>10916000</v>
      </c>
      <c r="AC610" s="1">
        <v>76422000</v>
      </c>
      <c r="AD610" s="1">
        <v>18100000</v>
      </c>
      <c r="AE610" s="7"/>
      <c r="AF610" s="7" t="s">
        <v>5540</v>
      </c>
      <c r="AG610" s="7" t="s">
        <v>46</v>
      </c>
    </row>
    <row r="611" spans="1:33" ht="15.75" x14ac:dyDescent="0.25">
      <c r="A611" s="3">
        <v>1022102228741</v>
      </c>
      <c r="B611" s="9">
        <v>2123000942</v>
      </c>
      <c r="C611" s="10" t="s">
        <v>5541</v>
      </c>
      <c r="D611" s="10" t="s">
        <v>5542</v>
      </c>
      <c r="E611" s="9">
        <v>232288</v>
      </c>
      <c r="F611" s="9">
        <v>97407000000</v>
      </c>
      <c r="G611" s="9">
        <v>42</v>
      </c>
      <c r="H611" s="9">
        <v>12267</v>
      </c>
      <c r="I611" s="9">
        <v>212301001</v>
      </c>
      <c r="J611" s="10" t="s">
        <v>5543</v>
      </c>
      <c r="K611" s="10"/>
      <c r="L611" s="3" t="s">
        <v>5544</v>
      </c>
      <c r="M611" s="10" t="s">
        <v>5545</v>
      </c>
      <c r="N611" s="10" t="s">
        <v>5546</v>
      </c>
      <c r="O611" s="10" t="s">
        <v>426</v>
      </c>
      <c r="P611" s="11" t="s">
        <v>90</v>
      </c>
      <c r="Q611" s="10" t="s">
        <v>90</v>
      </c>
      <c r="R611" s="10" t="s">
        <v>5547</v>
      </c>
      <c r="S611" s="10" t="s">
        <v>5548</v>
      </c>
      <c r="T611" s="10" t="s">
        <v>5549</v>
      </c>
      <c r="U611" s="10" t="s">
        <v>5550</v>
      </c>
      <c r="V611" s="3"/>
      <c r="W611" s="3">
        <v>1750725000</v>
      </c>
      <c r="X611" s="3">
        <v>225996000</v>
      </c>
      <c r="Y611" s="3">
        <v>206199000</v>
      </c>
      <c r="Z611" s="3">
        <v>184783000</v>
      </c>
      <c r="AA611" s="3">
        <v>442312000</v>
      </c>
      <c r="AB611" s="3">
        <v>-8620000</v>
      </c>
      <c r="AC611" s="3">
        <v>10267000</v>
      </c>
      <c r="AD611" s="3">
        <v>20761000</v>
      </c>
      <c r="AE611" s="10"/>
      <c r="AF611" s="10"/>
      <c r="AG611" s="10" t="s">
        <v>46</v>
      </c>
    </row>
    <row r="612" spans="1:33" ht="15.75" x14ac:dyDescent="0.25">
      <c r="A612" s="1">
        <v>1022100910226</v>
      </c>
      <c r="B612" s="6">
        <v>2124009521</v>
      </c>
      <c r="C612" s="7" t="s">
        <v>5551</v>
      </c>
      <c r="D612" s="7" t="s">
        <v>5552</v>
      </c>
      <c r="E612" s="6">
        <v>5763441</v>
      </c>
      <c r="F612" s="6">
        <v>97410000000</v>
      </c>
      <c r="G612" s="6">
        <v>16</v>
      </c>
      <c r="H612" s="6">
        <v>12247</v>
      </c>
      <c r="I612" s="6">
        <v>212401001</v>
      </c>
      <c r="J612" s="7" t="s">
        <v>5553</v>
      </c>
      <c r="K612" s="7"/>
      <c r="L612" s="1" t="s">
        <v>5554</v>
      </c>
      <c r="M612" s="7" t="s">
        <v>5555</v>
      </c>
      <c r="N612" s="7" t="s">
        <v>5556</v>
      </c>
      <c r="O612" s="7" t="s">
        <v>5557</v>
      </c>
      <c r="P612" s="8">
        <v>2124041155</v>
      </c>
      <c r="Q612" s="7" t="s">
        <v>90</v>
      </c>
      <c r="R612" s="7" t="s">
        <v>5450</v>
      </c>
      <c r="S612" s="7" t="s">
        <v>5558</v>
      </c>
      <c r="T612" s="7" t="s">
        <v>5559</v>
      </c>
      <c r="U612" s="7" t="s">
        <v>5560</v>
      </c>
      <c r="V612" s="1"/>
      <c r="W612" s="1">
        <v>13470503000</v>
      </c>
      <c r="X612" s="1">
        <v>5439333000</v>
      </c>
      <c r="Y612" s="1">
        <v>1833290000</v>
      </c>
      <c r="Z612" s="1">
        <v>2023007000</v>
      </c>
      <c r="AA612" s="1">
        <v>1723280000</v>
      </c>
      <c r="AB612" s="1">
        <v>847015000</v>
      </c>
      <c r="AC612" s="1">
        <v>1911616000</v>
      </c>
      <c r="AD612" s="1">
        <v>1082201000</v>
      </c>
      <c r="AE612" s="7"/>
      <c r="AF612" s="7"/>
      <c r="AG612" s="7" t="s">
        <v>46</v>
      </c>
    </row>
    <row r="613" spans="1:33" ht="15.75" x14ac:dyDescent="0.25">
      <c r="A613" s="3">
        <v>1192130004560</v>
      </c>
      <c r="B613" s="9">
        <v>2103003695</v>
      </c>
      <c r="C613" s="10" t="s">
        <v>5561</v>
      </c>
      <c r="D613" s="10" t="s">
        <v>5562</v>
      </c>
      <c r="E613" s="9">
        <v>40691741</v>
      </c>
      <c r="F613" s="9">
        <v>97207820006</v>
      </c>
      <c r="G613" s="9">
        <v>16</v>
      </c>
      <c r="H613" s="9">
        <v>20109</v>
      </c>
      <c r="I613" s="9">
        <v>210301001</v>
      </c>
      <c r="J613" s="10" t="s">
        <v>5563</v>
      </c>
      <c r="K613" s="10"/>
      <c r="L613" s="3" t="s">
        <v>5564</v>
      </c>
      <c r="M613" s="10" t="s">
        <v>5565</v>
      </c>
      <c r="N613" s="10" t="s">
        <v>5566</v>
      </c>
      <c r="O613" s="10" t="s">
        <v>5410</v>
      </c>
      <c r="P613" s="11">
        <v>210302742360</v>
      </c>
      <c r="Q613" s="10" t="s">
        <v>3299</v>
      </c>
      <c r="R613" s="10" t="s">
        <v>5567</v>
      </c>
      <c r="S613" s="10" t="s">
        <v>5412</v>
      </c>
      <c r="T613" s="10"/>
      <c r="U613" s="10"/>
      <c r="V613" s="3"/>
      <c r="W613" s="3">
        <v>1361312000</v>
      </c>
      <c r="X613" s="3">
        <v>84522000</v>
      </c>
      <c r="Y613" s="3">
        <v>13187000</v>
      </c>
      <c r="Z613" s="3">
        <v>66588000</v>
      </c>
      <c r="AA613" s="3">
        <v>132339000</v>
      </c>
      <c r="AB613" s="3">
        <v>3264000</v>
      </c>
      <c r="AC613" s="3">
        <v>7881000</v>
      </c>
      <c r="AD613" s="3">
        <v>3893000</v>
      </c>
      <c r="AE613" s="10" t="s">
        <v>317</v>
      </c>
      <c r="AF613" s="10"/>
      <c r="AG613" s="10" t="s">
        <v>46</v>
      </c>
    </row>
    <row r="614" spans="1:33" ht="15.75" x14ac:dyDescent="0.25">
      <c r="A614" s="1">
        <v>1022101269123</v>
      </c>
      <c r="B614" s="6">
        <v>2129017646</v>
      </c>
      <c r="C614" s="7" t="s">
        <v>5568</v>
      </c>
      <c r="D614" s="7" t="s">
        <v>5569</v>
      </c>
      <c r="E614" s="6">
        <v>24322961</v>
      </c>
      <c r="F614" s="6">
        <v>97401000000</v>
      </c>
      <c r="G614" s="6">
        <v>16</v>
      </c>
      <c r="H614" s="6">
        <v>12267</v>
      </c>
      <c r="I614" s="6">
        <v>213001001</v>
      </c>
      <c r="J614" s="7" t="s">
        <v>5570</v>
      </c>
      <c r="K614" s="7"/>
      <c r="L614" s="1" t="s">
        <v>5571</v>
      </c>
      <c r="M614" s="7" t="s">
        <v>5572</v>
      </c>
      <c r="N614" s="7" t="s">
        <v>5573</v>
      </c>
      <c r="O614" s="7" t="s">
        <v>5574</v>
      </c>
      <c r="P614" s="8">
        <v>773470709644</v>
      </c>
      <c r="Q614" s="7" t="s">
        <v>41</v>
      </c>
      <c r="R614" s="7" t="s">
        <v>5575</v>
      </c>
      <c r="S614" s="7" t="s">
        <v>5576</v>
      </c>
      <c r="T614" s="7" t="s">
        <v>5577</v>
      </c>
      <c r="U614" s="7" t="s">
        <v>5578</v>
      </c>
      <c r="V614" s="1"/>
      <c r="W614" s="1">
        <v>8344905000</v>
      </c>
      <c r="X614" s="1">
        <v>0</v>
      </c>
      <c r="Y614" s="1">
        <v>3116138000</v>
      </c>
      <c r="Z614" s="1">
        <v>2341509000</v>
      </c>
      <c r="AA614" s="1">
        <v>1588322000</v>
      </c>
      <c r="AB614" s="1">
        <v>602169000</v>
      </c>
      <c r="AC614" s="1">
        <v>955860000</v>
      </c>
      <c r="AD614" s="1">
        <v>781076000</v>
      </c>
      <c r="AE614" s="7"/>
      <c r="AF614" s="7"/>
      <c r="AG614" s="7" t="s">
        <v>46</v>
      </c>
    </row>
    <row r="615" spans="1:33" ht="15.75" x14ac:dyDescent="0.25">
      <c r="A615" s="3">
        <v>1022101272995</v>
      </c>
      <c r="B615" s="9">
        <v>2129043580</v>
      </c>
      <c r="C615" s="10" t="s">
        <v>5579</v>
      </c>
      <c r="D615" s="10" t="s">
        <v>5580</v>
      </c>
      <c r="E615" s="9">
        <v>542126</v>
      </c>
      <c r="F615" s="9">
        <v>97401000000</v>
      </c>
      <c r="G615" s="9">
        <v>16</v>
      </c>
      <c r="H615" s="9">
        <v>12300</v>
      </c>
      <c r="I615" s="9">
        <v>213001001</v>
      </c>
      <c r="J615" s="10" t="s">
        <v>5581</v>
      </c>
      <c r="K615" s="10"/>
      <c r="L615" s="3" t="s">
        <v>5582</v>
      </c>
      <c r="M615" s="10" t="s">
        <v>5583</v>
      </c>
      <c r="N615" s="10" t="s">
        <v>5584</v>
      </c>
      <c r="O615" s="10" t="s">
        <v>5585</v>
      </c>
      <c r="P615" s="11">
        <v>212401638928</v>
      </c>
      <c r="Q615" s="10" t="s">
        <v>41</v>
      </c>
      <c r="R615" s="10" t="s">
        <v>5586</v>
      </c>
      <c r="S615" s="10" t="s">
        <v>5587</v>
      </c>
      <c r="T615" s="10" t="s">
        <v>5588</v>
      </c>
      <c r="U615" s="10" t="s">
        <v>5589</v>
      </c>
      <c r="V615" s="3"/>
      <c r="W615" s="3">
        <v>2211707000</v>
      </c>
      <c r="X615" s="3">
        <v>601082000</v>
      </c>
      <c r="Y615" s="3">
        <v>198698000</v>
      </c>
      <c r="Z615" s="3">
        <v>47502000</v>
      </c>
      <c r="AA615" s="3">
        <v>234860000</v>
      </c>
      <c r="AB615" s="3">
        <v>238819000</v>
      </c>
      <c r="AC615" s="3">
        <v>245060000</v>
      </c>
      <c r="AD615" s="3">
        <v>297865000</v>
      </c>
      <c r="AE615" s="10"/>
      <c r="AF615" s="10" t="s">
        <v>5590</v>
      </c>
      <c r="AG615" s="10" t="s">
        <v>46</v>
      </c>
    </row>
    <row r="616" spans="1:33" ht="15.75" x14ac:dyDescent="0.25">
      <c r="A616" s="1">
        <v>1022100967866</v>
      </c>
      <c r="B616" s="6">
        <v>2127302006</v>
      </c>
      <c r="C616" s="7" t="s">
        <v>5591</v>
      </c>
      <c r="D616" s="7" t="s">
        <v>5592</v>
      </c>
      <c r="E616" s="6">
        <v>43227085</v>
      </c>
      <c r="F616" s="6">
        <v>97401000000</v>
      </c>
      <c r="G616" s="6">
        <v>16</v>
      </c>
      <c r="H616" s="6">
        <v>12267</v>
      </c>
      <c r="I616" s="6">
        <v>213001001</v>
      </c>
      <c r="J616" s="7" t="s">
        <v>5593</v>
      </c>
      <c r="K616" s="7"/>
      <c r="L616" s="1" t="s">
        <v>5278</v>
      </c>
      <c r="M616" s="7" t="s">
        <v>5279</v>
      </c>
      <c r="N616" s="7" t="s">
        <v>5594</v>
      </c>
      <c r="O616" s="7" t="s">
        <v>4682</v>
      </c>
      <c r="P616" s="8">
        <v>212902345707</v>
      </c>
      <c r="Q616" s="7" t="s">
        <v>4553</v>
      </c>
      <c r="R616" s="7" t="s">
        <v>4683</v>
      </c>
      <c r="S616" s="7" t="s">
        <v>5595</v>
      </c>
      <c r="T616" s="7" t="s">
        <v>5596</v>
      </c>
      <c r="U616" s="7" t="s">
        <v>5597</v>
      </c>
      <c r="V616" s="1">
        <v>8400</v>
      </c>
      <c r="W616" s="1">
        <v>1735821000</v>
      </c>
      <c r="X616" s="1">
        <v>113684000</v>
      </c>
      <c r="Y616" s="1">
        <v>471788000</v>
      </c>
      <c r="Z616" s="1">
        <v>307697000</v>
      </c>
      <c r="AA616" s="1">
        <v>266529000</v>
      </c>
      <c r="AB616" s="1">
        <v>7303000</v>
      </c>
      <c r="AC616" s="1">
        <v>83682000</v>
      </c>
      <c r="AD616" s="1">
        <v>9873000</v>
      </c>
      <c r="AE616" s="7" t="s">
        <v>730</v>
      </c>
      <c r="AF616" s="7" t="s">
        <v>2120</v>
      </c>
      <c r="AG616" s="7" t="s">
        <v>46</v>
      </c>
    </row>
    <row r="617" spans="1:33" ht="15.75" x14ac:dyDescent="0.25">
      <c r="A617" s="3">
        <v>1022100970990</v>
      </c>
      <c r="B617" s="9">
        <v>2127000767</v>
      </c>
      <c r="C617" s="10" t="s">
        <v>5598</v>
      </c>
      <c r="D617" s="10" t="s">
        <v>5599</v>
      </c>
      <c r="E617" s="9">
        <v>24331641</v>
      </c>
      <c r="F617" s="9">
        <v>97401000000</v>
      </c>
      <c r="G617" s="9">
        <v>16</v>
      </c>
      <c r="H617" s="9">
        <v>12300</v>
      </c>
      <c r="I617" s="9">
        <v>213001001</v>
      </c>
      <c r="J617" s="10" t="s">
        <v>5600</v>
      </c>
      <c r="K617" s="10"/>
      <c r="L617" s="3" t="s">
        <v>5601</v>
      </c>
      <c r="M617" s="10" t="s">
        <v>5602</v>
      </c>
      <c r="N617" s="10" t="s">
        <v>5603</v>
      </c>
      <c r="O617" s="10" t="s">
        <v>5604</v>
      </c>
      <c r="P617" s="11">
        <v>615397981893</v>
      </c>
      <c r="Q617" s="10" t="s">
        <v>41</v>
      </c>
      <c r="R617" s="10" t="s">
        <v>5605</v>
      </c>
      <c r="S617" s="10" t="s">
        <v>5606</v>
      </c>
      <c r="T617" s="10"/>
      <c r="U617" s="10" t="s">
        <v>5607</v>
      </c>
      <c r="V617" s="3"/>
      <c r="W617" s="3">
        <v>7179804000</v>
      </c>
      <c r="X617" s="3">
        <v>157646000</v>
      </c>
      <c r="Y617" s="3">
        <v>367851000</v>
      </c>
      <c r="Z617" s="3">
        <v>6352617000</v>
      </c>
      <c r="AA617" s="3">
        <v>6306117000</v>
      </c>
      <c r="AB617" s="3">
        <v>356264000</v>
      </c>
      <c r="AC617" s="3">
        <v>188140000</v>
      </c>
      <c r="AD617" s="3">
        <v>428404000</v>
      </c>
      <c r="AE617" s="10"/>
      <c r="AF617" s="10" t="s">
        <v>5608</v>
      </c>
      <c r="AG617" s="10" t="s">
        <v>46</v>
      </c>
    </row>
    <row r="618" spans="1:33" ht="15.75" x14ac:dyDescent="0.25">
      <c r="A618" s="3">
        <v>1025004066053</v>
      </c>
      <c r="B618" s="9">
        <v>5032050966</v>
      </c>
      <c r="C618" s="10" t="s">
        <v>5609</v>
      </c>
      <c r="D618" s="10" t="s">
        <v>5610</v>
      </c>
      <c r="E618" s="9">
        <v>50165290</v>
      </c>
      <c r="F618" s="9">
        <v>46455000000</v>
      </c>
      <c r="G618" s="9">
        <v>16</v>
      </c>
      <c r="H618" s="9">
        <v>12300</v>
      </c>
      <c r="I618" s="9">
        <v>503201001</v>
      </c>
      <c r="J618" s="10" t="s">
        <v>5611</v>
      </c>
      <c r="K618" s="10"/>
      <c r="L618" s="3" t="s">
        <v>445</v>
      </c>
      <c r="M618" s="10" t="s">
        <v>446</v>
      </c>
      <c r="N618" s="10" t="s">
        <v>5612</v>
      </c>
      <c r="O618" s="10" t="s">
        <v>5613</v>
      </c>
      <c r="P618" s="11">
        <v>503200501613</v>
      </c>
      <c r="Q618" s="10" t="s">
        <v>41</v>
      </c>
      <c r="R618" s="10" t="s">
        <v>5614</v>
      </c>
      <c r="S618" s="10" t="s">
        <v>5615</v>
      </c>
      <c r="T618" s="10"/>
      <c r="U618" s="10" t="s">
        <v>5616</v>
      </c>
      <c r="V618" s="3">
        <v>10000</v>
      </c>
      <c r="W618" s="3">
        <v>48102000</v>
      </c>
      <c r="X618" s="3">
        <v>46221000</v>
      </c>
      <c r="Y618" s="3">
        <v>0</v>
      </c>
      <c r="Z618" s="3">
        <v>5029000</v>
      </c>
      <c r="AA618" s="3">
        <v>5523000</v>
      </c>
      <c r="AB618" s="3">
        <v>18083000</v>
      </c>
      <c r="AC618" s="3">
        <v>0</v>
      </c>
      <c r="AD618" s="3">
        <v>0</v>
      </c>
      <c r="AE618" s="10" t="s">
        <v>317</v>
      </c>
      <c r="AF618" s="10" t="s">
        <v>1534</v>
      </c>
      <c r="AG618" s="10" t="s">
        <v>319</v>
      </c>
    </row>
    <row r="619" spans="1:33" ht="15.75" x14ac:dyDescent="0.25">
      <c r="A619" s="1">
        <v>1025002594737</v>
      </c>
      <c r="B619" s="6">
        <v>5020027560</v>
      </c>
      <c r="C619" s="7" t="s">
        <v>5617</v>
      </c>
      <c r="D619" s="7" t="s">
        <v>5618</v>
      </c>
      <c r="E619" s="6">
        <v>53908834</v>
      </c>
      <c r="F619" s="6">
        <v>46437000000</v>
      </c>
      <c r="G619" s="6">
        <v>16</v>
      </c>
      <c r="H619" s="6">
        <v>12300</v>
      </c>
      <c r="I619" s="6">
        <v>502001001</v>
      </c>
      <c r="J619" s="7" t="s">
        <v>5619</v>
      </c>
      <c r="K619" s="7"/>
      <c r="L619" s="1" t="s">
        <v>404</v>
      </c>
      <c r="M619" s="7" t="s">
        <v>405</v>
      </c>
      <c r="N619" s="7" t="s">
        <v>1286</v>
      </c>
      <c r="O619" s="7" t="s">
        <v>5620</v>
      </c>
      <c r="P619" s="8">
        <v>502004756846</v>
      </c>
      <c r="Q619" s="7" t="s">
        <v>150</v>
      </c>
      <c r="R619" s="7" t="s">
        <v>5621</v>
      </c>
      <c r="S619" s="7" t="s">
        <v>5622</v>
      </c>
      <c r="T619" s="7"/>
      <c r="U619" s="7"/>
      <c r="V619" s="1">
        <v>10000</v>
      </c>
      <c r="W619" s="1">
        <v>31108000</v>
      </c>
      <c r="X619" s="1">
        <v>41974000</v>
      </c>
      <c r="Y619" s="1">
        <v>0</v>
      </c>
      <c r="Z619" s="1">
        <v>1701000</v>
      </c>
      <c r="AA619" s="1">
        <v>34469000</v>
      </c>
      <c r="AB619" s="1">
        <v>10598000</v>
      </c>
      <c r="AC619" s="1">
        <v>0</v>
      </c>
      <c r="AD619" s="1">
        <v>0</v>
      </c>
      <c r="AE619" s="7" t="s">
        <v>317</v>
      </c>
      <c r="AF619" s="7" t="s">
        <v>307</v>
      </c>
      <c r="AG619" s="7" t="s">
        <v>319</v>
      </c>
    </row>
    <row r="620" spans="1:33" ht="15.75" x14ac:dyDescent="0.25">
      <c r="A620" s="3">
        <v>1055008501415</v>
      </c>
      <c r="B620" s="9">
        <v>5043024894</v>
      </c>
      <c r="C620" s="10" t="s">
        <v>5623</v>
      </c>
      <c r="D620" s="10" t="s">
        <v>5624</v>
      </c>
      <c r="E620" s="9">
        <v>75244205</v>
      </c>
      <c r="F620" s="9">
        <v>46470000000</v>
      </c>
      <c r="G620" s="9">
        <v>16</v>
      </c>
      <c r="H620" s="9">
        <v>12300</v>
      </c>
      <c r="I620" s="9">
        <v>504301001</v>
      </c>
      <c r="J620" s="10" t="s">
        <v>5625</v>
      </c>
      <c r="K620" s="10"/>
      <c r="L620" s="3" t="s">
        <v>5626</v>
      </c>
      <c r="M620" s="10" t="s">
        <v>5627</v>
      </c>
      <c r="N620" s="10" t="s">
        <v>5628</v>
      </c>
      <c r="O620" s="10" t="s">
        <v>5629</v>
      </c>
      <c r="P620" s="11">
        <v>220416614930</v>
      </c>
      <c r="Q620" s="10" t="s">
        <v>150</v>
      </c>
      <c r="R620" s="10" t="s">
        <v>5630</v>
      </c>
      <c r="S620" s="10" t="s">
        <v>5631</v>
      </c>
      <c r="T620" s="10" t="s">
        <v>5632</v>
      </c>
      <c r="U620" s="10" t="s">
        <v>5633</v>
      </c>
      <c r="V620" s="3">
        <v>10000</v>
      </c>
      <c r="W620" s="3">
        <v>80170000</v>
      </c>
      <c r="X620" s="3">
        <v>17733000</v>
      </c>
      <c r="Y620" s="3">
        <v>1878000</v>
      </c>
      <c r="Z620" s="3">
        <v>28031000</v>
      </c>
      <c r="AA620" s="3">
        <v>7617000</v>
      </c>
      <c r="AB620" s="3">
        <v>13164000</v>
      </c>
      <c r="AC620" s="3">
        <v>0</v>
      </c>
      <c r="AD620" s="3">
        <v>0</v>
      </c>
      <c r="AE620" s="10" t="s">
        <v>331</v>
      </c>
      <c r="AF620" s="10" t="s">
        <v>132</v>
      </c>
      <c r="AG620" s="10" t="s">
        <v>319</v>
      </c>
    </row>
    <row r="621" spans="1:33" ht="15.75" x14ac:dyDescent="0.25">
      <c r="A621" s="1">
        <v>1025002883014</v>
      </c>
      <c r="B621" s="6">
        <v>5024033100</v>
      </c>
      <c r="C621" s="7" t="s">
        <v>5634</v>
      </c>
      <c r="D621" s="7" t="s">
        <v>5635</v>
      </c>
      <c r="E621" s="6">
        <v>48782590</v>
      </c>
      <c r="F621" s="6">
        <v>46439000000</v>
      </c>
      <c r="G621" s="6">
        <v>16</v>
      </c>
      <c r="H621" s="6">
        <v>12300</v>
      </c>
      <c r="I621" s="6">
        <v>502401001</v>
      </c>
      <c r="J621" s="7" t="s">
        <v>5636</v>
      </c>
      <c r="K621" s="7"/>
      <c r="L621" s="1" t="s">
        <v>2959</v>
      </c>
      <c r="M621" s="7" t="s">
        <v>2960</v>
      </c>
      <c r="N621" s="7" t="s">
        <v>5637</v>
      </c>
      <c r="O621" s="7" t="s">
        <v>5638</v>
      </c>
      <c r="P621" s="8">
        <v>502400375428</v>
      </c>
      <c r="Q621" s="7" t="s">
        <v>41</v>
      </c>
      <c r="R621" s="7" t="s">
        <v>5639</v>
      </c>
      <c r="S621" s="7" t="s">
        <v>5640</v>
      </c>
      <c r="T621" s="7" t="s">
        <v>5641</v>
      </c>
      <c r="U621" s="7"/>
      <c r="V621" s="1">
        <v>10000</v>
      </c>
      <c r="W621" s="1">
        <v>39135000</v>
      </c>
      <c r="X621" s="1">
        <v>9462000</v>
      </c>
      <c r="Y621" s="1">
        <v>916000</v>
      </c>
      <c r="Z621" s="1">
        <v>2111000</v>
      </c>
      <c r="AA621" s="1">
        <v>1545000</v>
      </c>
      <c r="AB621" s="1">
        <v>6313000</v>
      </c>
      <c r="AC621" s="1">
        <v>0</v>
      </c>
      <c r="AD621" s="1">
        <v>0</v>
      </c>
      <c r="AE621" s="7" t="s">
        <v>317</v>
      </c>
      <c r="AF621" s="7" t="s">
        <v>512</v>
      </c>
      <c r="AG621" s="7" t="s">
        <v>319</v>
      </c>
    </row>
    <row r="622" spans="1:33" ht="15.75" x14ac:dyDescent="0.25">
      <c r="A622" s="3">
        <v>1055001003430</v>
      </c>
      <c r="B622" s="9">
        <v>5007047600</v>
      </c>
      <c r="C622" s="10" t="s">
        <v>5642</v>
      </c>
      <c r="D622" s="10" t="s">
        <v>5643</v>
      </c>
      <c r="E622" s="9">
        <v>75258390</v>
      </c>
      <c r="F622" s="9">
        <v>46415000000</v>
      </c>
      <c r="G622" s="9">
        <v>16</v>
      </c>
      <c r="H622" s="9">
        <v>12300</v>
      </c>
      <c r="I622" s="9">
        <v>500701001</v>
      </c>
      <c r="J622" s="10" t="s">
        <v>5644</v>
      </c>
      <c r="K622" s="10"/>
      <c r="L622" s="3" t="s">
        <v>5645</v>
      </c>
      <c r="M622" s="10" t="s">
        <v>5646</v>
      </c>
      <c r="N622" s="10" t="s">
        <v>5647</v>
      </c>
      <c r="O622" s="10" t="s">
        <v>5648</v>
      </c>
      <c r="P622" s="11">
        <v>331103997386</v>
      </c>
      <c r="Q622" s="10" t="s">
        <v>41</v>
      </c>
      <c r="R622" s="10" t="s">
        <v>5649</v>
      </c>
      <c r="S622" s="10" t="s">
        <v>5650</v>
      </c>
      <c r="T622" s="10"/>
      <c r="U622" s="10"/>
      <c r="V622" s="3">
        <v>10000</v>
      </c>
      <c r="W622" s="3">
        <v>63641000</v>
      </c>
      <c r="X622" s="3">
        <v>285000</v>
      </c>
      <c r="Y622" s="3">
        <v>6810000</v>
      </c>
      <c r="Z622" s="3">
        <v>6535000</v>
      </c>
      <c r="AA622" s="3">
        <v>1896000</v>
      </c>
      <c r="AB622" s="3">
        <v>13854000</v>
      </c>
      <c r="AC622" s="3">
        <v>17398000</v>
      </c>
      <c r="AD622" s="3">
        <v>17359000</v>
      </c>
      <c r="AE622" s="10" t="s">
        <v>317</v>
      </c>
      <c r="AF622" s="10" t="s">
        <v>410</v>
      </c>
      <c r="AG622" s="10" t="s">
        <v>319</v>
      </c>
    </row>
    <row r="623" spans="1:33" ht="15.75" x14ac:dyDescent="0.25">
      <c r="A623" s="1">
        <v>1025003527108</v>
      </c>
      <c r="B623" s="6">
        <v>5029010843</v>
      </c>
      <c r="C623" s="7" t="s">
        <v>5651</v>
      </c>
      <c r="D623" s="7" t="s">
        <v>5652</v>
      </c>
      <c r="E623" s="6">
        <v>16985156</v>
      </c>
      <c r="F623" s="6">
        <v>46446000000</v>
      </c>
      <c r="G623" s="6">
        <v>16</v>
      </c>
      <c r="H623" s="6">
        <v>12300</v>
      </c>
      <c r="I623" s="6">
        <v>502901001</v>
      </c>
      <c r="J623" s="7" t="s">
        <v>3197</v>
      </c>
      <c r="K623" s="7"/>
      <c r="L623" s="1" t="s">
        <v>5653</v>
      </c>
      <c r="M623" s="7" t="s">
        <v>5654</v>
      </c>
      <c r="N623" s="7" t="s">
        <v>5655</v>
      </c>
      <c r="O623" s="7" t="s">
        <v>5656</v>
      </c>
      <c r="P623" s="8">
        <v>502900231431</v>
      </c>
      <c r="Q623" s="7" t="s">
        <v>150</v>
      </c>
      <c r="R623" s="7" t="s">
        <v>5657</v>
      </c>
      <c r="S623" s="7" t="s">
        <v>5658</v>
      </c>
      <c r="T623" s="7"/>
      <c r="U623" s="7"/>
      <c r="V623" s="1">
        <v>10000</v>
      </c>
      <c r="W623" s="1">
        <v>32333000</v>
      </c>
      <c r="X623" s="1">
        <v>123000</v>
      </c>
      <c r="Y623" s="1">
        <v>8868000</v>
      </c>
      <c r="Z623" s="1">
        <v>89000</v>
      </c>
      <c r="AA623" s="1">
        <v>9358000</v>
      </c>
      <c r="AB623" s="1">
        <v>458000</v>
      </c>
      <c r="AC623" s="1">
        <v>1964000</v>
      </c>
      <c r="AD623" s="1">
        <v>458000</v>
      </c>
      <c r="AE623" s="7" t="s">
        <v>317</v>
      </c>
      <c r="AF623" s="7" t="s">
        <v>286</v>
      </c>
      <c r="AG623" s="7" t="s">
        <v>319</v>
      </c>
    </row>
    <row r="624" spans="1:33" ht="15.75" x14ac:dyDescent="0.25">
      <c r="A624" s="3">
        <v>1025003075790</v>
      </c>
      <c r="B624" s="9">
        <v>5025017710</v>
      </c>
      <c r="C624" s="10" t="s">
        <v>5659</v>
      </c>
      <c r="D624" s="10" t="s">
        <v>5660</v>
      </c>
      <c r="E624" s="9">
        <v>23481692</v>
      </c>
      <c r="F624" s="9">
        <v>46440000000</v>
      </c>
      <c r="G624" s="9">
        <v>16</v>
      </c>
      <c r="H624" s="9">
        <v>12300</v>
      </c>
      <c r="I624" s="9">
        <v>502501001</v>
      </c>
      <c r="J624" s="10" t="s">
        <v>433</v>
      </c>
      <c r="K624" s="10"/>
      <c r="L624" s="3" t="s">
        <v>404</v>
      </c>
      <c r="M624" s="10" t="s">
        <v>405</v>
      </c>
      <c r="N624" s="10" t="s">
        <v>5661</v>
      </c>
      <c r="O624" s="10" t="s">
        <v>5662</v>
      </c>
      <c r="P624" s="11" t="s">
        <v>5663</v>
      </c>
      <c r="Q624" s="10" t="s">
        <v>5664</v>
      </c>
      <c r="R624" s="10" t="s">
        <v>5665</v>
      </c>
      <c r="S624" s="10" t="s">
        <v>5666</v>
      </c>
      <c r="T624" s="10"/>
      <c r="U624" s="10"/>
      <c r="V624" s="3">
        <v>10000</v>
      </c>
      <c r="W624" s="3">
        <v>33126000</v>
      </c>
      <c r="X624" s="3">
        <v>30609000</v>
      </c>
      <c r="Y624" s="3">
        <v>0</v>
      </c>
      <c r="Z624" s="3">
        <v>8702000</v>
      </c>
      <c r="AA624" s="3">
        <v>5354000</v>
      </c>
      <c r="AB624" s="3">
        <v>17780000</v>
      </c>
      <c r="AC624" s="3">
        <v>0</v>
      </c>
      <c r="AD624" s="3">
        <v>0</v>
      </c>
      <c r="AE624" s="10" t="s">
        <v>317</v>
      </c>
      <c r="AF624" s="10" t="s">
        <v>410</v>
      </c>
      <c r="AG624" s="10" t="s">
        <v>319</v>
      </c>
    </row>
    <row r="625" spans="1:33" ht="15.75" x14ac:dyDescent="0.25">
      <c r="A625" s="1">
        <v>1055007104943</v>
      </c>
      <c r="B625" s="6">
        <v>5034020942</v>
      </c>
      <c r="C625" s="7" t="s">
        <v>5667</v>
      </c>
      <c r="D625" s="7" t="s">
        <v>5668</v>
      </c>
      <c r="E625" s="6">
        <v>75265615</v>
      </c>
      <c r="F625" s="6">
        <v>46457000000</v>
      </c>
      <c r="G625" s="6">
        <v>16</v>
      </c>
      <c r="H625" s="6">
        <v>12300</v>
      </c>
      <c r="I625" s="6">
        <v>503401001</v>
      </c>
      <c r="J625" s="7" t="s">
        <v>5669</v>
      </c>
      <c r="K625" s="7"/>
      <c r="L625" s="1" t="s">
        <v>2575</v>
      </c>
      <c r="M625" s="7" t="s">
        <v>2576</v>
      </c>
      <c r="N625" s="7" t="s">
        <v>5670</v>
      </c>
      <c r="O625" s="7" t="s">
        <v>5671</v>
      </c>
      <c r="P625" s="8">
        <v>503402366614</v>
      </c>
      <c r="Q625" s="7" t="s">
        <v>340</v>
      </c>
      <c r="R625" s="7" t="s">
        <v>5672</v>
      </c>
      <c r="S625" s="7" t="s">
        <v>5673</v>
      </c>
      <c r="T625" s="7" t="s">
        <v>5674</v>
      </c>
      <c r="U625" s="7" t="s">
        <v>5675</v>
      </c>
      <c r="V625" s="1">
        <v>10000</v>
      </c>
      <c r="W625" s="1">
        <v>99059000</v>
      </c>
      <c r="X625" s="1">
        <v>39351000</v>
      </c>
      <c r="Y625" s="1">
        <v>2797000</v>
      </c>
      <c r="Z625" s="1">
        <v>4452000</v>
      </c>
      <c r="AA625" s="1">
        <v>18545000</v>
      </c>
      <c r="AB625" s="1">
        <v>3266000</v>
      </c>
      <c r="AC625" s="1">
        <v>0</v>
      </c>
      <c r="AD625" s="1">
        <v>0</v>
      </c>
      <c r="AE625" s="7" t="s">
        <v>331</v>
      </c>
      <c r="AF625" s="7" t="s">
        <v>1226</v>
      </c>
      <c r="AG625" s="7" t="s">
        <v>319</v>
      </c>
    </row>
    <row r="626" spans="1:33" ht="15.75" x14ac:dyDescent="0.25">
      <c r="A626" s="3">
        <v>1167746331235</v>
      </c>
      <c r="B626" s="9">
        <v>7726373492</v>
      </c>
      <c r="C626" s="10" t="s">
        <v>5676</v>
      </c>
      <c r="D626" s="10" t="s">
        <v>5677</v>
      </c>
      <c r="E626" s="9">
        <v>1704418</v>
      </c>
      <c r="F626" s="9">
        <v>45296593000</v>
      </c>
      <c r="G626" s="9">
        <v>16</v>
      </c>
      <c r="H626" s="9">
        <v>12300</v>
      </c>
      <c r="I626" s="9">
        <v>772601001</v>
      </c>
      <c r="J626" s="10" t="s">
        <v>5678</v>
      </c>
      <c r="K626" s="10"/>
      <c r="L626" s="3" t="s">
        <v>3081</v>
      </c>
      <c r="M626" s="10" t="s">
        <v>3082</v>
      </c>
      <c r="N626" s="10" t="s">
        <v>5679</v>
      </c>
      <c r="O626" s="10" t="s">
        <v>5680</v>
      </c>
      <c r="P626" s="11">
        <v>410508833987</v>
      </c>
      <c r="Q626" s="10" t="s">
        <v>41</v>
      </c>
      <c r="R626" s="10" t="s">
        <v>5681</v>
      </c>
      <c r="S626" s="10" t="s">
        <v>5682</v>
      </c>
      <c r="T626" s="10"/>
      <c r="U626" s="10"/>
      <c r="V626" s="3">
        <v>10000</v>
      </c>
      <c r="W626" s="3">
        <v>44536000</v>
      </c>
      <c r="X626" s="3">
        <v>1535000</v>
      </c>
      <c r="Y626" s="3">
        <v>18106000</v>
      </c>
      <c r="Z626" s="3">
        <v>138231000</v>
      </c>
      <c r="AA626" s="3">
        <v>129261000</v>
      </c>
      <c r="AB626" s="3">
        <v>12937000</v>
      </c>
      <c r="AC626" s="3">
        <v>0</v>
      </c>
      <c r="AD626" s="3">
        <v>0</v>
      </c>
      <c r="AE626" s="10" t="s">
        <v>317</v>
      </c>
      <c r="AF626" s="10" t="s">
        <v>461</v>
      </c>
      <c r="AG626" s="10" t="s">
        <v>319</v>
      </c>
    </row>
    <row r="627" spans="1:33" ht="15.75" x14ac:dyDescent="0.25">
      <c r="A627" s="1">
        <v>1037705029560</v>
      </c>
      <c r="B627" s="6">
        <v>7705495330</v>
      </c>
      <c r="C627" s="7" t="s">
        <v>5683</v>
      </c>
      <c r="D627" s="7" t="s">
        <v>5684</v>
      </c>
      <c r="E627" s="6">
        <v>14597993</v>
      </c>
      <c r="F627" s="6">
        <v>45286560000</v>
      </c>
      <c r="G627" s="6">
        <v>16</v>
      </c>
      <c r="H627" s="6">
        <v>12300</v>
      </c>
      <c r="I627" s="6">
        <v>770501001</v>
      </c>
      <c r="J627" s="7" t="s">
        <v>5685</v>
      </c>
      <c r="K627" s="7"/>
      <c r="L627" s="1" t="s">
        <v>445</v>
      </c>
      <c r="M627" s="7" t="s">
        <v>446</v>
      </c>
      <c r="N627" s="7" t="s">
        <v>5686</v>
      </c>
      <c r="O627" s="7" t="s">
        <v>5687</v>
      </c>
      <c r="P627" s="8">
        <v>772322248726</v>
      </c>
      <c r="Q627" s="7" t="s">
        <v>340</v>
      </c>
      <c r="R627" s="7" t="s">
        <v>5688</v>
      </c>
      <c r="S627" s="7" t="s">
        <v>5689</v>
      </c>
      <c r="T627" s="7"/>
      <c r="U627" s="7"/>
      <c r="V627" s="1">
        <v>10000</v>
      </c>
      <c r="W627" s="1">
        <v>42000000</v>
      </c>
      <c r="X627" s="1">
        <v>3849000</v>
      </c>
      <c r="Y627" s="1">
        <v>0</v>
      </c>
      <c r="Z627" s="1">
        <v>634000</v>
      </c>
      <c r="AA627" s="1">
        <v>609000</v>
      </c>
      <c r="AB627" s="1">
        <v>32874000</v>
      </c>
      <c r="AC627" s="1">
        <v>0</v>
      </c>
      <c r="AD627" s="1">
        <v>0</v>
      </c>
      <c r="AE627" s="7" t="s">
        <v>317</v>
      </c>
      <c r="AF627" s="7" t="s">
        <v>352</v>
      </c>
      <c r="AG627" s="7" t="s">
        <v>319</v>
      </c>
    </row>
    <row r="628" spans="1:33" ht="15.75" x14ac:dyDescent="0.25">
      <c r="A628" s="3">
        <v>1025002873433</v>
      </c>
      <c r="B628" s="9">
        <v>5024055008</v>
      </c>
      <c r="C628" s="10" t="s">
        <v>5690</v>
      </c>
      <c r="D628" s="10" t="s">
        <v>5691</v>
      </c>
      <c r="E628" s="9">
        <v>59379070</v>
      </c>
      <c r="F628" s="9">
        <v>46439556000</v>
      </c>
      <c r="G628" s="9">
        <v>16</v>
      </c>
      <c r="H628" s="9">
        <v>12300</v>
      </c>
      <c r="I628" s="9">
        <v>502401001</v>
      </c>
      <c r="J628" s="10" t="s">
        <v>5692</v>
      </c>
      <c r="K628" s="10"/>
      <c r="L628" s="3" t="s">
        <v>4256</v>
      </c>
      <c r="M628" s="10" t="s">
        <v>4257</v>
      </c>
      <c r="N628" s="10" t="s">
        <v>5693</v>
      </c>
      <c r="O628" s="10" t="s">
        <v>5694</v>
      </c>
      <c r="P628" s="11">
        <v>772623578238</v>
      </c>
      <c r="Q628" s="10" t="s">
        <v>41</v>
      </c>
      <c r="R628" s="10" t="s">
        <v>5695</v>
      </c>
      <c r="S628" s="10" t="s">
        <v>5696</v>
      </c>
      <c r="T628" s="10"/>
      <c r="U628" s="10" t="s">
        <v>5697</v>
      </c>
      <c r="V628" s="3">
        <v>10000</v>
      </c>
      <c r="W628" s="3">
        <v>41505000</v>
      </c>
      <c r="X628" s="3">
        <v>4268000</v>
      </c>
      <c r="Y628" s="3">
        <v>18507000</v>
      </c>
      <c r="Z628" s="3">
        <v>71473000</v>
      </c>
      <c r="AA628" s="3">
        <v>58667000</v>
      </c>
      <c r="AB628" s="3">
        <v>275000</v>
      </c>
      <c r="AC628" s="3">
        <v>0</v>
      </c>
      <c r="AD628" s="3">
        <v>0</v>
      </c>
      <c r="AE628" s="10" t="s">
        <v>317</v>
      </c>
      <c r="AF628" s="10" t="s">
        <v>2881</v>
      </c>
      <c r="AG628" s="10" t="s">
        <v>319</v>
      </c>
    </row>
    <row r="629" spans="1:33" ht="15.75" x14ac:dyDescent="0.25">
      <c r="A629" s="3">
        <v>1055006328134</v>
      </c>
      <c r="B629" s="9">
        <v>5032131333</v>
      </c>
      <c r="C629" s="10" t="s">
        <v>5698</v>
      </c>
      <c r="D629" s="10" t="s">
        <v>5699</v>
      </c>
      <c r="E629" s="9">
        <v>75303439</v>
      </c>
      <c r="F629" s="9">
        <v>46455000000</v>
      </c>
      <c r="G629" s="9">
        <v>24</v>
      </c>
      <c r="H629" s="9">
        <v>12300</v>
      </c>
      <c r="I629" s="9">
        <v>503201001</v>
      </c>
      <c r="J629" s="10" t="s">
        <v>5700</v>
      </c>
      <c r="K629" s="10"/>
      <c r="L629" s="3" t="s">
        <v>288</v>
      </c>
      <c r="M629" s="10" t="s">
        <v>289</v>
      </c>
      <c r="N629" s="10" t="s">
        <v>5701</v>
      </c>
      <c r="O629" s="10" t="s">
        <v>5702</v>
      </c>
      <c r="P629" s="11">
        <v>503236444133</v>
      </c>
      <c r="Q629" s="10" t="s">
        <v>41</v>
      </c>
      <c r="R629" s="10" t="s">
        <v>5703</v>
      </c>
      <c r="S629" s="10" t="s">
        <v>5704</v>
      </c>
      <c r="T629" s="10"/>
      <c r="U629" s="10"/>
      <c r="V629" s="3">
        <v>10000</v>
      </c>
      <c r="W629" s="3">
        <v>82214000</v>
      </c>
      <c r="X629" s="3">
        <v>8750000</v>
      </c>
      <c r="Y629" s="3">
        <v>0</v>
      </c>
      <c r="Z629" s="3">
        <v>13078000</v>
      </c>
      <c r="AA629" s="3">
        <v>18611000</v>
      </c>
      <c r="AB629" s="3">
        <v>81666000</v>
      </c>
      <c r="AC629" s="3">
        <v>0</v>
      </c>
      <c r="AD629" s="3">
        <v>0</v>
      </c>
      <c r="AE629" s="10" t="s">
        <v>317</v>
      </c>
      <c r="AF629" s="10" t="s">
        <v>410</v>
      </c>
      <c r="AG629" s="10" t="s">
        <v>319</v>
      </c>
    </row>
    <row r="630" spans="1:33" ht="15.75" x14ac:dyDescent="0.25">
      <c r="A630" s="1">
        <v>1055001808916</v>
      </c>
      <c r="B630" s="6">
        <v>5010032339</v>
      </c>
      <c r="C630" s="7" t="s">
        <v>5705</v>
      </c>
      <c r="D630" s="7" t="s">
        <v>5706</v>
      </c>
      <c r="E630" s="6">
        <v>78065199</v>
      </c>
      <c r="F630" s="6">
        <v>46418000000</v>
      </c>
      <c r="G630" s="6">
        <v>16</v>
      </c>
      <c r="H630" s="6">
        <v>12300</v>
      </c>
      <c r="I630" s="6">
        <v>501001001</v>
      </c>
      <c r="J630" s="7" t="s">
        <v>5707</v>
      </c>
      <c r="K630" s="7"/>
      <c r="L630" s="1" t="s">
        <v>385</v>
      </c>
      <c r="M630" s="7" t="s">
        <v>386</v>
      </c>
      <c r="N630" s="7" t="s">
        <v>5708</v>
      </c>
      <c r="O630" s="7" t="s">
        <v>5709</v>
      </c>
      <c r="P630" s="8">
        <v>501005298650</v>
      </c>
      <c r="Q630" s="7" t="s">
        <v>150</v>
      </c>
      <c r="R630" s="7" t="s">
        <v>5710</v>
      </c>
      <c r="S630" s="7" t="s">
        <v>5711</v>
      </c>
      <c r="T630" s="7"/>
      <c r="U630" s="7"/>
      <c r="V630" s="1">
        <v>10000</v>
      </c>
      <c r="W630" s="1">
        <v>59517000</v>
      </c>
      <c r="X630" s="1">
        <v>0</v>
      </c>
      <c r="Y630" s="1">
        <v>5000</v>
      </c>
      <c r="Z630" s="1">
        <v>3820000</v>
      </c>
      <c r="AA630" s="1">
        <v>554000</v>
      </c>
      <c r="AB630" s="1">
        <v>176000</v>
      </c>
      <c r="AC630" s="1">
        <v>4527000</v>
      </c>
      <c r="AD630" s="1">
        <v>754000</v>
      </c>
      <c r="AE630" s="7" t="s">
        <v>317</v>
      </c>
      <c r="AF630" s="7" t="s">
        <v>84</v>
      </c>
      <c r="AG630" s="7" t="s">
        <v>319</v>
      </c>
    </row>
    <row r="631" spans="1:33" ht="15.75" x14ac:dyDescent="0.25">
      <c r="A631" s="1">
        <v>1155042002246</v>
      </c>
      <c r="B631" s="6">
        <v>5042137060</v>
      </c>
      <c r="C631" s="7" t="s">
        <v>5712</v>
      </c>
      <c r="D631" s="7" t="s">
        <v>5713</v>
      </c>
      <c r="E631" s="6">
        <v>1360108</v>
      </c>
      <c r="F631" s="6">
        <v>46428000000</v>
      </c>
      <c r="G631" s="6">
        <v>16</v>
      </c>
      <c r="H631" s="6">
        <v>12300</v>
      </c>
      <c r="I631" s="6">
        <v>504201001</v>
      </c>
      <c r="J631" s="7" t="s">
        <v>5714</v>
      </c>
      <c r="K631" s="7"/>
      <c r="L631" s="1" t="s">
        <v>1800</v>
      </c>
      <c r="M631" s="7" t="s">
        <v>1801</v>
      </c>
      <c r="N631" s="7" t="s">
        <v>5715</v>
      </c>
      <c r="O631" s="7" t="s">
        <v>5716</v>
      </c>
      <c r="P631" s="8">
        <v>504215774446</v>
      </c>
      <c r="Q631" s="7" t="s">
        <v>41</v>
      </c>
      <c r="R631" s="7" t="s">
        <v>5717</v>
      </c>
      <c r="S631" s="7" t="s">
        <v>5718</v>
      </c>
      <c r="T631" s="7"/>
      <c r="U631" s="7"/>
      <c r="V631" s="1">
        <v>10000</v>
      </c>
      <c r="W631" s="1">
        <v>55859000</v>
      </c>
      <c r="X631" s="1">
        <v>195000</v>
      </c>
      <c r="Y631" s="1">
        <v>1012000</v>
      </c>
      <c r="Z631" s="1">
        <v>733000</v>
      </c>
      <c r="AA631" s="1">
        <v>2008000</v>
      </c>
      <c r="AB631" s="1">
        <v>5536000</v>
      </c>
      <c r="AC631" s="1">
        <v>0</v>
      </c>
      <c r="AD631" s="1">
        <v>0</v>
      </c>
      <c r="AE631" s="7" t="s">
        <v>317</v>
      </c>
      <c r="AF631" s="7" t="s">
        <v>493</v>
      </c>
      <c r="AG631" s="7" t="s">
        <v>319</v>
      </c>
    </row>
    <row r="632" spans="1:33" ht="15.75" x14ac:dyDescent="0.25">
      <c r="A632" s="3">
        <v>1055002330855</v>
      </c>
      <c r="B632" s="9">
        <v>5013051308</v>
      </c>
      <c r="C632" s="10" t="s">
        <v>5719</v>
      </c>
      <c r="D632" s="10" t="s">
        <v>5720</v>
      </c>
      <c r="E632" s="9">
        <v>78078768</v>
      </c>
      <c r="F632" s="9">
        <v>46425000000</v>
      </c>
      <c r="G632" s="9">
        <v>16</v>
      </c>
      <c r="H632" s="9">
        <v>12300</v>
      </c>
      <c r="I632" s="9">
        <v>504001001</v>
      </c>
      <c r="J632" s="10" t="s">
        <v>5721</v>
      </c>
      <c r="K632" s="10"/>
      <c r="L632" s="3" t="s">
        <v>1163</v>
      </c>
      <c r="M632" s="10" t="s">
        <v>1164</v>
      </c>
      <c r="N632" s="10" t="s">
        <v>5722</v>
      </c>
      <c r="O632" s="10" t="s">
        <v>5723</v>
      </c>
      <c r="P632" s="11">
        <v>501305407460</v>
      </c>
      <c r="Q632" s="10" t="s">
        <v>41</v>
      </c>
      <c r="R632" s="10" t="s">
        <v>5724</v>
      </c>
      <c r="S632" s="10" t="s">
        <v>5725</v>
      </c>
      <c r="T632" s="10"/>
      <c r="U632" s="10"/>
      <c r="V632" s="3">
        <v>10000</v>
      </c>
      <c r="W632" s="3">
        <v>36537000</v>
      </c>
      <c r="X632" s="3">
        <v>6000</v>
      </c>
      <c r="Y632" s="3">
        <v>0</v>
      </c>
      <c r="Z632" s="3">
        <v>10310000</v>
      </c>
      <c r="AA632" s="3">
        <v>3147000</v>
      </c>
      <c r="AB632" s="3">
        <v>3013000</v>
      </c>
      <c r="AC632" s="3">
        <v>0</v>
      </c>
      <c r="AD632" s="3">
        <v>0</v>
      </c>
      <c r="AE632" s="10" t="s">
        <v>331</v>
      </c>
      <c r="AF632" s="10" t="s">
        <v>84</v>
      </c>
      <c r="AG632" s="10" t="s">
        <v>319</v>
      </c>
    </row>
    <row r="633" spans="1:33" ht="15.75" x14ac:dyDescent="0.25">
      <c r="A633" s="1">
        <v>1027745002559</v>
      </c>
      <c r="B633" s="6">
        <v>7704248603</v>
      </c>
      <c r="C633" s="7" t="s">
        <v>5726</v>
      </c>
      <c r="D633" s="7" t="s">
        <v>5727</v>
      </c>
      <c r="E633" s="6">
        <v>59614513</v>
      </c>
      <c r="F633" s="6">
        <v>45286590000</v>
      </c>
      <c r="G633" s="6">
        <v>16</v>
      </c>
      <c r="H633" s="6">
        <v>12300</v>
      </c>
      <c r="I633" s="6">
        <v>770401001</v>
      </c>
      <c r="J633" s="7" t="s">
        <v>1238</v>
      </c>
      <c r="K633" s="7"/>
      <c r="L633" s="1" t="s">
        <v>404</v>
      </c>
      <c r="M633" s="7" t="s">
        <v>405</v>
      </c>
      <c r="N633" s="7"/>
      <c r="O633" s="7" t="s">
        <v>5728</v>
      </c>
      <c r="P633" s="8">
        <v>772027628664</v>
      </c>
      <c r="Q633" s="7" t="s">
        <v>41</v>
      </c>
      <c r="R633" s="7" t="s">
        <v>5729</v>
      </c>
      <c r="S633" s="7" t="s">
        <v>5730</v>
      </c>
      <c r="T633" s="7"/>
      <c r="U633" s="7"/>
      <c r="V633" s="1">
        <v>10000</v>
      </c>
      <c r="W633" s="1">
        <v>67886000</v>
      </c>
      <c r="X633" s="1">
        <v>35764000</v>
      </c>
      <c r="Y633" s="1">
        <v>0</v>
      </c>
      <c r="Z633" s="1">
        <v>1296000</v>
      </c>
      <c r="AA633" s="1">
        <v>20468000</v>
      </c>
      <c r="AB633" s="1">
        <v>36185000</v>
      </c>
      <c r="AC633" s="1">
        <v>0</v>
      </c>
      <c r="AD633" s="1">
        <v>0</v>
      </c>
      <c r="AE633" s="7" t="s">
        <v>317</v>
      </c>
      <c r="AF633" s="7" t="s">
        <v>410</v>
      </c>
      <c r="AG633" s="7" t="s">
        <v>319</v>
      </c>
    </row>
    <row r="634" spans="1:33" ht="15.75" x14ac:dyDescent="0.25">
      <c r="A634" s="3">
        <v>1025003521905</v>
      </c>
      <c r="B634" s="9">
        <v>5029039916</v>
      </c>
      <c r="C634" s="10" t="s">
        <v>5731</v>
      </c>
      <c r="D634" s="10" t="s">
        <v>5732</v>
      </c>
      <c r="E634" s="9">
        <v>45118791</v>
      </c>
      <c r="F634" s="9">
        <v>46446000000</v>
      </c>
      <c r="G634" s="9">
        <v>16</v>
      </c>
      <c r="H634" s="9">
        <v>12300</v>
      </c>
      <c r="I634" s="9">
        <v>502901001</v>
      </c>
      <c r="J634" s="10" t="s">
        <v>5733</v>
      </c>
      <c r="K634" s="10"/>
      <c r="L634" s="3" t="s">
        <v>404</v>
      </c>
      <c r="M634" s="10" t="s">
        <v>405</v>
      </c>
      <c r="N634" s="10" t="s">
        <v>5734</v>
      </c>
      <c r="O634" s="10" t="s">
        <v>5735</v>
      </c>
      <c r="P634" s="11">
        <v>772403586868</v>
      </c>
      <c r="Q634" s="10" t="s">
        <v>150</v>
      </c>
      <c r="R634" s="10" t="s">
        <v>5736</v>
      </c>
      <c r="S634" s="10" t="s">
        <v>5737</v>
      </c>
      <c r="T634" s="10"/>
      <c r="U634" s="10" t="s">
        <v>5738</v>
      </c>
      <c r="V634" s="3">
        <v>10000</v>
      </c>
      <c r="W634" s="3">
        <v>35892000</v>
      </c>
      <c r="X634" s="3">
        <v>20814000</v>
      </c>
      <c r="Y634" s="3">
        <v>0</v>
      </c>
      <c r="Z634" s="3">
        <v>16776000</v>
      </c>
      <c r="AA634" s="3">
        <v>4360000</v>
      </c>
      <c r="AB634" s="3">
        <v>2864000</v>
      </c>
      <c r="AC634" s="3">
        <v>0</v>
      </c>
      <c r="AD634" s="3">
        <v>0</v>
      </c>
      <c r="AE634" s="10" t="s">
        <v>317</v>
      </c>
      <c r="AF634" s="10" t="s">
        <v>410</v>
      </c>
      <c r="AG634" s="10" t="s">
        <v>319</v>
      </c>
    </row>
    <row r="635" spans="1:33" ht="15.75" x14ac:dyDescent="0.25">
      <c r="A635" s="1">
        <v>1055003615237</v>
      </c>
      <c r="B635" s="6">
        <v>5020043241</v>
      </c>
      <c r="C635" s="7" t="s">
        <v>5739</v>
      </c>
      <c r="D635" s="7" t="s">
        <v>5740</v>
      </c>
      <c r="E635" s="6">
        <v>78057685</v>
      </c>
      <c r="F635" s="6">
        <v>46437000000</v>
      </c>
      <c r="G635" s="6">
        <v>16</v>
      </c>
      <c r="H635" s="6">
        <v>12300</v>
      </c>
      <c r="I635" s="6">
        <v>502001001</v>
      </c>
      <c r="J635" s="7" t="s">
        <v>5741</v>
      </c>
      <c r="K635" s="7"/>
      <c r="L635" s="1" t="s">
        <v>5742</v>
      </c>
      <c r="M635" s="7" t="s">
        <v>5743</v>
      </c>
      <c r="N635" s="7" t="s">
        <v>5744</v>
      </c>
      <c r="O635" s="7" t="s">
        <v>5745</v>
      </c>
      <c r="P635" s="8">
        <v>502007654641</v>
      </c>
      <c r="Q635" s="7" t="s">
        <v>41</v>
      </c>
      <c r="R635" s="7" t="s">
        <v>5746</v>
      </c>
      <c r="S635" s="7" t="s">
        <v>5747</v>
      </c>
      <c r="T635" s="7"/>
      <c r="U635" s="7" t="s">
        <v>2759</v>
      </c>
      <c r="V635" s="1">
        <v>10000</v>
      </c>
      <c r="W635" s="1">
        <v>42615000</v>
      </c>
      <c r="X635" s="1">
        <v>0</v>
      </c>
      <c r="Y635" s="1">
        <v>2823000</v>
      </c>
      <c r="Z635" s="1">
        <v>9321000</v>
      </c>
      <c r="AA635" s="1">
        <v>706000</v>
      </c>
      <c r="AB635" s="1">
        <v>6602000</v>
      </c>
      <c r="AC635" s="1">
        <v>0</v>
      </c>
      <c r="AD635" s="1">
        <v>0</v>
      </c>
      <c r="AE635" s="7" t="s">
        <v>317</v>
      </c>
      <c r="AF635" s="7" t="s">
        <v>1023</v>
      </c>
      <c r="AG635" s="7" t="s">
        <v>319</v>
      </c>
    </row>
    <row r="636" spans="1:33" ht="15.75" x14ac:dyDescent="0.25">
      <c r="A636" s="3">
        <v>1037700093892</v>
      </c>
      <c r="B636" s="9">
        <v>7725131719</v>
      </c>
      <c r="C636" s="10" t="s">
        <v>5748</v>
      </c>
      <c r="D636" s="10" t="s">
        <v>5749</v>
      </c>
      <c r="E636" s="9">
        <v>55233725</v>
      </c>
      <c r="F636" s="9">
        <v>45283587000</v>
      </c>
      <c r="G636" s="9">
        <v>16</v>
      </c>
      <c r="H636" s="9">
        <v>12300</v>
      </c>
      <c r="I636" s="9">
        <v>773401001</v>
      </c>
      <c r="J636" s="10" t="s">
        <v>4461</v>
      </c>
      <c r="K636" s="10"/>
      <c r="L636" s="3" t="s">
        <v>404</v>
      </c>
      <c r="M636" s="10" t="s">
        <v>405</v>
      </c>
      <c r="N636" s="10" t="s">
        <v>5750</v>
      </c>
      <c r="O636" s="10" t="s">
        <v>5751</v>
      </c>
      <c r="P636" s="11">
        <v>773410443728</v>
      </c>
      <c r="Q636" s="10" t="s">
        <v>41</v>
      </c>
      <c r="R636" s="10" t="s">
        <v>5752</v>
      </c>
      <c r="S636" s="10" t="s">
        <v>5753</v>
      </c>
      <c r="T636" s="10"/>
      <c r="U636" s="10"/>
      <c r="V636" s="3">
        <v>10000</v>
      </c>
      <c r="W636" s="3">
        <v>36564000</v>
      </c>
      <c r="X636" s="3">
        <v>29451000</v>
      </c>
      <c r="Y636" s="3">
        <v>0</v>
      </c>
      <c r="Z636" s="3">
        <v>69141000</v>
      </c>
      <c r="AA636" s="3">
        <v>10722000</v>
      </c>
      <c r="AB636" s="3">
        <v>8277000</v>
      </c>
      <c r="AC636" s="3">
        <v>0</v>
      </c>
      <c r="AD636" s="3">
        <v>0</v>
      </c>
      <c r="AE636" s="10" t="s">
        <v>317</v>
      </c>
      <c r="AF636" s="10" t="s">
        <v>1023</v>
      </c>
      <c r="AG636" s="10" t="s">
        <v>319</v>
      </c>
    </row>
    <row r="637" spans="1:33" ht="15.75" x14ac:dyDescent="0.25">
      <c r="A637" s="1">
        <v>1117746069363</v>
      </c>
      <c r="B637" s="6">
        <v>7722738135</v>
      </c>
      <c r="C637" s="7" t="s">
        <v>5754</v>
      </c>
      <c r="D637" s="7" t="s">
        <v>5755</v>
      </c>
      <c r="E637" s="6">
        <v>69755410</v>
      </c>
      <c r="F637" s="6">
        <v>45290564000</v>
      </c>
      <c r="G637" s="6">
        <v>24</v>
      </c>
      <c r="H637" s="6">
        <v>12300</v>
      </c>
      <c r="I637" s="6">
        <v>772201001</v>
      </c>
      <c r="J637" s="7" t="s">
        <v>5756</v>
      </c>
      <c r="K637" s="7"/>
      <c r="L637" s="1" t="s">
        <v>5757</v>
      </c>
      <c r="M637" s="7" t="s">
        <v>1801</v>
      </c>
      <c r="N637" s="7" t="s">
        <v>5758</v>
      </c>
      <c r="O637" s="7" t="s">
        <v>5759</v>
      </c>
      <c r="P637" s="8">
        <v>773136336977</v>
      </c>
      <c r="Q637" s="7" t="s">
        <v>41</v>
      </c>
      <c r="R637" s="7" t="s">
        <v>5760</v>
      </c>
      <c r="S637" s="7" t="s">
        <v>5761</v>
      </c>
      <c r="T637" s="7"/>
      <c r="U637" s="7"/>
      <c r="V637" s="1">
        <v>10000</v>
      </c>
      <c r="W637" s="1">
        <v>57511000</v>
      </c>
      <c r="X637" s="1">
        <v>549000</v>
      </c>
      <c r="Y637" s="1">
        <v>683000</v>
      </c>
      <c r="Z637" s="1">
        <v>1784000</v>
      </c>
      <c r="AA637" s="1">
        <v>4627000</v>
      </c>
      <c r="AB637" s="1">
        <v>-3816000</v>
      </c>
      <c r="AC637" s="1">
        <v>0</v>
      </c>
      <c r="AD637" s="1">
        <v>0</v>
      </c>
      <c r="AE637" s="7" t="s">
        <v>317</v>
      </c>
      <c r="AF637" s="7" t="s">
        <v>84</v>
      </c>
      <c r="AG637" s="7" t="s">
        <v>319</v>
      </c>
    </row>
    <row r="638" spans="1:33" ht="15.75" x14ac:dyDescent="0.25">
      <c r="A638" s="3">
        <v>1025003216578</v>
      </c>
      <c r="B638" s="9">
        <v>5027080411</v>
      </c>
      <c r="C638" s="10" t="s">
        <v>5762</v>
      </c>
      <c r="D638" s="10" t="s">
        <v>5763</v>
      </c>
      <c r="E638" s="9">
        <v>56806979</v>
      </c>
      <c r="F638" s="9">
        <v>46448561000</v>
      </c>
      <c r="G638" s="9">
        <v>16</v>
      </c>
      <c r="H638" s="9">
        <v>12300</v>
      </c>
      <c r="I638" s="9">
        <v>502701001</v>
      </c>
      <c r="J638" s="10" t="s">
        <v>5764</v>
      </c>
      <c r="K638" s="10"/>
      <c r="L638" s="3" t="s">
        <v>5363</v>
      </c>
      <c r="M638" s="10" t="s">
        <v>5364</v>
      </c>
      <c r="N638" s="10" t="s">
        <v>5765</v>
      </c>
      <c r="O638" s="10" t="s">
        <v>5766</v>
      </c>
      <c r="P638" s="11">
        <v>502708775316</v>
      </c>
      <c r="Q638" s="10" t="s">
        <v>41</v>
      </c>
      <c r="R638" s="10" t="s">
        <v>5767</v>
      </c>
      <c r="S638" s="10" t="s">
        <v>5768</v>
      </c>
      <c r="T638" s="10" t="s">
        <v>5769</v>
      </c>
      <c r="U638" s="10" t="s">
        <v>5770</v>
      </c>
      <c r="V638" s="3">
        <v>10000</v>
      </c>
      <c r="W638" s="3">
        <v>47839000</v>
      </c>
      <c r="X638" s="3">
        <v>14529000</v>
      </c>
      <c r="Y638" s="3">
        <v>30419000</v>
      </c>
      <c r="Z638" s="3">
        <v>11655000</v>
      </c>
      <c r="AA638" s="3">
        <v>10556000</v>
      </c>
      <c r="AB638" s="3">
        <v>62000</v>
      </c>
      <c r="AC638" s="3">
        <v>0</v>
      </c>
      <c r="AD638" s="3">
        <v>0</v>
      </c>
      <c r="AE638" s="10" t="s">
        <v>317</v>
      </c>
      <c r="AF638" s="10" t="s">
        <v>352</v>
      </c>
      <c r="AG638" s="10" t="s">
        <v>319</v>
      </c>
    </row>
    <row r="639" spans="1:33" ht="15.75" x14ac:dyDescent="0.25">
      <c r="A639" s="1">
        <v>1055006316573</v>
      </c>
      <c r="B639" s="6">
        <v>5032128443</v>
      </c>
      <c r="C639" s="7" t="s">
        <v>5771</v>
      </c>
      <c r="D639" s="7" t="s">
        <v>5772</v>
      </c>
      <c r="E639" s="6">
        <v>75274933</v>
      </c>
      <c r="F639" s="6">
        <v>46455000000</v>
      </c>
      <c r="G639" s="6">
        <v>16</v>
      </c>
      <c r="H639" s="6">
        <v>12300</v>
      </c>
      <c r="I639" s="6">
        <v>503201001</v>
      </c>
      <c r="J639" s="7" t="s">
        <v>5773</v>
      </c>
      <c r="K639" s="7"/>
      <c r="L639" s="1" t="s">
        <v>5774</v>
      </c>
      <c r="M639" s="7" t="s">
        <v>5775</v>
      </c>
      <c r="N639" s="7" t="s">
        <v>5776</v>
      </c>
      <c r="O639" s="7" t="s">
        <v>5777</v>
      </c>
      <c r="P639" s="8">
        <v>60801149000</v>
      </c>
      <c r="Q639" s="7" t="s">
        <v>41</v>
      </c>
      <c r="R639" s="7" t="s">
        <v>5778</v>
      </c>
      <c r="S639" s="7" t="s">
        <v>5779</v>
      </c>
      <c r="T639" s="7"/>
      <c r="U639" s="7"/>
      <c r="V639" s="1">
        <v>10000</v>
      </c>
      <c r="W639" s="1">
        <v>46302000</v>
      </c>
      <c r="X639" s="1">
        <v>8003000</v>
      </c>
      <c r="Y639" s="1">
        <v>0</v>
      </c>
      <c r="Z639" s="1">
        <v>4138000</v>
      </c>
      <c r="AA639" s="1">
        <v>1845000</v>
      </c>
      <c r="AB639" s="1">
        <v>3828000</v>
      </c>
      <c r="AC639" s="1">
        <v>0</v>
      </c>
      <c r="AD639" s="1">
        <v>0</v>
      </c>
      <c r="AE639" s="7" t="s">
        <v>331</v>
      </c>
      <c r="AF639" s="7" t="s">
        <v>878</v>
      </c>
      <c r="AG639" s="7" t="s">
        <v>319</v>
      </c>
    </row>
    <row r="640" spans="1:33" ht="15.75" x14ac:dyDescent="0.25">
      <c r="A640" s="3">
        <v>1075047005395</v>
      </c>
      <c r="B640" s="9">
        <v>5008043630</v>
      </c>
      <c r="C640" s="10" t="s">
        <v>5780</v>
      </c>
      <c r="D640" s="10" t="s">
        <v>5781</v>
      </c>
      <c r="E640" s="9">
        <v>99170090</v>
      </c>
      <c r="F640" s="9">
        <v>46416000000</v>
      </c>
      <c r="G640" s="9">
        <v>16</v>
      </c>
      <c r="H640" s="9">
        <v>12300</v>
      </c>
      <c r="I640" s="9">
        <v>500801001</v>
      </c>
      <c r="J640" s="10" t="s">
        <v>5782</v>
      </c>
      <c r="K640" s="10"/>
      <c r="L640" s="3" t="s">
        <v>1800</v>
      </c>
      <c r="M640" s="10" t="s">
        <v>1801</v>
      </c>
      <c r="N640" s="10" t="s">
        <v>5783</v>
      </c>
      <c r="O640" s="10" t="s">
        <v>5784</v>
      </c>
      <c r="P640" s="11">
        <v>771373931720</v>
      </c>
      <c r="Q640" s="10" t="s">
        <v>41</v>
      </c>
      <c r="R640" s="10" t="s">
        <v>5785</v>
      </c>
      <c r="S640" s="10" t="s">
        <v>5786</v>
      </c>
      <c r="T640" s="10"/>
      <c r="U640" s="10"/>
      <c r="V640" s="3">
        <v>10000</v>
      </c>
      <c r="W640" s="3">
        <v>56558000</v>
      </c>
      <c r="X640" s="3">
        <v>448000</v>
      </c>
      <c r="Y640" s="3">
        <v>801000</v>
      </c>
      <c r="Z640" s="3">
        <v>36000</v>
      </c>
      <c r="AA640" s="3">
        <v>1424000</v>
      </c>
      <c r="AB640" s="3">
        <v>4079000</v>
      </c>
      <c r="AC640" s="3">
        <v>0</v>
      </c>
      <c r="AD640" s="3">
        <v>0</v>
      </c>
      <c r="AE640" s="10" t="s">
        <v>331</v>
      </c>
      <c r="AF640" s="10" t="s">
        <v>286</v>
      </c>
      <c r="AG640" s="10" t="s">
        <v>319</v>
      </c>
    </row>
    <row r="641" spans="1:33" ht="15.75" x14ac:dyDescent="0.25">
      <c r="A641" s="1">
        <v>1117746483139</v>
      </c>
      <c r="B641" s="6">
        <v>7703746420</v>
      </c>
      <c r="C641" s="7" t="s">
        <v>5787</v>
      </c>
      <c r="D641" s="7" t="s">
        <v>5788</v>
      </c>
      <c r="E641" s="6">
        <v>92524544</v>
      </c>
      <c r="F641" s="6">
        <v>45286575000</v>
      </c>
      <c r="G641" s="6">
        <v>16</v>
      </c>
      <c r="H641" s="6">
        <v>12300</v>
      </c>
      <c r="I641" s="6">
        <v>770301001</v>
      </c>
      <c r="J641" s="7" t="s">
        <v>168</v>
      </c>
      <c r="K641" s="7"/>
      <c r="L641" s="1" t="s">
        <v>5774</v>
      </c>
      <c r="M641" s="7" t="s">
        <v>5775</v>
      </c>
      <c r="N641" s="7" t="s">
        <v>5789</v>
      </c>
      <c r="O641" s="7" t="s">
        <v>5790</v>
      </c>
      <c r="P641" s="8">
        <v>50603949129</v>
      </c>
      <c r="Q641" s="7" t="s">
        <v>41</v>
      </c>
      <c r="R641" s="7" t="s">
        <v>5791</v>
      </c>
      <c r="S641" s="7" t="s">
        <v>5792</v>
      </c>
      <c r="T641" s="7"/>
      <c r="U641" s="7"/>
      <c r="V641" s="1">
        <v>10000</v>
      </c>
      <c r="W641" s="1">
        <v>61777000</v>
      </c>
      <c r="X641" s="1">
        <v>0</v>
      </c>
      <c r="Y641" s="1">
        <v>1491000</v>
      </c>
      <c r="Z641" s="1">
        <v>4908000</v>
      </c>
      <c r="AA641" s="1">
        <v>4396000</v>
      </c>
      <c r="AB641" s="1">
        <v>862000</v>
      </c>
      <c r="AC641" s="1">
        <v>0</v>
      </c>
      <c r="AD641" s="1">
        <v>0</v>
      </c>
      <c r="AE641" s="7" t="s">
        <v>317</v>
      </c>
      <c r="AF641" s="7" t="s">
        <v>493</v>
      </c>
      <c r="AG641" s="7" t="s">
        <v>319</v>
      </c>
    </row>
    <row r="642" spans="1:33" ht="15.75" x14ac:dyDescent="0.25">
      <c r="A642" s="3">
        <v>1055007503088</v>
      </c>
      <c r="B642" s="9">
        <v>5040064715</v>
      </c>
      <c r="C642" s="10" t="s">
        <v>5793</v>
      </c>
      <c r="D642" s="10" t="s">
        <v>5794</v>
      </c>
      <c r="E642" s="9">
        <v>75251346</v>
      </c>
      <c r="F642" s="9">
        <v>46425000000</v>
      </c>
      <c r="G642" s="9">
        <v>16</v>
      </c>
      <c r="H642" s="9">
        <v>12300</v>
      </c>
      <c r="I642" s="9">
        <v>504001001</v>
      </c>
      <c r="J642" s="10" t="s">
        <v>5795</v>
      </c>
      <c r="K642" s="10"/>
      <c r="L642" s="3" t="s">
        <v>5796</v>
      </c>
      <c r="M642" s="10" t="s">
        <v>5797</v>
      </c>
      <c r="N642" s="10" t="s">
        <v>5798</v>
      </c>
      <c r="O642" s="10" t="s">
        <v>5799</v>
      </c>
      <c r="P642" s="11">
        <v>680702171445</v>
      </c>
      <c r="Q642" s="10" t="s">
        <v>41</v>
      </c>
      <c r="R642" s="10" t="s">
        <v>5800</v>
      </c>
      <c r="S642" s="10" t="s">
        <v>5801</v>
      </c>
      <c r="T642" s="10"/>
      <c r="U642" s="10"/>
      <c r="V642" s="3">
        <v>10000</v>
      </c>
      <c r="W642" s="3">
        <v>32503000</v>
      </c>
      <c r="X642" s="3">
        <v>0</v>
      </c>
      <c r="Y642" s="3">
        <v>30000</v>
      </c>
      <c r="Z642" s="3">
        <v>0</v>
      </c>
      <c r="AA642" s="3">
        <v>3000</v>
      </c>
      <c r="AB642" s="3">
        <v>-735000</v>
      </c>
      <c r="AC642" s="3">
        <v>0</v>
      </c>
      <c r="AD642" s="3">
        <v>0</v>
      </c>
      <c r="AE642" s="10" t="s">
        <v>317</v>
      </c>
      <c r="AF642" s="10" t="s">
        <v>530</v>
      </c>
      <c r="AG642" s="10" t="s">
        <v>319</v>
      </c>
    </row>
    <row r="643" spans="1:33" ht="15.75" x14ac:dyDescent="0.25">
      <c r="A643" s="1">
        <v>1175022006642</v>
      </c>
      <c r="B643" s="6">
        <v>5022054023</v>
      </c>
      <c r="C643" s="7" t="s">
        <v>5802</v>
      </c>
      <c r="D643" s="7" t="s">
        <v>5803</v>
      </c>
      <c r="E643" s="6">
        <v>19262843</v>
      </c>
      <c r="F643" s="6">
        <v>46438000000</v>
      </c>
      <c r="G643" s="6">
        <v>16</v>
      </c>
      <c r="H643" s="6">
        <v>12300</v>
      </c>
      <c r="I643" s="6">
        <v>502201001</v>
      </c>
      <c r="J643" s="7" t="s">
        <v>5804</v>
      </c>
      <c r="K643" s="7"/>
      <c r="L643" s="1" t="s">
        <v>5805</v>
      </c>
      <c r="M643" s="7" t="s">
        <v>5806</v>
      </c>
      <c r="N643" s="7" t="s">
        <v>5807</v>
      </c>
      <c r="O643" s="7" t="s">
        <v>5808</v>
      </c>
      <c r="P643" s="8">
        <v>507002116198</v>
      </c>
      <c r="Q643" s="7" t="s">
        <v>41</v>
      </c>
      <c r="R643" s="7" t="s">
        <v>5809</v>
      </c>
      <c r="S643" s="7" t="s">
        <v>5810</v>
      </c>
      <c r="T643" s="7"/>
      <c r="U643" s="7"/>
      <c r="V643" s="1">
        <v>10000</v>
      </c>
      <c r="W643" s="1">
        <v>38537000</v>
      </c>
      <c r="X643" s="1">
        <v>124000</v>
      </c>
      <c r="Y643" s="1">
        <v>0</v>
      </c>
      <c r="Z643" s="1">
        <v>4836000</v>
      </c>
      <c r="AA643" s="1">
        <v>1241000</v>
      </c>
      <c r="AB643" s="1">
        <v>13667000</v>
      </c>
      <c r="AC643" s="1">
        <v>0</v>
      </c>
      <c r="AD643" s="1">
        <v>0</v>
      </c>
      <c r="AE643" s="7" t="s">
        <v>317</v>
      </c>
      <c r="AF643" s="7" t="s">
        <v>352</v>
      </c>
      <c r="AG643" s="7" t="s">
        <v>319</v>
      </c>
    </row>
    <row r="644" spans="1:33" ht="15.75" x14ac:dyDescent="0.25">
      <c r="A644" s="3">
        <v>1055007504925</v>
      </c>
      <c r="B644" s="9">
        <v>5040064987</v>
      </c>
      <c r="C644" s="10" t="s">
        <v>5811</v>
      </c>
      <c r="D644" s="10" t="s">
        <v>5812</v>
      </c>
      <c r="E644" s="9">
        <v>75258851</v>
      </c>
      <c r="F644" s="9">
        <v>46468000000</v>
      </c>
      <c r="G644" s="9">
        <v>16</v>
      </c>
      <c r="H644" s="9">
        <v>12300</v>
      </c>
      <c r="I644" s="9">
        <v>504001001</v>
      </c>
      <c r="J644" s="10" t="s">
        <v>5813</v>
      </c>
      <c r="K644" s="10"/>
      <c r="L644" s="3" t="s">
        <v>445</v>
      </c>
      <c r="M644" s="10" t="s">
        <v>446</v>
      </c>
      <c r="N644" s="10" t="s">
        <v>5814</v>
      </c>
      <c r="O644" s="10" t="s">
        <v>5815</v>
      </c>
      <c r="P644" s="11">
        <v>502712126106</v>
      </c>
      <c r="Q644" s="10" t="s">
        <v>41</v>
      </c>
      <c r="R644" s="10" t="s">
        <v>5816</v>
      </c>
      <c r="S644" s="10" t="s">
        <v>5817</v>
      </c>
      <c r="T644" s="10"/>
      <c r="U644" s="10"/>
      <c r="V644" s="3">
        <v>10000</v>
      </c>
      <c r="W644" s="3">
        <v>53610000</v>
      </c>
      <c r="X644" s="3">
        <v>27203000</v>
      </c>
      <c r="Y644" s="3">
        <v>0</v>
      </c>
      <c r="Z644" s="3">
        <v>5106000</v>
      </c>
      <c r="AA644" s="3">
        <v>4693000</v>
      </c>
      <c r="AB644" s="3">
        <v>24903000</v>
      </c>
      <c r="AC644" s="3">
        <v>0</v>
      </c>
      <c r="AD644" s="3">
        <v>0</v>
      </c>
      <c r="AE644" s="10" t="s">
        <v>317</v>
      </c>
      <c r="AF644" s="10" t="s">
        <v>740</v>
      </c>
      <c r="AG644" s="10" t="s">
        <v>319</v>
      </c>
    </row>
    <row r="645" spans="1:33" ht="15.75" x14ac:dyDescent="0.25">
      <c r="A645" s="1">
        <v>1055000531310</v>
      </c>
      <c r="B645" s="6">
        <v>5001054664</v>
      </c>
      <c r="C645" s="7" t="s">
        <v>5818</v>
      </c>
      <c r="D645" s="7" t="s">
        <v>5819</v>
      </c>
      <c r="E645" s="6">
        <v>78132576</v>
      </c>
      <c r="F645" s="6">
        <v>46404000000</v>
      </c>
      <c r="G645" s="6">
        <v>16</v>
      </c>
      <c r="H645" s="6">
        <v>12300</v>
      </c>
      <c r="I645" s="6">
        <v>500101001</v>
      </c>
      <c r="J645" s="7" t="s">
        <v>5820</v>
      </c>
      <c r="K645" s="7"/>
      <c r="L645" s="1" t="s">
        <v>5821</v>
      </c>
      <c r="M645" s="7" t="s">
        <v>5822</v>
      </c>
      <c r="N645" s="7" t="s">
        <v>5823</v>
      </c>
      <c r="O645" s="7" t="s">
        <v>5824</v>
      </c>
      <c r="P645" s="8">
        <v>500108680203</v>
      </c>
      <c r="Q645" s="7" t="s">
        <v>41</v>
      </c>
      <c r="R645" s="7" t="s">
        <v>5825</v>
      </c>
      <c r="S645" s="7" t="s">
        <v>5826</v>
      </c>
      <c r="T645" s="7"/>
      <c r="U645" s="7"/>
      <c r="V645" s="1">
        <v>10000</v>
      </c>
      <c r="W645" s="1">
        <v>43007000</v>
      </c>
      <c r="X645" s="1">
        <v>432000</v>
      </c>
      <c r="Y645" s="1">
        <v>1000</v>
      </c>
      <c r="Z645" s="1">
        <v>2514000</v>
      </c>
      <c r="AA645" s="1">
        <v>1505000</v>
      </c>
      <c r="AB645" s="1">
        <v>2617000</v>
      </c>
      <c r="AC645" s="1">
        <v>0</v>
      </c>
      <c r="AD645" s="1">
        <v>0</v>
      </c>
      <c r="AE645" s="7" t="s">
        <v>317</v>
      </c>
      <c r="AF645" s="7" t="s">
        <v>1329</v>
      </c>
      <c r="AG645" s="7" t="s">
        <v>319</v>
      </c>
    </row>
    <row r="646" spans="1:33" ht="15.75" x14ac:dyDescent="0.25">
      <c r="A646" s="3">
        <v>1025003523621</v>
      </c>
      <c r="B646" s="9">
        <v>7707113361</v>
      </c>
      <c r="C646" s="10" t="s">
        <v>5827</v>
      </c>
      <c r="D646" s="10" t="s">
        <v>5828</v>
      </c>
      <c r="E646" s="9">
        <v>44454392</v>
      </c>
      <c r="F646" s="9">
        <v>46446000061</v>
      </c>
      <c r="G646" s="9">
        <v>16</v>
      </c>
      <c r="H646" s="9">
        <v>12300</v>
      </c>
      <c r="I646" s="9">
        <v>502901001</v>
      </c>
      <c r="J646" s="10" t="s">
        <v>5829</v>
      </c>
      <c r="K646" s="10"/>
      <c r="L646" s="3" t="s">
        <v>404</v>
      </c>
      <c r="M646" s="10" t="s">
        <v>405</v>
      </c>
      <c r="N646" s="10" t="s">
        <v>5830</v>
      </c>
      <c r="O646" s="10" t="s">
        <v>5831</v>
      </c>
      <c r="P646" s="11">
        <v>502907339473</v>
      </c>
      <c r="Q646" s="10" t="s">
        <v>41</v>
      </c>
      <c r="R646" s="10" t="s">
        <v>5832</v>
      </c>
      <c r="S646" s="10" t="s">
        <v>5833</v>
      </c>
      <c r="T646" s="10"/>
      <c r="U646" s="10"/>
      <c r="V646" s="3">
        <v>10000</v>
      </c>
      <c r="W646" s="3">
        <v>32345000</v>
      </c>
      <c r="X646" s="3">
        <v>10541000</v>
      </c>
      <c r="Y646" s="3">
        <v>0</v>
      </c>
      <c r="Z646" s="3">
        <v>892000</v>
      </c>
      <c r="AA646" s="3">
        <v>1265000</v>
      </c>
      <c r="AB646" s="3">
        <v>10119000</v>
      </c>
      <c r="AC646" s="3">
        <v>0</v>
      </c>
      <c r="AD646" s="3">
        <v>0</v>
      </c>
      <c r="AE646" s="10" t="s">
        <v>317</v>
      </c>
      <c r="AF646" s="10" t="s">
        <v>461</v>
      </c>
      <c r="AG646" s="10" t="s">
        <v>319</v>
      </c>
    </row>
    <row r="647" spans="1:33" ht="15.75" x14ac:dyDescent="0.25">
      <c r="A647" s="3">
        <v>1055007105691</v>
      </c>
      <c r="B647" s="9">
        <v>5034021079</v>
      </c>
      <c r="C647" s="10" t="s">
        <v>5834</v>
      </c>
      <c r="D647" s="10" t="s">
        <v>5835</v>
      </c>
      <c r="E647" s="9">
        <v>75279267</v>
      </c>
      <c r="F647" s="9">
        <v>46457516000</v>
      </c>
      <c r="G647" s="9">
        <v>16</v>
      </c>
      <c r="H647" s="9">
        <v>12300</v>
      </c>
      <c r="I647" s="9">
        <v>503401001</v>
      </c>
      <c r="J647" s="10" t="s">
        <v>5836</v>
      </c>
      <c r="K647" s="10"/>
      <c r="L647" s="3" t="s">
        <v>5837</v>
      </c>
      <c r="M647" s="10" t="s">
        <v>5838</v>
      </c>
      <c r="N647" s="10" t="s">
        <v>5839</v>
      </c>
      <c r="O647" s="10" t="s">
        <v>5840</v>
      </c>
      <c r="P647" s="11">
        <v>507304066151</v>
      </c>
      <c r="Q647" s="10" t="s">
        <v>41</v>
      </c>
      <c r="R647" s="10" t="s">
        <v>5841</v>
      </c>
      <c r="S647" s="10" t="s">
        <v>5842</v>
      </c>
      <c r="T647" s="10" t="s">
        <v>5843</v>
      </c>
      <c r="U647" s="10"/>
      <c r="V647" s="3">
        <v>10000</v>
      </c>
      <c r="W647" s="3">
        <v>49927000</v>
      </c>
      <c r="X647" s="3">
        <v>16032000</v>
      </c>
      <c r="Y647" s="3">
        <v>14131000</v>
      </c>
      <c r="Z647" s="3">
        <v>20683000</v>
      </c>
      <c r="AA647" s="3">
        <v>10889000</v>
      </c>
      <c r="AB647" s="3">
        <v>-8760000</v>
      </c>
      <c r="AC647" s="3">
        <v>0</v>
      </c>
      <c r="AD647" s="3">
        <v>0</v>
      </c>
      <c r="AE647" s="10" t="s">
        <v>317</v>
      </c>
      <c r="AF647" s="10" t="s">
        <v>878</v>
      </c>
      <c r="AG647" s="10" t="s">
        <v>319</v>
      </c>
    </row>
    <row r="648" spans="1:33" ht="15.75" x14ac:dyDescent="0.25">
      <c r="A648" s="1">
        <v>1025003532773</v>
      </c>
      <c r="B648" s="6">
        <v>5029050282</v>
      </c>
      <c r="C648" s="7" t="s">
        <v>5844</v>
      </c>
      <c r="D648" s="7" t="s">
        <v>5845</v>
      </c>
      <c r="E648" s="6">
        <v>51951702</v>
      </c>
      <c r="F648" s="6">
        <v>46446000000</v>
      </c>
      <c r="G648" s="6">
        <v>16</v>
      </c>
      <c r="H648" s="6">
        <v>12300</v>
      </c>
      <c r="I648" s="6">
        <v>502901001</v>
      </c>
      <c r="J648" s="7" t="s">
        <v>2527</v>
      </c>
      <c r="K648" s="7"/>
      <c r="L648" s="1" t="s">
        <v>404</v>
      </c>
      <c r="M648" s="7" t="s">
        <v>405</v>
      </c>
      <c r="N648" s="7" t="s">
        <v>5846</v>
      </c>
      <c r="O648" s="7" t="s">
        <v>5847</v>
      </c>
      <c r="P648" s="8">
        <v>771821867568</v>
      </c>
      <c r="Q648" s="7" t="s">
        <v>41</v>
      </c>
      <c r="R648" s="7" t="s">
        <v>5848</v>
      </c>
      <c r="S648" s="7" t="s">
        <v>5849</v>
      </c>
      <c r="T648" s="7" t="s">
        <v>5850</v>
      </c>
      <c r="U648" s="7"/>
      <c r="V648" s="1">
        <v>10000</v>
      </c>
      <c r="W648" s="1">
        <v>72963000</v>
      </c>
      <c r="X648" s="1">
        <v>34041000</v>
      </c>
      <c r="Y648" s="1">
        <v>1000</v>
      </c>
      <c r="Z648" s="1">
        <v>4014000</v>
      </c>
      <c r="AA648" s="1">
        <v>12081000</v>
      </c>
      <c r="AB648" s="1">
        <v>24114000</v>
      </c>
      <c r="AC648" s="1">
        <v>0</v>
      </c>
      <c r="AD648" s="1">
        <v>0</v>
      </c>
      <c r="AE648" s="7" t="s">
        <v>331</v>
      </c>
      <c r="AF648" s="7" t="s">
        <v>2168</v>
      </c>
      <c r="AG648" s="7" t="s">
        <v>319</v>
      </c>
    </row>
    <row r="649" spans="1:33" ht="15.75" x14ac:dyDescent="0.25">
      <c r="A649" s="3">
        <v>1105543030780</v>
      </c>
      <c r="B649" s="9">
        <v>5506214750</v>
      </c>
      <c r="C649" s="10" t="s">
        <v>5851</v>
      </c>
      <c r="D649" s="10" t="s">
        <v>5852</v>
      </c>
      <c r="E649" s="9">
        <v>67375206</v>
      </c>
      <c r="F649" s="9">
        <v>45286555000</v>
      </c>
      <c r="G649" s="9">
        <v>16</v>
      </c>
      <c r="H649" s="9">
        <v>12300</v>
      </c>
      <c r="I649" s="9">
        <v>770101001</v>
      </c>
      <c r="J649" s="10" t="s">
        <v>5853</v>
      </c>
      <c r="K649" s="10"/>
      <c r="L649" s="3" t="s">
        <v>5854</v>
      </c>
      <c r="M649" s="10" t="s">
        <v>5855</v>
      </c>
      <c r="N649" s="10" t="s">
        <v>5856</v>
      </c>
      <c r="O649" s="10" t="s">
        <v>5857</v>
      </c>
      <c r="P649" s="11">
        <v>550517593970</v>
      </c>
      <c r="Q649" s="10" t="s">
        <v>41</v>
      </c>
      <c r="R649" s="10" t="s">
        <v>5858</v>
      </c>
      <c r="S649" s="10" t="s">
        <v>5859</v>
      </c>
      <c r="T649" s="10"/>
      <c r="U649" s="10"/>
      <c r="V649" s="3">
        <v>10000</v>
      </c>
      <c r="W649" s="3">
        <v>37746000</v>
      </c>
      <c r="X649" s="3">
        <v>42000</v>
      </c>
      <c r="Y649" s="3">
        <v>0</v>
      </c>
      <c r="Z649" s="3">
        <v>13428000</v>
      </c>
      <c r="AA649" s="3">
        <v>9186000</v>
      </c>
      <c r="AB649" s="3">
        <v>-1602000</v>
      </c>
      <c r="AC649" s="3">
        <v>0</v>
      </c>
      <c r="AD649" s="3">
        <v>0</v>
      </c>
      <c r="AE649" s="10" t="s">
        <v>317</v>
      </c>
      <c r="AF649" s="10" t="s">
        <v>421</v>
      </c>
      <c r="AG649" s="10" t="s">
        <v>319</v>
      </c>
    </row>
    <row r="650" spans="1:33" ht="15.75" x14ac:dyDescent="0.25">
      <c r="A650" s="1">
        <v>1097746047431</v>
      </c>
      <c r="B650" s="6">
        <v>7733691802</v>
      </c>
      <c r="C650" s="7" t="s">
        <v>5860</v>
      </c>
      <c r="D650" s="7" t="s">
        <v>5861</v>
      </c>
      <c r="E650" s="6">
        <v>89653829</v>
      </c>
      <c r="F650" s="6">
        <v>45283593000</v>
      </c>
      <c r="G650" s="6">
        <v>16</v>
      </c>
      <c r="H650" s="6">
        <v>12300</v>
      </c>
      <c r="I650" s="6">
        <v>773301001</v>
      </c>
      <c r="J650" s="7" t="s">
        <v>5862</v>
      </c>
      <c r="K650" s="7"/>
      <c r="L650" s="1" t="s">
        <v>5863</v>
      </c>
      <c r="M650" s="7" t="s">
        <v>5864</v>
      </c>
      <c r="N650" s="7" t="s">
        <v>5865</v>
      </c>
      <c r="O650" s="7" t="s">
        <v>5866</v>
      </c>
      <c r="P650" s="8">
        <v>773301039402</v>
      </c>
      <c r="Q650" s="7" t="s">
        <v>340</v>
      </c>
      <c r="R650" s="7" t="s">
        <v>5867</v>
      </c>
      <c r="S650" s="7" t="s">
        <v>5868</v>
      </c>
      <c r="T650" s="7"/>
      <c r="U650" s="7" t="s">
        <v>5869</v>
      </c>
      <c r="V650" s="1">
        <v>10000</v>
      </c>
      <c r="W650" s="1">
        <v>58533000</v>
      </c>
      <c r="X650" s="1">
        <v>0</v>
      </c>
      <c r="Y650" s="1">
        <v>17590000</v>
      </c>
      <c r="Z650" s="1">
        <v>908000</v>
      </c>
      <c r="AA650" s="1">
        <v>4071000</v>
      </c>
      <c r="AB650" s="1">
        <v>37297000</v>
      </c>
      <c r="AC650" s="1">
        <v>0</v>
      </c>
      <c r="AD650" s="1">
        <v>0</v>
      </c>
      <c r="AE650" s="7" t="s">
        <v>317</v>
      </c>
      <c r="AF650" s="7" t="s">
        <v>421</v>
      </c>
      <c r="AG650" s="7" t="s">
        <v>319</v>
      </c>
    </row>
    <row r="651" spans="1:33" ht="15.75" x14ac:dyDescent="0.25">
      <c r="A651" s="3">
        <v>1025002862488</v>
      </c>
      <c r="B651" s="9">
        <v>5024039969</v>
      </c>
      <c r="C651" s="10" t="s">
        <v>5870</v>
      </c>
      <c r="D651" s="10" t="s">
        <v>5871</v>
      </c>
      <c r="E651" s="9">
        <v>51303038</v>
      </c>
      <c r="F651" s="9">
        <v>46439000000</v>
      </c>
      <c r="G651" s="9">
        <v>16</v>
      </c>
      <c r="H651" s="9">
        <v>12300</v>
      </c>
      <c r="I651" s="9">
        <v>502401001</v>
      </c>
      <c r="J651" s="10" t="s">
        <v>5872</v>
      </c>
      <c r="K651" s="10"/>
      <c r="L651" s="3" t="s">
        <v>445</v>
      </c>
      <c r="M651" s="10" t="s">
        <v>446</v>
      </c>
      <c r="N651" s="10"/>
      <c r="O651" s="10" t="s">
        <v>5873</v>
      </c>
      <c r="P651" s="11">
        <v>502402766530</v>
      </c>
      <c r="Q651" s="10" t="s">
        <v>41</v>
      </c>
      <c r="R651" s="10" t="s">
        <v>5874</v>
      </c>
      <c r="S651" s="10" t="s">
        <v>5875</v>
      </c>
      <c r="T651" s="10"/>
      <c r="U651" s="10" t="s">
        <v>5876</v>
      </c>
      <c r="V651" s="3">
        <v>10000</v>
      </c>
      <c r="W651" s="3">
        <v>58300000</v>
      </c>
      <c r="X651" s="3">
        <v>39825000</v>
      </c>
      <c r="Y651" s="3">
        <v>0</v>
      </c>
      <c r="Z651" s="3">
        <v>4956000</v>
      </c>
      <c r="AA651" s="3">
        <v>6528000</v>
      </c>
      <c r="AB651" s="3">
        <v>10859000</v>
      </c>
      <c r="AC651" s="3">
        <v>0</v>
      </c>
      <c r="AD651" s="3">
        <v>0</v>
      </c>
      <c r="AE651" s="10" t="s">
        <v>317</v>
      </c>
      <c r="AF651" s="10" t="s">
        <v>352</v>
      </c>
      <c r="AG651" s="10" t="s">
        <v>319</v>
      </c>
    </row>
    <row r="652" spans="1:33" ht="15.75" x14ac:dyDescent="0.25">
      <c r="A652" s="1">
        <v>1025003911239</v>
      </c>
      <c r="B652" s="6">
        <v>5031002092</v>
      </c>
      <c r="C652" s="7" t="s">
        <v>5877</v>
      </c>
      <c r="D652" s="7" t="s">
        <v>5878</v>
      </c>
      <c r="E652" s="6">
        <v>31875287</v>
      </c>
      <c r="F652" s="6">
        <v>46485000000</v>
      </c>
      <c r="G652" s="6">
        <v>16</v>
      </c>
      <c r="H652" s="6">
        <v>12300</v>
      </c>
      <c r="I652" s="6">
        <v>503101001</v>
      </c>
      <c r="J652" s="7" t="s">
        <v>5879</v>
      </c>
      <c r="K652" s="7"/>
      <c r="L652" s="1" t="s">
        <v>1683</v>
      </c>
      <c r="M652" s="7" t="s">
        <v>1684</v>
      </c>
      <c r="N652" s="7" t="s">
        <v>5880</v>
      </c>
      <c r="O652" s="7" t="s">
        <v>5881</v>
      </c>
      <c r="P652" s="8">
        <v>503115889402</v>
      </c>
      <c r="Q652" s="7" t="s">
        <v>150</v>
      </c>
      <c r="R652" s="7" t="s">
        <v>5882</v>
      </c>
      <c r="S652" s="7" t="s">
        <v>5883</v>
      </c>
      <c r="T652" s="7"/>
      <c r="U652" s="7" t="s">
        <v>5884</v>
      </c>
      <c r="V652" s="1">
        <v>10000</v>
      </c>
      <c r="W652" s="1">
        <v>39198000</v>
      </c>
      <c r="X652" s="1">
        <v>0</v>
      </c>
      <c r="Y652" s="1">
        <v>7803000</v>
      </c>
      <c r="Z652" s="1">
        <v>280000</v>
      </c>
      <c r="AA652" s="1">
        <v>587000</v>
      </c>
      <c r="AB652" s="1">
        <v>2975000</v>
      </c>
      <c r="AC652" s="1">
        <v>0</v>
      </c>
      <c r="AD652" s="1">
        <v>0</v>
      </c>
      <c r="AE652" s="7" t="s">
        <v>317</v>
      </c>
      <c r="AF652" s="7" t="s">
        <v>1534</v>
      </c>
      <c r="AG652" s="7" t="s">
        <v>319</v>
      </c>
    </row>
    <row r="653" spans="1:33" ht="15.75" x14ac:dyDescent="0.25">
      <c r="A653" s="3">
        <v>1055002332043</v>
      </c>
      <c r="B653" s="9">
        <v>5013051530</v>
      </c>
      <c r="C653" s="10" t="s">
        <v>5885</v>
      </c>
      <c r="D653" s="10" t="s">
        <v>5886</v>
      </c>
      <c r="E653" s="9">
        <v>78101021</v>
      </c>
      <c r="F653" s="9">
        <v>46425000000</v>
      </c>
      <c r="G653" s="9">
        <v>16</v>
      </c>
      <c r="H653" s="9">
        <v>12300</v>
      </c>
      <c r="I653" s="9">
        <v>504001001</v>
      </c>
      <c r="J653" s="10" t="s">
        <v>5887</v>
      </c>
      <c r="K653" s="10"/>
      <c r="L653" s="3" t="s">
        <v>5888</v>
      </c>
      <c r="M653" s="10" t="s">
        <v>5889</v>
      </c>
      <c r="N653" s="10" t="s">
        <v>5890</v>
      </c>
      <c r="O653" s="10" t="s">
        <v>5723</v>
      </c>
      <c r="P653" s="11">
        <v>501305407460</v>
      </c>
      <c r="Q653" s="10" t="s">
        <v>41</v>
      </c>
      <c r="R653" s="10" t="s">
        <v>5891</v>
      </c>
      <c r="S653" s="10" t="s">
        <v>5892</v>
      </c>
      <c r="T653" s="10"/>
      <c r="U653" s="10"/>
      <c r="V653" s="3">
        <v>10000</v>
      </c>
      <c r="W653" s="3">
        <v>44682000</v>
      </c>
      <c r="X653" s="3">
        <v>1232000</v>
      </c>
      <c r="Y653" s="3">
        <v>0</v>
      </c>
      <c r="Z653" s="3">
        <v>12610000</v>
      </c>
      <c r="AA653" s="3">
        <v>3153000</v>
      </c>
      <c r="AB653" s="3">
        <v>2386000</v>
      </c>
      <c r="AC653" s="3">
        <v>0</v>
      </c>
      <c r="AD653" s="3">
        <v>0</v>
      </c>
      <c r="AE653" s="10" t="s">
        <v>331</v>
      </c>
      <c r="AF653" s="10" t="s">
        <v>453</v>
      </c>
      <c r="AG653" s="10" t="s">
        <v>319</v>
      </c>
    </row>
    <row r="654" spans="1:33" ht="15.75" x14ac:dyDescent="0.25">
      <c r="A654" s="1">
        <v>1025002872168</v>
      </c>
      <c r="B654" s="6">
        <v>7733096553</v>
      </c>
      <c r="C654" s="7" t="s">
        <v>5893</v>
      </c>
      <c r="D654" s="7" t="s">
        <v>5894</v>
      </c>
      <c r="E654" s="6">
        <v>52395611</v>
      </c>
      <c r="F654" s="6">
        <v>45268554000</v>
      </c>
      <c r="G654" s="6">
        <v>16</v>
      </c>
      <c r="H654" s="6">
        <v>12300</v>
      </c>
      <c r="I654" s="6">
        <v>773001001</v>
      </c>
      <c r="J654" s="7" t="s">
        <v>5895</v>
      </c>
      <c r="K654" s="7"/>
      <c r="L654" s="1" t="s">
        <v>404</v>
      </c>
      <c r="M654" s="7" t="s">
        <v>405</v>
      </c>
      <c r="N654" s="7"/>
      <c r="O654" s="7" t="s">
        <v>5896</v>
      </c>
      <c r="P654" s="8">
        <v>773613016778</v>
      </c>
      <c r="Q654" s="7" t="s">
        <v>150</v>
      </c>
      <c r="R654" s="7" t="s">
        <v>5897</v>
      </c>
      <c r="S654" s="7" t="s">
        <v>5898</v>
      </c>
      <c r="T654" s="7"/>
      <c r="U654" s="7"/>
      <c r="V654" s="1">
        <v>10000</v>
      </c>
      <c r="W654" s="1">
        <v>42134000</v>
      </c>
      <c r="X654" s="1">
        <v>89256000</v>
      </c>
      <c r="Y654" s="1">
        <v>0</v>
      </c>
      <c r="Z654" s="1">
        <v>17578000</v>
      </c>
      <c r="AA654" s="1">
        <v>8680000</v>
      </c>
      <c r="AB654" s="1">
        <v>8018000</v>
      </c>
      <c r="AC654" s="1">
        <v>0</v>
      </c>
      <c r="AD654" s="1">
        <v>0</v>
      </c>
      <c r="AE654" s="7" t="s">
        <v>317</v>
      </c>
      <c r="AF654" s="7" t="s">
        <v>352</v>
      </c>
      <c r="AG654" s="7" t="s">
        <v>319</v>
      </c>
    </row>
    <row r="655" spans="1:33" ht="15.75" x14ac:dyDescent="0.25">
      <c r="A655" s="3">
        <v>1055001014430</v>
      </c>
      <c r="B655" s="9">
        <v>5007049276</v>
      </c>
      <c r="C655" s="10" t="s">
        <v>5899</v>
      </c>
      <c r="D655" s="10" t="s">
        <v>5900</v>
      </c>
      <c r="E655" s="9">
        <v>78073141</v>
      </c>
      <c r="F655" s="9">
        <v>46415000000</v>
      </c>
      <c r="G655" s="9">
        <v>16</v>
      </c>
      <c r="H655" s="9">
        <v>12300</v>
      </c>
      <c r="I655" s="9">
        <v>500701001</v>
      </c>
      <c r="J655" s="10" t="s">
        <v>5901</v>
      </c>
      <c r="K655" s="10"/>
      <c r="L655" s="3" t="s">
        <v>5902</v>
      </c>
      <c r="M655" s="10" t="s">
        <v>5903</v>
      </c>
      <c r="N655" s="10" t="s">
        <v>5904</v>
      </c>
      <c r="O655" s="10" t="s">
        <v>5905</v>
      </c>
      <c r="P655" s="11">
        <v>500700906108</v>
      </c>
      <c r="Q655" s="10" t="s">
        <v>150</v>
      </c>
      <c r="R655" s="10" t="s">
        <v>5906</v>
      </c>
      <c r="S655" s="10" t="s">
        <v>5907</v>
      </c>
      <c r="T655" s="10"/>
      <c r="U655" s="10" t="s">
        <v>5908</v>
      </c>
      <c r="V655" s="3">
        <v>10000</v>
      </c>
      <c r="W655" s="3">
        <v>88059000</v>
      </c>
      <c r="X655" s="3">
        <v>14224000</v>
      </c>
      <c r="Y655" s="3">
        <v>2520000</v>
      </c>
      <c r="Z655" s="3">
        <v>13619000</v>
      </c>
      <c r="AA655" s="3">
        <v>9279000</v>
      </c>
      <c r="AB655" s="3">
        <v>51288000</v>
      </c>
      <c r="AC655" s="3">
        <v>0</v>
      </c>
      <c r="AD655" s="3">
        <v>0</v>
      </c>
      <c r="AE655" s="10" t="s">
        <v>331</v>
      </c>
      <c r="AF655" s="10" t="s">
        <v>84</v>
      </c>
      <c r="AG655" s="10" t="s">
        <v>319</v>
      </c>
    </row>
    <row r="656" spans="1:33" ht="15.75" x14ac:dyDescent="0.25">
      <c r="A656" s="1">
        <v>1097746041898</v>
      </c>
      <c r="B656" s="6">
        <v>7733691665</v>
      </c>
      <c r="C656" s="7" t="s">
        <v>5909</v>
      </c>
      <c r="D656" s="7" t="s">
        <v>5910</v>
      </c>
      <c r="E656" s="6">
        <v>60387424</v>
      </c>
      <c r="F656" s="6">
        <v>45277589000</v>
      </c>
      <c r="G656" s="6">
        <v>16</v>
      </c>
      <c r="H656" s="6">
        <v>12300</v>
      </c>
      <c r="I656" s="6">
        <v>774301001</v>
      </c>
      <c r="J656" s="7" t="s">
        <v>5862</v>
      </c>
      <c r="K656" s="7"/>
      <c r="L656" s="1" t="s">
        <v>5911</v>
      </c>
      <c r="M656" s="7" t="s">
        <v>5912</v>
      </c>
      <c r="N656" s="7" t="s">
        <v>5913</v>
      </c>
      <c r="O656" s="7" t="s">
        <v>5914</v>
      </c>
      <c r="P656" s="8">
        <v>773472205603</v>
      </c>
      <c r="Q656" s="7" t="s">
        <v>340</v>
      </c>
      <c r="R656" s="7" t="s">
        <v>5915</v>
      </c>
      <c r="S656" s="7" t="s">
        <v>5916</v>
      </c>
      <c r="T656" s="7"/>
      <c r="U656" s="7" t="s">
        <v>5917</v>
      </c>
      <c r="V656" s="1">
        <v>10000</v>
      </c>
      <c r="W656" s="1">
        <v>53312000</v>
      </c>
      <c r="X656" s="1">
        <v>275000</v>
      </c>
      <c r="Y656" s="1">
        <v>1136000</v>
      </c>
      <c r="Z656" s="1">
        <v>1982000</v>
      </c>
      <c r="AA656" s="1">
        <v>15038000</v>
      </c>
      <c r="AB656" s="1">
        <v>15808000</v>
      </c>
      <c r="AC656" s="1">
        <v>14754000</v>
      </c>
      <c r="AD656" s="1">
        <v>17563000</v>
      </c>
      <c r="AE656" s="7" t="s">
        <v>317</v>
      </c>
      <c r="AF656" s="7" t="s">
        <v>1534</v>
      </c>
      <c r="AG656" s="7" t="s">
        <v>319</v>
      </c>
    </row>
    <row r="657" spans="1:33" ht="15.75" x14ac:dyDescent="0.25">
      <c r="A657" s="1">
        <v>1025003208702</v>
      </c>
      <c r="B657" s="6">
        <v>5027088964</v>
      </c>
      <c r="C657" s="7" t="s">
        <v>5918</v>
      </c>
      <c r="D657" s="7" t="s">
        <v>5919</v>
      </c>
      <c r="E657" s="6">
        <v>59359280</v>
      </c>
      <c r="F657" s="6">
        <v>46448000000</v>
      </c>
      <c r="G657" s="6">
        <v>16</v>
      </c>
      <c r="H657" s="6">
        <v>12300</v>
      </c>
      <c r="I657" s="6">
        <v>502701001</v>
      </c>
      <c r="J657" s="7" t="s">
        <v>5920</v>
      </c>
      <c r="K657" s="7"/>
      <c r="L657" s="1" t="s">
        <v>5774</v>
      </c>
      <c r="M657" s="7" t="s">
        <v>5775</v>
      </c>
      <c r="N657" s="7" t="s">
        <v>5921</v>
      </c>
      <c r="O657" s="7" t="s">
        <v>5922</v>
      </c>
      <c r="P657" s="8">
        <v>502713941992</v>
      </c>
      <c r="Q657" s="7" t="s">
        <v>41</v>
      </c>
      <c r="R657" s="7" t="s">
        <v>5923</v>
      </c>
      <c r="S657" s="7" t="s">
        <v>5924</v>
      </c>
      <c r="T657" s="7"/>
      <c r="U657" s="7"/>
      <c r="V657" s="1">
        <v>10000</v>
      </c>
      <c r="W657" s="1">
        <v>109798000</v>
      </c>
      <c r="X657" s="1">
        <v>11933000</v>
      </c>
      <c r="Y657" s="1">
        <v>2543000</v>
      </c>
      <c r="Z657" s="1">
        <v>7804000</v>
      </c>
      <c r="AA657" s="1">
        <v>358000</v>
      </c>
      <c r="AB657" s="1">
        <v>4620000</v>
      </c>
      <c r="AC657" s="1">
        <v>0</v>
      </c>
      <c r="AD657" s="1">
        <v>0</v>
      </c>
      <c r="AE657" s="7" t="s">
        <v>331</v>
      </c>
      <c r="AF657" s="7" t="s">
        <v>453</v>
      </c>
      <c r="AG657" s="7" t="s">
        <v>319</v>
      </c>
    </row>
    <row r="658" spans="1:33" ht="15.75" x14ac:dyDescent="0.25">
      <c r="A658" s="3">
        <v>1025002881474</v>
      </c>
      <c r="B658" s="9">
        <v>5024039775</v>
      </c>
      <c r="C658" s="10" t="s">
        <v>5925</v>
      </c>
      <c r="D658" s="10" t="s">
        <v>5926</v>
      </c>
      <c r="E658" s="9">
        <v>51947801</v>
      </c>
      <c r="F658" s="9">
        <v>46439000046</v>
      </c>
      <c r="G658" s="9">
        <v>16</v>
      </c>
      <c r="H658" s="9">
        <v>12300</v>
      </c>
      <c r="I658" s="9">
        <v>502401001</v>
      </c>
      <c r="J658" s="10" t="s">
        <v>5927</v>
      </c>
      <c r="K658" s="10"/>
      <c r="L658" s="3" t="s">
        <v>2876</v>
      </c>
      <c r="M658" s="10" t="s">
        <v>405</v>
      </c>
      <c r="N658" s="10"/>
      <c r="O658" s="10" t="s">
        <v>5928</v>
      </c>
      <c r="P658" s="11">
        <v>773101346685</v>
      </c>
      <c r="Q658" s="10" t="s">
        <v>41</v>
      </c>
      <c r="R658" s="10" t="s">
        <v>5929</v>
      </c>
      <c r="S658" s="10" t="s">
        <v>5930</v>
      </c>
      <c r="T658" s="10" t="s">
        <v>5931</v>
      </c>
      <c r="U658" s="10"/>
      <c r="V658" s="3">
        <v>10000</v>
      </c>
      <c r="W658" s="3">
        <v>65506000</v>
      </c>
      <c r="X658" s="3">
        <v>99699000</v>
      </c>
      <c r="Y658" s="3">
        <v>0</v>
      </c>
      <c r="Z658" s="3">
        <v>10088000</v>
      </c>
      <c r="AA658" s="3">
        <v>10671000</v>
      </c>
      <c r="AB658" s="3">
        <v>14911000</v>
      </c>
      <c r="AC658" s="3">
        <v>0</v>
      </c>
      <c r="AD658" s="3">
        <v>0</v>
      </c>
      <c r="AE658" s="10" t="s">
        <v>317</v>
      </c>
      <c r="AF658" s="10" t="s">
        <v>318</v>
      </c>
      <c r="AG658" s="10" t="s">
        <v>319</v>
      </c>
    </row>
    <row r="659" spans="1:33" ht="15.75" x14ac:dyDescent="0.25">
      <c r="A659" s="1">
        <v>1025002027412</v>
      </c>
      <c r="B659" s="6">
        <v>5018022276</v>
      </c>
      <c r="C659" s="7" t="s">
        <v>5932</v>
      </c>
      <c r="D659" s="7" t="s">
        <v>5933</v>
      </c>
      <c r="E659" s="6">
        <v>34899420</v>
      </c>
      <c r="F659" s="6">
        <v>46434000000</v>
      </c>
      <c r="G659" s="6">
        <v>16</v>
      </c>
      <c r="H659" s="6">
        <v>12300</v>
      </c>
      <c r="I659" s="6">
        <v>501801001</v>
      </c>
      <c r="J659" s="7" t="s">
        <v>5934</v>
      </c>
      <c r="K659" s="7"/>
      <c r="L659" s="1" t="s">
        <v>1683</v>
      </c>
      <c r="M659" s="7" t="s">
        <v>1684</v>
      </c>
      <c r="N659" s="7" t="s">
        <v>5935</v>
      </c>
      <c r="O659" s="7" t="s">
        <v>5936</v>
      </c>
      <c r="P659" s="8">
        <v>501800640100</v>
      </c>
      <c r="Q659" s="7" t="s">
        <v>150</v>
      </c>
      <c r="R659" s="7" t="s">
        <v>5937</v>
      </c>
      <c r="S659" s="7" t="s">
        <v>5938</v>
      </c>
      <c r="T659" s="7" t="s">
        <v>5939</v>
      </c>
      <c r="U659" s="7"/>
      <c r="V659" s="1">
        <v>10000</v>
      </c>
      <c r="W659" s="1">
        <v>30154000</v>
      </c>
      <c r="X659" s="1">
        <v>1124000</v>
      </c>
      <c r="Y659" s="1">
        <v>7152000</v>
      </c>
      <c r="Z659" s="1">
        <v>186000</v>
      </c>
      <c r="AA659" s="1">
        <v>7168000</v>
      </c>
      <c r="AB659" s="1">
        <v>597000</v>
      </c>
      <c r="AC659" s="1">
        <v>0</v>
      </c>
      <c r="AD659" s="1">
        <v>0</v>
      </c>
      <c r="AE659" s="7" t="s">
        <v>317</v>
      </c>
      <c r="AF659" s="7" t="s">
        <v>1023</v>
      </c>
      <c r="AG659" s="7" t="s">
        <v>319</v>
      </c>
    </row>
    <row r="660" spans="1:33" ht="15.75" x14ac:dyDescent="0.25">
      <c r="A660" s="3">
        <v>1097746125630</v>
      </c>
      <c r="B660" s="9">
        <v>7720654730</v>
      </c>
      <c r="C660" s="10" t="s">
        <v>5940</v>
      </c>
      <c r="D660" s="10" t="s">
        <v>5941</v>
      </c>
      <c r="E660" s="9">
        <v>60482212</v>
      </c>
      <c r="F660" s="9">
        <v>45263583000</v>
      </c>
      <c r="G660" s="9">
        <v>16</v>
      </c>
      <c r="H660" s="9">
        <v>12300</v>
      </c>
      <c r="I660" s="9">
        <v>772001001</v>
      </c>
      <c r="J660" s="10" t="s">
        <v>5942</v>
      </c>
      <c r="K660" s="10"/>
      <c r="L660" s="3" t="s">
        <v>5854</v>
      </c>
      <c r="M660" s="10" t="s">
        <v>5855</v>
      </c>
      <c r="N660" s="10" t="s">
        <v>5943</v>
      </c>
      <c r="O660" s="10" t="s">
        <v>5944</v>
      </c>
      <c r="P660" s="11">
        <v>772629993093</v>
      </c>
      <c r="Q660" s="10" t="s">
        <v>340</v>
      </c>
      <c r="R660" s="10" t="s">
        <v>5945</v>
      </c>
      <c r="S660" s="10" t="s">
        <v>5946</v>
      </c>
      <c r="T660" s="10"/>
      <c r="U660" s="10" t="s">
        <v>5947</v>
      </c>
      <c r="V660" s="3">
        <v>10000</v>
      </c>
      <c r="W660" s="3">
        <v>33220000</v>
      </c>
      <c r="X660" s="3">
        <v>0</v>
      </c>
      <c r="Y660" s="3">
        <v>0</v>
      </c>
      <c r="Z660" s="3">
        <v>4100000</v>
      </c>
      <c r="AA660" s="3">
        <v>1250000</v>
      </c>
      <c r="AB660" s="3">
        <v>7797000</v>
      </c>
      <c r="AC660" s="3">
        <v>0</v>
      </c>
      <c r="AD660" s="3">
        <v>0</v>
      </c>
      <c r="AE660" s="10" t="s">
        <v>317</v>
      </c>
      <c r="AF660" s="10" t="s">
        <v>286</v>
      </c>
      <c r="AG660" s="10" t="s">
        <v>319</v>
      </c>
    </row>
    <row r="661" spans="1:33" ht="15.75" x14ac:dyDescent="0.25">
      <c r="A661" s="1">
        <v>1025003521234</v>
      </c>
      <c r="B661" s="6">
        <v>5029045691</v>
      </c>
      <c r="C661" s="7" t="s">
        <v>5948</v>
      </c>
      <c r="D661" s="7" t="s">
        <v>5949</v>
      </c>
      <c r="E661" s="6">
        <v>50158835</v>
      </c>
      <c r="F661" s="6">
        <v>46446000431</v>
      </c>
      <c r="G661" s="6">
        <v>16</v>
      </c>
      <c r="H661" s="6">
        <v>12300</v>
      </c>
      <c r="I661" s="6">
        <v>502901001</v>
      </c>
      <c r="J661" s="7" t="s">
        <v>5950</v>
      </c>
      <c r="K661" s="7"/>
      <c r="L661" s="1" t="s">
        <v>288</v>
      </c>
      <c r="M661" s="7" t="s">
        <v>289</v>
      </c>
      <c r="N661" s="7" t="s">
        <v>5951</v>
      </c>
      <c r="O661" s="7" t="s">
        <v>5952</v>
      </c>
      <c r="P661" s="8">
        <v>502751880388</v>
      </c>
      <c r="Q661" s="7" t="s">
        <v>150</v>
      </c>
      <c r="R661" s="7" t="s">
        <v>5953</v>
      </c>
      <c r="S661" s="7" t="s">
        <v>5954</v>
      </c>
      <c r="T661" s="7"/>
      <c r="U661" s="7"/>
      <c r="V661" s="1">
        <v>10000</v>
      </c>
      <c r="W661" s="1">
        <v>32699000</v>
      </c>
      <c r="X661" s="1">
        <v>2632000</v>
      </c>
      <c r="Y661" s="1">
        <v>24865000</v>
      </c>
      <c r="Z661" s="1">
        <v>5768000</v>
      </c>
      <c r="AA661" s="1">
        <v>3550000</v>
      </c>
      <c r="AB661" s="1">
        <v>4355000</v>
      </c>
      <c r="AC661" s="1">
        <v>0</v>
      </c>
      <c r="AD661" s="1">
        <v>0</v>
      </c>
      <c r="AE661" s="7" t="s">
        <v>317</v>
      </c>
      <c r="AF661" s="7" t="s">
        <v>669</v>
      </c>
      <c r="AG661" s="7" t="s">
        <v>319</v>
      </c>
    </row>
    <row r="662" spans="1:33" ht="15.75" x14ac:dyDescent="0.25">
      <c r="A662" s="3">
        <v>1055005105760</v>
      </c>
      <c r="B662" s="9">
        <v>5029027036</v>
      </c>
      <c r="C662" s="10" t="s">
        <v>5955</v>
      </c>
      <c r="D662" s="10" t="s">
        <v>5956</v>
      </c>
      <c r="E662" s="9">
        <v>75250329</v>
      </c>
      <c r="F662" s="9">
        <v>46446000091</v>
      </c>
      <c r="G662" s="9">
        <v>16</v>
      </c>
      <c r="H662" s="9">
        <v>12300</v>
      </c>
      <c r="I662" s="9">
        <v>502901001</v>
      </c>
      <c r="J662" s="10" t="s">
        <v>5957</v>
      </c>
      <c r="K662" s="10"/>
      <c r="L662" s="3" t="s">
        <v>1286</v>
      </c>
      <c r="M662" s="10" t="s">
        <v>1287</v>
      </c>
      <c r="N662" s="10" t="s">
        <v>5958</v>
      </c>
      <c r="O662" s="10" t="s">
        <v>5959</v>
      </c>
      <c r="P662" s="11">
        <v>390102792375</v>
      </c>
      <c r="Q662" s="10" t="s">
        <v>41</v>
      </c>
      <c r="R662" s="10" t="s">
        <v>5960</v>
      </c>
      <c r="S662" s="10" t="s">
        <v>5961</v>
      </c>
      <c r="T662" s="10"/>
      <c r="U662" s="10"/>
      <c r="V662" s="3">
        <v>10000</v>
      </c>
      <c r="W662" s="3">
        <v>70728000</v>
      </c>
      <c r="X662" s="3">
        <v>4844000</v>
      </c>
      <c r="Y662" s="3">
        <v>5000</v>
      </c>
      <c r="Z662" s="3">
        <v>19157000</v>
      </c>
      <c r="AA662" s="3">
        <v>3286000</v>
      </c>
      <c r="AB662" s="3">
        <v>358000</v>
      </c>
      <c r="AC662" s="3">
        <v>0</v>
      </c>
      <c r="AD662" s="3">
        <v>0</v>
      </c>
      <c r="AE662" s="10" t="s">
        <v>331</v>
      </c>
      <c r="AF662" s="10" t="s">
        <v>947</v>
      </c>
      <c r="AG662" s="10" t="s">
        <v>319</v>
      </c>
    </row>
    <row r="663" spans="1:33" ht="15.75" x14ac:dyDescent="0.25">
      <c r="A663" s="1">
        <v>1097746139853</v>
      </c>
      <c r="B663" s="6">
        <v>7720655187</v>
      </c>
      <c r="C663" s="7" t="s">
        <v>5962</v>
      </c>
      <c r="D663" s="7" t="s">
        <v>5963</v>
      </c>
      <c r="E663" s="6">
        <v>60494066</v>
      </c>
      <c r="F663" s="6">
        <v>45263583000</v>
      </c>
      <c r="G663" s="6">
        <v>16</v>
      </c>
      <c r="H663" s="6">
        <v>12300</v>
      </c>
      <c r="I663" s="6">
        <v>772001001</v>
      </c>
      <c r="J663" s="7" t="s">
        <v>5964</v>
      </c>
      <c r="K663" s="7"/>
      <c r="L663" s="1" t="s">
        <v>5965</v>
      </c>
      <c r="M663" s="7" t="s">
        <v>5966</v>
      </c>
      <c r="N663" s="7" t="s">
        <v>5967</v>
      </c>
      <c r="O663" s="7" t="s">
        <v>5968</v>
      </c>
      <c r="P663" s="8">
        <v>772001856384</v>
      </c>
      <c r="Q663" s="7" t="s">
        <v>41</v>
      </c>
      <c r="R663" s="7" t="s">
        <v>5969</v>
      </c>
      <c r="S663" s="7" t="s">
        <v>5970</v>
      </c>
      <c r="T663" s="7" t="s">
        <v>5971</v>
      </c>
      <c r="U663" s="7"/>
      <c r="V663" s="1">
        <v>10000</v>
      </c>
      <c r="W663" s="1">
        <v>30864000</v>
      </c>
      <c r="X663" s="1">
        <v>32000</v>
      </c>
      <c r="Y663" s="1">
        <v>0</v>
      </c>
      <c r="Z663" s="1">
        <v>3952000</v>
      </c>
      <c r="AA663" s="1">
        <v>33000</v>
      </c>
      <c r="AB663" s="1">
        <v>1824000</v>
      </c>
      <c r="AC663" s="1">
        <v>0</v>
      </c>
      <c r="AD663" s="1">
        <v>0</v>
      </c>
      <c r="AE663" s="7" t="s">
        <v>317</v>
      </c>
      <c r="AF663" s="7" t="s">
        <v>318</v>
      </c>
      <c r="AG663" s="7" t="s">
        <v>319</v>
      </c>
    </row>
    <row r="664" spans="1:33" ht="15.75" x14ac:dyDescent="0.25">
      <c r="A664" s="3">
        <v>1025002740003</v>
      </c>
      <c r="B664" s="9">
        <v>5070006502</v>
      </c>
      <c r="C664" s="10" t="s">
        <v>5972</v>
      </c>
      <c r="D664" s="10" t="s">
        <v>5973</v>
      </c>
      <c r="E664" s="9">
        <v>34913479</v>
      </c>
      <c r="F664" s="9">
        <v>46438000000</v>
      </c>
      <c r="G664" s="9">
        <v>16</v>
      </c>
      <c r="H664" s="9">
        <v>12300</v>
      </c>
      <c r="I664" s="9">
        <v>502201001</v>
      </c>
      <c r="J664" s="10" t="s">
        <v>5974</v>
      </c>
      <c r="K664" s="10"/>
      <c r="L664" s="3" t="s">
        <v>5975</v>
      </c>
      <c r="M664" s="10" t="s">
        <v>5976</v>
      </c>
      <c r="N664" s="10" t="s">
        <v>5977</v>
      </c>
      <c r="O664" s="10" t="s">
        <v>5978</v>
      </c>
      <c r="P664" s="11">
        <v>502210370710</v>
      </c>
      <c r="Q664" s="10" t="s">
        <v>150</v>
      </c>
      <c r="R664" s="10" t="s">
        <v>5979</v>
      </c>
      <c r="S664" s="10" t="s">
        <v>5980</v>
      </c>
      <c r="T664" s="10"/>
      <c r="U664" s="10"/>
      <c r="V664" s="3">
        <v>10000</v>
      </c>
      <c r="W664" s="3">
        <v>61332000</v>
      </c>
      <c r="X664" s="3">
        <v>276000</v>
      </c>
      <c r="Y664" s="3">
        <v>495000</v>
      </c>
      <c r="Z664" s="3">
        <v>10624000</v>
      </c>
      <c r="AA664" s="3">
        <v>6699000</v>
      </c>
      <c r="AB664" s="3">
        <v>25705000</v>
      </c>
      <c r="AC664" s="3">
        <v>0</v>
      </c>
      <c r="AD664" s="3">
        <v>0</v>
      </c>
      <c r="AE664" s="10" t="s">
        <v>317</v>
      </c>
      <c r="AF664" s="10" t="s">
        <v>740</v>
      </c>
      <c r="AG664" s="10" t="s">
        <v>319</v>
      </c>
    </row>
    <row r="665" spans="1:33" ht="15.75" x14ac:dyDescent="0.25">
      <c r="A665" s="1">
        <v>1097746190035</v>
      </c>
      <c r="B665" s="6">
        <v>7713684500</v>
      </c>
      <c r="C665" s="7" t="s">
        <v>5981</v>
      </c>
      <c r="D665" s="7" t="s">
        <v>5982</v>
      </c>
      <c r="E665" s="6">
        <v>60546509</v>
      </c>
      <c r="F665" s="6">
        <v>45277559000</v>
      </c>
      <c r="G665" s="6">
        <v>16</v>
      </c>
      <c r="H665" s="6">
        <v>12300</v>
      </c>
      <c r="I665" s="6">
        <v>771301001</v>
      </c>
      <c r="J665" s="7" t="s">
        <v>5983</v>
      </c>
      <c r="K665" s="7"/>
      <c r="L665" s="1" t="s">
        <v>5984</v>
      </c>
      <c r="M665" s="7" t="s">
        <v>5985</v>
      </c>
      <c r="N665" s="7" t="s">
        <v>5986</v>
      </c>
      <c r="O665" s="7" t="s">
        <v>5987</v>
      </c>
      <c r="P665" s="8">
        <v>771375831023</v>
      </c>
      <c r="Q665" s="7" t="s">
        <v>1076</v>
      </c>
      <c r="R665" s="7" t="s">
        <v>5988</v>
      </c>
      <c r="S665" s="7" t="s">
        <v>5989</v>
      </c>
      <c r="T665" s="7"/>
      <c r="U665" s="7" t="s">
        <v>5990</v>
      </c>
      <c r="V665" s="1">
        <v>10000</v>
      </c>
      <c r="W665" s="1">
        <v>48878000</v>
      </c>
      <c r="X665" s="1">
        <v>350000</v>
      </c>
      <c r="Y665" s="1">
        <v>0</v>
      </c>
      <c r="Z665" s="1">
        <v>17355000</v>
      </c>
      <c r="AA665" s="1">
        <v>3993000</v>
      </c>
      <c r="AB665" s="1">
        <v>5647000</v>
      </c>
      <c r="AC665" s="1">
        <v>0</v>
      </c>
      <c r="AD665" s="1">
        <v>0</v>
      </c>
      <c r="AE665" s="7" t="s">
        <v>317</v>
      </c>
      <c r="AF665" s="7" t="s">
        <v>421</v>
      </c>
      <c r="AG665" s="7" t="s">
        <v>319</v>
      </c>
    </row>
    <row r="666" spans="1:33" ht="15.75" x14ac:dyDescent="0.25">
      <c r="A666" s="3">
        <v>1025002039688</v>
      </c>
      <c r="B666" s="9">
        <v>5018055433</v>
      </c>
      <c r="C666" s="10" t="s">
        <v>5991</v>
      </c>
      <c r="D666" s="10" t="s">
        <v>5992</v>
      </c>
      <c r="E666" s="9">
        <v>51917496</v>
      </c>
      <c r="F666" s="9">
        <v>46434000000</v>
      </c>
      <c r="G666" s="9">
        <v>16</v>
      </c>
      <c r="H666" s="9">
        <v>12300</v>
      </c>
      <c r="I666" s="9">
        <v>501801001</v>
      </c>
      <c r="J666" s="10" t="s">
        <v>5993</v>
      </c>
      <c r="K666" s="10"/>
      <c r="L666" s="3" t="s">
        <v>445</v>
      </c>
      <c r="M666" s="10" t="s">
        <v>446</v>
      </c>
      <c r="N666" s="10" t="s">
        <v>5994</v>
      </c>
      <c r="O666" s="10" t="s">
        <v>5995</v>
      </c>
      <c r="P666" s="11">
        <v>501806484708</v>
      </c>
      <c r="Q666" s="10" t="s">
        <v>41</v>
      </c>
      <c r="R666" s="10" t="s">
        <v>5996</v>
      </c>
      <c r="S666" s="10" t="s">
        <v>5997</v>
      </c>
      <c r="T666" s="10"/>
      <c r="U666" s="10"/>
      <c r="V666" s="3">
        <v>10000</v>
      </c>
      <c r="W666" s="3">
        <v>42475000</v>
      </c>
      <c r="X666" s="3">
        <v>0</v>
      </c>
      <c r="Y666" s="3">
        <v>4320000</v>
      </c>
      <c r="Z666" s="3">
        <v>21438000</v>
      </c>
      <c r="AA666" s="3">
        <v>23900000</v>
      </c>
      <c r="AB666" s="3">
        <v>23962000</v>
      </c>
      <c r="AC666" s="3">
        <v>0</v>
      </c>
      <c r="AD666" s="3">
        <v>0</v>
      </c>
      <c r="AE666" s="10" t="s">
        <v>317</v>
      </c>
      <c r="AF666" s="10" t="s">
        <v>318</v>
      </c>
      <c r="AG666" s="10" t="s">
        <v>319</v>
      </c>
    </row>
    <row r="667" spans="1:33" ht="15.75" x14ac:dyDescent="0.25">
      <c r="A667" s="1">
        <v>1055004218147</v>
      </c>
      <c r="B667" s="6">
        <v>5024071480</v>
      </c>
      <c r="C667" s="7" t="s">
        <v>5998</v>
      </c>
      <c r="D667" s="7" t="s">
        <v>5999</v>
      </c>
      <c r="E667" s="6">
        <v>75290961</v>
      </c>
      <c r="F667" s="6">
        <v>46439000000</v>
      </c>
      <c r="G667" s="6">
        <v>16</v>
      </c>
      <c r="H667" s="6">
        <v>12300</v>
      </c>
      <c r="I667" s="6">
        <v>502401001</v>
      </c>
      <c r="J667" s="7" t="s">
        <v>6000</v>
      </c>
      <c r="K667" s="7"/>
      <c r="L667" s="1" t="s">
        <v>404</v>
      </c>
      <c r="M667" s="7" t="s">
        <v>405</v>
      </c>
      <c r="N667" s="7" t="s">
        <v>6001</v>
      </c>
      <c r="O667" s="7" t="s">
        <v>6002</v>
      </c>
      <c r="P667" s="8">
        <v>502498156067</v>
      </c>
      <c r="Q667" s="7" t="s">
        <v>41</v>
      </c>
      <c r="R667" s="7" t="s">
        <v>6003</v>
      </c>
      <c r="S667" s="7" t="s">
        <v>6004</v>
      </c>
      <c r="T667" s="7"/>
      <c r="U667" s="7"/>
      <c r="V667" s="1">
        <v>10000</v>
      </c>
      <c r="W667" s="1">
        <v>46910000</v>
      </c>
      <c r="X667" s="1">
        <v>5999000</v>
      </c>
      <c r="Y667" s="1">
        <v>236000</v>
      </c>
      <c r="Z667" s="1">
        <v>295000</v>
      </c>
      <c r="AA667" s="1">
        <v>3587000</v>
      </c>
      <c r="AB667" s="1">
        <v>26037000</v>
      </c>
      <c r="AC667" s="1">
        <v>0</v>
      </c>
      <c r="AD667" s="1">
        <v>0</v>
      </c>
      <c r="AE667" s="7" t="s">
        <v>317</v>
      </c>
      <c r="AF667" s="7" t="s">
        <v>493</v>
      </c>
      <c r="AG667" s="7" t="s">
        <v>319</v>
      </c>
    </row>
    <row r="668" spans="1:33" ht="15.75" x14ac:dyDescent="0.25">
      <c r="A668" s="3">
        <v>1025003918830</v>
      </c>
      <c r="B668" s="9">
        <v>5031051357</v>
      </c>
      <c r="C668" s="10" t="s">
        <v>6005</v>
      </c>
      <c r="D668" s="10" t="s">
        <v>6006</v>
      </c>
      <c r="E668" s="9">
        <v>13307378</v>
      </c>
      <c r="F668" s="9">
        <v>46451000000</v>
      </c>
      <c r="G668" s="9">
        <v>16</v>
      </c>
      <c r="H668" s="9">
        <v>12300</v>
      </c>
      <c r="I668" s="9">
        <v>503101001</v>
      </c>
      <c r="J668" s="10" t="s">
        <v>6007</v>
      </c>
      <c r="K668" s="10"/>
      <c r="L668" s="3" t="s">
        <v>5774</v>
      </c>
      <c r="M668" s="10" t="s">
        <v>5775</v>
      </c>
      <c r="N668" s="10" t="s">
        <v>6008</v>
      </c>
      <c r="O668" s="10" t="s">
        <v>6009</v>
      </c>
      <c r="P668" s="11">
        <v>503109334963</v>
      </c>
      <c r="Q668" s="10" t="s">
        <v>41</v>
      </c>
      <c r="R668" s="10" t="s">
        <v>6010</v>
      </c>
      <c r="S668" s="10" t="s">
        <v>6011</v>
      </c>
      <c r="T668" s="10"/>
      <c r="U668" s="10"/>
      <c r="V668" s="3">
        <v>10000</v>
      </c>
      <c r="W668" s="3">
        <v>44404000</v>
      </c>
      <c r="X668" s="3">
        <v>2001000</v>
      </c>
      <c r="Y668" s="3">
        <v>1862000</v>
      </c>
      <c r="Z668" s="3">
        <v>1341000</v>
      </c>
      <c r="AA668" s="3">
        <v>1403000</v>
      </c>
      <c r="AB668" s="3">
        <v>4553000</v>
      </c>
      <c r="AC668" s="3">
        <v>0</v>
      </c>
      <c r="AD668" s="3">
        <v>0</v>
      </c>
      <c r="AE668" s="10" t="s">
        <v>331</v>
      </c>
      <c r="AF668" s="10" t="s">
        <v>1727</v>
      </c>
      <c r="AG668" s="10" t="s">
        <v>319</v>
      </c>
    </row>
    <row r="669" spans="1:33" ht="15.75" x14ac:dyDescent="0.25">
      <c r="A669" s="1">
        <v>1055004246637</v>
      </c>
      <c r="B669" s="6">
        <v>5024075195</v>
      </c>
      <c r="C669" s="7" t="s">
        <v>6012</v>
      </c>
      <c r="D669" s="7" t="s">
        <v>6013</v>
      </c>
      <c r="E669" s="6">
        <v>78104798</v>
      </c>
      <c r="F669" s="6">
        <v>46439000000</v>
      </c>
      <c r="G669" s="6">
        <v>16</v>
      </c>
      <c r="H669" s="6">
        <v>12300</v>
      </c>
      <c r="I669" s="6">
        <v>502401001</v>
      </c>
      <c r="J669" s="7" t="s">
        <v>6014</v>
      </c>
      <c r="K669" s="7"/>
      <c r="L669" s="1" t="s">
        <v>6015</v>
      </c>
      <c r="M669" s="7" t="s">
        <v>6016</v>
      </c>
      <c r="N669" s="7" t="s">
        <v>6017</v>
      </c>
      <c r="O669" s="7" t="s">
        <v>6018</v>
      </c>
      <c r="P669" s="8">
        <v>7704228734</v>
      </c>
      <c r="Q669" s="7" t="s">
        <v>90</v>
      </c>
      <c r="R669" s="7" t="s">
        <v>6019</v>
      </c>
      <c r="S669" s="7" t="s">
        <v>6020</v>
      </c>
      <c r="T669" s="7"/>
      <c r="U669" s="7" t="s">
        <v>6021</v>
      </c>
      <c r="V669" s="1">
        <v>10000</v>
      </c>
      <c r="W669" s="1">
        <v>42517000</v>
      </c>
      <c r="X669" s="1">
        <v>0</v>
      </c>
      <c r="Y669" s="1">
        <v>0</v>
      </c>
      <c r="Z669" s="1">
        <v>3337000</v>
      </c>
      <c r="AA669" s="1">
        <v>289953000</v>
      </c>
      <c r="AB669" s="1">
        <v>-18426000</v>
      </c>
      <c r="AC669" s="1">
        <v>-16906000</v>
      </c>
      <c r="AD669" s="1">
        <v>-17988000</v>
      </c>
      <c r="AE669" s="7" t="s">
        <v>331</v>
      </c>
      <c r="AF669" s="7" t="s">
        <v>345</v>
      </c>
      <c r="AG669" s="7" t="s">
        <v>319</v>
      </c>
    </row>
    <row r="670" spans="1:33" ht="15.75" x14ac:dyDescent="0.25">
      <c r="A670" s="1">
        <v>1097746161292</v>
      </c>
      <c r="B670" s="6">
        <v>7737548401</v>
      </c>
      <c r="C670" s="7" t="s">
        <v>6022</v>
      </c>
      <c r="D670" s="7" t="s">
        <v>6023</v>
      </c>
      <c r="E670" s="6">
        <v>60504824</v>
      </c>
      <c r="F670" s="6">
        <v>45277586000</v>
      </c>
      <c r="G670" s="6">
        <v>16</v>
      </c>
      <c r="H670" s="6">
        <v>12300</v>
      </c>
      <c r="I670" s="6">
        <v>771301001</v>
      </c>
      <c r="J670" s="7" t="s">
        <v>6024</v>
      </c>
      <c r="K670" s="7"/>
      <c r="L670" s="1" t="s">
        <v>6025</v>
      </c>
      <c r="M670" s="7" t="s">
        <v>6026</v>
      </c>
      <c r="N670" s="7" t="s">
        <v>6027</v>
      </c>
      <c r="O670" s="7" t="s">
        <v>6028</v>
      </c>
      <c r="P670" s="8">
        <v>771003290906</v>
      </c>
      <c r="Q670" s="7" t="s">
        <v>340</v>
      </c>
      <c r="R670" s="7" t="s">
        <v>6029</v>
      </c>
      <c r="S670" s="7" t="s">
        <v>6030</v>
      </c>
      <c r="T670" s="7"/>
      <c r="U670" s="7" t="s">
        <v>6031</v>
      </c>
      <c r="V670" s="1">
        <v>10000</v>
      </c>
      <c r="W670" s="1">
        <v>112213000</v>
      </c>
      <c r="X670" s="1">
        <v>0</v>
      </c>
      <c r="Y670" s="1">
        <v>13334000</v>
      </c>
      <c r="Z670" s="1">
        <v>15003000</v>
      </c>
      <c r="AA670" s="1">
        <v>13586000</v>
      </c>
      <c r="AB670" s="1">
        <v>-23518000</v>
      </c>
      <c r="AC670" s="1">
        <v>0</v>
      </c>
      <c r="AD670" s="1">
        <v>0</v>
      </c>
      <c r="AE670" s="7" t="s">
        <v>317</v>
      </c>
      <c r="AF670" s="7" t="s">
        <v>1465</v>
      </c>
      <c r="AG670" s="7" t="s">
        <v>319</v>
      </c>
    </row>
    <row r="671" spans="1:33" ht="15.75" x14ac:dyDescent="0.25">
      <c r="A671" s="3">
        <v>1025001823780</v>
      </c>
      <c r="B671" s="9">
        <v>5017039414</v>
      </c>
      <c r="C671" s="10" t="s">
        <v>6032</v>
      </c>
      <c r="D671" s="10" t="s">
        <v>6033</v>
      </c>
      <c r="E671" s="9">
        <v>31862540</v>
      </c>
      <c r="F671" s="9">
        <v>46433000148</v>
      </c>
      <c r="G671" s="9">
        <v>16</v>
      </c>
      <c r="H671" s="9">
        <v>12300</v>
      </c>
      <c r="I671" s="9">
        <v>501701001</v>
      </c>
      <c r="J671" s="10" t="s">
        <v>6034</v>
      </c>
      <c r="K671" s="10"/>
      <c r="L671" s="3" t="s">
        <v>445</v>
      </c>
      <c r="M671" s="10" t="s">
        <v>446</v>
      </c>
      <c r="N671" s="10"/>
      <c r="O671" s="10" t="s">
        <v>6035</v>
      </c>
      <c r="P671" s="11">
        <v>501701040705</v>
      </c>
      <c r="Q671" s="10" t="s">
        <v>41</v>
      </c>
      <c r="R671" s="10" t="s">
        <v>6036</v>
      </c>
      <c r="S671" s="10" t="s">
        <v>6037</v>
      </c>
      <c r="T671" s="10"/>
      <c r="U671" s="10"/>
      <c r="V671" s="3">
        <v>10000</v>
      </c>
      <c r="W671" s="3">
        <v>49474000</v>
      </c>
      <c r="X671" s="3">
        <v>50315000</v>
      </c>
      <c r="Y671" s="3">
        <v>333000</v>
      </c>
      <c r="Z671" s="3">
        <v>17739000</v>
      </c>
      <c r="AA671" s="3">
        <v>18591000</v>
      </c>
      <c r="AB671" s="3">
        <v>14698000</v>
      </c>
      <c r="AC671" s="3">
        <v>0</v>
      </c>
      <c r="AD671" s="3">
        <v>0</v>
      </c>
      <c r="AE671" s="10" t="s">
        <v>317</v>
      </c>
      <c r="AF671" s="10" t="s">
        <v>1329</v>
      </c>
      <c r="AG671" s="10" t="s">
        <v>319</v>
      </c>
    </row>
    <row r="672" spans="1:33" ht="15.75" x14ac:dyDescent="0.25">
      <c r="A672" s="1">
        <v>1025002876821</v>
      </c>
      <c r="B672" s="6">
        <v>5024032836</v>
      </c>
      <c r="C672" s="7" t="s">
        <v>6038</v>
      </c>
      <c r="D672" s="7" t="s">
        <v>6039</v>
      </c>
      <c r="E672" s="6">
        <v>45769637</v>
      </c>
      <c r="F672" s="6">
        <v>46433506000</v>
      </c>
      <c r="G672" s="6">
        <v>16</v>
      </c>
      <c r="H672" s="6">
        <v>12300</v>
      </c>
      <c r="I672" s="6">
        <v>501701001</v>
      </c>
      <c r="J672" s="7" t="s">
        <v>6040</v>
      </c>
      <c r="K672" s="7"/>
      <c r="L672" s="1" t="s">
        <v>5821</v>
      </c>
      <c r="M672" s="7" t="s">
        <v>5822</v>
      </c>
      <c r="N672" s="7" t="s">
        <v>6041</v>
      </c>
      <c r="O672" s="7" t="s">
        <v>6042</v>
      </c>
      <c r="P672" s="8">
        <v>773381184723</v>
      </c>
      <c r="Q672" s="7" t="s">
        <v>340</v>
      </c>
      <c r="R672" s="7" t="s">
        <v>6043</v>
      </c>
      <c r="S672" s="7" t="s">
        <v>6044</v>
      </c>
      <c r="T672" s="7"/>
      <c r="U672" s="7" t="s">
        <v>6045</v>
      </c>
      <c r="V672" s="1">
        <v>10000</v>
      </c>
      <c r="W672" s="1">
        <v>68769000</v>
      </c>
      <c r="X672" s="1">
        <v>17154000</v>
      </c>
      <c r="Y672" s="1">
        <v>0</v>
      </c>
      <c r="Z672" s="1">
        <v>6110000</v>
      </c>
      <c r="AA672" s="1">
        <v>12904000</v>
      </c>
      <c r="AB672" s="1">
        <v>60973000</v>
      </c>
      <c r="AC672" s="1">
        <v>0</v>
      </c>
      <c r="AD672" s="1">
        <v>0</v>
      </c>
      <c r="AE672" s="7" t="s">
        <v>317</v>
      </c>
      <c r="AF672" s="7" t="s">
        <v>410</v>
      </c>
      <c r="AG672" s="7" t="s">
        <v>319</v>
      </c>
    </row>
    <row r="673" spans="1:33" ht="15.75" x14ac:dyDescent="0.25">
      <c r="A673" s="3">
        <v>1097746005961</v>
      </c>
      <c r="B673" s="9">
        <v>7723703311</v>
      </c>
      <c r="C673" s="10" t="s">
        <v>6046</v>
      </c>
      <c r="D673" s="10" t="s">
        <v>6047</v>
      </c>
      <c r="E673" s="9">
        <v>89639947</v>
      </c>
      <c r="F673" s="9">
        <v>45290582000</v>
      </c>
      <c r="G673" s="9">
        <v>16</v>
      </c>
      <c r="H673" s="9">
        <v>12300</v>
      </c>
      <c r="I673" s="9">
        <v>772301001</v>
      </c>
      <c r="J673" s="10" t="s">
        <v>6048</v>
      </c>
      <c r="K673" s="10"/>
      <c r="L673" s="3" t="s">
        <v>267</v>
      </c>
      <c r="M673" s="10" t="s">
        <v>268</v>
      </c>
      <c r="N673" s="10" t="s">
        <v>6049</v>
      </c>
      <c r="O673" s="10" t="s">
        <v>6050</v>
      </c>
      <c r="P673" s="11">
        <v>772141723183</v>
      </c>
      <c r="Q673" s="10" t="s">
        <v>41</v>
      </c>
      <c r="R673" s="10" t="s">
        <v>6051</v>
      </c>
      <c r="S673" s="10" t="s">
        <v>6052</v>
      </c>
      <c r="T673" s="10"/>
      <c r="U673" s="10" t="s">
        <v>6053</v>
      </c>
      <c r="V673" s="3">
        <v>10000</v>
      </c>
      <c r="W673" s="3">
        <v>204555000</v>
      </c>
      <c r="X673" s="3">
        <v>1612000</v>
      </c>
      <c r="Y673" s="3">
        <v>0</v>
      </c>
      <c r="Z673" s="3">
        <v>14927000</v>
      </c>
      <c r="AA673" s="3">
        <v>3002000</v>
      </c>
      <c r="AB673" s="3">
        <v>47610000</v>
      </c>
      <c r="AC673" s="3">
        <v>0</v>
      </c>
      <c r="AD673" s="3">
        <v>0</v>
      </c>
      <c r="AE673" s="10" t="s">
        <v>317</v>
      </c>
      <c r="AF673" s="10" t="s">
        <v>318</v>
      </c>
      <c r="AG673" s="10" t="s">
        <v>319</v>
      </c>
    </row>
    <row r="674" spans="1:33" ht="15.75" x14ac:dyDescent="0.25">
      <c r="A674" s="1">
        <v>1097746125179</v>
      </c>
      <c r="B674" s="6">
        <v>7729629520</v>
      </c>
      <c r="C674" s="7" t="s">
        <v>6054</v>
      </c>
      <c r="D674" s="7" t="s">
        <v>6055</v>
      </c>
      <c r="E674" s="6">
        <v>60482133</v>
      </c>
      <c r="F674" s="6">
        <v>45268584000</v>
      </c>
      <c r="G674" s="6">
        <v>16</v>
      </c>
      <c r="H674" s="6">
        <v>12300</v>
      </c>
      <c r="I674" s="6">
        <v>772901001</v>
      </c>
      <c r="J674" s="7" t="s">
        <v>5942</v>
      </c>
      <c r="K674" s="7"/>
      <c r="L674" s="1" t="s">
        <v>1432</v>
      </c>
      <c r="M674" s="7" t="s">
        <v>1433</v>
      </c>
      <c r="N674" s="7" t="s">
        <v>6056</v>
      </c>
      <c r="O674" s="7" t="s">
        <v>6057</v>
      </c>
      <c r="P674" s="8">
        <v>773581789451</v>
      </c>
      <c r="Q674" s="7" t="s">
        <v>150</v>
      </c>
      <c r="R674" s="7" t="s">
        <v>6058</v>
      </c>
      <c r="S674" s="7" t="s">
        <v>6059</v>
      </c>
      <c r="T674" s="7"/>
      <c r="U674" s="7" t="s">
        <v>6060</v>
      </c>
      <c r="V674" s="1">
        <v>10000</v>
      </c>
      <c r="W674" s="1">
        <v>83056000</v>
      </c>
      <c r="X674" s="1">
        <v>95000</v>
      </c>
      <c r="Y674" s="1">
        <v>4135000</v>
      </c>
      <c r="Z674" s="1">
        <v>4598000</v>
      </c>
      <c r="AA674" s="1">
        <v>4597000</v>
      </c>
      <c r="AB674" s="1">
        <v>12376000</v>
      </c>
      <c r="AC674" s="1">
        <v>14213000</v>
      </c>
      <c r="AD674" s="1">
        <v>14637000</v>
      </c>
      <c r="AE674" s="7" t="s">
        <v>317</v>
      </c>
      <c r="AF674" s="7" t="s">
        <v>318</v>
      </c>
      <c r="AG674" s="7" t="s">
        <v>319</v>
      </c>
    </row>
    <row r="675" spans="1:33" ht="15.75" x14ac:dyDescent="0.25">
      <c r="A675" s="3">
        <v>1097746017170</v>
      </c>
      <c r="B675" s="9">
        <v>7720651986</v>
      </c>
      <c r="C675" s="10" t="s">
        <v>6061</v>
      </c>
      <c r="D675" s="10" t="s">
        <v>6062</v>
      </c>
      <c r="E675" s="9">
        <v>89651492</v>
      </c>
      <c r="F675" s="9">
        <v>45263583000</v>
      </c>
      <c r="G675" s="9">
        <v>16</v>
      </c>
      <c r="H675" s="9">
        <v>12300</v>
      </c>
      <c r="I675" s="9">
        <v>772001001</v>
      </c>
      <c r="J675" s="10" t="s">
        <v>6063</v>
      </c>
      <c r="K675" s="10"/>
      <c r="L675" s="3" t="s">
        <v>6025</v>
      </c>
      <c r="M675" s="10" t="s">
        <v>6026</v>
      </c>
      <c r="N675" s="10" t="s">
        <v>6064</v>
      </c>
      <c r="O675" s="10" t="s">
        <v>6065</v>
      </c>
      <c r="P675" s="11">
        <v>770970712960</v>
      </c>
      <c r="Q675" s="10" t="s">
        <v>41</v>
      </c>
      <c r="R675" s="10" t="s">
        <v>6066</v>
      </c>
      <c r="S675" s="10" t="s">
        <v>6067</v>
      </c>
      <c r="T675" s="10"/>
      <c r="U675" s="10" t="s">
        <v>6068</v>
      </c>
      <c r="V675" s="3">
        <v>10000</v>
      </c>
      <c r="W675" s="3">
        <v>66496000</v>
      </c>
      <c r="X675" s="3">
        <v>0</v>
      </c>
      <c r="Y675" s="3">
        <v>16319000</v>
      </c>
      <c r="Z675" s="3">
        <v>32003000</v>
      </c>
      <c r="AA675" s="3">
        <v>2265000</v>
      </c>
      <c r="AB675" s="3">
        <v>4905000</v>
      </c>
      <c r="AC675" s="3">
        <v>0</v>
      </c>
      <c r="AD675" s="3">
        <v>0</v>
      </c>
      <c r="AE675" s="10" t="s">
        <v>317</v>
      </c>
      <c r="AF675" s="10" t="s">
        <v>461</v>
      </c>
      <c r="AG675" s="10" t="s">
        <v>319</v>
      </c>
    </row>
    <row r="676" spans="1:33" ht="15.75" x14ac:dyDescent="0.25">
      <c r="A676" s="1">
        <v>1055001811996</v>
      </c>
      <c r="B676" s="6">
        <v>5078014907</v>
      </c>
      <c r="C676" s="7" t="s">
        <v>6069</v>
      </c>
      <c r="D676" s="7" t="s">
        <v>6070</v>
      </c>
      <c r="E676" s="6">
        <v>78085658</v>
      </c>
      <c r="F676" s="6">
        <v>46478556000</v>
      </c>
      <c r="G676" s="6">
        <v>16</v>
      </c>
      <c r="H676" s="6">
        <v>12300</v>
      </c>
      <c r="I676" s="6">
        <v>507801001</v>
      </c>
      <c r="J676" s="7" t="s">
        <v>6071</v>
      </c>
      <c r="K676" s="7"/>
      <c r="L676" s="1" t="s">
        <v>4299</v>
      </c>
      <c r="M676" s="7" t="s">
        <v>4300</v>
      </c>
      <c r="N676" s="7" t="s">
        <v>6072</v>
      </c>
      <c r="O676" s="7" t="s">
        <v>6073</v>
      </c>
      <c r="P676" s="8">
        <v>507802050228</v>
      </c>
      <c r="Q676" s="7" t="s">
        <v>41</v>
      </c>
      <c r="R676" s="7" t="s">
        <v>6074</v>
      </c>
      <c r="S676" s="7" t="s">
        <v>6075</v>
      </c>
      <c r="T676" s="7"/>
      <c r="U676" s="7"/>
      <c r="V676" s="1">
        <v>10000</v>
      </c>
      <c r="W676" s="1">
        <v>32621000</v>
      </c>
      <c r="X676" s="1">
        <v>0</v>
      </c>
      <c r="Y676" s="1">
        <v>1912000</v>
      </c>
      <c r="Z676" s="1">
        <v>5435000</v>
      </c>
      <c r="AA676" s="1">
        <v>413000</v>
      </c>
      <c r="AB676" s="1">
        <v>2970000</v>
      </c>
      <c r="AC676" s="1">
        <v>0</v>
      </c>
      <c r="AD676" s="1">
        <v>0</v>
      </c>
      <c r="AE676" s="7" t="s">
        <v>317</v>
      </c>
      <c r="AF676" s="7" t="s">
        <v>352</v>
      </c>
      <c r="AG676" s="7" t="s">
        <v>319</v>
      </c>
    </row>
    <row r="677" spans="1:33" ht="15.75" x14ac:dyDescent="0.25">
      <c r="A677" s="3">
        <v>1097746189232</v>
      </c>
      <c r="B677" s="9">
        <v>7713684476</v>
      </c>
      <c r="C677" s="10" t="s">
        <v>6076</v>
      </c>
      <c r="D677" s="10" t="s">
        <v>6077</v>
      </c>
      <c r="E677" s="9">
        <v>60524703</v>
      </c>
      <c r="F677" s="9">
        <v>45296559000</v>
      </c>
      <c r="G677" s="9">
        <v>16</v>
      </c>
      <c r="H677" s="9">
        <v>12300</v>
      </c>
      <c r="I677" s="9">
        <v>772501001</v>
      </c>
      <c r="J677" s="10" t="s">
        <v>6078</v>
      </c>
      <c r="K677" s="10"/>
      <c r="L677" s="3" t="s">
        <v>6079</v>
      </c>
      <c r="M677" s="10" t="s">
        <v>6080</v>
      </c>
      <c r="N677" s="10" t="s">
        <v>6081</v>
      </c>
      <c r="O677" s="10" t="s">
        <v>6082</v>
      </c>
      <c r="P677" s="11">
        <v>774391396239</v>
      </c>
      <c r="Q677" s="10" t="s">
        <v>41</v>
      </c>
      <c r="R677" s="10" t="s">
        <v>6083</v>
      </c>
      <c r="S677" s="10" t="s">
        <v>6084</v>
      </c>
      <c r="T677" s="10"/>
      <c r="U677" s="10" t="s">
        <v>6085</v>
      </c>
      <c r="V677" s="3">
        <v>10000</v>
      </c>
      <c r="W677" s="3">
        <v>64761000</v>
      </c>
      <c r="X677" s="3">
        <v>5825000</v>
      </c>
      <c r="Y677" s="3">
        <v>238000</v>
      </c>
      <c r="Z677" s="3">
        <v>11349000</v>
      </c>
      <c r="AA677" s="3">
        <v>3764000</v>
      </c>
      <c r="AB677" s="3">
        <v>7557000</v>
      </c>
      <c r="AC677" s="3">
        <v>0</v>
      </c>
      <c r="AD677" s="3">
        <v>0</v>
      </c>
      <c r="AE677" s="10" t="s">
        <v>317</v>
      </c>
      <c r="AF677" s="10" t="s">
        <v>669</v>
      </c>
      <c r="AG677" s="10" t="s">
        <v>319</v>
      </c>
    </row>
    <row r="678" spans="1:33" ht="15.75" x14ac:dyDescent="0.25">
      <c r="A678" s="1">
        <v>1097746197559</v>
      </c>
      <c r="B678" s="6">
        <v>7717650090</v>
      </c>
      <c r="C678" s="7" t="s">
        <v>6086</v>
      </c>
      <c r="D678" s="7" t="s">
        <v>6087</v>
      </c>
      <c r="E678" s="6">
        <v>60524844</v>
      </c>
      <c r="F678" s="6">
        <v>45280572000</v>
      </c>
      <c r="G678" s="6">
        <v>16</v>
      </c>
      <c r="H678" s="6">
        <v>12300</v>
      </c>
      <c r="I678" s="6">
        <v>771701001</v>
      </c>
      <c r="J678" s="7" t="s">
        <v>6088</v>
      </c>
      <c r="K678" s="7"/>
      <c r="L678" s="1" t="s">
        <v>6089</v>
      </c>
      <c r="M678" s="7" t="s">
        <v>6090</v>
      </c>
      <c r="N678" s="7" t="s">
        <v>6091</v>
      </c>
      <c r="O678" s="7" t="s">
        <v>6092</v>
      </c>
      <c r="P678" s="8">
        <v>54702265590</v>
      </c>
      <c r="Q678" s="7" t="s">
        <v>41</v>
      </c>
      <c r="R678" s="7" t="s">
        <v>6093</v>
      </c>
      <c r="S678" s="7" t="s">
        <v>6094</v>
      </c>
      <c r="T678" s="7"/>
      <c r="U678" s="7"/>
      <c r="V678" s="1">
        <v>10000</v>
      </c>
      <c r="W678" s="1">
        <v>67806000</v>
      </c>
      <c r="X678" s="1">
        <v>401000</v>
      </c>
      <c r="Y678" s="1">
        <v>10804000</v>
      </c>
      <c r="Z678" s="1">
        <v>5644000</v>
      </c>
      <c r="AA678" s="1">
        <v>810000</v>
      </c>
      <c r="AB678" s="1">
        <v>3720000</v>
      </c>
      <c r="AC678" s="1">
        <v>0</v>
      </c>
      <c r="AD678" s="1">
        <v>0</v>
      </c>
      <c r="AE678" s="7" t="s">
        <v>317</v>
      </c>
      <c r="AF678" s="7" t="s">
        <v>318</v>
      </c>
      <c r="AG678" s="7" t="s">
        <v>319</v>
      </c>
    </row>
    <row r="679" spans="1:33" ht="15.75" x14ac:dyDescent="0.25">
      <c r="A679" s="3">
        <v>1055007516684</v>
      </c>
      <c r="B679" s="9">
        <v>5040066945</v>
      </c>
      <c r="C679" s="10" t="s">
        <v>6095</v>
      </c>
      <c r="D679" s="10" t="s">
        <v>6096</v>
      </c>
      <c r="E679" s="9">
        <v>78049415</v>
      </c>
      <c r="F679" s="9">
        <v>46468000379</v>
      </c>
      <c r="G679" s="9">
        <v>16</v>
      </c>
      <c r="H679" s="9">
        <v>12300</v>
      </c>
      <c r="I679" s="9">
        <v>504001001</v>
      </c>
      <c r="J679" s="10" t="s">
        <v>6097</v>
      </c>
      <c r="K679" s="10"/>
      <c r="L679" s="3" t="s">
        <v>300</v>
      </c>
      <c r="M679" s="10" t="s">
        <v>301</v>
      </c>
      <c r="N679" s="10" t="s">
        <v>6098</v>
      </c>
      <c r="O679" s="10" t="s">
        <v>6099</v>
      </c>
      <c r="P679" s="11">
        <v>504013895092</v>
      </c>
      <c r="Q679" s="10" t="s">
        <v>41</v>
      </c>
      <c r="R679" s="10" t="s">
        <v>6100</v>
      </c>
      <c r="S679" s="10" t="s">
        <v>6101</v>
      </c>
      <c r="T679" s="10"/>
      <c r="U679" s="10"/>
      <c r="V679" s="3">
        <v>10000</v>
      </c>
      <c r="W679" s="3">
        <v>89438000</v>
      </c>
      <c r="X679" s="3">
        <v>46857000</v>
      </c>
      <c r="Y679" s="3">
        <v>44000</v>
      </c>
      <c r="Z679" s="3">
        <v>11494000</v>
      </c>
      <c r="AA679" s="3">
        <v>25884000</v>
      </c>
      <c r="AB679" s="3">
        <v>20100000</v>
      </c>
      <c r="AC679" s="3">
        <v>30296000</v>
      </c>
      <c r="AD679" s="3">
        <v>29083000</v>
      </c>
      <c r="AE679" s="10" t="s">
        <v>317</v>
      </c>
      <c r="AF679" s="10" t="s">
        <v>1329</v>
      </c>
      <c r="AG679" s="10" t="s">
        <v>319</v>
      </c>
    </row>
    <row r="680" spans="1:33" ht="15.75" x14ac:dyDescent="0.25">
      <c r="A680" s="1">
        <v>1025003524248</v>
      </c>
      <c r="B680" s="6">
        <v>5029016027</v>
      </c>
      <c r="C680" s="7" t="s">
        <v>6102</v>
      </c>
      <c r="D680" s="7" t="s">
        <v>6103</v>
      </c>
      <c r="E680" s="6">
        <v>23483283</v>
      </c>
      <c r="F680" s="6">
        <v>46446000000</v>
      </c>
      <c r="G680" s="6">
        <v>16</v>
      </c>
      <c r="H680" s="6">
        <v>12300</v>
      </c>
      <c r="I680" s="6">
        <v>502901001</v>
      </c>
      <c r="J680" s="7" t="s">
        <v>6104</v>
      </c>
      <c r="K680" s="7"/>
      <c r="L680" s="1" t="s">
        <v>6105</v>
      </c>
      <c r="M680" s="7" t="s">
        <v>6106</v>
      </c>
      <c r="N680" s="7" t="s">
        <v>6107</v>
      </c>
      <c r="O680" s="7" t="s">
        <v>6108</v>
      </c>
      <c r="P680" s="8">
        <v>502904631127</v>
      </c>
      <c r="Q680" s="7" t="s">
        <v>41</v>
      </c>
      <c r="R680" s="7" t="s">
        <v>6109</v>
      </c>
      <c r="S680" s="7" t="s">
        <v>6110</v>
      </c>
      <c r="T680" s="7"/>
      <c r="U680" s="7"/>
      <c r="V680" s="1">
        <v>10000</v>
      </c>
      <c r="W680" s="1">
        <v>50127000</v>
      </c>
      <c r="X680" s="1">
        <v>12684000</v>
      </c>
      <c r="Y680" s="1">
        <v>0</v>
      </c>
      <c r="Z680" s="1">
        <v>15752000</v>
      </c>
      <c r="AA680" s="1">
        <v>4610000</v>
      </c>
      <c r="AB680" s="1">
        <v>38676000</v>
      </c>
      <c r="AC680" s="1">
        <v>0</v>
      </c>
      <c r="AD680" s="1">
        <v>0</v>
      </c>
      <c r="AE680" s="7" t="s">
        <v>317</v>
      </c>
      <c r="AF680" s="7" t="s">
        <v>318</v>
      </c>
      <c r="AG680" s="7" t="s">
        <v>319</v>
      </c>
    </row>
    <row r="681" spans="1:33" ht="15.75" x14ac:dyDescent="0.25">
      <c r="A681" s="1">
        <v>1025003534654</v>
      </c>
      <c r="B681" s="6">
        <v>5029067222</v>
      </c>
      <c r="C681" s="7" t="s">
        <v>6111</v>
      </c>
      <c r="D681" s="7" t="s">
        <v>6112</v>
      </c>
      <c r="E681" s="6">
        <v>13312729</v>
      </c>
      <c r="F681" s="6">
        <v>46446000000</v>
      </c>
      <c r="G681" s="6">
        <v>16</v>
      </c>
      <c r="H681" s="6">
        <v>12300</v>
      </c>
      <c r="I681" s="6">
        <v>502901001</v>
      </c>
      <c r="J681" s="7" t="s">
        <v>6113</v>
      </c>
      <c r="K681" s="7"/>
      <c r="L681" s="1" t="s">
        <v>1286</v>
      </c>
      <c r="M681" s="7" t="s">
        <v>1287</v>
      </c>
      <c r="N681" s="7" t="s">
        <v>6114</v>
      </c>
      <c r="O681" s="7" t="s">
        <v>6115</v>
      </c>
      <c r="P681" s="8" t="s">
        <v>6116</v>
      </c>
      <c r="Q681" s="7" t="s">
        <v>6117</v>
      </c>
      <c r="R681" s="7" t="s">
        <v>6118</v>
      </c>
      <c r="S681" s="7" t="s">
        <v>6119</v>
      </c>
      <c r="T681" s="7"/>
      <c r="U681" s="7" t="s">
        <v>6120</v>
      </c>
      <c r="V681" s="1">
        <v>10000</v>
      </c>
      <c r="W681" s="1">
        <v>32306000</v>
      </c>
      <c r="X681" s="1">
        <v>0</v>
      </c>
      <c r="Y681" s="1">
        <v>10297000</v>
      </c>
      <c r="Z681" s="1">
        <v>5409000</v>
      </c>
      <c r="AA681" s="1">
        <v>259000</v>
      </c>
      <c r="AB681" s="1">
        <v>4490000</v>
      </c>
      <c r="AC681" s="1">
        <v>4490000</v>
      </c>
      <c r="AD681" s="1">
        <v>4490000</v>
      </c>
      <c r="AE681" s="7" t="s">
        <v>331</v>
      </c>
      <c r="AF681" s="7" t="s">
        <v>530</v>
      </c>
      <c r="AG681" s="7" t="s">
        <v>319</v>
      </c>
    </row>
    <row r="682" spans="1:33" ht="15.75" x14ac:dyDescent="0.25">
      <c r="A682" s="3">
        <v>1097746158586</v>
      </c>
      <c r="B682" s="9">
        <v>7729630229</v>
      </c>
      <c r="C682" s="10" t="s">
        <v>6121</v>
      </c>
      <c r="D682" s="10" t="s">
        <v>6122</v>
      </c>
      <c r="E682" s="9">
        <v>60500074</v>
      </c>
      <c r="F682" s="9">
        <v>45296593000</v>
      </c>
      <c r="G682" s="9">
        <v>16</v>
      </c>
      <c r="H682" s="9">
        <v>12300</v>
      </c>
      <c r="I682" s="9">
        <v>772601001</v>
      </c>
      <c r="J682" s="10" t="s">
        <v>6123</v>
      </c>
      <c r="K682" s="10"/>
      <c r="L682" s="3" t="s">
        <v>5837</v>
      </c>
      <c r="M682" s="10" t="s">
        <v>5838</v>
      </c>
      <c r="N682" s="10" t="s">
        <v>6124</v>
      </c>
      <c r="O682" s="10" t="s">
        <v>6125</v>
      </c>
      <c r="P682" s="11">
        <v>773715185341</v>
      </c>
      <c r="Q682" s="10" t="s">
        <v>41</v>
      </c>
      <c r="R682" s="10" t="s">
        <v>6126</v>
      </c>
      <c r="S682" s="10" t="s">
        <v>6127</v>
      </c>
      <c r="T682" s="10"/>
      <c r="U682" s="10"/>
      <c r="V682" s="3">
        <v>10000</v>
      </c>
      <c r="W682" s="3">
        <v>31623000</v>
      </c>
      <c r="X682" s="3">
        <v>170000</v>
      </c>
      <c r="Y682" s="3">
        <v>107000</v>
      </c>
      <c r="Z682" s="3">
        <v>1352000</v>
      </c>
      <c r="AA682" s="3">
        <v>265000</v>
      </c>
      <c r="AB682" s="3">
        <v>-142000</v>
      </c>
      <c r="AC682" s="3">
        <v>0</v>
      </c>
      <c r="AD682" s="3">
        <v>0</v>
      </c>
      <c r="AE682" s="10" t="s">
        <v>317</v>
      </c>
      <c r="AF682" s="10" t="s">
        <v>530</v>
      </c>
      <c r="AG682" s="10" t="s">
        <v>319</v>
      </c>
    </row>
    <row r="683" spans="1:33" ht="15.75" x14ac:dyDescent="0.25">
      <c r="A683" s="1">
        <v>1055007326252</v>
      </c>
      <c r="B683" s="6">
        <v>5035033084</v>
      </c>
      <c r="C683" s="7" t="s">
        <v>6128</v>
      </c>
      <c r="D683" s="7" t="s">
        <v>6129</v>
      </c>
      <c r="E683" s="6">
        <v>78099927</v>
      </c>
      <c r="F683" s="6">
        <v>46459556000</v>
      </c>
      <c r="G683" s="6">
        <v>16</v>
      </c>
      <c r="H683" s="6">
        <v>12300</v>
      </c>
      <c r="I683" s="6">
        <v>503501001</v>
      </c>
      <c r="J683" s="7" t="s">
        <v>2464</v>
      </c>
      <c r="K683" s="7"/>
      <c r="L683" s="1" t="s">
        <v>6130</v>
      </c>
      <c r="M683" s="7" t="s">
        <v>6131</v>
      </c>
      <c r="N683" s="7" t="s">
        <v>6132</v>
      </c>
      <c r="O683" s="7" t="s">
        <v>6133</v>
      </c>
      <c r="P683" s="8">
        <v>503503819405</v>
      </c>
      <c r="Q683" s="7" t="s">
        <v>150</v>
      </c>
      <c r="R683" s="7" t="s">
        <v>6134</v>
      </c>
      <c r="S683" s="7" t="s">
        <v>6135</v>
      </c>
      <c r="T683" s="7" t="s">
        <v>6136</v>
      </c>
      <c r="U683" s="7" t="s">
        <v>6137</v>
      </c>
      <c r="V683" s="1">
        <v>10000</v>
      </c>
      <c r="W683" s="1">
        <v>50681000</v>
      </c>
      <c r="X683" s="1">
        <v>49096000</v>
      </c>
      <c r="Y683" s="1">
        <v>7942000</v>
      </c>
      <c r="Z683" s="1">
        <v>29219000</v>
      </c>
      <c r="AA683" s="1">
        <v>11596000</v>
      </c>
      <c r="AB683" s="1">
        <v>6873000</v>
      </c>
      <c r="AC683" s="1">
        <v>7369000</v>
      </c>
      <c r="AD683" s="1">
        <v>8203000</v>
      </c>
      <c r="AE683" s="7" t="s">
        <v>331</v>
      </c>
      <c r="AF683" s="7" t="s">
        <v>453</v>
      </c>
      <c r="AG683" s="7" t="s">
        <v>319</v>
      </c>
    </row>
    <row r="684" spans="1:33" ht="15.75" x14ac:dyDescent="0.25">
      <c r="A684" s="3">
        <v>1055005903930</v>
      </c>
      <c r="B684" s="9">
        <v>5031061098</v>
      </c>
      <c r="C684" s="10" t="s">
        <v>6138</v>
      </c>
      <c r="D684" s="10" t="s">
        <v>6139</v>
      </c>
      <c r="E684" s="9">
        <v>75228525</v>
      </c>
      <c r="F684" s="9">
        <v>46451511000</v>
      </c>
      <c r="G684" s="9">
        <v>16</v>
      </c>
      <c r="H684" s="9">
        <v>12300</v>
      </c>
      <c r="I684" s="9">
        <v>503101001</v>
      </c>
      <c r="J684" s="10" t="s">
        <v>4794</v>
      </c>
      <c r="K684" s="10"/>
      <c r="L684" s="3" t="s">
        <v>146</v>
      </c>
      <c r="M684" s="10" t="s">
        <v>147</v>
      </c>
      <c r="N684" s="10" t="s">
        <v>6140</v>
      </c>
      <c r="O684" s="10" t="s">
        <v>6141</v>
      </c>
      <c r="P684" s="11">
        <v>771310980500</v>
      </c>
      <c r="Q684" s="10" t="s">
        <v>150</v>
      </c>
      <c r="R684" s="10" t="s">
        <v>6142</v>
      </c>
      <c r="S684" s="10" t="s">
        <v>6143</v>
      </c>
      <c r="T684" s="10"/>
      <c r="U684" s="10"/>
      <c r="V684" s="3">
        <v>10000</v>
      </c>
      <c r="W684" s="3">
        <v>57846000</v>
      </c>
      <c r="X684" s="3">
        <v>0</v>
      </c>
      <c r="Y684" s="3">
        <v>1055000</v>
      </c>
      <c r="Z684" s="3">
        <v>227000</v>
      </c>
      <c r="AA684" s="3">
        <v>199000</v>
      </c>
      <c r="AB684" s="3">
        <v>-896000</v>
      </c>
      <c r="AC684" s="3">
        <v>1098000</v>
      </c>
      <c r="AD684" s="3">
        <v>-317000</v>
      </c>
      <c r="AE684" s="10" t="s">
        <v>317</v>
      </c>
      <c r="AF684" s="10" t="s">
        <v>1023</v>
      </c>
      <c r="AG684" s="10" t="s">
        <v>319</v>
      </c>
    </row>
    <row r="685" spans="1:33" ht="15.75" x14ac:dyDescent="0.25">
      <c r="A685" s="1">
        <v>1055003001921</v>
      </c>
      <c r="B685" s="6">
        <v>5018099127</v>
      </c>
      <c r="C685" s="7" t="s">
        <v>6144</v>
      </c>
      <c r="D685" s="7" t="s">
        <v>6145</v>
      </c>
      <c r="E685" s="6">
        <v>75234767</v>
      </c>
      <c r="F685" s="6">
        <v>46434000000</v>
      </c>
      <c r="G685" s="6">
        <v>16</v>
      </c>
      <c r="H685" s="6">
        <v>12300</v>
      </c>
      <c r="I685" s="6">
        <v>501801001</v>
      </c>
      <c r="J685" s="7" t="s">
        <v>6146</v>
      </c>
      <c r="K685" s="7"/>
      <c r="L685" s="1" t="s">
        <v>851</v>
      </c>
      <c r="M685" s="7" t="s">
        <v>852</v>
      </c>
      <c r="N685" s="7" t="s">
        <v>6147</v>
      </c>
      <c r="O685" s="7" t="s">
        <v>6148</v>
      </c>
      <c r="P685" s="8">
        <v>501802890917</v>
      </c>
      <c r="Q685" s="7" t="s">
        <v>3927</v>
      </c>
      <c r="R685" s="7" t="s">
        <v>6149</v>
      </c>
      <c r="S685" s="7" t="s">
        <v>6150</v>
      </c>
      <c r="T685" s="7"/>
      <c r="U685" s="7"/>
      <c r="V685" s="1">
        <v>10000</v>
      </c>
      <c r="W685" s="1">
        <v>52802000</v>
      </c>
      <c r="X685" s="1">
        <v>8013000</v>
      </c>
      <c r="Y685" s="1">
        <v>0</v>
      </c>
      <c r="Z685" s="1">
        <v>13633000</v>
      </c>
      <c r="AA685" s="1">
        <v>4008000</v>
      </c>
      <c r="AB685" s="1">
        <v>-2363000</v>
      </c>
      <c r="AC685" s="1">
        <v>-1674000</v>
      </c>
      <c r="AD685" s="1">
        <v>-1834000</v>
      </c>
      <c r="AE685" s="7" t="s">
        <v>331</v>
      </c>
      <c r="AF685" s="7" t="s">
        <v>821</v>
      </c>
      <c r="AG685" s="7" t="s">
        <v>319</v>
      </c>
    </row>
    <row r="686" spans="1:33" ht="15.75" x14ac:dyDescent="0.25">
      <c r="A686" s="3">
        <v>1097746163844</v>
      </c>
      <c r="B686" s="9">
        <v>7718757872</v>
      </c>
      <c r="C686" s="10" t="s">
        <v>6151</v>
      </c>
      <c r="D686" s="10" t="s">
        <v>6152</v>
      </c>
      <c r="E686" s="9">
        <v>60495918</v>
      </c>
      <c r="F686" s="9">
        <v>45263591000</v>
      </c>
      <c r="G686" s="9">
        <v>16</v>
      </c>
      <c r="H686" s="9">
        <v>12300</v>
      </c>
      <c r="I686" s="9">
        <v>771801001</v>
      </c>
      <c r="J686" s="10" t="s">
        <v>6153</v>
      </c>
      <c r="K686" s="10"/>
      <c r="L686" s="3" t="s">
        <v>1879</v>
      </c>
      <c r="M686" s="10" t="s">
        <v>1880</v>
      </c>
      <c r="N686" s="10" t="s">
        <v>6154</v>
      </c>
      <c r="O686" s="10" t="s">
        <v>6155</v>
      </c>
      <c r="P686" s="11">
        <v>771865173503</v>
      </c>
      <c r="Q686" s="10" t="s">
        <v>41</v>
      </c>
      <c r="R686" s="10" t="s">
        <v>6156</v>
      </c>
      <c r="S686" s="10" t="s">
        <v>6157</v>
      </c>
      <c r="T686" s="10"/>
      <c r="U686" s="10" t="s">
        <v>6158</v>
      </c>
      <c r="V686" s="3">
        <v>10000</v>
      </c>
      <c r="W686" s="3">
        <v>46230000</v>
      </c>
      <c r="X686" s="3">
        <v>0</v>
      </c>
      <c r="Y686" s="3">
        <v>0</v>
      </c>
      <c r="Z686" s="3">
        <v>4242000</v>
      </c>
      <c r="AA686" s="3">
        <v>3503000</v>
      </c>
      <c r="AB686" s="3">
        <v>477000</v>
      </c>
      <c r="AC686" s="3">
        <v>0</v>
      </c>
      <c r="AD686" s="3">
        <v>0</v>
      </c>
      <c r="AE686" s="10" t="s">
        <v>331</v>
      </c>
      <c r="AF686" s="10" t="s">
        <v>5250</v>
      </c>
      <c r="AG686" s="10" t="s">
        <v>319</v>
      </c>
    </row>
    <row r="687" spans="1:33" ht="15.75" x14ac:dyDescent="0.25">
      <c r="A687" s="1">
        <v>1097746054427</v>
      </c>
      <c r="B687" s="6">
        <v>7725663865</v>
      </c>
      <c r="C687" s="7" t="s">
        <v>6159</v>
      </c>
      <c r="D687" s="7" t="s">
        <v>6160</v>
      </c>
      <c r="E687" s="6">
        <v>60389731</v>
      </c>
      <c r="F687" s="6">
        <v>45286590000</v>
      </c>
      <c r="G687" s="6">
        <v>16</v>
      </c>
      <c r="H687" s="6">
        <v>12300</v>
      </c>
      <c r="I687" s="6">
        <v>770401001</v>
      </c>
      <c r="J687" s="7" t="s">
        <v>6161</v>
      </c>
      <c r="K687" s="7"/>
      <c r="L687" s="1" t="s">
        <v>404</v>
      </c>
      <c r="M687" s="7" t="s">
        <v>405</v>
      </c>
      <c r="N687" s="7" t="s">
        <v>6162</v>
      </c>
      <c r="O687" s="7" t="s">
        <v>6163</v>
      </c>
      <c r="P687" s="8">
        <v>7706456052</v>
      </c>
      <c r="Q687" s="7" t="s">
        <v>90</v>
      </c>
      <c r="R687" s="7" t="s">
        <v>6164</v>
      </c>
      <c r="S687" s="7" t="s">
        <v>6165</v>
      </c>
      <c r="T687" s="7"/>
      <c r="U687" s="7" t="s">
        <v>6166</v>
      </c>
      <c r="V687" s="1">
        <v>10000</v>
      </c>
      <c r="W687" s="1">
        <v>52761000</v>
      </c>
      <c r="X687" s="1">
        <v>38330000</v>
      </c>
      <c r="Y687" s="1">
        <v>0</v>
      </c>
      <c r="Z687" s="1">
        <v>29663000</v>
      </c>
      <c r="AA687" s="1">
        <v>47820000</v>
      </c>
      <c r="AB687" s="1">
        <v>33185000</v>
      </c>
      <c r="AC687" s="1">
        <v>35985000</v>
      </c>
      <c r="AD687" s="1">
        <v>35950000</v>
      </c>
      <c r="AE687" s="7" t="s">
        <v>317</v>
      </c>
      <c r="AF687" s="7" t="s">
        <v>307</v>
      </c>
      <c r="AG687" s="7" t="s">
        <v>319</v>
      </c>
    </row>
    <row r="688" spans="1:33" ht="15.75" x14ac:dyDescent="0.25">
      <c r="A688" s="3">
        <v>1025002592724</v>
      </c>
      <c r="B688" s="9">
        <v>5020030860</v>
      </c>
      <c r="C688" s="10" t="s">
        <v>6167</v>
      </c>
      <c r="D688" s="10" t="s">
        <v>6168</v>
      </c>
      <c r="E688" s="9">
        <v>56830400</v>
      </c>
      <c r="F688" s="9">
        <v>46437000000</v>
      </c>
      <c r="G688" s="9">
        <v>16</v>
      </c>
      <c r="H688" s="9">
        <v>12300</v>
      </c>
      <c r="I688" s="9">
        <v>502001001</v>
      </c>
      <c r="J688" s="10" t="s">
        <v>6169</v>
      </c>
      <c r="K688" s="10"/>
      <c r="L688" s="3" t="s">
        <v>2575</v>
      </c>
      <c r="M688" s="10" t="s">
        <v>2576</v>
      </c>
      <c r="N688" s="10" t="s">
        <v>6170</v>
      </c>
      <c r="O688" s="10" t="s">
        <v>6171</v>
      </c>
      <c r="P688" s="11">
        <v>502001868125</v>
      </c>
      <c r="Q688" s="10" t="s">
        <v>150</v>
      </c>
      <c r="R688" s="10" t="s">
        <v>6172</v>
      </c>
      <c r="S688" s="10" t="s">
        <v>6173</v>
      </c>
      <c r="T688" s="10" t="s">
        <v>6174</v>
      </c>
      <c r="U688" s="10" t="s">
        <v>6175</v>
      </c>
      <c r="V688" s="3">
        <v>10000</v>
      </c>
      <c r="W688" s="3">
        <v>110017000</v>
      </c>
      <c r="X688" s="3">
        <v>8287000</v>
      </c>
      <c r="Y688" s="3">
        <v>12930000</v>
      </c>
      <c r="Z688" s="3">
        <v>17465000</v>
      </c>
      <c r="AA688" s="3">
        <v>9209000</v>
      </c>
      <c r="AB688" s="3">
        <v>6050000</v>
      </c>
      <c r="AC688" s="3">
        <v>0</v>
      </c>
      <c r="AD688" s="3">
        <v>0</v>
      </c>
      <c r="AE688" s="10" t="s">
        <v>331</v>
      </c>
      <c r="AF688" s="10" t="s">
        <v>6176</v>
      </c>
      <c r="AG688" s="10" t="s">
        <v>319</v>
      </c>
    </row>
    <row r="689" spans="1:33" ht="15.75" x14ac:dyDescent="0.25">
      <c r="A689" s="1">
        <v>1055003008598</v>
      </c>
      <c r="B689" s="6">
        <v>5018100502</v>
      </c>
      <c r="C689" s="7" t="s">
        <v>6177</v>
      </c>
      <c r="D689" s="7" t="s">
        <v>6178</v>
      </c>
      <c r="E689" s="6">
        <v>75275813</v>
      </c>
      <c r="F689" s="6">
        <v>46434000000</v>
      </c>
      <c r="G689" s="6">
        <v>16</v>
      </c>
      <c r="H689" s="6">
        <v>12300</v>
      </c>
      <c r="I689" s="6">
        <v>501801001</v>
      </c>
      <c r="J689" s="7" t="s">
        <v>6179</v>
      </c>
      <c r="K689" s="7"/>
      <c r="L689" s="1" t="s">
        <v>6180</v>
      </c>
      <c r="M689" s="7" t="s">
        <v>6181</v>
      </c>
      <c r="N689" s="7" t="s">
        <v>6182</v>
      </c>
      <c r="O689" s="7" t="s">
        <v>6183</v>
      </c>
      <c r="P689" s="8">
        <v>501808389619</v>
      </c>
      <c r="Q689" s="7" t="s">
        <v>150</v>
      </c>
      <c r="R689" s="7" t="s">
        <v>6184</v>
      </c>
      <c r="S689" s="7" t="s">
        <v>6185</v>
      </c>
      <c r="T689" s="7"/>
      <c r="U689" s="7"/>
      <c r="V689" s="1">
        <v>10000</v>
      </c>
      <c r="W689" s="1">
        <v>61944000</v>
      </c>
      <c r="X689" s="1">
        <v>0</v>
      </c>
      <c r="Y689" s="1">
        <v>0</v>
      </c>
      <c r="Z689" s="1">
        <v>1714000</v>
      </c>
      <c r="AA689" s="1">
        <v>2271000</v>
      </c>
      <c r="AB689" s="1">
        <v>51530000</v>
      </c>
      <c r="AC689" s="1">
        <v>0</v>
      </c>
      <c r="AD689" s="1">
        <v>0</v>
      </c>
      <c r="AE689" s="7" t="s">
        <v>317</v>
      </c>
      <c r="AF689" s="7" t="s">
        <v>421</v>
      </c>
      <c r="AG689" s="7" t="s">
        <v>319</v>
      </c>
    </row>
    <row r="690" spans="1:33" ht="15.75" x14ac:dyDescent="0.25">
      <c r="A690" s="3">
        <v>1055006350398</v>
      </c>
      <c r="B690" s="9">
        <v>5032136733</v>
      </c>
      <c r="C690" s="10" t="s">
        <v>6186</v>
      </c>
      <c r="D690" s="10" t="s">
        <v>6187</v>
      </c>
      <c r="E690" s="9">
        <v>78094968</v>
      </c>
      <c r="F690" s="9">
        <v>46455000000</v>
      </c>
      <c r="G690" s="9">
        <v>16</v>
      </c>
      <c r="H690" s="9">
        <v>12300</v>
      </c>
      <c r="I690" s="9">
        <v>503201001</v>
      </c>
      <c r="J690" s="10" t="s">
        <v>6188</v>
      </c>
      <c r="K690" s="10"/>
      <c r="L690" s="3" t="s">
        <v>851</v>
      </c>
      <c r="M690" s="10" t="s">
        <v>852</v>
      </c>
      <c r="N690" s="10" t="s">
        <v>6189</v>
      </c>
      <c r="O690" s="10" t="s">
        <v>6190</v>
      </c>
      <c r="P690" s="11">
        <v>563806475889</v>
      </c>
      <c r="Q690" s="10" t="s">
        <v>41</v>
      </c>
      <c r="R690" s="10" t="s">
        <v>6191</v>
      </c>
      <c r="S690" s="10" t="s">
        <v>6192</v>
      </c>
      <c r="T690" s="10"/>
      <c r="U690" s="10"/>
      <c r="V690" s="3">
        <v>10000</v>
      </c>
      <c r="W690" s="3">
        <v>62677000</v>
      </c>
      <c r="X690" s="3">
        <v>710000</v>
      </c>
      <c r="Y690" s="3">
        <v>490000</v>
      </c>
      <c r="Z690" s="3">
        <v>15553000</v>
      </c>
      <c r="AA690" s="3">
        <v>10220000</v>
      </c>
      <c r="AB690" s="3">
        <v>1670000</v>
      </c>
      <c r="AC690" s="3">
        <v>2435000</v>
      </c>
      <c r="AD690" s="3">
        <v>3013000</v>
      </c>
      <c r="AE690" s="10" t="s">
        <v>331</v>
      </c>
      <c r="AF690" s="10" t="s">
        <v>6176</v>
      </c>
      <c r="AG690" s="10" t="s">
        <v>319</v>
      </c>
    </row>
    <row r="691" spans="1:33" ht="15.75" x14ac:dyDescent="0.25">
      <c r="A691" s="1">
        <v>1097746070620</v>
      </c>
      <c r="B691" s="6">
        <v>7718753204</v>
      </c>
      <c r="C691" s="7" t="s">
        <v>6193</v>
      </c>
      <c r="D691" s="7" t="s">
        <v>6194</v>
      </c>
      <c r="E691" s="6">
        <v>60412476</v>
      </c>
      <c r="F691" s="6">
        <v>45286560000</v>
      </c>
      <c r="G691" s="6">
        <v>16</v>
      </c>
      <c r="H691" s="6">
        <v>12300</v>
      </c>
      <c r="I691" s="6">
        <v>770501001</v>
      </c>
      <c r="J691" s="7" t="s">
        <v>6195</v>
      </c>
      <c r="K691" s="7"/>
      <c r="L691" s="1" t="s">
        <v>1072</v>
      </c>
      <c r="M691" s="7" t="s">
        <v>1073</v>
      </c>
      <c r="N691" s="7" t="s">
        <v>6196</v>
      </c>
      <c r="O691" s="7" t="s">
        <v>6197</v>
      </c>
      <c r="P691" s="8">
        <v>502901528795</v>
      </c>
      <c r="Q691" s="7" t="s">
        <v>41</v>
      </c>
      <c r="R691" s="7" t="s">
        <v>6198</v>
      </c>
      <c r="S691" s="7" t="s">
        <v>6199</v>
      </c>
      <c r="T691" s="7"/>
      <c r="U691" s="7" t="s">
        <v>6200</v>
      </c>
      <c r="V691" s="1">
        <v>10000</v>
      </c>
      <c r="W691" s="1">
        <v>91225000</v>
      </c>
      <c r="X691" s="1">
        <v>2210000</v>
      </c>
      <c r="Y691" s="1">
        <v>6798000</v>
      </c>
      <c r="Z691" s="1">
        <v>62648000</v>
      </c>
      <c r="AA691" s="1">
        <v>27339000</v>
      </c>
      <c r="AB691" s="1">
        <v>6853000</v>
      </c>
      <c r="AC691" s="1">
        <v>0</v>
      </c>
      <c r="AD691" s="1">
        <v>0</v>
      </c>
      <c r="AE691" s="7" t="s">
        <v>331</v>
      </c>
      <c r="AF691" s="7" t="s">
        <v>821</v>
      </c>
      <c r="AG691" s="7" t="s">
        <v>319</v>
      </c>
    </row>
    <row r="692" spans="1:33" ht="15.75" x14ac:dyDescent="0.25">
      <c r="A692" s="3">
        <v>1025003213510</v>
      </c>
      <c r="B692" s="9">
        <v>5027010781</v>
      </c>
      <c r="C692" s="10" t="s">
        <v>6201</v>
      </c>
      <c r="D692" s="10" t="s">
        <v>6202</v>
      </c>
      <c r="E692" s="9">
        <v>13243589</v>
      </c>
      <c r="F692" s="9">
        <v>46448561000</v>
      </c>
      <c r="G692" s="9">
        <v>16</v>
      </c>
      <c r="H692" s="9">
        <v>12300</v>
      </c>
      <c r="I692" s="9">
        <v>502701001</v>
      </c>
      <c r="J692" s="10" t="s">
        <v>6203</v>
      </c>
      <c r="K692" s="10"/>
      <c r="L692" s="3" t="s">
        <v>6204</v>
      </c>
      <c r="M692" s="10" t="s">
        <v>6205</v>
      </c>
      <c r="N692" s="10" t="s">
        <v>6206</v>
      </c>
      <c r="O692" s="10" t="s">
        <v>6207</v>
      </c>
      <c r="P692" s="11">
        <v>501305190390</v>
      </c>
      <c r="Q692" s="10" t="s">
        <v>150</v>
      </c>
      <c r="R692" s="10" t="s">
        <v>6208</v>
      </c>
      <c r="S692" s="10" t="s">
        <v>6209</v>
      </c>
      <c r="T692" s="10"/>
      <c r="U692" s="10" t="s">
        <v>6210</v>
      </c>
      <c r="V692" s="3">
        <v>10000</v>
      </c>
      <c r="W692" s="3">
        <v>51726000</v>
      </c>
      <c r="X692" s="3">
        <v>13344000</v>
      </c>
      <c r="Y692" s="3">
        <v>25000</v>
      </c>
      <c r="Z692" s="3">
        <v>1683000</v>
      </c>
      <c r="AA692" s="3">
        <v>4120000</v>
      </c>
      <c r="AB692" s="3">
        <v>102000</v>
      </c>
      <c r="AC692" s="3">
        <v>0</v>
      </c>
      <c r="AD692" s="3">
        <v>0</v>
      </c>
      <c r="AE692" s="10" t="s">
        <v>331</v>
      </c>
      <c r="AF692" s="10" t="s">
        <v>1997</v>
      </c>
      <c r="AG692" s="10" t="s">
        <v>319</v>
      </c>
    </row>
    <row r="693" spans="1:33" ht="15.75" x14ac:dyDescent="0.25">
      <c r="A693" s="1">
        <v>1097746135244</v>
      </c>
      <c r="B693" s="6">
        <v>7722681506</v>
      </c>
      <c r="C693" s="7" t="s">
        <v>6211</v>
      </c>
      <c r="D693" s="7" t="s">
        <v>6212</v>
      </c>
      <c r="E693" s="6">
        <v>60490051</v>
      </c>
      <c r="F693" s="6">
        <v>45286565000</v>
      </c>
      <c r="G693" s="6">
        <v>16</v>
      </c>
      <c r="H693" s="6">
        <v>12300</v>
      </c>
      <c r="I693" s="6">
        <v>770801001</v>
      </c>
      <c r="J693" s="7" t="s">
        <v>6213</v>
      </c>
      <c r="K693" s="7"/>
      <c r="L693" s="1" t="s">
        <v>474</v>
      </c>
      <c r="M693" s="7" t="s">
        <v>6214</v>
      </c>
      <c r="N693" s="7" t="s">
        <v>6215</v>
      </c>
      <c r="O693" s="7" t="s">
        <v>6216</v>
      </c>
      <c r="P693" s="8">
        <v>500119368050</v>
      </c>
      <c r="Q693" s="7" t="s">
        <v>150</v>
      </c>
      <c r="R693" s="7" t="s">
        <v>6217</v>
      </c>
      <c r="S693" s="7" t="s">
        <v>6218</v>
      </c>
      <c r="T693" s="7"/>
      <c r="U693" s="7" t="s">
        <v>6219</v>
      </c>
      <c r="V693" s="1">
        <v>10000</v>
      </c>
      <c r="W693" s="1">
        <v>44384000</v>
      </c>
      <c r="X693" s="1">
        <v>0</v>
      </c>
      <c r="Y693" s="1">
        <v>234000</v>
      </c>
      <c r="Z693" s="1">
        <v>9145000</v>
      </c>
      <c r="AA693" s="1">
        <v>406000</v>
      </c>
      <c r="AB693" s="1">
        <v>7636000</v>
      </c>
      <c r="AC693" s="1">
        <v>9070000</v>
      </c>
      <c r="AD693" s="1">
        <v>8498000</v>
      </c>
      <c r="AE693" s="7" t="s">
        <v>317</v>
      </c>
      <c r="AF693" s="7" t="s">
        <v>1023</v>
      </c>
      <c r="AG693" s="7" t="s">
        <v>319</v>
      </c>
    </row>
    <row r="694" spans="1:33" ht="15.75" x14ac:dyDescent="0.25">
      <c r="A694" s="3">
        <v>1097746000351</v>
      </c>
      <c r="B694" s="9">
        <v>7734608638</v>
      </c>
      <c r="C694" s="10" t="s">
        <v>6220</v>
      </c>
      <c r="D694" s="10" t="s">
        <v>6221</v>
      </c>
      <c r="E694" s="9">
        <v>60371180</v>
      </c>
      <c r="F694" s="9">
        <v>46460000000</v>
      </c>
      <c r="G694" s="9">
        <v>16</v>
      </c>
      <c r="H694" s="9">
        <v>12300</v>
      </c>
      <c r="I694" s="9">
        <v>503601001</v>
      </c>
      <c r="J694" s="10" t="s">
        <v>6222</v>
      </c>
      <c r="K694" s="10"/>
      <c r="L694" s="3" t="s">
        <v>1286</v>
      </c>
      <c r="M694" s="10" t="s">
        <v>1287</v>
      </c>
      <c r="N694" s="10" t="s">
        <v>6223</v>
      </c>
      <c r="O694" s="10" t="s">
        <v>6224</v>
      </c>
      <c r="P694" s="11">
        <v>773465357203</v>
      </c>
      <c r="Q694" s="10" t="s">
        <v>41</v>
      </c>
      <c r="R694" s="10" t="s">
        <v>6225</v>
      </c>
      <c r="S694" s="10" t="s">
        <v>6226</v>
      </c>
      <c r="T694" s="10"/>
      <c r="U694" s="10"/>
      <c r="V694" s="3">
        <v>10000</v>
      </c>
      <c r="W694" s="3">
        <v>92761000</v>
      </c>
      <c r="X694" s="3">
        <v>805000</v>
      </c>
      <c r="Y694" s="3">
        <v>140000</v>
      </c>
      <c r="Z694" s="3">
        <v>37669000</v>
      </c>
      <c r="AA694" s="3">
        <v>49452000</v>
      </c>
      <c r="AB694" s="3">
        <v>24095000</v>
      </c>
      <c r="AC694" s="3">
        <v>0</v>
      </c>
      <c r="AD694" s="3">
        <v>0</v>
      </c>
      <c r="AE694" s="10" t="s">
        <v>331</v>
      </c>
      <c r="AF694" s="10" t="s">
        <v>947</v>
      </c>
      <c r="AG694" s="10" t="s">
        <v>319</v>
      </c>
    </row>
    <row r="695" spans="1:33" ht="15.75" x14ac:dyDescent="0.25">
      <c r="A695" s="1">
        <v>1025003219999</v>
      </c>
      <c r="B695" s="6">
        <v>5027002808</v>
      </c>
      <c r="C695" s="7" t="s">
        <v>6227</v>
      </c>
      <c r="D695" s="7" t="s">
        <v>6228</v>
      </c>
      <c r="E695" s="6">
        <v>13270310</v>
      </c>
      <c r="F695" s="6">
        <v>46448000000</v>
      </c>
      <c r="G695" s="6">
        <v>16</v>
      </c>
      <c r="H695" s="6">
        <v>12300</v>
      </c>
      <c r="I695" s="6">
        <v>502701001</v>
      </c>
      <c r="J695" s="7" t="s">
        <v>6229</v>
      </c>
      <c r="K695" s="7"/>
      <c r="L695" s="1" t="s">
        <v>404</v>
      </c>
      <c r="M695" s="7" t="s">
        <v>405</v>
      </c>
      <c r="N695" s="7" t="s">
        <v>6230</v>
      </c>
      <c r="O695" s="7" t="s">
        <v>6231</v>
      </c>
      <c r="P695" s="8">
        <v>502717843509</v>
      </c>
      <c r="Q695" s="7" t="s">
        <v>41</v>
      </c>
      <c r="R695" s="7" t="s">
        <v>6232</v>
      </c>
      <c r="S695" s="7" t="s">
        <v>6233</v>
      </c>
      <c r="T695" s="7"/>
      <c r="U695" s="7" t="s">
        <v>6234</v>
      </c>
      <c r="V695" s="1">
        <v>10000</v>
      </c>
      <c r="W695" s="1">
        <v>82031000</v>
      </c>
      <c r="X695" s="1">
        <v>141523000</v>
      </c>
      <c r="Y695" s="1">
        <v>620000</v>
      </c>
      <c r="Z695" s="1">
        <v>26939000</v>
      </c>
      <c r="AA695" s="1">
        <v>13273000</v>
      </c>
      <c r="AB695" s="1">
        <v>49911000</v>
      </c>
      <c r="AC695" s="1">
        <v>0</v>
      </c>
      <c r="AD695" s="1">
        <v>0</v>
      </c>
      <c r="AE695" s="7" t="s">
        <v>317</v>
      </c>
      <c r="AF695" s="7" t="s">
        <v>493</v>
      </c>
      <c r="AG695" s="7" t="s">
        <v>319</v>
      </c>
    </row>
    <row r="696" spans="1:33" ht="15.75" x14ac:dyDescent="0.25">
      <c r="A696" s="3">
        <v>1097746109163</v>
      </c>
      <c r="B696" s="9">
        <v>7707698992</v>
      </c>
      <c r="C696" s="10" t="s">
        <v>6235</v>
      </c>
      <c r="D696" s="10" t="s">
        <v>6236</v>
      </c>
      <c r="E696" s="9">
        <v>60461150</v>
      </c>
      <c r="F696" s="9">
        <v>45286552000</v>
      </c>
      <c r="G696" s="9">
        <v>16</v>
      </c>
      <c r="H696" s="9">
        <v>12300</v>
      </c>
      <c r="I696" s="9">
        <v>770401001</v>
      </c>
      <c r="J696" s="10" t="s">
        <v>6237</v>
      </c>
      <c r="K696" s="10"/>
      <c r="L696" s="3" t="s">
        <v>6238</v>
      </c>
      <c r="M696" s="10" t="s">
        <v>6239</v>
      </c>
      <c r="N696" s="10" t="s">
        <v>6240</v>
      </c>
      <c r="O696" s="10" t="s">
        <v>6241</v>
      </c>
      <c r="P696" s="11">
        <v>772913840504</v>
      </c>
      <c r="Q696" s="10" t="s">
        <v>41</v>
      </c>
      <c r="R696" s="10" t="s">
        <v>6242</v>
      </c>
      <c r="S696" s="10" t="s">
        <v>6243</v>
      </c>
      <c r="T696" s="10"/>
      <c r="U696" s="10"/>
      <c r="V696" s="3">
        <v>10000</v>
      </c>
      <c r="W696" s="3">
        <v>110830000</v>
      </c>
      <c r="X696" s="3">
        <v>0</v>
      </c>
      <c r="Y696" s="3">
        <v>0</v>
      </c>
      <c r="Z696" s="3">
        <v>20953000</v>
      </c>
      <c r="AA696" s="3">
        <v>29874000</v>
      </c>
      <c r="AB696" s="3">
        <v>-674000</v>
      </c>
      <c r="AC696" s="3">
        <v>0</v>
      </c>
      <c r="AD696" s="3">
        <v>0</v>
      </c>
      <c r="AE696" s="10" t="s">
        <v>317</v>
      </c>
      <c r="AF696" s="10" t="s">
        <v>512</v>
      </c>
      <c r="AG696" s="10" t="s">
        <v>319</v>
      </c>
    </row>
    <row r="697" spans="1:33" ht="15.75" x14ac:dyDescent="0.25">
      <c r="A697" s="1">
        <v>1097746068331</v>
      </c>
      <c r="B697" s="6">
        <v>7722679320</v>
      </c>
      <c r="C697" s="7" t="s">
        <v>6244</v>
      </c>
      <c r="D697" s="7" t="s">
        <v>6245</v>
      </c>
      <c r="E697" s="6">
        <v>60390869</v>
      </c>
      <c r="F697" s="6">
        <v>45290564000</v>
      </c>
      <c r="G697" s="6">
        <v>16</v>
      </c>
      <c r="H697" s="6">
        <v>12300</v>
      </c>
      <c r="I697" s="6">
        <v>772201001</v>
      </c>
      <c r="J697" s="7" t="s">
        <v>6246</v>
      </c>
      <c r="K697" s="7"/>
      <c r="L697" s="1" t="s">
        <v>1072</v>
      </c>
      <c r="M697" s="7" t="s">
        <v>1073</v>
      </c>
      <c r="N697" s="7" t="s">
        <v>6247</v>
      </c>
      <c r="O697" s="7" t="s">
        <v>6248</v>
      </c>
      <c r="P697" s="8">
        <v>770503983600</v>
      </c>
      <c r="Q697" s="7" t="s">
        <v>41</v>
      </c>
      <c r="R697" s="7" t="s">
        <v>6249</v>
      </c>
      <c r="S697" s="7" t="s">
        <v>6250</v>
      </c>
      <c r="T697" s="7"/>
      <c r="U697" s="7" t="s">
        <v>6251</v>
      </c>
      <c r="V697" s="1">
        <v>10000</v>
      </c>
      <c r="W697" s="1">
        <v>61707000</v>
      </c>
      <c r="X697" s="1">
        <v>247000</v>
      </c>
      <c r="Y697" s="1">
        <v>103000</v>
      </c>
      <c r="Z697" s="1">
        <v>19630000</v>
      </c>
      <c r="AA697" s="1">
        <v>8646000</v>
      </c>
      <c r="AB697" s="1">
        <v>16021000</v>
      </c>
      <c r="AC697" s="1">
        <v>0</v>
      </c>
      <c r="AD697" s="1">
        <v>0</v>
      </c>
      <c r="AE697" s="7" t="s">
        <v>317</v>
      </c>
      <c r="AF697" s="7" t="s">
        <v>740</v>
      </c>
      <c r="AG697" s="7" t="s">
        <v>319</v>
      </c>
    </row>
    <row r="698" spans="1:33" ht="15.75" x14ac:dyDescent="0.25">
      <c r="A698" s="3">
        <v>1025003208196</v>
      </c>
      <c r="B698" s="9">
        <v>5027075228</v>
      </c>
      <c r="C698" s="10" t="s">
        <v>6252</v>
      </c>
      <c r="D698" s="10" t="s">
        <v>6253</v>
      </c>
      <c r="E698" s="9">
        <v>42296842</v>
      </c>
      <c r="F698" s="9">
        <v>46448000000</v>
      </c>
      <c r="G698" s="9">
        <v>16</v>
      </c>
      <c r="H698" s="9">
        <v>12300</v>
      </c>
      <c r="I698" s="9">
        <v>502701001</v>
      </c>
      <c r="J698" s="10" t="s">
        <v>6254</v>
      </c>
      <c r="K698" s="10"/>
      <c r="L698" s="3" t="s">
        <v>6255</v>
      </c>
      <c r="M698" s="10" t="s">
        <v>6256</v>
      </c>
      <c r="N698" s="10" t="s">
        <v>6257</v>
      </c>
      <c r="O698" s="10" t="s">
        <v>6258</v>
      </c>
      <c r="P698" s="11">
        <v>504016092640</v>
      </c>
      <c r="Q698" s="10" t="s">
        <v>41</v>
      </c>
      <c r="R698" s="10" t="s">
        <v>6259</v>
      </c>
      <c r="S698" s="10" t="s">
        <v>6260</v>
      </c>
      <c r="T698" s="10"/>
      <c r="U698" s="10" t="s">
        <v>6261</v>
      </c>
      <c r="V698" s="3">
        <v>10000</v>
      </c>
      <c r="W698" s="3">
        <v>56108000</v>
      </c>
      <c r="X698" s="3">
        <v>0</v>
      </c>
      <c r="Y698" s="3">
        <v>2120000</v>
      </c>
      <c r="Z698" s="3">
        <v>21506000</v>
      </c>
      <c r="AA698" s="3">
        <v>89193000</v>
      </c>
      <c r="AB698" s="3">
        <v>-13739000</v>
      </c>
      <c r="AC698" s="3">
        <v>0</v>
      </c>
      <c r="AD698" s="3">
        <v>0</v>
      </c>
      <c r="AE698" s="10" t="s">
        <v>317</v>
      </c>
      <c r="AF698" s="10" t="s">
        <v>545</v>
      </c>
      <c r="AG698" s="10" t="s">
        <v>319</v>
      </c>
    </row>
    <row r="699" spans="1:33" ht="15.75" x14ac:dyDescent="0.25">
      <c r="A699" s="1">
        <v>1025002593890</v>
      </c>
      <c r="B699" s="6">
        <v>5020002319</v>
      </c>
      <c r="C699" s="7" t="s">
        <v>6262</v>
      </c>
      <c r="D699" s="7" t="s">
        <v>6263</v>
      </c>
      <c r="E699" s="6">
        <v>31881968</v>
      </c>
      <c r="F699" s="6">
        <v>46437000000</v>
      </c>
      <c r="G699" s="6">
        <v>16</v>
      </c>
      <c r="H699" s="6">
        <v>12300</v>
      </c>
      <c r="I699" s="6">
        <v>502001001</v>
      </c>
      <c r="J699" s="7" t="s">
        <v>6264</v>
      </c>
      <c r="K699" s="7"/>
      <c r="L699" s="1" t="s">
        <v>5626</v>
      </c>
      <c r="M699" s="7" t="s">
        <v>5627</v>
      </c>
      <c r="N699" s="7" t="s">
        <v>1683</v>
      </c>
      <c r="O699" s="7" t="s">
        <v>6265</v>
      </c>
      <c r="P699" s="8">
        <v>502004293740</v>
      </c>
      <c r="Q699" s="7" t="s">
        <v>41</v>
      </c>
      <c r="R699" s="7" t="s">
        <v>6266</v>
      </c>
      <c r="S699" s="7" t="s">
        <v>6267</v>
      </c>
      <c r="T699" s="7"/>
      <c r="U699" s="7"/>
      <c r="V699" s="1">
        <v>10000</v>
      </c>
      <c r="W699" s="1">
        <v>91260000</v>
      </c>
      <c r="X699" s="1">
        <v>520000</v>
      </c>
      <c r="Y699" s="1">
        <v>425000</v>
      </c>
      <c r="Z699" s="1">
        <v>6885000</v>
      </c>
      <c r="AA699" s="1">
        <v>4667000</v>
      </c>
      <c r="AB699" s="1">
        <v>9885000</v>
      </c>
      <c r="AC699" s="1">
        <v>0</v>
      </c>
      <c r="AD699" s="1">
        <v>0</v>
      </c>
      <c r="AE699" s="7" t="s">
        <v>331</v>
      </c>
      <c r="AF699" s="7" t="s">
        <v>35</v>
      </c>
      <c r="AG699" s="7" t="s">
        <v>319</v>
      </c>
    </row>
    <row r="700" spans="1:33" ht="15.75" x14ac:dyDescent="0.25">
      <c r="A700" s="3">
        <v>1025002876348</v>
      </c>
      <c r="B700" s="9">
        <v>5024055390</v>
      </c>
      <c r="C700" s="10" t="s">
        <v>6268</v>
      </c>
      <c r="D700" s="10" t="s">
        <v>6269</v>
      </c>
      <c r="E700" s="9">
        <v>13300459</v>
      </c>
      <c r="F700" s="9">
        <v>46439000000</v>
      </c>
      <c r="G700" s="9">
        <v>16</v>
      </c>
      <c r="H700" s="9">
        <v>12300</v>
      </c>
      <c r="I700" s="9">
        <v>502401001</v>
      </c>
      <c r="J700" s="10" t="s">
        <v>6270</v>
      </c>
      <c r="K700" s="10"/>
      <c r="L700" s="3" t="s">
        <v>6271</v>
      </c>
      <c r="M700" s="10" t="s">
        <v>6272</v>
      </c>
      <c r="N700" s="10" t="s">
        <v>6273</v>
      </c>
      <c r="O700" s="10" t="s">
        <v>6274</v>
      </c>
      <c r="P700" s="11">
        <v>500800415488</v>
      </c>
      <c r="Q700" s="10" t="s">
        <v>41</v>
      </c>
      <c r="R700" s="10" t="s">
        <v>6275</v>
      </c>
      <c r="S700" s="10" t="s">
        <v>6276</v>
      </c>
      <c r="T700" s="10"/>
      <c r="U700" s="10"/>
      <c r="V700" s="3">
        <v>10000</v>
      </c>
      <c r="W700" s="3">
        <v>66715000</v>
      </c>
      <c r="X700" s="3">
        <v>88000</v>
      </c>
      <c r="Y700" s="3">
        <v>42990000</v>
      </c>
      <c r="Z700" s="3">
        <v>52578000</v>
      </c>
      <c r="AA700" s="3">
        <v>161272000</v>
      </c>
      <c r="AB700" s="3">
        <v>-3337000</v>
      </c>
      <c r="AC700" s="3">
        <v>0</v>
      </c>
      <c r="AD700" s="3">
        <v>0</v>
      </c>
      <c r="AE700" s="10" t="s">
        <v>317</v>
      </c>
      <c r="AF700" s="10" t="s">
        <v>740</v>
      </c>
      <c r="AG700" s="10" t="s">
        <v>319</v>
      </c>
    </row>
    <row r="701" spans="1:33" ht="15.75" x14ac:dyDescent="0.25">
      <c r="A701" s="1">
        <v>1097746092091</v>
      </c>
      <c r="B701" s="6">
        <v>7715748799</v>
      </c>
      <c r="C701" s="7" t="s">
        <v>6277</v>
      </c>
      <c r="D701" s="7" t="s">
        <v>6278</v>
      </c>
      <c r="E701" s="6">
        <v>60453206</v>
      </c>
      <c r="F701" s="6">
        <v>45280567000</v>
      </c>
      <c r="G701" s="6">
        <v>16</v>
      </c>
      <c r="H701" s="6">
        <v>12300</v>
      </c>
      <c r="I701" s="6">
        <v>771501001</v>
      </c>
      <c r="J701" s="7" t="s">
        <v>6279</v>
      </c>
      <c r="K701" s="7"/>
      <c r="L701" s="1" t="s">
        <v>6280</v>
      </c>
      <c r="M701" s="7" t="s">
        <v>6281</v>
      </c>
      <c r="N701" s="7" t="s">
        <v>6282</v>
      </c>
      <c r="O701" s="7" t="s">
        <v>6283</v>
      </c>
      <c r="P701" s="8">
        <v>772142178727</v>
      </c>
      <c r="Q701" s="7" t="s">
        <v>340</v>
      </c>
      <c r="R701" s="7" t="s">
        <v>6284</v>
      </c>
      <c r="S701" s="7" t="s">
        <v>6285</v>
      </c>
      <c r="T701" s="7"/>
      <c r="U701" s="7" t="s">
        <v>6286</v>
      </c>
      <c r="V701" s="1">
        <v>10000</v>
      </c>
      <c r="W701" s="1">
        <v>52498000</v>
      </c>
      <c r="X701" s="1">
        <v>2860000</v>
      </c>
      <c r="Y701" s="1">
        <v>224000</v>
      </c>
      <c r="Z701" s="1">
        <v>19079000</v>
      </c>
      <c r="AA701" s="1">
        <v>14770000</v>
      </c>
      <c r="AB701" s="1">
        <v>-1248000</v>
      </c>
      <c r="AC701" s="1">
        <v>678000</v>
      </c>
      <c r="AD701" s="1">
        <v>839000</v>
      </c>
      <c r="AE701" s="7" t="s">
        <v>317</v>
      </c>
      <c r="AF701" s="7" t="s">
        <v>318</v>
      </c>
      <c r="AG701" s="7" t="s">
        <v>319</v>
      </c>
    </row>
    <row r="702" spans="1:33" ht="15.75" x14ac:dyDescent="0.25">
      <c r="A702" s="3">
        <v>1025001817400</v>
      </c>
      <c r="B702" s="9">
        <v>5017046411</v>
      </c>
      <c r="C702" s="10" t="s">
        <v>6287</v>
      </c>
      <c r="D702" s="10" t="s">
        <v>6288</v>
      </c>
      <c r="E702" s="9">
        <v>58256520</v>
      </c>
      <c r="F702" s="9">
        <v>46433000271</v>
      </c>
      <c r="G702" s="9">
        <v>16</v>
      </c>
      <c r="H702" s="9">
        <v>12300</v>
      </c>
      <c r="I702" s="9">
        <v>501701001</v>
      </c>
      <c r="J702" s="10" t="s">
        <v>6289</v>
      </c>
      <c r="K702" s="10"/>
      <c r="L702" s="3" t="s">
        <v>6290</v>
      </c>
      <c r="M702" s="10" t="s">
        <v>6291</v>
      </c>
      <c r="N702" s="10" t="s">
        <v>6292</v>
      </c>
      <c r="O702" s="10" t="s">
        <v>6293</v>
      </c>
      <c r="P702" s="11">
        <v>770104592884</v>
      </c>
      <c r="Q702" s="10" t="s">
        <v>150</v>
      </c>
      <c r="R702" s="10" t="s">
        <v>6294</v>
      </c>
      <c r="S702" s="10" t="s">
        <v>6295</v>
      </c>
      <c r="T702" s="10" t="s">
        <v>6296</v>
      </c>
      <c r="U702" s="10" t="s">
        <v>6297</v>
      </c>
      <c r="V702" s="3">
        <v>10000</v>
      </c>
      <c r="W702" s="3">
        <v>59478000</v>
      </c>
      <c r="X702" s="3">
        <v>33459000</v>
      </c>
      <c r="Y702" s="3">
        <v>20684000</v>
      </c>
      <c r="Z702" s="3">
        <v>13808000</v>
      </c>
      <c r="AA702" s="3">
        <v>32987000</v>
      </c>
      <c r="AB702" s="3">
        <v>1952000</v>
      </c>
      <c r="AC702" s="3">
        <v>0</v>
      </c>
      <c r="AD702" s="3">
        <v>0</v>
      </c>
      <c r="AE702" s="10" t="s">
        <v>331</v>
      </c>
      <c r="AF702" s="10" t="s">
        <v>120</v>
      </c>
      <c r="AG702" s="10" t="s">
        <v>319</v>
      </c>
    </row>
    <row r="703" spans="1:33" ht="15.75" x14ac:dyDescent="0.25">
      <c r="A703" s="1">
        <v>1097746058156</v>
      </c>
      <c r="B703" s="6">
        <v>7743733836</v>
      </c>
      <c r="C703" s="7" t="s">
        <v>6298</v>
      </c>
      <c r="D703" s="7" t="s">
        <v>6299</v>
      </c>
      <c r="E703" s="6">
        <v>60389932</v>
      </c>
      <c r="F703" s="6">
        <v>45277589000</v>
      </c>
      <c r="G703" s="6">
        <v>16</v>
      </c>
      <c r="H703" s="6">
        <v>12300</v>
      </c>
      <c r="I703" s="6">
        <v>774301001</v>
      </c>
      <c r="J703" s="7" t="s">
        <v>6300</v>
      </c>
      <c r="K703" s="7"/>
      <c r="L703" s="1" t="s">
        <v>1800</v>
      </c>
      <c r="M703" s="7" t="s">
        <v>1801</v>
      </c>
      <c r="N703" s="7" t="s">
        <v>6301</v>
      </c>
      <c r="O703" s="7" t="s">
        <v>6302</v>
      </c>
      <c r="P703" s="8">
        <v>773316772490</v>
      </c>
      <c r="Q703" s="7" t="s">
        <v>41</v>
      </c>
      <c r="R703" s="7" t="s">
        <v>6303</v>
      </c>
      <c r="S703" s="7" t="s">
        <v>6304</v>
      </c>
      <c r="T703" s="7"/>
      <c r="U703" s="7" t="s">
        <v>6305</v>
      </c>
      <c r="V703" s="1">
        <v>10000</v>
      </c>
      <c r="W703" s="1">
        <v>58030000</v>
      </c>
      <c r="X703" s="1">
        <v>0</v>
      </c>
      <c r="Y703" s="1">
        <v>11495000</v>
      </c>
      <c r="Z703" s="1">
        <v>8723000</v>
      </c>
      <c r="AA703" s="1">
        <v>8663000</v>
      </c>
      <c r="AB703" s="1">
        <v>1865000</v>
      </c>
      <c r="AC703" s="1">
        <v>0</v>
      </c>
      <c r="AD703" s="1">
        <v>0</v>
      </c>
      <c r="AE703" s="7" t="s">
        <v>317</v>
      </c>
      <c r="AF703" s="7" t="s">
        <v>352</v>
      </c>
      <c r="AG703" s="7" t="s">
        <v>319</v>
      </c>
    </row>
    <row r="704" spans="1:33" ht="15.75" x14ac:dyDescent="0.25">
      <c r="A704" s="3">
        <v>1025003519530</v>
      </c>
      <c r="B704" s="9">
        <v>5029022292</v>
      </c>
      <c r="C704" s="10" t="s">
        <v>6306</v>
      </c>
      <c r="D704" s="10" t="s">
        <v>6307</v>
      </c>
      <c r="E704" s="9">
        <v>11704767</v>
      </c>
      <c r="F704" s="9">
        <v>46446000000</v>
      </c>
      <c r="G704" s="9">
        <v>16</v>
      </c>
      <c r="H704" s="9">
        <v>12300</v>
      </c>
      <c r="I704" s="9">
        <v>502901001</v>
      </c>
      <c r="J704" s="10" t="s">
        <v>5733</v>
      </c>
      <c r="K704" s="10"/>
      <c r="L704" s="3" t="s">
        <v>1800</v>
      </c>
      <c r="M704" s="10" t="s">
        <v>1801</v>
      </c>
      <c r="N704" s="10" t="s">
        <v>6308</v>
      </c>
      <c r="O704" s="10" t="s">
        <v>6309</v>
      </c>
      <c r="P704" s="11">
        <v>502900316340</v>
      </c>
      <c r="Q704" s="10" t="s">
        <v>41</v>
      </c>
      <c r="R704" s="10" t="s">
        <v>6310</v>
      </c>
      <c r="S704" s="10" t="s">
        <v>6311</v>
      </c>
      <c r="T704" s="10" t="s">
        <v>6312</v>
      </c>
      <c r="U704" s="10"/>
      <c r="V704" s="3">
        <v>10000</v>
      </c>
      <c r="W704" s="3">
        <v>34902000</v>
      </c>
      <c r="X704" s="3">
        <v>7977000</v>
      </c>
      <c r="Y704" s="3">
        <v>2740000</v>
      </c>
      <c r="Z704" s="3">
        <v>3037000</v>
      </c>
      <c r="AA704" s="3">
        <v>4994000</v>
      </c>
      <c r="AB704" s="3">
        <v>2636000</v>
      </c>
      <c r="AC704" s="3">
        <v>0</v>
      </c>
      <c r="AD704" s="3">
        <v>0</v>
      </c>
      <c r="AE704" s="10" t="s">
        <v>317</v>
      </c>
      <c r="AF704" s="10" t="s">
        <v>512</v>
      </c>
      <c r="AG704" s="10" t="s">
        <v>319</v>
      </c>
    </row>
    <row r="705" spans="1:33" ht="15.75" x14ac:dyDescent="0.25">
      <c r="A705" s="1">
        <v>1077746292920</v>
      </c>
      <c r="B705" s="6">
        <v>7725595968</v>
      </c>
      <c r="C705" s="7" t="s">
        <v>6313</v>
      </c>
      <c r="D705" s="7" t="s">
        <v>6314</v>
      </c>
      <c r="E705" s="6">
        <v>99063810</v>
      </c>
      <c r="F705" s="6">
        <v>45296593000</v>
      </c>
      <c r="G705" s="6">
        <v>16</v>
      </c>
      <c r="H705" s="6">
        <v>12300</v>
      </c>
      <c r="I705" s="6">
        <v>772601001</v>
      </c>
      <c r="J705" s="7" t="s">
        <v>591</v>
      </c>
      <c r="K705" s="7"/>
      <c r="L705" s="1" t="s">
        <v>5757</v>
      </c>
      <c r="M705" s="7" t="s">
        <v>1801</v>
      </c>
      <c r="N705" s="7" t="s">
        <v>6315</v>
      </c>
      <c r="O705" s="7" t="s">
        <v>6316</v>
      </c>
      <c r="P705" s="8">
        <v>772677793601</v>
      </c>
      <c r="Q705" s="7" t="s">
        <v>150</v>
      </c>
      <c r="R705" s="7" t="s">
        <v>608</v>
      </c>
      <c r="S705" s="7" t="s">
        <v>6317</v>
      </c>
      <c r="T705" s="7"/>
      <c r="U705" s="7"/>
      <c r="V705" s="1">
        <v>10000</v>
      </c>
      <c r="W705" s="1">
        <v>68279000</v>
      </c>
      <c r="X705" s="1">
        <v>276000</v>
      </c>
      <c r="Y705" s="1">
        <v>777000</v>
      </c>
      <c r="Z705" s="1">
        <v>2039000</v>
      </c>
      <c r="AA705" s="1">
        <v>5936000</v>
      </c>
      <c r="AB705" s="1">
        <v>3156000</v>
      </c>
      <c r="AC705" s="1">
        <v>0</v>
      </c>
      <c r="AD705" s="1">
        <v>0</v>
      </c>
      <c r="AE705" s="7" t="s">
        <v>317</v>
      </c>
      <c r="AF705" s="7" t="s">
        <v>740</v>
      </c>
      <c r="AG705" s="7" t="s">
        <v>319</v>
      </c>
    </row>
    <row r="706" spans="1:33" ht="15.75" x14ac:dyDescent="0.25">
      <c r="A706" s="3">
        <v>1097746191465</v>
      </c>
      <c r="B706" s="9">
        <v>7725666898</v>
      </c>
      <c r="C706" s="10" t="s">
        <v>6318</v>
      </c>
      <c r="D706" s="10" t="s">
        <v>6319</v>
      </c>
      <c r="E706" s="9">
        <v>60517324</v>
      </c>
      <c r="F706" s="9">
        <v>45296561000</v>
      </c>
      <c r="G706" s="9">
        <v>16</v>
      </c>
      <c r="H706" s="9">
        <v>12300</v>
      </c>
      <c r="I706" s="9">
        <v>772501001</v>
      </c>
      <c r="J706" s="10" t="s">
        <v>5983</v>
      </c>
      <c r="K706" s="10"/>
      <c r="L706" s="3" t="s">
        <v>6320</v>
      </c>
      <c r="M706" s="10" t="s">
        <v>6321</v>
      </c>
      <c r="N706" s="10" t="s">
        <v>6322</v>
      </c>
      <c r="O706" s="10" t="s">
        <v>6323</v>
      </c>
      <c r="P706" s="11">
        <v>773111444829</v>
      </c>
      <c r="Q706" s="10" t="s">
        <v>150</v>
      </c>
      <c r="R706" s="10" t="s">
        <v>6324</v>
      </c>
      <c r="S706" s="10" t="s">
        <v>6325</v>
      </c>
      <c r="T706" s="10"/>
      <c r="U706" s="10" t="s">
        <v>6326</v>
      </c>
      <c r="V706" s="3">
        <v>10000</v>
      </c>
      <c r="W706" s="3">
        <v>31281000</v>
      </c>
      <c r="X706" s="3">
        <v>2671000</v>
      </c>
      <c r="Y706" s="3">
        <v>443000</v>
      </c>
      <c r="Z706" s="3">
        <v>5563000</v>
      </c>
      <c r="AA706" s="3">
        <v>1202000</v>
      </c>
      <c r="AB706" s="3">
        <v>1323000</v>
      </c>
      <c r="AC706" s="3">
        <v>0</v>
      </c>
      <c r="AD706" s="3">
        <v>0</v>
      </c>
      <c r="AE706" s="10" t="s">
        <v>317</v>
      </c>
      <c r="AF706" s="10" t="s">
        <v>352</v>
      </c>
      <c r="AG706" s="10" t="s">
        <v>319</v>
      </c>
    </row>
    <row r="707" spans="1:33" ht="15.75" x14ac:dyDescent="0.25">
      <c r="A707" s="1">
        <v>1097746062754</v>
      </c>
      <c r="B707" s="6">
        <v>7728692800</v>
      </c>
      <c r="C707" s="7" t="s">
        <v>6327</v>
      </c>
      <c r="D707" s="7" t="s">
        <v>6328</v>
      </c>
      <c r="E707" s="6">
        <v>60411005</v>
      </c>
      <c r="F707" s="6">
        <v>45283577000</v>
      </c>
      <c r="G707" s="6">
        <v>16</v>
      </c>
      <c r="H707" s="6">
        <v>12300</v>
      </c>
      <c r="I707" s="6">
        <v>773401001</v>
      </c>
      <c r="J707" s="7" t="s">
        <v>6329</v>
      </c>
      <c r="K707" s="7"/>
      <c r="L707" s="1" t="s">
        <v>565</v>
      </c>
      <c r="M707" s="7" t="s">
        <v>680</v>
      </c>
      <c r="N707" s="7" t="s">
        <v>6330</v>
      </c>
      <c r="O707" s="7" t="s">
        <v>6331</v>
      </c>
      <c r="P707" s="8">
        <v>301611881200</v>
      </c>
      <c r="Q707" s="7" t="s">
        <v>41</v>
      </c>
      <c r="R707" s="7" t="s">
        <v>6332</v>
      </c>
      <c r="S707" s="7" t="s">
        <v>6333</v>
      </c>
      <c r="T707" s="7"/>
      <c r="U707" s="7" t="s">
        <v>6334</v>
      </c>
      <c r="V707" s="1">
        <v>10000</v>
      </c>
      <c r="W707" s="1">
        <v>33559000</v>
      </c>
      <c r="X707" s="1">
        <v>911000</v>
      </c>
      <c r="Y707" s="1">
        <v>0</v>
      </c>
      <c r="Z707" s="1">
        <v>36508000</v>
      </c>
      <c r="AA707" s="1">
        <v>910000</v>
      </c>
      <c r="AB707" s="1">
        <v>13149000</v>
      </c>
      <c r="AC707" s="1">
        <v>0</v>
      </c>
      <c r="AD707" s="1">
        <v>0</v>
      </c>
      <c r="AE707" s="7" t="s">
        <v>317</v>
      </c>
      <c r="AF707" s="7" t="s">
        <v>307</v>
      </c>
      <c r="AG707" s="7" t="s">
        <v>319</v>
      </c>
    </row>
    <row r="708" spans="1:33" ht="15.75" x14ac:dyDescent="0.25">
      <c r="A708" s="3">
        <v>1025003913604</v>
      </c>
      <c r="B708" s="9">
        <v>5031011499</v>
      </c>
      <c r="C708" s="10" t="s">
        <v>6335</v>
      </c>
      <c r="D708" s="10" t="s">
        <v>6336</v>
      </c>
      <c r="E708" s="9">
        <v>33044066</v>
      </c>
      <c r="F708" s="9">
        <v>46451000000</v>
      </c>
      <c r="G708" s="9">
        <v>16</v>
      </c>
      <c r="H708" s="9">
        <v>12300</v>
      </c>
      <c r="I708" s="9">
        <v>503101001</v>
      </c>
      <c r="J708" s="10" t="s">
        <v>6337</v>
      </c>
      <c r="K708" s="10"/>
      <c r="L708" s="3" t="s">
        <v>5774</v>
      </c>
      <c r="M708" s="10" t="s">
        <v>5775</v>
      </c>
      <c r="N708" s="10" t="s">
        <v>6338</v>
      </c>
      <c r="O708" s="10" t="s">
        <v>6339</v>
      </c>
      <c r="P708" s="11">
        <v>503101733010</v>
      </c>
      <c r="Q708" s="10" t="s">
        <v>41</v>
      </c>
      <c r="R708" s="10" t="s">
        <v>6340</v>
      </c>
      <c r="S708" s="10" t="s">
        <v>6341</v>
      </c>
      <c r="T708" s="10"/>
      <c r="U708" s="10"/>
      <c r="V708" s="3">
        <v>10000</v>
      </c>
      <c r="W708" s="3">
        <v>52400000</v>
      </c>
      <c r="X708" s="3">
        <v>2437000</v>
      </c>
      <c r="Y708" s="3">
        <v>4198000</v>
      </c>
      <c r="Z708" s="3">
        <v>5704000</v>
      </c>
      <c r="AA708" s="3">
        <v>3846000</v>
      </c>
      <c r="AB708" s="3">
        <v>5939000</v>
      </c>
      <c r="AC708" s="3">
        <v>0</v>
      </c>
      <c r="AD708" s="3">
        <v>0</v>
      </c>
      <c r="AE708" s="10" t="s">
        <v>331</v>
      </c>
      <c r="AF708" s="10" t="s">
        <v>1896</v>
      </c>
      <c r="AG708" s="10" t="s">
        <v>319</v>
      </c>
    </row>
    <row r="709" spans="1:33" ht="15.75" x14ac:dyDescent="0.25">
      <c r="A709" s="1">
        <v>1035009157028</v>
      </c>
      <c r="B709" s="6">
        <v>5045030332</v>
      </c>
      <c r="C709" s="7" t="s">
        <v>6342</v>
      </c>
      <c r="D709" s="7" t="s">
        <v>6343</v>
      </c>
      <c r="E709" s="6">
        <v>13397246</v>
      </c>
      <c r="F709" s="6">
        <v>46476000000</v>
      </c>
      <c r="G709" s="6">
        <v>16</v>
      </c>
      <c r="H709" s="6">
        <v>12300</v>
      </c>
      <c r="I709" s="6">
        <v>504501001</v>
      </c>
      <c r="J709" s="7" t="s">
        <v>6344</v>
      </c>
      <c r="K709" s="7"/>
      <c r="L709" s="1" t="s">
        <v>6345</v>
      </c>
      <c r="M709" s="7" t="s">
        <v>6346</v>
      </c>
      <c r="N709" s="7" t="s">
        <v>6347</v>
      </c>
      <c r="O709" s="7" t="s">
        <v>6348</v>
      </c>
      <c r="P709" s="8">
        <v>504507065670</v>
      </c>
      <c r="Q709" s="7" t="s">
        <v>150</v>
      </c>
      <c r="R709" s="7" t="s">
        <v>6349</v>
      </c>
      <c r="S709" s="7" t="s">
        <v>6350</v>
      </c>
      <c r="T709" s="7"/>
      <c r="U709" s="7"/>
      <c r="V709" s="1">
        <v>10000</v>
      </c>
      <c r="W709" s="1">
        <v>37563000</v>
      </c>
      <c r="X709" s="1">
        <v>1090000</v>
      </c>
      <c r="Y709" s="1">
        <v>18149000</v>
      </c>
      <c r="Z709" s="1">
        <v>18305000</v>
      </c>
      <c r="AA709" s="1">
        <v>7205000</v>
      </c>
      <c r="AB709" s="1">
        <v>-13430000</v>
      </c>
      <c r="AC709" s="1">
        <v>0</v>
      </c>
      <c r="AD709" s="1">
        <v>0</v>
      </c>
      <c r="AE709" s="7" t="s">
        <v>317</v>
      </c>
      <c r="AF709" s="7" t="s">
        <v>530</v>
      </c>
      <c r="AG709" s="7" t="s">
        <v>319</v>
      </c>
    </row>
    <row r="710" spans="1:33" ht="15.75" x14ac:dyDescent="0.25">
      <c r="A710" s="3">
        <v>1097746041293</v>
      </c>
      <c r="B710" s="9">
        <v>7717645894</v>
      </c>
      <c r="C710" s="10" t="s">
        <v>6351</v>
      </c>
      <c r="D710" s="10" t="s">
        <v>6352</v>
      </c>
      <c r="E710" s="9">
        <v>60385489</v>
      </c>
      <c r="F710" s="9">
        <v>45280552000</v>
      </c>
      <c r="G710" s="9">
        <v>16</v>
      </c>
      <c r="H710" s="9">
        <v>12300</v>
      </c>
      <c r="I710" s="9">
        <v>771701001</v>
      </c>
      <c r="J710" s="10" t="s">
        <v>5862</v>
      </c>
      <c r="K710" s="10"/>
      <c r="L710" s="3" t="s">
        <v>288</v>
      </c>
      <c r="M710" s="10" t="s">
        <v>289</v>
      </c>
      <c r="N710" s="10" t="s">
        <v>6353</v>
      </c>
      <c r="O710" s="10" t="s">
        <v>6354</v>
      </c>
      <c r="P710" s="11">
        <v>501703377334</v>
      </c>
      <c r="Q710" s="10" t="s">
        <v>41</v>
      </c>
      <c r="R710" s="10" t="s">
        <v>6355</v>
      </c>
      <c r="S710" s="10" t="s">
        <v>6356</v>
      </c>
      <c r="T710" s="10"/>
      <c r="U710" s="10" t="s">
        <v>6357</v>
      </c>
      <c r="V710" s="3">
        <v>10000</v>
      </c>
      <c r="W710" s="3">
        <v>47241000</v>
      </c>
      <c r="X710" s="3">
        <v>2235000</v>
      </c>
      <c r="Y710" s="3">
        <v>2209000</v>
      </c>
      <c r="Z710" s="3">
        <v>34768000</v>
      </c>
      <c r="AA710" s="3">
        <v>22609000</v>
      </c>
      <c r="AB710" s="3">
        <v>7404000</v>
      </c>
      <c r="AC710" s="3">
        <v>0</v>
      </c>
      <c r="AD710" s="3">
        <v>0</v>
      </c>
      <c r="AE710" s="10" t="s">
        <v>331</v>
      </c>
      <c r="AF710" s="10" t="s">
        <v>878</v>
      </c>
      <c r="AG710" s="10" t="s">
        <v>319</v>
      </c>
    </row>
    <row r="711" spans="1:33" ht="15.75" x14ac:dyDescent="0.25">
      <c r="A711" s="1">
        <v>1025003210605</v>
      </c>
      <c r="B711" s="6">
        <v>5027072259</v>
      </c>
      <c r="C711" s="7" t="s">
        <v>6358</v>
      </c>
      <c r="D711" s="7" t="s">
        <v>6359</v>
      </c>
      <c r="E711" s="6">
        <v>50199900</v>
      </c>
      <c r="F711" s="6">
        <v>46448000000</v>
      </c>
      <c r="G711" s="6">
        <v>16</v>
      </c>
      <c r="H711" s="6">
        <v>12300</v>
      </c>
      <c r="I711" s="6">
        <v>502701001</v>
      </c>
      <c r="J711" s="7" t="s">
        <v>6360</v>
      </c>
      <c r="K711" s="7"/>
      <c r="L711" s="1" t="s">
        <v>5774</v>
      </c>
      <c r="M711" s="7" t="s">
        <v>5775</v>
      </c>
      <c r="N711" s="7" t="s">
        <v>6361</v>
      </c>
      <c r="O711" s="7" t="s">
        <v>6362</v>
      </c>
      <c r="P711" s="8">
        <v>772800364389</v>
      </c>
      <c r="Q711" s="7" t="s">
        <v>41</v>
      </c>
      <c r="R711" s="7" t="s">
        <v>6363</v>
      </c>
      <c r="S711" s="7" t="s">
        <v>6364</v>
      </c>
      <c r="T711" s="7"/>
      <c r="U711" s="7" t="s">
        <v>6365</v>
      </c>
      <c r="V711" s="1">
        <v>10000</v>
      </c>
      <c r="W711" s="1">
        <v>31001000</v>
      </c>
      <c r="X711" s="1">
        <v>7665000</v>
      </c>
      <c r="Y711" s="1">
        <v>0</v>
      </c>
      <c r="Z711" s="1">
        <v>31286000</v>
      </c>
      <c r="AA711" s="1">
        <v>3369000</v>
      </c>
      <c r="AB711" s="1">
        <v>1341000</v>
      </c>
      <c r="AC711" s="1">
        <v>0</v>
      </c>
      <c r="AD711" s="1">
        <v>0</v>
      </c>
      <c r="AE711" s="7" t="s">
        <v>317</v>
      </c>
      <c r="AF711" s="7" t="s">
        <v>461</v>
      </c>
      <c r="AG711" s="7" t="s">
        <v>319</v>
      </c>
    </row>
    <row r="712" spans="1:33" ht="15.75" x14ac:dyDescent="0.25">
      <c r="A712" s="1">
        <v>1097746020734</v>
      </c>
      <c r="B712" s="6">
        <v>7743732328</v>
      </c>
      <c r="C712" s="7" t="s">
        <v>6366</v>
      </c>
      <c r="D712" s="7" t="s">
        <v>6367</v>
      </c>
      <c r="E712" s="6">
        <v>89646947</v>
      </c>
      <c r="F712" s="6">
        <v>45283569000</v>
      </c>
      <c r="G712" s="6">
        <v>16</v>
      </c>
      <c r="H712" s="6">
        <v>12300</v>
      </c>
      <c r="I712" s="6">
        <v>773301001</v>
      </c>
      <c r="J712" s="7" t="s">
        <v>6368</v>
      </c>
      <c r="K712" s="7"/>
      <c r="L712" s="1" t="s">
        <v>698</v>
      </c>
      <c r="M712" s="7" t="s">
        <v>6369</v>
      </c>
      <c r="N712" s="7" t="s">
        <v>6370</v>
      </c>
      <c r="O712" s="7" t="s">
        <v>6371</v>
      </c>
      <c r="P712" s="8">
        <v>770404209080</v>
      </c>
      <c r="Q712" s="7" t="s">
        <v>41</v>
      </c>
      <c r="R712" s="7" t="s">
        <v>6372</v>
      </c>
      <c r="S712" s="7" t="s">
        <v>6373</v>
      </c>
      <c r="T712" s="7"/>
      <c r="U712" s="7" t="s">
        <v>6374</v>
      </c>
      <c r="V712" s="1">
        <v>10000</v>
      </c>
      <c r="W712" s="1">
        <v>51986000</v>
      </c>
      <c r="X712" s="1">
        <v>3151000</v>
      </c>
      <c r="Y712" s="1">
        <v>0</v>
      </c>
      <c r="Z712" s="1">
        <v>1495000</v>
      </c>
      <c r="AA712" s="1">
        <v>4476000</v>
      </c>
      <c r="AB712" s="1">
        <v>609000</v>
      </c>
      <c r="AC712" s="1">
        <v>0</v>
      </c>
      <c r="AD712" s="1">
        <v>0</v>
      </c>
      <c r="AE712" s="7" t="s">
        <v>317</v>
      </c>
      <c r="AF712" s="7" t="s">
        <v>286</v>
      </c>
      <c r="AG712" s="7" t="s">
        <v>319</v>
      </c>
    </row>
    <row r="713" spans="1:33" ht="15.75" x14ac:dyDescent="0.25">
      <c r="A713" s="3">
        <v>1097746059685</v>
      </c>
      <c r="B713" s="9">
        <v>7708696268</v>
      </c>
      <c r="C713" s="10" t="s">
        <v>6375</v>
      </c>
      <c r="D713" s="10" t="s">
        <v>6376</v>
      </c>
      <c r="E713" s="9">
        <v>60390361</v>
      </c>
      <c r="F713" s="9">
        <v>45286565000</v>
      </c>
      <c r="G713" s="9">
        <v>16</v>
      </c>
      <c r="H713" s="9">
        <v>12300</v>
      </c>
      <c r="I713" s="9">
        <v>770801001</v>
      </c>
      <c r="J713" s="10" t="s">
        <v>6300</v>
      </c>
      <c r="K713" s="10"/>
      <c r="L713" s="3" t="s">
        <v>6377</v>
      </c>
      <c r="M713" s="10" t="s">
        <v>6378</v>
      </c>
      <c r="N713" s="10" t="s">
        <v>6379</v>
      </c>
      <c r="O713" s="10" t="s">
        <v>6380</v>
      </c>
      <c r="P713" s="11">
        <v>772365192429</v>
      </c>
      <c r="Q713" s="10" t="s">
        <v>41</v>
      </c>
      <c r="R713" s="10" t="s">
        <v>6381</v>
      </c>
      <c r="S713" s="10" t="s">
        <v>6382</v>
      </c>
      <c r="T713" s="10"/>
      <c r="U713" s="10" t="s">
        <v>6383</v>
      </c>
      <c r="V713" s="3">
        <v>10000</v>
      </c>
      <c r="W713" s="3">
        <v>84510000</v>
      </c>
      <c r="X713" s="3">
        <v>0</v>
      </c>
      <c r="Y713" s="3">
        <v>8975000</v>
      </c>
      <c r="Z713" s="3">
        <v>23929000</v>
      </c>
      <c r="AA713" s="3">
        <v>3350000</v>
      </c>
      <c r="AB713" s="3">
        <v>12057000</v>
      </c>
      <c r="AC713" s="3">
        <v>16956000</v>
      </c>
      <c r="AD713" s="3">
        <v>16357000</v>
      </c>
      <c r="AE713" s="10" t="s">
        <v>317</v>
      </c>
      <c r="AF713" s="10" t="s">
        <v>530</v>
      </c>
      <c r="AG713" s="10" t="s">
        <v>319</v>
      </c>
    </row>
    <row r="714" spans="1:33" ht="15.75" x14ac:dyDescent="0.25">
      <c r="A714" s="1">
        <v>1097746142306</v>
      </c>
      <c r="B714" s="6">
        <v>7719719679</v>
      </c>
      <c r="C714" s="7" t="s">
        <v>6384</v>
      </c>
      <c r="D714" s="7" t="s">
        <v>6385</v>
      </c>
      <c r="E714" s="6">
        <v>60493186</v>
      </c>
      <c r="F714" s="6">
        <v>45290564000</v>
      </c>
      <c r="G714" s="6">
        <v>16</v>
      </c>
      <c r="H714" s="6">
        <v>12300</v>
      </c>
      <c r="I714" s="6">
        <v>772201001</v>
      </c>
      <c r="J714" s="7" t="s">
        <v>6386</v>
      </c>
      <c r="K714" s="7"/>
      <c r="L714" s="1" t="s">
        <v>6387</v>
      </c>
      <c r="M714" s="7" t="s">
        <v>6388</v>
      </c>
      <c r="N714" s="7" t="s">
        <v>6389</v>
      </c>
      <c r="O714" s="7" t="s">
        <v>6390</v>
      </c>
      <c r="P714" s="8">
        <v>772473331768</v>
      </c>
      <c r="Q714" s="7" t="s">
        <v>41</v>
      </c>
      <c r="R714" s="7" t="s">
        <v>6391</v>
      </c>
      <c r="S714" s="7" t="s">
        <v>6392</v>
      </c>
      <c r="T714" s="7"/>
      <c r="U714" s="7" t="s">
        <v>6393</v>
      </c>
      <c r="V714" s="1">
        <v>10000</v>
      </c>
      <c r="W714" s="1">
        <v>33437000</v>
      </c>
      <c r="X714" s="1">
        <v>40553000</v>
      </c>
      <c r="Y714" s="1">
        <v>1000</v>
      </c>
      <c r="Z714" s="1">
        <v>1159000</v>
      </c>
      <c r="AA714" s="1">
        <v>40344000</v>
      </c>
      <c r="AB714" s="1">
        <v>1010000</v>
      </c>
      <c r="AC714" s="1">
        <v>0</v>
      </c>
      <c r="AD714" s="1">
        <v>0</v>
      </c>
      <c r="AE714" s="7" t="s">
        <v>317</v>
      </c>
      <c r="AF714" s="7" t="s">
        <v>318</v>
      </c>
      <c r="AG714" s="7" t="s">
        <v>319</v>
      </c>
    </row>
    <row r="715" spans="1:33" ht="15.75" x14ac:dyDescent="0.25">
      <c r="A715" s="3">
        <v>1097746064668</v>
      </c>
      <c r="B715" s="9">
        <v>7709824988</v>
      </c>
      <c r="C715" s="10" t="s">
        <v>6394</v>
      </c>
      <c r="D715" s="10" t="s">
        <v>6395</v>
      </c>
      <c r="E715" s="9">
        <v>60409557</v>
      </c>
      <c r="F715" s="9">
        <v>45286580000</v>
      </c>
      <c r="G715" s="9">
        <v>16</v>
      </c>
      <c r="H715" s="9">
        <v>12300</v>
      </c>
      <c r="I715" s="9">
        <v>770901001</v>
      </c>
      <c r="J715" s="10" t="s">
        <v>6329</v>
      </c>
      <c r="K715" s="10"/>
      <c r="L715" s="3" t="s">
        <v>4299</v>
      </c>
      <c r="M715" s="10" t="s">
        <v>4300</v>
      </c>
      <c r="N715" s="10" t="s">
        <v>6396</v>
      </c>
      <c r="O715" s="10" t="s">
        <v>6397</v>
      </c>
      <c r="P715" s="11">
        <v>772379065406</v>
      </c>
      <c r="Q715" s="10" t="s">
        <v>41</v>
      </c>
      <c r="R715" s="10" t="s">
        <v>6398</v>
      </c>
      <c r="S715" s="10" t="s">
        <v>6399</v>
      </c>
      <c r="T715" s="10"/>
      <c r="U715" s="10"/>
      <c r="V715" s="3">
        <v>10000</v>
      </c>
      <c r="W715" s="3">
        <v>72153000</v>
      </c>
      <c r="X715" s="3">
        <v>0</v>
      </c>
      <c r="Y715" s="3">
        <v>16979000</v>
      </c>
      <c r="Z715" s="3">
        <v>22305000</v>
      </c>
      <c r="AA715" s="3">
        <v>5798000</v>
      </c>
      <c r="AB715" s="3">
        <v>-184000</v>
      </c>
      <c r="AC715" s="3">
        <v>0</v>
      </c>
      <c r="AD715" s="3">
        <v>0</v>
      </c>
      <c r="AE715" s="10" t="s">
        <v>317</v>
      </c>
      <c r="AF715" s="10" t="s">
        <v>352</v>
      </c>
      <c r="AG715" s="10" t="s">
        <v>319</v>
      </c>
    </row>
    <row r="716" spans="1:33" ht="15.75" x14ac:dyDescent="0.25">
      <c r="A716" s="1">
        <v>1025004703107</v>
      </c>
      <c r="B716" s="6">
        <v>5036039762</v>
      </c>
      <c r="C716" s="7" t="s">
        <v>6400</v>
      </c>
      <c r="D716" s="7" t="s">
        <v>6401</v>
      </c>
      <c r="E716" s="6">
        <v>18027086</v>
      </c>
      <c r="F716" s="6">
        <v>46460000000</v>
      </c>
      <c r="G716" s="6">
        <v>16</v>
      </c>
      <c r="H716" s="6">
        <v>12300</v>
      </c>
      <c r="I716" s="6">
        <v>503601001</v>
      </c>
      <c r="J716" s="7" t="s">
        <v>6402</v>
      </c>
      <c r="K716" s="7"/>
      <c r="L716" s="1" t="s">
        <v>445</v>
      </c>
      <c r="M716" s="7" t="s">
        <v>446</v>
      </c>
      <c r="N716" s="7" t="s">
        <v>6403</v>
      </c>
      <c r="O716" s="7" t="s">
        <v>6404</v>
      </c>
      <c r="P716" s="8">
        <v>503608101611</v>
      </c>
      <c r="Q716" s="7" t="s">
        <v>150</v>
      </c>
      <c r="R716" s="7" t="s">
        <v>6405</v>
      </c>
      <c r="S716" s="7" t="s">
        <v>6406</v>
      </c>
      <c r="T716" s="7" t="s">
        <v>6407</v>
      </c>
      <c r="U716" s="7"/>
      <c r="V716" s="1">
        <v>10000</v>
      </c>
      <c r="W716" s="1">
        <v>88580000</v>
      </c>
      <c r="X716" s="1">
        <v>5701000</v>
      </c>
      <c r="Y716" s="1">
        <v>21000</v>
      </c>
      <c r="Z716" s="1">
        <v>20159000</v>
      </c>
      <c r="AA716" s="1">
        <v>6437000</v>
      </c>
      <c r="AB716" s="1">
        <v>31014000</v>
      </c>
      <c r="AC716" s="1">
        <v>0</v>
      </c>
      <c r="AD716" s="1">
        <v>0</v>
      </c>
      <c r="AE716" s="7" t="s">
        <v>331</v>
      </c>
      <c r="AF716" s="7" t="s">
        <v>545</v>
      </c>
      <c r="AG716" s="7" t="s">
        <v>319</v>
      </c>
    </row>
    <row r="717" spans="1:33" ht="15.75" x14ac:dyDescent="0.25">
      <c r="A717" s="3">
        <v>1097746166946</v>
      </c>
      <c r="B717" s="9">
        <v>7719720628</v>
      </c>
      <c r="C717" s="10" t="s">
        <v>6408</v>
      </c>
      <c r="D717" s="10" t="s">
        <v>6409</v>
      </c>
      <c r="E717" s="9">
        <v>60431769</v>
      </c>
      <c r="F717" s="9">
        <v>45280556000</v>
      </c>
      <c r="G717" s="9">
        <v>16</v>
      </c>
      <c r="H717" s="9">
        <v>12267</v>
      </c>
      <c r="I717" s="9">
        <v>771601001</v>
      </c>
      <c r="J717" s="10" t="s">
        <v>6153</v>
      </c>
      <c r="K717" s="10"/>
      <c r="L717" s="3" t="s">
        <v>6410</v>
      </c>
      <c r="M717" s="10" t="s">
        <v>6411</v>
      </c>
      <c r="N717" s="10" t="s">
        <v>6412</v>
      </c>
      <c r="O717" s="10" t="s">
        <v>6413</v>
      </c>
      <c r="P717" s="11">
        <v>501905755356</v>
      </c>
      <c r="Q717" s="10" t="s">
        <v>41</v>
      </c>
      <c r="R717" s="10" t="s">
        <v>6414</v>
      </c>
      <c r="S717" s="10" t="s">
        <v>6415</v>
      </c>
      <c r="T717" s="10" t="s">
        <v>6416</v>
      </c>
      <c r="U717" s="10" t="s">
        <v>6417</v>
      </c>
      <c r="V717" s="3">
        <v>10000</v>
      </c>
      <c r="W717" s="3">
        <v>83195000</v>
      </c>
      <c r="X717" s="3">
        <v>183000</v>
      </c>
      <c r="Y717" s="3">
        <v>70000</v>
      </c>
      <c r="Z717" s="3">
        <v>7231000</v>
      </c>
      <c r="AA717" s="3">
        <v>1766000</v>
      </c>
      <c r="AB717" s="3">
        <v>55625000</v>
      </c>
      <c r="AC717" s="3">
        <v>0</v>
      </c>
      <c r="AD717" s="3">
        <v>0</v>
      </c>
      <c r="AE717" s="10" t="s">
        <v>317</v>
      </c>
      <c r="AF717" s="10" t="s">
        <v>461</v>
      </c>
      <c r="AG717" s="10" t="s">
        <v>319</v>
      </c>
    </row>
    <row r="718" spans="1:33" ht="15.75" x14ac:dyDescent="0.25">
      <c r="A718" s="1">
        <v>1097746188693</v>
      </c>
      <c r="B718" s="6">
        <v>7701834208</v>
      </c>
      <c r="C718" s="7" t="s">
        <v>6418</v>
      </c>
      <c r="D718" s="7" t="s">
        <v>6419</v>
      </c>
      <c r="E718" s="6">
        <v>60548075</v>
      </c>
      <c r="F718" s="6">
        <v>45286555000</v>
      </c>
      <c r="G718" s="6">
        <v>16</v>
      </c>
      <c r="H718" s="6">
        <v>12300</v>
      </c>
      <c r="I718" s="6">
        <v>770101001</v>
      </c>
      <c r="J718" s="7" t="s">
        <v>6078</v>
      </c>
      <c r="K718" s="7"/>
      <c r="L718" s="1" t="s">
        <v>6420</v>
      </c>
      <c r="M718" s="7" t="s">
        <v>6421</v>
      </c>
      <c r="N718" s="7" t="s">
        <v>6422</v>
      </c>
      <c r="O718" s="7" t="s">
        <v>6423</v>
      </c>
      <c r="P718" s="8">
        <v>501101756159</v>
      </c>
      <c r="Q718" s="7" t="s">
        <v>41</v>
      </c>
      <c r="R718" s="7" t="s">
        <v>6424</v>
      </c>
      <c r="S718" s="7" t="s">
        <v>6425</v>
      </c>
      <c r="T718" s="7"/>
      <c r="U718" s="7" t="s">
        <v>6426</v>
      </c>
      <c r="V718" s="1">
        <v>10000</v>
      </c>
      <c r="W718" s="1">
        <v>64277000</v>
      </c>
      <c r="X718" s="1">
        <v>0</v>
      </c>
      <c r="Y718" s="1">
        <v>11119000</v>
      </c>
      <c r="Z718" s="1">
        <v>11022000</v>
      </c>
      <c r="AA718" s="1">
        <v>1584000</v>
      </c>
      <c r="AB718" s="1">
        <v>5721000</v>
      </c>
      <c r="AC718" s="1">
        <v>0</v>
      </c>
      <c r="AD718" s="1">
        <v>0</v>
      </c>
      <c r="AE718" s="7" t="s">
        <v>317</v>
      </c>
      <c r="AF718" s="7" t="s">
        <v>318</v>
      </c>
      <c r="AG718" s="7" t="s">
        <v>319</v>
      </c>
    </row>
    <row r="719" spans="1:33" ht="15.75" x14ac:dyDescent="0.25">
      <c r="A719" s="3">
        <v>1027709033505</v>
      </c>
      <c r="B719" s="9">
        <v>7709400202</v>
      </c>
      <c r="C719" s="10" t="s">
        <v>6427</v>
      </c>
      <c r="D719" s="10" t="s">
        <v>6428</v>
      </c>
      <c r="E719" s="9">
        <v>59795940</v>
      </c>
      <c r="F719" s="9">
        <v>46468000000</v>
      </c>
      <c r="G719" s="9">
        <v>16</v>
      </c>
      <c r="H719" s="9">
        <v>12300</v>
      </c>
      <c r="I719" s="9">
        <v>504001001</v>
      </c>
      <c r="J719" s="10" t="s">
        <v>6429</v>
      </c>
      <c r="K719" s="10"/>
      <c r="L719" s="3" t="s">
        <v>6079</v>
      </c>
      <c r="M719" s="10" t="s">
        <v>6080</v>
      </c>
      <c r="N719" s="10" t="s">
        <v>6430</v>
      </c>
      <c r="O719" s="10" t="s">
        <v>6431</v>
      </c>
      <c r="P719" s="11">
        <v>504006581000</v>
      </c>
      <c r="Q719" s="10" t="s">
        <v>41</v>
      </c>
      <c r="R719" s="10" t="s">
        <v>6432</v>
      </c>
      <c r="S719" s="10" t="s">
        <v>6433</v>
      </c>
      <c r="T719" s="10" t="s">
        <v>6434</v>
      </c>
      <c r="U719" s="10" t="s">
        <v>6435</v>
      </c>
      <c r="V719" s="3">
        <v>10000</v>
      </c>
      <c r="W719" s="3">
        <v>85758000</v>
      </c>
      <c r="X719" s="3">
        <v>8061000</v>
      </c>
      <c r="Y719" s="3">
        <v>1501000</v>
      </c>
      <c r="Z719" s="3">
        <v>5686000</v>
      </c>
      <c r="AA719" s="3">
        <v>2110000</v>
      </c>
      <c r="AB719" s="3">
        <v>5760000</v>
      </c>
      <c r="AC719" s="3">
        <v>0</v>
      </c>
      <c r="AD719" s="3">
        <v>0</v>
      </c>
      <c r="AE719" s="10" t="s">
        <v>331</v>
      </c>
      <c r="AF719" s="10" t="s">
        <v>1727</v>
      </c>
      <c r="AG719" s="10" t="s">
        <v>319</v>
      </c>
    </row>
    <row r="720" spans="1:33" ht="15.75" x14ac:dyDescent="0.25">
      <c r="A720" s="1">
        <v>1025004908631</v>
      </c>
      <c r="B720" s="6">
        <v>5023007636</v>
      </c>
      <c r="C720" s="7" t="s">
        <v>6436</v>
      </c>
      <c r="D720" s="7" t="s">
        <v>6437</v>
      </c>
      <c r="E720" s="6">
        <v>39833354</v>
      </c>
      <c r="F720" s="6">
        <v>46458511000</v>
      </c>
      <c r="G720" s="6">
        <v>16</v>
      </c>
      <c r="H720" s="6">
        <v>12300</v>
      </c>
      <c r="I720" s="6">
        <v>502301001</v>
      </c>
      <c r="J720" s="7" t="s">
        <v>6438</v>
      </c>
      <c r="K720" s="7"/>
      <c r="L720" s="1" t="s">
        <v>2832</v>
      </c>
      <c r="M720" s="7" t="s">
        <v>2833</v>
      </c>
      <c r="N720" s="7" t="s">
        <v>6439</v>
      </c>
      <c r="O720" s="7" t="s">
        <v>6440</v>
      </c>
      <c r="P720" s="8">
        <v>502300251926</v>
      </c>
      <c r="Q720" s="7" t="s">
        <v>150</v>
      </c>
      <c r="R720" s="7" t="s">
        <v>6441</v>
      </c>
      <c r="S720" s="7" t="s">
        <v>6442</v>
      </c>
      <c r="T720" s="7"/>
      <c r="U720" s="7"/>
      <c r="V720" s="1">
        <v>10000</v>
      </c>
      <c r="W720" s="1">
        <v>31844000</v>
      </c>
      <c r="X720" s="1">
        <v>1605000</v>
      </c>
      <c r="Y720" s="1">
        <v>0</v>
      </c>
      <c r="Z720" s="1">
        <v>3132000</v>
      </c>
      <c r="AA720" s="1">
        <v>1270000</v>
      </c>
      <c r="AB720" s="1">
        <v>-2000</v>
      </c>
      <c r="AC720" s="1">
        <v>1000</v>
      </c>
      <c r="AD720" s="1">
        <v>1000</v>
      </c>
      <c r="AE720" s="7" t="s">
        <v>331</v>
      </c>
      <c r="AF720" s="7" t="s">
        <v>453</v>
      </c>
      <c r="AG720" s="7" t="s">
        <v>319</v>
      </c>
    </row>
    <row r="721" spans="1:33" ht="15.75" x14ac:dyDescent="0.25">
      <c r="A721" s="3">
        <v>1097746144825</v>
      </c>
      <c r="B721" s="9">
        <v>7704723270</v>
      </c>
      <c r="C721" s="10" t="s">
        <v>6443</v>
      </c>
      <c r="D721" s="10" t="s">
        <v>6444</v>
      </c>
      <c r="E721" s="9">
        <v>60483045</v>
      </c>
      <c r="F721" s="9">
        <v>45293574000</v>
      </c>
      <c r="G721" s="9">
        <v>16</v>
      </c>
      <c r="H721" s="9">
        <v>12300</v>
      </c>
      <c r="I721" s="9">
        <v>773601001</v>
      </c>
      <c r="J721" s="10" t="s">
        <v>6445</v>
      </c>
      <c r="K721" s="10"/>
      <c r="L721" s="3" t="s">
        <v>1800</v>
      </c>
      <c r="M721" s="10" t="s">
        <v>1801</v>
      </c>
      <c r="N721" s="10" t="s">
        <v>6446</v>
      </c>
      <c r="O721" s="10" t="s">
        <v>6447</v>
      </c>
      <c r="P721" s="11">
        <v>771388820886</v>
      </c>
      <c r="Q721" s="10" t="s">
        <v>150</v>
      </c>
      <c r="R721" s="10" t="s">
        <v>6448</v>
      </c>
      <c r="S721" s="10" t="s">
        <v>6449</v>
      </c>
      <c r="T721" s="10"/>
      <c r="U721" s="10" t="s">
        <v>6450</v>
      </c>
      <c r="V721" s="3">
        <v>10000</v>
      </c>
      <c r="W721" s="3">
        <v>66789000</v>
      </c>
      <c r="X721" s="3">
        <v>56789000</v>
      </c>
      <c r="Y721" s="3">
        <v>612000</v>
      </c>
      <c r="Z721" s="3">
        <v>1151000</v>
      </c>
      <c r="AA721" s="3">
        <v>57680000</v>
      </c>
      <c r="AB721" s="3">
        <v>-14000</v>
      </c>
      <c r="AC721" s="3">
        <v>0</v>
      </c>
      <c r="AD721" s="3">
        <v>0</v>
      </c>
      <c r="AE721" s="10" t="s">
        <v>317</v>
      </c>
      <c r="AF721" s="10" t="s">
        <v>461</v>
      </c>
      <c r="AG721" s="10" t="s">
        <v>319</v>
      </c>
    </row>
    <row r="722" spans="1:33" ht="15.75" x14ac:dyDescent="0.25">
      <c r="A722" s="1">
        <v>1097746052140</v>
      </c>
      <c r="B722" s="6">
        <v>7707696787</v>
      </c>
      <c r="C722" s="7" t="s">
        <v>6451</v>
      </c>
      <c r="D722" s="7" t="s">
        <v>6452</v>
      </c>
      <c r="E722" s="6">
        <v>60446535</v>
      </c>
      <c r="F722" s="6">
        <v>45286585000</v>
      </c>
      <c r="G722" s="6">
        <v>16</v>
      </c>
      <c r="H722" s="6">
        <v>12300</v>
      </c>
      <c r="I722" s="6">
        <v>770701001</v>
      </c>
      <c r="J722" s="7" t="s">
        <v>5862</v>
      </c>
      <c r="K722" s="7"/>
      <c r="L722" s="1" t="s">
        <v>385</v>
      </c>
      <c r="M722" s="7" t="s">
        <v>386</v>
      </c>
      <c r="N722" s="7" t="s">
        <v>6453</v>
      </c>
      <c r="O722" s="7" t="s">
        <v>6454</v>
      </c>
      <c r="P722" s="8">
        <v>502503386904</v>
      </c>
      <c r="Q722" s="7" t="s">
        <v>41</v>
      </c>
      <c r="R722" s="7" t="s">
        <v>6455</v>
      </c>
      <c r="S722" s="7" t="s">
        <v>6456</v>
      </c>
      <c r="T722" s="7"/>
      <c r="U722" s="7"/>
      <c r="V722" s="1">
        <v>10000</v>
      </c>
      <c r="W722" s="1">
        <v>169929000</v>
      </c>
      <c r="X722" s="1">
        <v>0</v>
      </c>
      <c r="Y722" s="1">
        <v>0</v>
      </c>
      <c r="Z722" s="1">
        <v>1320000</v>
      </c>
      <c r="AA722" s="1">
        <v>8732000</v>
      </c>
      <c r="AB722" s="1">
        <v>73979000</v>
      </c>
      <c r="AC722" s="1">
        <v>0</v>
      </c>
      <c r="AD722" s="1">
        <v>0</v>
      </c>
      <c r="AE722" s="7" t="s">
        <v>331</v>
      </c>
      <c r="AF722" s="7" t="s">
        <v>6457</v>
      </c>
      <c r="AG722" s="7" t="s">
        <v>319</v>
      </c>
    </row>
    <row r="723" spans="1:33" ht="15.75" x14ac:dyDescent="0.25">
      <c r="A723" s="3">
        <v>1025004913592</v>
      </c>
      <c r="B723" s="9">
        <v>5023006174</v>
      </c>
      <c r="C723" s="10" t="s">
        <v>6458</v>
      </c>
      <c r="D723" s="10" t="s">
        <v>6459</v>
      </c>
      <c r="E723" s="9">
        <v>48777643</v>
      </c>
      <c r="F723" s="9">
        <v>46458511000</v>
      </c>
      <c r="G723" s="9">
        <v>16</v>
      </c>
      <c r="H723" s="9">
        <v>12300</v>
      </c>
      <c r="I723" s="9">
        <v>502301001</v>
      </c>
      <c r="J723" s="10" t="s">
        <v>6460</v>
      </c>
      <c r="K723" s="10"/>
      <c r="L723" s="3" t="s">
        <v>6290</v>
      </c>
      <c r="M723" s="10" t="s">
        <v>6291</v>
      </c>
      <c r="N723" s="10" t="s">
        <v>6461</v>
      </c>
      <c r="O723" s="10" t="s">
        <v>6462</v>
      </c>
      <c r="P723" s="11">
        <v>480205924291</v>
      </c>
      <c r="Q723" s="10" t="s">
        <v>41</v>
      </c>
      <c r="R723" s="10" t="s">
        <v>6463</v>
      </c>
      <c r="S723" s="10" t="s">
        <v>6464</v>
      </c>
      <c r="T723" s="10"/>
      <c r="U723" s="10" t="s">
        <v>6465</v>
      </c>
      <c r="V723" s="3">
        <v>10000</v>
      </c>
      <c r="W723" s="3">
        <v>44591000</v>
      </c>
      <c r="X723" s="3">
        <v>904000</v>
      </c>
      <c r="Y723" s="3">
        <v>3502000</v>
      </c>
      <c r="Z723" s="3">
        <v>3891000</v>
      </c>
      <c r="AA723" s="3">
        <v>2353000</v>
      </c>
      <c r="AB723" s="3">
        <v>-52000</v>
      </c>
      <c r="AC723" s="3">
        <v>6000</v>
      </c>
      <c r="AD723" s="3">
        <v>-52000</v>
      </c>
      <c r="AE723" s="10" t="s">
        <v>317</v>
      </c>
      <c r="AF723" s="10" t="s">
        <v>307</v>
      </c>
      <c r="AG723" s="10" t="s">
        <v>319</v>
      </c>
    </row>
    <row r="724" spans="1:33" ht="15.75" x14ac:dyDescent="0.25">
      <c r="A724" s="1">
        <v>1097746120350</v>
      </c>
      <c r="B724" s="6">
        <v>7705882724</v>
      </c>
      <c r="C724" s="7" t="s">
        <v>6466</v>
      </c>
      <c r="D724" s="7" t="s">
        <v>6467</v>
      </c>
      <c r="E724" s="6">
        <v>60487623</v>
      </c>
      <c r="F724" s="6">
        <v>45286575000</v>
      </c>
      <c r="G724" s="6">
        <v>16</v>
      </c>
      <c r="H724" s="6">
        <v>12300</v>
      </c>
      <c r="I724" s="6">
        <v>770301001</v>
      </c>
      <c r="J724" s="7" t="s">
        <v>5942</v>
      </c>
      <c r="K724" s="7"/>
      <c r="L724" s="1" t="s">
        <v>5757</v>
      </c>
      <c r="M724" s="7" t="s">
        <v>1801</v>
      </c>
      <c r="N724" s="7" t="s">
        <v>6468</v>
      </c>
      <c r="O724" s="7" t="s">
        <v>6469</v>
      </c>
      <c r="P724" s="8">
        <v>121302994483</v>
      </c>
      <c r="Q724" s="7" t="s">
        <v>41</v>
      </c>
      <c r="R724" s="7" t="s">
        <v>6470</v>
      </c>
      <c r="S724" s="7" t="s">
        <v>6471</v>
      </c>
      <c r="T724" s="7" t="s">
        <v>6472</v>
      </c>
      <c r="U724" s="7" t="s">
        <v>6473</v>
      </c>
      <c r="V724" s="1">
        <v>10000</v>
      </c>
      <c r="W724" s="1">
        <v>83957000</v>
      </c>
      <c r="X724" s="1">
        <v>2759000</v>
      </c>
      <c r="Y724" s="1">
        <v>621000</v>
      </c>
      <c r="Z724" s="1">
        <v>30825000</v>
      </c>
      <c r="AA724" s="1">
        <v>37303000</v>
      </c>
      <c r="AB724" s="1">
        <v>6701000</v>
      </c>
      <c r="AC724" s="1">
        <v>0</v>
      </c>
      <c r="AD724" s="1">
        <v>0</v>
      </c>
      <c r="AE724" s="7" t="s">
        <v>317</v>
      </c>
      <c r="AF724" s="7" t="s">
        <v>461</v>
      </c>
      <c r="AG724" s="7" t="s">
        <v>319</v>
      </c>
    </row>
    <row r="725" spans="1:33" ht="15.75" x14ac:dyDescent="0.25">
      <c r="A725" s="3">
        <v>1025004544465</v>
      </c>
      <c r="B725" s="9">
        <v>5033008519</v>
      </c>
      <c r="C725" s="10" t="s">
        <v>6474</v>
      </c>
      <c r="D725" s="10" t="s">
        <v>6475</v>
      </c>
      <c r="E725" s="9">
        <v>51930775</v>
      </c>
      <c r="F725" s="9">
        <v>46438506000</v>
      </c>
      <c r="G725" s="9">
        <v>16</v>
      </c>
      <c r="H725" s="9">
        <v>12300</v>
      </c>
      <c r="I725" s="9">
        <v>503301001</v>
      </c>
      <c r="J725" s="10" t="s">
        <v>6476</v>
      </c>
      <c r="K725" s="10"/>
      <c r="L725" s="3" t="s">
        <v>4299</v>
      </c>
      <c r="M725" s="10" t="s">
        <v>4300</v>
      </c>
      <c r="N725" s="10" t="s">
        <v>6477</v>
      </c>
      <c r="O725" s="10" t="s">
        <v>6478</v>
      </c>
      <c r="P725" s="11">
        <v>503302932834</v>
      </c>
      <c r="Q725" s="10" t="s">
        <v>41</v>
      </c>
      <c r="R725" s="10" t="s">
        <v>6479</v>
      </c>
      <c r="S725" s="10" t="s">
        <v>6480</v>
      </c>
      <c r="T725" s="10"/>
      <c r="U725" s="10"/>
      <c r="V725" s="3">
        <v>10000</v>
      </c>
      <c r="W725" s="3">
        <v>62841000</v>
      </c>
      <c r="X725" s="3">
        <v>2538000</v>
      </c>
      <c r="Y725" s="3">
        <v>6107000</v>
      </c>
      <c r="Z725" s="3">
        <v>2117000</v>
      </c>
      <c r="AA725" s="3">
        <v>327000</v>
      </c>
      <c r="AB725" s="3">
        <v>6757000</v>
      </c>
      <c r="AC725" s="3">
        <v>0</v>
      </c>
      <c r="AD725" s="3">
        <v>0</v>
      </c>
      <c r="AE725" s="10" t="s">
        <v>317</v>
      </c>
      <c r="AF725" s="10" t="s">
        <v>740</v>
      </c>
      <c r="AG725" s="10" t="s">
        <v>319</v>
      </c>
    </row>
    <row r="726" spans="1:33" ht="15.75" x14ac:dyDescent="0.25">
      <c r="A726" s="1">
        <v>1097746186009</v>
      </c>
      <c r="B726" s="6">
        <v>7735558901</v>
      </c>
      <c r="C726" s="7" t="s">
        <v>6481</v>
      </c>
      <c r="D726" s="7" t="s">
        <v>6482</v>
      </c>
      <c r="E726" s="6">
        <v>60528428</v>
      </c>
      <c r="F726" s="6">
        <v>45272568000</v>
      </c>
      <c r="G726" s="6">
        <v>16</v>
      </c>
      <c r="H726" s="6">
        <v>12300</v>
      </c>
      <c r="I726" s="6">
        <v>773501001</v>
      </c>
      <c r="J726" s="7" t="s">
        <v>6078</v>
      </c>
      <c r="K726" s="7"/>
      <c r="L726" s="1" t="s">
        <v>1072</v>
      </c>
      <c r="M726" s="7" t="s">
        <v>1073</v>
      </c>
      <c r="N726" s="7" t="s">
        <v>6483</v>
      </c>
      <c r="O726" s="7" t="s">
        <v>6484</v>
      </c>
      <c r="P726" s="8">
        <v>502411374377</v>
      </c>
      <c r="Q726" s="7" t="s">
        <v>41</v>
      </c>
      <c r="R726" s="7" t="s">
        <v>6485</v>
      </c>
      <c r="S726" s="7" t="s">
        <v>6486</v>
      </c>
      <c r="T726" s="7"/>
      <c r="U726" s="7" t="s">
        <v>6487</v>
      </c>
      <c r="V726" s="1">
        <v>10000</v>
      </c>
      <c r="W726" s="1">
        <v>52290000</v>
      </c>
      <c r="X726" s="1">
        <v>0</v>
      </c>
      <c r="Y726" s="1">
        <v>0</v>
      </c>
      <c r="Z726" s="1">
        <v>4885000</v>
      </c>
      <c r="AA726" s="1">
        <v>9160000</v>
      </c>
      <c r="AB726" s="1">
        <v>165000</v>
      </c>
      <c r="AC726" s="1">
        <v>0</v>
      </c>
      <c r="AD726" s="1">
        <v>0</v>
      </c>
      <c r="AE726" s="7" t="s">
        <v>331</v>
      </c>
      <c r="AF726" s="7" t="s">
        <v>345</v>
      </c>
      <c r="AG726" s="7" t="s">
        <v>319</v>
      </c>
    </row>
    <row r="727" spans="1:33" ht="15.75" x14ac:dyDescent="0.25">
      <c r="A727" s="3">
        <v>1097746202619</v>
      </c>
      <c r="B727" s="9">
        <v>7724703875</v>
      </c>
      <c r="C727" s="10" t="s">
        <v>6488</v>
      </c>
      <c r="D727" s="10" t="s">
        <v>6489</v>
      </c>
      <c r="E727" s="9">
        <v>60550971</v>
      </c>
      <c r="F727" s="9">
        <v>45296579000</v>
      </c>
      <c r="G727" s="9">
        <v>16</v>
      </c>
      <c r="H727" s="9">
        <v>12300</v>
      </c>
      <c r="I727" s="9">
        <v>772401001</v>
      </c>
      <c r="J727" s="10" t="s">
        <v>6490</v>
      </c>
      <c r="K727" s="10"/>
      <c r="L727" s="3" t="s">
        <v>3030</v>
      </c>
      <c r="M727" s="10" t="s">
        <v>3031</v>
      </c>
      <c r="N727" s="10" t="s">
        <v>6491</v>
      </c>
      <c r="O727" s="10" t="s">
        <v>6492</v>
      </c>
      <c r="P727" s="11">
        <v>772471298931</v>
      </c>
      <c r="Q727" s="10" t="s">
        <v>41</v>
      </c>
      <c r="R727" s="10" t="s">
        <v>6493</v>
      </c>
      <c r="S727" s="10" t="s">
        <v>6494</v>
      </c>
      <c r="T727" s="10"/>
      <c r="U727" s="10" t="s">
        <v>6495</v>
      </c>
      <c r="V727" s="3">
        <v>10000</v>
      </c>
      <c r="W727" s="3">
        <v>64116000</v>
      </c>
      <c r="X727" s="3">
        <v>112000</v>
      </c>
      <c r="Y727" s="3">
        <v>0</v>
      </c>
      <c r="Z727" s="3">
        <v>28011000</v>
      </c>
      <c r="AA727" s="3">
        <v>21398000</v>
      </c>
      <c r="AB727" s="3">
        <v>44596000</v>
      </c>
      <c r="AC727" s="3">
        <v>46016000</v>
      </c>
      <c r="AD727" s="3">
        <v>48471000</v>
      </c>
      <c r="AE727" s="10" t="s">
        <v>317</v>
      </c>
      <c r="AF727" s="10" t="s">
        <v>1023</v>
      </c>
      <c r="AG727" s="10" t="s">
        <v>319</v>
      </c>
    </row>
    <row r="728" spans="1:33" ht="15.75" x14ac:dyDescent="0.25">
      <c r="A728" s="1">
        <v>1097746166880</v>
      </c>
      <c r="B728" s="6">
        <v>7710748298</v>
      </c>
      <c r="C728" s="7" t="s">
        <v>6496</v>
      </c>
      <c r="D728" s="7" t="s">
        <v>6497</v>
      </c>
      <c r="E728" s="6">
        <v>60431700</v>
      </c>
      <c r="F728" s="6">
        <v>45286585000</v>
      </c>
      <c r="G728" s="6">
        <v>16</v>
      </c>
      <c r="H728" s="6">
        <v>12300</v>
      </c>
      <c r="I728" s="6">
        <v>770701001</v>
      </c>
      <c r="J728" s="7" t="s">
        <v>6153</v>
      </c>
      <c r="K728" s="7"/>
      <c r="L728" s="1" t="s">
        <v>1163</v>
      </c>
      <c r="M728" s="7" t="s">
        <v>1164</v>
      </c>
      <c r="N728" s="7" t="s">
        <v>6498</v>
      </c>
      <c r="O728" s="7" t="s">
        <v>6499</v>
      </c>
      <c r="P728" s="8">
        <v>150408749954</v>
      </c>
      <c r="Q728" s="7" t="s">
        <v>340</v>
      </c>
      <c r="R728" s="7" t="s">
        <v>6500</v>
      </c>
      <c r="S728" s="7" t="s">
        <v>6501</v>
      </c>
      <c r="T728" s="7"/>
      <c r="U728" s="7" t="s">
        <v>6502</v>
      </c>
      <c r="V728" s="1">
        <v>10000</v>
      </c>
      <c r="W728" s="1">
        <v>46754000</v>
      </c>
      <c r="X728" s="1">
        <v>10543000</v>
      </c>
      <c r="Y728" s="1">
        <v>0</v>
      </c>
      <c r="Z728" s="1">
        <v>1458000</v>
      </c>
      <c r="AA728" s="1">
        <v>1792000</v>
      </c>
      <c r="AB728" s="1">
        <v>906000</v>
      </c>
      <c r="AC728" s="1">
        <v>0</v>
      </c>
      <c r="AD728" s="1">
        <v>0</v>
      </c>
      <c r="AE728" s="7" t="s">
        <v>317</v>
      </c>
      <c r="AF728" s="7" t="s">
        <v>740</v>
      </c>
      <c r="AG728" s="7" t="s">
        <v>319</v>
      </c>
    </row>
    <row r="729" spans="1:33" ht="15.75" x14ac:dyDescent="0.25">
      <c r="A729" s="3">
        <v>1097746122176</v>
      </c>
      <c r="B729" s="9">
        <v>7704722661</v>
      </c>
      <c r="C729" s="10" t="s">
        <v>6503</v>
      </c>
      <c r="D729" s="10" t="s">
        <v>6504</v>
      </c>
      <c r="E729" s="9">
        <v>60448818</v>
      </c>
      <c r="F729" s="9">
        <v>45286590000</v>
      </c>
      <c r="G729" s="9">
        <v>16</v>
      </c>
      <c r="H729" s="9">
        <v>12300</v>
      </c>
      <c r="I729" s="9">
        <v>770401001</v>
      </c>
      <c r="J729" s="10" t="s">
        <v>5942</v>
      </c>
      <c r="K729" s="10"/>
      <c r="L729" s="3" t="s">
        <v>5965</v>
      </c>
      <c r="M729" s="10" t="s">
        <v>5966</v>
      </c>
      <c r="N729" s="10" t="s">
        <v>6505</v>
      </c>
      <c r="O729" s="10" t="s">
        <v>6506</v>
      </c>
      <c r="P729" s="11">
        <v>10512638748</v>
      </c>
      <c r="Q729" s="10" t="s">
        <v>41</v>
      </c>
      <c r="R729" s="10" t="s">
        <v>6507</v>
      </c>
      <c r="S729" s="10" t="s">
        <v>6508</v>
      </c>
      <c r="T729" s="10" t="s">
        <v>6509</v>
      </c>
      <c r="U729" s="10" t="s">
        <v>6510</v>
      </c>
      <c r="V729" s="3">
        <v>10000</v>
      </c>
      <c r="W729" s="3">
        <v>104945000</v>
      </c>
      <c r="X729" s="3">
        <v>881000</v>
      </c>
      <c r="Y729" s="3">
        <v>453000</v>
      </c>
      <c r="Z729" s="3">
        <v>895000</v>
      </c>
      <c r="AA729" s="3">
        <v>464000</v>
      </c>
      <c r="AB729" s="3">
        <v>11616000</v>
      </c>
      <c r="AC729" s="3">
        <v>0</v>
      </c>
      <c r="AD729" s="3">
        <v>0</v>
      </c>
      <c r="AE729" s="10" t="s">
        <v>317</v>
      </c>
      <c r="AF729" s="10" t="s">
        <v>947</v>
      </c>
      <c r="AG729" s="10" t="s">
        <v>319</v>
      </c>
    </row>
    <row r="730" spans="1:33" ht="15.75" x14ac:dyDescent="0.25">
      <c r="A730" s="1">
        <v>1097746118491</v>
      </c>
      <c r="B730" s="6">
        <v>7726624900</v>
      </c>
      <c r="C730" s="7" t="s">
        <v>6511</v>
      </c>
      <c r="D730" s="7" t="s">
        <v>6512</v>
      </c>
      <c r="E730" s="6">
        <v>60481781</v>
      </c>
      <c r="F730" s="6">
        <v>45296593000</v>
      </c>
      <c r="G730" s="6">
        <v>16</v>
      </c>
      <c r="H730" s="6">
        <v>12300</v>
      </c>
      <c r="I730" s="6">
        <v>772601001</v>
      </c>
      <c r="J730" s="7" t="s">
        <v>6513</v>
      </c>
      <c r="K730" s="7"/>
      <c r="L730" s="1" t="s">
        <v>434</v>
      </c>
      <c r="M730" s="7" t="s">
        <v>435</v>
      </c>
      <c r="N730" s="7" t="s">
        <v>6514</v>
      </c>
      <c r="O730" s="7" t="s">
        <v>6515</v>
      </c>
      <c r="P730" s="8">
        <v>772400091634</v>
      </c>
      <c r="Q730" s="7" t="s">
        <v>41</v>
      </c>
      <c r="R730" s="7" t="s">
        <v>6516</v>
      </c>
      <c r="S730" s="7" t="s">
        <v>6517</v>
      </c>
      <c r="T730" s="7"/>
      <c r="U730" s="7" t="s">
        <v>6518</v>
      </c>
      <c r="V730" s="1">
        <v>10000</v>
      </c>
      <c r="W730" s="1">
        <v>90251000</v>
      </c>
      <c r="X730" s="1">
        <v>0</v>
      </c>
      <c r="Y730" s="1">
        <v>0</v>
      </c>
      <c r="Z730" s="1">
        <v>18142000</v>
      </c>
      <c r="AA730" s="1">
        <v>3336000</v>
      </c>
      <c r="AB730" s="1">
        <v>1713000</v>
      </c>
      <c r="AC730" s="1">
        <v>0</v>
      </c>
      <c r="AD730" s="1">
        <v>0</v>
      </c>
      <c r="AE730" s="7" t="s">
        <v>317</v>
      </c>
      <c r="AF730" s="7" t="s">
        <v>493</v>
      </c>
      <c r="AG730" s="7" t="s">
        <v>319</v>
      </c>
    </row>
    <row r="731" spans="1:33" ht="15.75" x14ac:dyDescent="0.25">
      <c r="A731" s="3">
        <v>1097746138940</v>
      </c>
      <c r="B731" s="9">
        <v>7718756607</v>
      </c>
      <c r="C731" s="10" t="s">
        <v>6519</v>
      </c>
      <c r="D731" s="10" t="s">
        <v>6520</v>
      </c>
      <c r="E731" s="9">
        <v>60488692</v>
      </c>
      <c r="F731" s="9">
        <v>45290568000</v>
      </c>
      <c r="G731" s="9">
        <v>16</v>
      </c>
      <c r="H731" s="9">
        <v>12300</v>
      </c>
      <c r="I731" s="9">
        <v>772301001</v>
      </c>
      <c r="J731" s="10" t="s">
        <v>5964</v>
      </c>
      <c r="K731" s="10"/>
      <c r="L731" s="3" t="s">
        <v>1918</v>
      </c>
      <c r="M731" s="10" t="s">
        <v>1919</v>
      </c>
      <c r="N731" s="10" t="s">
        <v>6521</v>
      </c>
      <c r="O731" s="10" t="s">
        <v>6522</v>
      </c>
      <c r="P731" s="11">
        <v>502907005713</v>
      </c>
      <c r="Q731" s="10" t="s">
        <v>41</v>
      </c>
      <c r="R731" s="10" t="s">
        <v>6523</v>
      </c>
      <c r="S731" s="10" t="s">
        <v>6524</v>
      </c>
      <c r="T731" s="10"/>
      <c r="U731" s="10" t="s">
        <v>6525</v>
      </c>
      <c r="V731" s="3">
        <v>10000</v>
      </c>
      <c r="W731" s="3">
        <v>41453000</v>
      </c>
      <c r="X731" s="3">
        <v>0</v>
      </c>
      <c r="Y731" s="3">
        <v>404000</v>
      </c>
      <c r="Z731" s="3">
        <v>44359000</v>
      </c>
      <c r="AA731" s="3">
        <v>22527000</v>
      </c>
      <c r="AB731" s="3">
        <v>13003000</v>
      </c>
      <c r="AC731" s="3">
        <v>0</v>
      </c>
      <c r="AD731" s="3">
        <v>0</v>
      </c>
      <c r="AE731" s="10" t="s">
        <v>317</v>
      </c>
      <c r="AF731" s="10" t="s">
        <v>740</v>
      </c>
      <c r="AG731" s="10" t="s">
        <v>319</v>
      </c>
    </row>
    <row r="732" spans="1:33" ht="15.75" x14ac:dyDescent="0.25">
      <c r="A732" s="1">
        <v>1025006039222</v>
      </c>
      <c r="B732" s="6">
        <v>5046046818</v>
      </c>
      <c r="C732" s="7" t="s">
        <v>6526</v>
      </c>
      <c r="D732" s="7" t="s">
        <v>6527</v>
      </c>
      <c r="E732" s="6">
        <v>11759449</v>
      </c>
      <c r="F732" s="6">
        <v>45298578000</v>
      </c>
      <c r="G732" s="6">
        <v>16</v>
      </c>
      <c r="H732" s="6">
        <v>12300</v>
      </c>
      <c r="I732" s="6">
        <v>775101001</v>
      </c>
      <c r="J732" s="7" t="s">
        <v>6528</v>
      </c>
      <c r="K732" s="7"/>
      <c r="L732" s="1" t="s">
        <v>1375</v>
      </c>
      <c r="M732" s="7" t="s">
        <v>1376</v>
      </c>
      <c r="N732" s="7" t="s">
        <v>6529</v>
      </c>
      <c r="O732" s="7" t="s">
        <v>6530</v>
      </c>
      <c r="P732" s="8">
        <v>330902799692</v>
      </c>
      <c r="Q732" s="7" t="s">
        <v>150</v>
      </c>
      <c r="R732" s="7" t="s">
        <v>6531</v>
      </c>
      <c r="S732" s="7" t="s">
        <v>6532</v>
      </c>
      <c r="T732" s="7"/>
      <c r="U732" s="7" t="s">
        <v>6533</v>
      </c>
      <c r="V732" s="1">
        <v>10000</v>
      </c>
      <c r="W732" s="1">
        <v>48561000</v>
      </c>
      <c r="X732" s="1">
        <v>0</v>
      </c>
      <c r="Y732" s="1">
        <v>0</v>
      </c>
      <c r="Z732" s="1">
        <v>28846000</v>
      </c>
      <c r="AA732" s="1">
        <v>12351000</v>
      </c>
      <c r="AB732" s="1">
        <v>3261000</v>
      </c>
      <c r="AC732" s="1">
        <v>0</v>
      </c>
      <c r="AD732" s="1">
        <v>0</v>
      </c>
      <c r="AE732" s="7" t="s">
        <v>317</v>
      </c>
      <c r="AF732" s="7" t="s">
        <v>461</v>
      </c>
      <c r="AG732" s="7" t="s">
        <v>319</v>
      </c>
    </row>
    <row r="733" spans="1:33" ht="15.75" x14ac:dyDescent="0.25">
      <c r="A733" s="3">
        <v>1097746105478</v>
      </c>
      <c r="B733" s="9">
        <v>7727685367</v>
      </c>
      <c r="C733" s="10" t="s">
        <v>6534</v>
      </c>
      <c r="D733" s="10" t="s">
        <v>6535</v>
      </c>
      <c r="E733" s="9">
        <v>60470396</v>
      </c>
      <c r="F733" s="9">
        <v>45296561000</v>
      </c>
      <c r="G733" s="9">
        <v>16</v>
      </c>
      <c r="H733" s="9">
        <v>12300</v>
      </c>
      <c r="I733" s="9">
        <v>772501001</v>
      </c>
      <c r="J733" s="10" t="s">
        <v>6536</v>
      </c>
      <c r="K733" s="10"/>
      <c r="L733" s="3" t="s">
        <v>565</v>
      </c>
      <c r="M733" s="10" t="s">
        <v>680</v>
      </c>
      <c r="N733" s="10" t="s">
        <v>6537</v>
      </c>
      <c r="O733" s="10" t="s">
        <v>6538</v>
      </c>
      <c r="P733" s="11">
        <v>772802237668</v>
      </c>
      <c r="Q733" s="10" t="s">
        <v>41</v>
      </c>
      <c r="R733" s="10" t="s">
        <v>6539</v>
      </c>
      <c r="S733" s="10" t="s">
        <v>6540</v>
      </c>
      <c r="T733" s="10"/>
      <c r="U733" s="10" t="s">
        <v>6541</v>
      </c>
      <c r="V733" s="3">
        <v>10000</v>
      </c>
      <c r="W733" s="3">
        <v>42138000</v>
      </c>
      <c r="X733" s="3">
        <v>0</v>
      </c>
      <c r="Y733" s="3">
        <v>2807000</v>
      </c>
      <c r="Z733" s="3">
        <v>7063000</v>
      </c>
      <c r="AA733" s="3">
        <v>888000</v>
      </c>
      <c r="AB733" s="3">
        <v>11858000</v>
      </c>
      <c r="AC733" s="3">
        <v>0</v>
      </c>
      <c r="AD733" s="3">
        <v>0</v>
      </c>
      <c r="AE733" s="10" t="s">
        <v>317</v>
      </c>
      <c r="AF733" s="10" t="s">
        <v>512</v>
      </c>
      <c r="AG733" s="10" t="s">
        <v>319</v>
      </c>
    </row>
    <row r="734" spans="1:33" ht="15.75" x14ac:dyDescent="0.25">
      <c r="A734" s="1">
        <v>1097746105621</v>
      </c>
      <c r="B734" s="6">
        <v>7724701099</v>
      </c>
      <c r="C734" s="7" t="s">
        <v>6542</v>
      </c>
      <c r="D734" s="7" t="s">
        <v>6543</v>
      </c>
      <c r="E734" s="6">
        <v>60422204</v>
      </c>
      <c r="F734" s="6">
        <v>45296579000</v>
      </c>
      <c r="G734" s="6">
        <v>16</v>
      </c>
      <c r="H734" s="6">
        <v>12300</v>
      </c>
      <c r="I734" s="6">
        <v>772401001</v>
      </c>
      <c r="J734" s="7" t="s">
        <v>6536</v>
      </c>
      <c r="K734" s="7"/>
      <c r="L734" s="1" t="s">
        <v>5448</v>
      </c>
      <c r="M734" s="7" t="s">
        <v>6544</v>
      </c>
      <c r="N734" s="7" t="s">
        <v>6545</v>
      </c>
      <c r="O734" s="7" t="s">
        <v>6546</v>
      </c>
      <c r="P734" s="8">
        <v>772434581034</v>
      </c>
      <c r="Q734" s="7" t="s">
        <v>340</v>
      </c>
      <c r="R734" s="7" t="s">
        <v>6547</v>
      </c>
      <c r="S734" s="7" t="s">
        <v>6548</v>
      </c>
      <c r="T734" s="7"/>
      <c r="U734" s="7" t="s">
        <v>6549</v>
      </c>
      <c r="V734" s="1">
        <v>10000</v>
      </c>
      <c r="W734" s="1">
        <v>70552000</v>
      </c>
      <c r="X734" s="1">
        <v>281000</v>
      </c>
      <c r="Y734" s="1">
        <v>8914000</v>
      </c>
      <c r="Z734" s="1">
        <v>30407000</v>
      </c>
      <c r="AA734" s="1">
        <v>5292000</v>
      </c>
      <c r="AB734" s="1">
        <v>6929000</v>
      </c>
      <c r="AC734" s="1">
        <v>0</v>
      </c>
      <c r="AD734" s="1">
        <v>0</v>
      </c>
      <c r="AE734" s="7" t="s">
        <v>317</v>
      </c>
      <c r="AF734" s="7" t="s">
        <v>1023</v>
      </c>
      <c r="AG734" s="7" t="s">
        <v>319</v>
      </c>
    </row>
    <row r="735" spans="1:33" ht="15.75" x14ac:dyDescent="0.25">
      <c r="A735" s="1">
        <v>1097746022769</v>
      </c>
      <c r="B735" s="6">
        <v>7732536402</v>
      </c>
      <c r="C735" s="7" t="s">
        <v>6550</v>
      </c>
      <c r="D735" s="7" t="s">
        <v>6551</v>
      </c>
      <c r="E735" s="6">
        <v>89634039</v>
      </c>
      <c r="F735" s="6">
        <v>45268562000</v>
      </c>
      <c r="G735" s="6">
        <v>16</v>
      </c>
      <c r="H735" s="6">
        <v>12300</v>
      </c>
      <c r="I735" s="6">
        <v>773101001</v>
      </c>
      <c r="J735" s="7" t="s">
        <v>6368</v>
      </c>
      <c r="K735" s="7"/>
      <c r="L735" s="1" t="s">
        <v>6552</v>
      </c>
      <c r="M735" s="7" t="s">
        <v>6553</v>
      </c>
      <c r="N735" s="7" t="s">
        <v>6554</v>
      </c>
      <c r="O735" s="7" t="s">
        <v>6555</v>
      </c>
      <c r="P735" s="8">
        <v>773127511510</v>
      </c>
      <c r="Q735" s="7" t="s">
        <v>41</v>
      </c>
      <c r="R735" s="7" t="s">
        <v>6556</v>
      </c>
      <c r="S735" s="7" t="s">
        <v>6557</v>
      </c>
      <c r="T735" s="7"/>
      <c r="U735" s="7" t="s">
        <v>6558</v>
      </c>
      <c r="V735" s="1">
        <v>10000</v>
      </c>
      <c r="W735" s="1">
        <v>48475000</v>
      </c>
      <c r="X735" s="1">
        <v>0</v>
      </c>
      <c r="Y735" s="1">
        <v>1508000</v>
      </c>
      <c r="Z735" s="1">
        <v>7034000</v>
      </c>
      <c r="AA735" s="1">
        <v>1193000</v>
      </c>
      <c r="AB735" s="1">
        <v>25764000</v>
      </c>
      <c r="AC735" s="1">
        <v>26487000</v>
      </c>
      <c r="AD735" s="1">
        <v>27630000</v>
      </c>
      <c r="AE735" s="7" t="s">
        <v>317</v>
      </c>
      <c r="AF735" s="7" t="s">
        <v>1534</v>
      </c>
      <c r="AG735" s="7" t="s">
        <v>319</v>
      </c>
    </row>
    <row r="736" spans="1:33" ht="15.75" x14ac:dyDescent="0.25">
      <c r="A736" s="3">
        <v>1025005117983</v>
      </c>
      <c r="B736" s="9">
        <v>5040001271</v>
      </c>
      <c r="C736" s="10" t="s">
        <v>6559</v>
      </c>
      <c r="D736" s="10" t="s">
        <v>6560</v>
      </c>
      <c r="E736" s="9">
        <v>18180847</v>
      </c>
      <c r="F736" s="9">
        <v>46468561000</v>
      </c>
      <c r="G736" s="9">
        <v>16</v>
      </c>
      <c r="H736" s="9">
        <v>12300</v>
      </c>
      <c r="I736" s="9">
        <v>504001001</v>
      </c>
      <c r="J736" s="10" t="s">
        <v>6561</v>
      </c>
      <c r="K736" s="10"/>
      <c r="L736" s="3" t="s">
        <v>1918</v>
      </c>
      <c r="M736" s="10" t="s">
        <v>1919</v>
      </c>
      <c r="N736" s="10" t="s">
        <v>6562</v>
      </c>
      <c r="O736" s="10" t="s">
        <v>6563</v>
      </c>
      <c r="P736" s="11">
        <v>504002067450</v>
      </c>
      <c r="Q736" s="10" t="s">
        <v>41</v>
      </c>
      <c r="R736" s="10" t="s">
        <v>6564</v>
      </c>
      <c r="S736" s="10" t="s">
        <v>6565</v>
      </c>
      <c r="T736" s="10"/>
      <c r="U736" s="10"/>
      <c r="V736" s="3">
        <v>10000</v>
      </c>
      <c r="W736" s="3">
        <v>36573000</v>
      </c>
      <c r="X736" s="3">
        <v>0</v>
      </c>
      <c r="Y736" s="3">
        <v>0</v>
      </c>
      <c r="Z736" s="3">
        <v>59000</v>
      </c>
      <c r="AA736" s="3">
        <v>6576000</v>
      </c>
      <c r="AB736" s="3">
        <v>25834000</v>
      </c>
      <c r="AC736" s="3">
        <v>0</v>
      </c>
      <c r="AD736" s="3">
        <v>0</v>
      </c>
      <c r="AE736" s="10" t="s">
        <v>317</v>
      </c>
      <c r="AF736" s="10" t="s">
        <v>493</v>
      </c>
      <c r="AG736" s="10" t="s">
        <v>319</v>
      </c>
    </row>
    <row r="737" spans="1:33" ht="15.75" x14ac:dyDescent="0.25">
      <c r="A737" s="1">
        <v>1147746985539</v>
      </c>
      <c r="B737" s="6">
        <v>7731478300</v>
      </c>
      <c r="C737" s="7" t="s">
        <v>6566</v>
      </c>
      <c r="D737" s="7" t="s">
        <v>6567</v>
      </c>
      <c r="E737" s="6">
        <v>28905079</v>
      </c>
      <c r="F737" s="6">
        <v>45268569000</v>
      </c>
      <c r="G737" s="6">
        <v>16</v>
      </c>
      <c r="H737" s="6">
        <v>12300</v>
      </c>
      <c r="I737" s="6">
        <v>773101001</v>
      </c>
      <c r="J737" s="7" t="s">
        <v>6568</v>
      </c>
      <c r="K737" s="7"/>
      <c r="L737" s="1" t="s">
        <v>445</v>
      </c>
      <c r="M737" s="7" t="s">
        <v>446</v>
      </c>
      <c r="N737" s="7" t="s">
        <v>6569</v>
      </c>
      <c r="O737" s="7" t="s">
        <v>6570</v>
      </c>
      <c r="P737" s="8">
        <v>772635787902</v>
      </c>
      <c r="Q737" s="7" t="s">
        <v>41</v>
      </c>
      <c r="R737" s="7" t="s">
        <v>6571</v>
      </c>
      <c r="S737" s="7" t="s">
        <v>6572</v>
      </c>
      <c r="T737" s="7"/>
      <c r="U737" s="7"/>
      <c r="V737" s="1">
        <v>10000</v>
      </c>
      <c r="W737" s="1">
        <v>87807000</v>
      </c>
      <c r="X737" s="1">
        <v>116621000</v>
      </c>
      <c r="Y737" s="1">
        <v>0</v>
      </c>
      <c r="Z737" s="1">
        <v>10031000</v>
      </c>
      <c r="AA737" s="1">
        <v>31863000</v>
      </c>
      <c r="AB737" s="1">
        <v>12153000</v>
      </c>
      <c r="AC737" s="1">
        <v>0</v>
      </c>
      <c r="AD737" s="1">
        <v>0</v>
      </c>
      <c r="AE737" s="7" t="s">
        <v>317</v>
      </c>
      <c r="AF737" s="7" t="s">
        <v>421</v>
      </c>
      <c r="AG737" s="7" t="s">
        <v>319</v>
      </c>
    </row>
    <row r="738" spans="1:33" ht="15.75" x14ac:dyDescent="0.25">
      <c r="A738" s="3">
        <v>1025004908972</v>
      </c>
      <c r="B738" s="9">
        <v>5038013488</v>
      </c>
      <c r="C738" s="10" t="s">
        <v>5266</v>
      </c>
      <c r="D738" s="10" t="s">
        <v>5267</v>
      </c>
      <c r="E738" s="9">
        <v>23460230</v>
      </c>
      <c r="F738" s="9">
        <v>46458000000</v>
      </c>
      <c r="G738" s="9">
        <v>16</v>
      </c>
      <c r="H738" s="9">
        <v>12300</v>
      </c>
      <c r="I738" s="9">
        <v>503801001</v>
      </c>
      <c r="J738" s="10" t="s">
        <v>6573</v>
      </c>
      <c r="K738" s="10"/>
      <c r="L738" s="3" t="s">
        <v>6574</v>
      </c>
      <c r="M738" s="10" t="s">
        <v>6575</v>
      </c>
      <c r="N738" s="10" t="s">
        <v>6576</v>
      </c>
      <c r="O738" s="10" t="s">
        <v>6577</v>
      </c>
      <c r="P738" s="11">
        <v>503802343185</v>
      </c>
      <c r="Q738" s="10" t="s">
        <v>41</v>
      </c>
      <c r="R738" s="10" t="s">
        <v>6578</v>
      </c>
      <c r="S738" s="10" t="s">
        <v>6579</v>
      </c>
      <c r="T738" s="10" t="s">
        <v>6580</v>
      </c>
      <c r="U738" s="10" t="s">
        <v>6581</v>
      </c>
      <c r="V738" s="3">
        <v>10000</v>
      </c>
      <c r="W738" s="3">
        <v>32579000</v>
      </c>
      <c r="X738" s="3">
        <v>4752000</v>
      </c>
      <c r="Y738" s="3">
        <v>2718000</v>
      </c>
      <c r="Z738" s="3">
        <v>1358000</v>
      </c>
      <c r="AA738" s="3">
        <v>1222000</v>
      </c>
      <c r="AB738" s="3">
        <v>-69000</v>
      </c>
      <c r="AC738" s="3">
        <v>0</v>
      </c>
      <c r="AD738" s="3">
        <v>0</v>
      </c>
      <c r="AE738" s="10" t="s">
        <v>317</v>
      </c>
      <c r="AF738" s="10" t="s">
        <v>286</v>
      </c>
      <c r="AG738" s="10" t="s">
        <v>319</v>
      </c>
    </row>
    <row r="739" spans="1:33" ht="15.75" x14ac:dyDescent="0.25">
      <c r="A739" s="1">
        <v>1097746060818</v>
      </c>
      <c r="B739" s="6">
        <v>7731623042</v>
      </c>
      <c r="C739" s="7" t="s">
        <v>6582</v>
      </c>
      <c r="D739" s="7" t="s">
        <v>6583</v>
      </c>
      <c r="E739" s="6">
        <v>60388909</v>
      </c>
      <c r="F739" s="6">
        <v>45280567000</v>
      </c>
      <c r="G739" s="6">
        <v>16</v>
      </c>
      <c r="H739" s="6">
        <v>12300</v>
      </c>
      <c r="I739" s="6">
        <v>771501001</v>
      </c>
      <c r="J739" s="7" t="s">
        <v>6161</v>
      </c>
      <c r="K739" s="7"/>
      <c r="L739" s="1" t="s">
        <v>2885</v>
      </c>
      <c r="M739" s="7" t="s">
        <v>2886</v>
      </c>
      <c r="N739" s="7" t="s">
        <v>6584</v>
      </c>
      <c r="O739" s="7" t="s">
        <v>6585</v>
      </c>
      <c r="P739" s="8">
        <v>773104610169</v>
      </c>
      <c r="Q739" s="7" t="s">
        <v>41</v>
      </c>
      <c r="R739" s="7" t="s">
        <v>6586</v>
      </c>
      <c r="S739" s="7" t="s">
        <v>6587</v>
      </c>
      <c r="T739" s="7"/>
      <c r="U739" s="7" t="s">
        <v>6588</v>
      </c>
      <c r="V739" s="1">
        <v>10000</v>
      </c>
      <c r="W739" s="1">
        <v>110561000</v>
      </c>
      <c r="X739" s="1">
        <v>0</v>
      </c>
      <c r="Y739" s="1">
        <v>112000</v>
      </c>
      <c r="Z739" s="1">
        <v>31762000</v>
      </c>
      <c r="AA739" s="1">
        <v>30713000</v>
      </c>
      <c r="AB739" s="1">
        <v>-751000</v>
      </c>
      <c r="AC739" s="1">
        <v>0</v>
      </c>
      <c r="AD739" s="1">
        <v>0</v>
      </c>
      <c r="AE739" s="7" t="s">
        <v>317</v>
      </c>
      <c r="AF739" s="7" t="s">
        <v>1023</v>
      </c>
      <c r="AG739" s="7" t="s">
        <v>319</v>
      </c>
    </row>
    <row r="740" spans="1:33" ht="15.75" x14ac:dyDescent="0.25">
      <c r="A740" s="3">
        <v>1025005690269</v>
      </c>
      <c r="B740" s="9">
        <v>5044031140</v>
      </c>
      <c r="C740" s="10" t="s">
        <v>6589</v>
      </c>
      <c r="D740" s="10" t="s">
        <v>6590</v>
      </c>
      <c r="E740" s="9">
        <v>53985295</v>
      </c>
      <c r="F740" s="9">
        <v>46471000000</v>
      </c>
      <c r="G740" s="9">
        <v>16</v>
      </c>
      <c r="H740" s="9">
        <v>12300</v>
      </c>
      <c r="I740" s="9">
        <v>504401001</v>
      </c>
      <c r="J740" s="10" t="s">
        <v>6591</v>
      </c>
      <c r="K740" s="10"/>
      <c r="L740" s="3" t="s">
        <v>1800</v>
      </c>
      <c r="M740" s="10" t="s">
        <v>1801</v>
      </c>
      <c r="N740" s="10" t="s">
        <v>6592</v>
      </c>
      <c r="O740" s="10" t="s">
        <v>6593</v>
      </c>
      <c r="P740" s="11">
        <v>504403049641</v>
      </c>
      <c r="Q740" s="10" t="s">
        <v>41</v>
      </c>
      <c r="R740" s="10" t="s">
        <v>6594</v>
      </c>
      <c r="S740" s="10" t="s">
        <v>6595</v>
      </c>
      <c r="T740" s="10"/>
      <c r="U740" s="10"/>
      <c r="V740" s="3">
        <v>10000</v>
      </c>
      <c r="W740" s="3">
        <v>51146000</v>
      </c>
      <c r="X740" s="3">
        <v>1262000</v>
      </c>
      <c r="Y740" s="3">
        <v>12325000</v>
      </c>
      <c r="Z740" s="3">
        <v>1997000</v>
      </c>
      <c r="AA740" s="3">
        <v>2019000</v>
      </c>
      <c r="AB740" s="3">
        <v>5218000</v>
      </c>
      <c r="AC740" s="3">
        <v>0</v>
      </c>
      <c r="AD740" s="3">
        <v>0</v>
      </c>
      <c r="AE740" s="10" t="s">
        <v>331</v>
      </c>
      <c r="AF740" s="10" t="s">
        <v>512</v>
      </c>
      <c r="AG740" s="10" t="s">
        <v>319</v>
      </c>
    </row>
    <row r="741" spans="1:33" ht="15.75" x14ac:dyDescent="0.25">
      <c r="A741" s="3">
        <v>1035006469520</v>
      </c>
      <c r="B741" s="9">
        <v>5032060474</v>
      </c>
      <c r="C741" s="10" t="s">
        <v>6596</v>
      </c>
      <c r="D741" s="10" t="s">
        <v>6597</v>
      </c>
      <c r="E741" s="9">
        <v>53892798</v>
      </c>
      <c r="F741" s="9">
        <v>46455000065</v>
      </c>
      <c r="G741" s="9">
        <v>16</v>
      </c>
      <c r="H741" s="9">
        <v>12300</v>
      </c>
      <c r="I741" s="9">
        <v>503201001</v>
      </c>
      <c r="J741" s="10" t="s">
        <v>6598</v>
      </c>
      <c r="K741" s="10"/>
      <c r="L741" s="3" t="s">
        <v>74</v>
      </c>
      <c r="M741" s="10" t="s">
        <v>75</v>
      </c>
      <c r="N741" s="10" t="s">
        <v>6599</v>
      </c>
      <c r="O741" s="10" t="s">
        <v>6600</v>
      </c>
      <c r="P741" s="11">
        <v>504700275700</v>
      </c>
      <c r="Q741" s="10" t="s">
        <v>340</v>
      </c>
      <c r="R741" s="10" t="s">
        <v>6601</v>
      </c>
      <c r="S741" s="10" t="s">
        <v>6602</v>
      </c>
      <c r="T741" s="10"/>
      <c r="U741" s="10" t="s">
        <v>6603</v>
      </c>
      <c r="V741" s="3">
        <v>10000</v>
      </c>
      <c r="W741" s="3">
        <v>40324000</v>
      </c>
      <c r="X741" s="3">
        <v>0</v>
      </c>
      <c r="Y741" s="3">
        <v>2109000</v>
      </c>
      <c r="Z741" s="3">
        <v>762000</v>
      </c>
      <c r="AA741" s="3">
        <v>538000</v>
      </c>
      <c r="AB741" s="3">
        <v>13735000</v>
      </c>
      <c r="AC741" s="3">
        <v>0</v>
      </c>
      <c r="AD741" s="3">
        <v>0</v>
      </c>
      <c r="AE741" s="10" t="s">
        <v>317</v>
      </c>
      <c r="AF741" s="10" t="s">
        <v>318</v>
      </c>
      <c r="AG741" s="10" t="s">
        <v>319</v>
      </c>
    </row>
    <row r="742" spans="1:33" ht="15.75" x14ac:dyDescent="0.25">
      <c r="A742" s="1">
        <v>1025004583229</v>
      </c>
      <c r="B742" s="6">
        <v>5034011031</v>
      </c>
      <c r="C742" s="7" t="s">
        <v>6604</v>
      </c>
      <c r="D742" s="7" t="s">
        <v>6605</v>
      </c>
      <c r="E742" s="6">
        <v>3013629</v>
      </c>
      <c r="F742" s="6">
        <v>46457000000</v>
      </c>
      <c r="G742" s="6">
        <v>16</v>
      </c>
      <c r="H742" s="6">
        <v>12300</v>
      </c>
      <c r="I742" s="6">
        <v>503401001</v>
      </c>
      <c r="J742" s="7" t="s">
        <v>6606</v>
      </c>
      <c r="K742" s="7"/>
      <c r="L742" s="1" t="s">
        <v>2575</v>
      </c>
      <c r="M742" s="7" t="s">
        <v>2576</v>
      </c>
      <c r="N742" s="7" t="s">
        <v>6607</v>
      </c>
      <c r="O742" s="7" t="s">
        <v>6608</v>
      </c>
      <c r="P742" s="8">
        <v>503401604055</v>
      </c>
      <c r="Q742" s="7" t="s">
        <v>150</v>
      </c>
      <c r="R742" s="7" t="s">
        <v>6609</v>
      </c>
      <c r="S742" s="7" t="s">
        <v>6610</v>
      </c>
      <c r="T742" s="7"/>
      <c r="U742" s="7"/>
      <c r="V742" s="1">
        <v>10000</v>
      </c>
      <c r="W742" s="1">
        <v>60218000</v>
      </c>
      <c r="X742" s="1">
        <v>6620000</v>
      </c>
      <c r="Y742" s="1">
        <v>1909000</v>
      </c>
      <c r="Z742" s="1">
        <v>53700000</v>
      </c>
      <c r="AA742" s="1">
        <v>3759000</v>
      </c>
      <c r="AB742" s="1">
        <v>3515000</v>
      </c>
      <c r="AC742" s="1">
        <v>0</v>
      </c>
      <c r="AD742" s="1">
        <v>0</v>
      </c>
      <c r="AE742" s="7" t="s">
        <v>331</v>
      </c>
      <c r="AF742" s="7" t="s">
        <v>1104</v>
      </c>
      <c r="AG742" s="7" t="s">
        <v>319</v>
      </c>
    </row>
    <row r="743" spans="1:33" ht="15.75" x14ac:dyDescent="0.25">
      <c r="A743" s="3">
        <v>1097746111308</v>
      </c>
      <c r="B743" s="9">
        <v>7715749898</v>
      </c>
      <c r="C743" s="10" t="s">
        <v>6611</v>
      </c>
      <c r="D743" s="10" t="s">
        <v>6612</v>
      </c>
      <c r="E743" s="9">
        <v>60458685</v>
      </c>
      <c r="F743" s="9">
        <v>45286575000</v>
      </c>
      <c r="G743" s="9">
        <v>16</v>
      </c>
      <c r="H743" s="9">
        <v>12300</v>
      </c>
      <c r="I743" s="9">
        <v>770301001</v>
      </c>
      <c r="J743" s="10" t="s">
        <v>6237</v>
      </c>
      <c r="K743" s="10"/>
      <c r="L743" s="3" t="s">
        <v>6613</v>
      </c>
      <c r="M743" s="10" t="s">
        <v>6614</v>
      </c>
      <c r="N743" s="10" t="s">
        <v>6615</v>
      </c>
      <c r="O743" s="10" t="s">
        <v>6616</v>
      </c>
      <c r="P743" s="11">
        <v>166002572608</v>
      </c>
      <c r="Q743" s="10" t="s">
        <v>41</v>
      </c>
      <c r="R743" s="10" t="s">
        <v>6617</v>
      </c>
      <c r="S743" s="10" t="s">
        <v>6618</v>
      </c>
      <c r="T743" s="10"/>
      <c r="U743" s="10" t="s">
        <v>6619</v>
      </c>
      <c r="V743" s="3">
        <v>10000</v>
      </c>
      <c r="W743" s="3">
        <v>48004000</v>
      </c>
      <c r="X743" s="3">
        <v>19000</v>
      </c>
      <c r="Y743" s="3">
        <v>1032000</v>
      </c>
      <c r="Z743" s="3">
        <v>13862000</v>
      </c>
      <c r="AA743" s="3">
        <v>5935000</v>
      </c>
      <c r="AB743" s="3">
        <v>7199000</v>
      </c>
      <c r="AC743" s="3">
        <v>0</v>
      </c>
      <c r="AD743" s="3">
        <v>0</v>
      </c>
      <c r="AE743" s="10" t="s">
        <v>317</v>
      </c>
      <c r="AF743" s="10" t="s">
        <v>493</v>
      </c>
      <c r="AG743" s="10" t="s">
        <v>319</v>
      </c>
    </row>
    <row r="744" spans="1:33" ht="15.75" x14ac:dyDescent="0.25">
      <c r="A744" s="1">
        <v>1097746073512</v>
      </c>
      <c r="B744" s="6">
        <v>7728693138</v>
      </c>
      <c r="C744" s="7" t="s">
        <v>6620</v>
      </c>
      <c r="D744" s="7" t="s">
        <v>6621</v>
      </c>
      <c r="E744" s="6">
        <v>60442827</v>
      </c>
      <c r="F744" s="6">
        <v>45293578000</v>
      </c>
      <c r="G744" s="6">
        <v>16</v>
      </c>
      <c r="H744" s="6">
        <v>12300</v>
      </c>
      <c r="I744" s="6">
        <v>772801001</v>
      </c>
      <c r="J744" s="7" t="s">
        <v>6622</v>
      </c>
      <c r="K744" s="7"/>
      <c r="L744" s="1" t="s">
        <v>6623</v>
      </c>
      <c r="M744" s="7" t="s">
        <v>6624</v>
      </c>
      <c r="N744" s="7" t="s">
        <v>6625</v>
      </c>
      <c r="O744" s="7" t="s">
        <v>6626</v>
      </c>
      <c r="P744" s="8">
        <v>772875326503</v>
      </c>
      <c r="Q744" s="7" t="s">
        <v>41</v>
      </c>
      <c r="R744" s="7" t="s">
        <v>6627</v>
      </c>
      <c r="S744" s="7" t="s">
        <v>6628</v>
      </c>
      <c r="T744" s="7"/>
      <c r="U744" s="7"/>
      <c r="V744" s="1">
        <v>10000</v>
      </c>
      <c r="W744" s="1">
        <v>41811000</v>
      </c>
      <c r="X744" s="1">
        <v>0</v>
      </c>
      <c r="Y744" s="1">
        <v>24000</v>
      </c>
      <c r="Z744" s="1">
        <v>6295000</v>
      </c>
      <c r="AA744" s="1">
        <v>894000</v>
      </c>
      <c r="AB744" s="1">
        <v>6932000</v>
      </c>
      <c r="AC744" s="1">
        <v>0</v>
      </c>
      <c r="AD744" s="1">
        <v>0</v>
      </c>
      <c r="AE744" s="7" t="s">
        <v>317</v>
      </c>
      <c r="AF744" s="7" t="s">
        <v>410</v>
      </c>
      <c r="AG744" s="7" t="s">
        <v>319</v>
      </c>
    </row>
    <row r="745" spans="1:33" ht="15.75" x14ac:dyDescent="0.25">
      <c r="A745" s="3">
        <v>1097746161468</v>
      </c>
      <c r="B745" s="9">
        <v>7724702695</v>
      </c>
      <c r="C745" s="10" t="s">
        <v>6629</v>
      </c>
      <c r="D745" s="10" t="s">
        <v>6630</v>
      </c>
      <c r="E745" s="9">
        <v>60505002</v>
      </c>
      <c r="F745" s="9">
        <v>45277595000</v>
      </c>
      <c r="G745" s="9">
        <v>16</v>
      </c>
      <c r="H745" s="9">
        <v>12300</v>
      </c>
      <c r="I745" s="9">
        <v>774301001</v>
      </c>
      <c r="J745" s="10" t="s">
        <v>6024</v>
      </c>
      <c r="K745" s="10"/>
      <c r="L745" s="3" t="s">
        <v>1432</v>
      </c>
      <c r="M745" s="10" t="s">
        <v>1433</v>
      </c>
      <c r="N745" s="10" t="s">
        <v>6631</v>
      </c>
      <c r="O745" s="10" t="s">
        <v>6632</v>
      </c>
      <c r="P745" s="11">
        <v>772478309406</v>
      </c>
      <c r="Q745" s="10" t="s">
        <v>41</v>
      </c>
      <c r="R745" s="10" t="s">
        <v>6633</v>
      </c>
      <c r="S745" s="10" t="s">
        <v>6634</v>
      </c>
      <c r="T745" s="10"/>
      <c r="U745" s="10" t="s">
        <v>6635</v>
      </c>
      <c r="V745" s="3">
        <v>10000</v>
      </c>
      <c r="W745" s="3">
        <v>46915000</v>
      </c>
      <c r="X745" s="3">
        <v>6300000</v>
      </c>
      <c r="Y745" s="3">
        <v>0</v>
      </c>
      <c r="Z745" s="3">
        <v>0</v>
      </c>
      <c r="AA745" s="3">
        <v>141000</v>
      </c>
      <c r="AB745" s="3">
        <v>3340000</v>
      </c>
      <c r="AC745" s="3">
        <v>0</v>
      </c>
      <c r="AD745" s="3">
        <v>0</v>
      </c>
      <c r="AE745" s="10" t="s">
        <v>317</v>
      </c>
      <c r="AF745" s="10" t="s">
        <v>493</v>
      </c>
      <c r="AG745" s="10" t="s">
        <v>319</v>
      </c>
    </row>
    <row r="746" spans="1:33" ht="15.75" x14ac:dyDescent="0.25">
      <c r="A746" s="1">
        <v>1025004642420</v>
      </c>
      <c r="B746" s="6">
        <v>5035013507</v>
      </c>
      <c r="C746" s="7" t="s">
        <v>6636</v>
      </c>
      <c r="D746" s="7" t="s">
        <v>6637</v>
      </c>
      <c r="E746" s="6">
        <v>42229142</v>
      </c>
      <c r="F746" s="6">
        <v>46459000000</v>
      </c>
      <c r="G746" s="6">
        <v>16</v>
      </c>
      <c r="H746" s="6">
        <v>12300</v>
      </c>
      <c r="I746" s="6">
        <v>503501001</v>
      </c>
      <c r="J746" s="7" t="s">
        <v>6638</v>
      </c>
      <c r="K746" s="7"/>
      <c r="L746" s="1" t="s">
        <v>1163</v>
      </c>
      <c r="M746" s="7" t="s">
        <v>1164</v>
      </c>
      <c r="N746" s="7" t="s">
        <v>6639</v>
      </c>
      <c r="O746" s="7" t="s">
        <v>6640</v>
      </c>
      <c r="P746" s="8">
        <v>503508058786</v>
      </c>
      <c r="Q746" s="7" t="s">
        <v>41</v>
      </c>
      <c r="R746" s="7" t="s">
        <v>6641</v>
      </c>
      <c r="S746" s="7" t="s">
        <v>6642</v>
      </c>
      <c r="T746" s="7"/>
      <c r="U746" s="7" t="s">
        <v>6643</v>
      </c>
      <c r="V746" s="1">
        <v>10000</v>
      </c>
      <c r="W746" s="1">
        <v>62230000</v>
      </c>
      <c r="X746" s="1">
        <v>10573000</v>
      </c>
      <c r="Y746" s="1">
        <v>0</v>
      </c>
      <c r="Z746" s="1">
        <v>4009000</v>
      </c>
      <c r="AA746" s="1">
        <v>931000</v>
      </c>
      <c r="AB746" s="1">
        <v>380000</v>
      </c>
      <c r="AC746" s="1">
        <v>0</v>
      </c>
      <c r="AD746" s="1">
        <v>0</v>
      </c>
      <c r="AE746" s="7" t="s">
        <v>331</v>
      </c>
      <c r="AF746" s="7" t="s">
        <v>878</v>
      </c>
      <c r="AG746" s="7" t="s">
        <v>319</v>
      </c>
    </row>
    <row r="747" spans="1:33" ht="15.75" x14ac:dyDescent="0.25">
      <c r="A747" s="3">
        <v>1097746117534</v>
      </c>
      <c r="B747" s="9">
        <v>7724701476</v>
      </c>
      <c r="C747" s="10" t="s">
        <v>6644</v>
      </c>
      <c r="D747" s="10" t="s">
        <v>6645</v>
      </c>
      <c r="E747" s="9">
        <v>60437016</v>
      </c>
      <c r="F747" s="9">
        <v>45286560000</v>
      </c>
      <c r="G747" s="9">
        <v>16</v>
      </c>
      <c r="H747" s="9">
        <v>12300</v>
      </c>
      <c r="I747" s="9">
        <v>770501001</v>
      </c>
      <c r="J747" s="10" t="s">
        <v>6646</v>
      </c>
      <c r="K747" s="10"/>
      <c r="L747" s="3" t="s">
        <v>3100</v>
      </c>
      <c r="M747" s="10" t="s">
        <v>3101</v>
      </c>
      <c r="N747" s="10"/>
      <c r="O747" s="10" t="s">
        <v>6647</v>
      </c>
      <c r="P747" s="11">
        <v>772904566710</v>
      </c>
      <c r="Q747" s="10" t="s">
        <v>41</v>
      </c>
      <c r="R747" s="10" t="s">
        <v>6648</v>
      </c>
      <c r="S747" s="10" t="s">
        <v>6649</v>
      </c>
      <c r="T747" s="10"/>
      <c r="U747" s="10" t="s">
        <v>6650</v>
      </c>
      <c r="V747" s="3">
        <v>10000</v>
      </c>
      <c r="W747" s="3">
        <v>107141000</v>
      </c>
      <c r="X747" s="3">
        <v>20034000</v>
      </c>
      <c r="Y747" s="3">
        <v>15000</v>
      </c>
      <c r="Z747" s="3">
        <v>19904000</v>
      </c>
      <c r="AA747" s="3">
        <v>3826000</v>
      </c>
      <c r="AB747" s="3">
        <v>12817000</v>
      </c>
      <c r="AC747" s="3">
        <v>0</v>
      </c>
      <c r="AD747" s="3">
        <v>0</v>
      </c>
      <c r="AE747" s="10" t="s">
        <v>317</v>
      </c>
      <c r="AF747" s="10" t="s">
        <v>461</v>
      </c>
      <c r="AG747" s="10" t="s">
        <v>319</v>
      </c>
    </row>
    <row r="748" spans="1:33" ht="15.75" x14ac:dyDescent="0.25">
      <c r="A748" s="1">
        <v>1097746177781</v>
      </c>
      <c r="B748" s="6">
        <v>7702705808</v>
      </c>
      <c r="C748" s="7" t="s">
        <v>6651</v>
      </c>
      <c r="D748" s="7" t="s">
        <v>6652</v>
      </c>
      <c r="E748" s="6">
        <v>60511669</v>
      </c>
      <c r="F748" s="6">
        <v>45286570000</v>
      </c>
      <c r="G748" s="6">
        <v>16</v>
      </c>
      <c r="H748" s="6">
        <v>12300</v>
      </c>
      <c r="I748" s="6">
        <v>770201001</v>
      </c>
      <c r="J748" s="7" t="s">
        <v>6653</v>
      </c>
      <c r="K748" s="7"/>
      <c r="L748" s="1" t="s">
        <v>565</v>
      </c>
      <c r="M748" s="7" t="s">
        <v>680</v>
      </c>
      <c r="N748" s="7" t="s">
        <v>6654</v>
      </c>
      <c r="O748" s="7" t="s">
        <v>6655</v>
      </c>
      <c r="P748" s="8">
        <v>507403532572</v>
      </c>
      <c r="Q748" s="7" t="s">
        <v>41</v>
      </c>
      <c r="R748" s="7" t="s">
        <v>6656</v>
      </c>
      <c r="S748" s="7" t="s">
        <v>6657</v>
      </c>
      <c r="T748" s="7"/>
      <c r="U748" s="7"/>
      <c r="V748" s="1">
        <v>10000</v>
      </c>
      <c r="W748" s="1">
        <v>47576000</v>
      </c>
      <c r="X748" s="1">
        <v>0</v>
      </c>
      <c r="Y748" s="1">
        <v>1094000</v>
      </c>
      <c r="Z748" s="1">
        <v>39962000</v>
      </c>
      <c r="AA748" s="1">
        <v>3377000</v>
      </c>
      <c r="AB748" s="1">
        <v>3781000</v>
      </c>
      <c r="AC748" s="1">
        <v>0</v>
      </c>
      <c r="AD748" s="1">
        <v>0</v>
      </c>
      <c r="AE748" s="7" t="s">
        <v>317</v>
      </c>
      <c r="AF748" s="7" t="s">
        <v>1023</v>
      </c>
      <c r="AG748" s="7" t="s">
        <v>319</v>
      </c>
    </row>
    <row r="749" spans="1:33" ht="15.75" x14ac:dyDescent="0.25">
      <c r="A749" s="3">
        <v>1097746098097</v>
      </c>
      <c r="B749" s="9">
        <v>7735557961</v>
      </c>
      <c r="C749" s="10" t="s">
        <v>6658</v>
      </c>
      <c r="D749" s="10" t="s">
        <v>6659</v>
      </c>
      <c r="E749" s="9">
        <v>60476186</v>
      </c>
      <c r="F749" s="9">
        <v>45272580000</v>
      </c>
      <c r="G749" s="9">
        <v>16</v>
      </c>
      <c r="H749" s="9">
        <v>12300</v>
      </c>
      <c r="I749" s="9">
        <v>773501001</v>
      </c>
      <c r="J749" s="10" t="s">
        <v>6660</v>
      </c>
      <c r="K749" s="10"/>
      <c r="L749" s="3" t="s">
        <v>6661</v>
      </c>
      <c r="M749" s="10" t="s">
        <v>6662</v>
      </c>
      <c r="N749" s="10" t="s">
        <v>6663</v>
      </c>
      <c r="O749" s="10" t="s">
        <v>6664</v>
      </c>
      <c r="P749" s="11">
        <v>773507085410</v>
      </c>
      <c r="Q749" s="10" t="s">
        <v>340</v>
      </c>
      <c r="R749" s="10" t="s">
        <v>6665</v>
      </c>
      <c r="S749" s="10" t="s">
        <v>6666</v>
      </c>
      <c r="T749" s="10"/>
      <c r="U749" s="10"/>
      <c r="V749" s="3">
        <v>10000</v>
      </c>
      <c r="W749" s="3">
        <v>86042000</v>
      </c>
      <c r="X749" s="3">
        <v>8801000</v>
      </c>
      <c r="Y749" s="3">
        <v>89000</v>
      </c>
      <c r="Z749" s="3">
        <v>3384000</v>
      </c>
      <c r="AA749" s="3">
        <v>10279000</v>
      </c>
      <c r="AB749" s="3">
        <v>15808000</v>
      </c>
      <c r="AC749" s="3">
        <v>17136000</v>
      </c>
      <c r="AD749" s="3">
        <v>18528000</v>
      </c>
      <c r="AE749" s="10" t="s">
        <v>317</v>
      </c>
      <c r="AF749" s="10" t="s">
        <v>345</v>
      </c>
      <c r="AG749" s="10" t="s">
        <v>319</v>
      </c>
    </row>
    <row r="750" spans="1:33" ht="15.75" x14ac:dyDescent="0.25">
      <c r="A750" s="3">
        <v>1025005120360</v>
      </c>
      <c r="B750" s="9">
        <v>5040055686</v>
      </c>
      <c r="C750" s="10" t="s">
        <v>6667</v>
      </c>
      <c r="D750" s="10" t="s">
        <v>6668</v>
      </c>
      <c r="E750" s="9">
        <v>59377941</v>
      </c>
      <c r="F750" s="9">
        <v>46468000000</v>
      </c>
      <c r="G750" s="9">
        <v>16</v>
      </c>
      <c r="H750" s="9">
        <v>12300</v>
      </c>
      <c r="I750" s="9">
        <v>504001001</v>
      </c>
      <c r="J750" s="10" t="s">
        <v>6669</v>
      </c>
      <c r="K750" s="10"/>
      <c r="L750" s="3" t="s">
        <v>445</v>
      </c>
      <c r="M750" s="10" t="s">
        <v>446</v>
      </c>
      <c r="N750" s="10" t="s">
        <v>6670</v>
      </c>
      <c r="O750" s="10" t="s">
        <v>6671</v>
      </c>
      <c r="P750" s="11">
        <v>504000478870</v>
      </c>
      <c r="Q750" s="10" t="s">
        <v>150</v>
      </c>
      <c r="R750" s="10" t="s">
        <v>6672</v>
      </c>
      <c r="S750" s="10" t="s">
        <v>6673</v>
      </c>
      <c r="T750" s="10"/>
      <c r="U750" s="10"/>
      <c r="V750" s="3">
        <v>10000</v>
      </c>
      <c r="W750" s="3">
        <v>64240000</v>
      </c>
      <c r="X750" s="3">
        <v>10194000</v>
      </c>
      <c r="Y750" s="3">
        <v>0</v>
      </c>
      <c r="Z750" s="3">
        <v>3274000</v>
      </c>
      <c r="AA750" s="3">
        <v>3714000</v>
      </c>
      <c r="AB750" s="3">
        <v>191000</v>
      </c>
      <c r="AC750" s="3">
        <v>0</v>
      </c>
      <c r="AD750" s="3">
        <v>0</v>
      </c>
      <c r="AE750" s="10" t="s">
        <v>317</v>
      </c>
      <c r="AF750" s="10" t="s">
        <v>461</v>
      </c>
      <c r="AG750" s="10" t="s">
        <v>319</v>
      </c>
    </row>
    <row r="751" spans="1:33" ht="15.75" x14ac:dyDescent="0.25">
      <c r="A751" s="1">
        <v>1097746158201</v>
      </c>
      <c r="B751" s="6">
        <v>7719720272</v>
      </c>
      <c r="C751" s="7" t="s">
        <v>6674</v>
      </c>
      <c r="D751" s="7" t="s">
        <v>6675</v>
      </c>
      <c r="E751" s="6">
        <v>60498319</v>
      </c>
      <c r="F751" s="6">
        <v>45286575000</v>
      </c>
      <c r="G751" s="6">
        <v>16</v>
      </c>
      <c r="H751" s="6">
        <v>12300</v>
      </c>
      <c r="I751" s="6">
        <v>770301001</v>
      </c>
      <c r="J751" s="7" t="s">
        <v>6123</v>
      </c>
      <c r="K751" s="7"/>
      <c r="L751" s="1" t="s">
        <v>6676</v>
      </c>
      <c r="M751" s="7" t="s">
        <v>6677</v>
      </c>
      <c r="N751" s="7" t="s">
        <v>6678</v>
      </c>
      <c r="O751" s="7" t="s">
        <v>6679</v>
      </c>
      <c r="P751" s="8">
        <v>614105738236</v>
      </c>
      <c r="Q751" s="7" t="s">
        <v>41</v>
      </c>
      <c r="R751" s="7" t="s">
        <v>6680</v>
      </c>
      <c r="S751" s="7" t="s">
        <v>6681</v>
      </c>
      <c r="T751" s="7"/>
      <c r="U751" s="7"/>
      <c r="V751" s="1">
        <v>10000</v>
      </c>
      <c r="W751" s="1">
        <v>51995000</v>
      </c>
      <c r="X751" s="1">
        <v>144000</v>
      </c>
      <c r="Y751" s="1">
        <v>0</v>
      </c>
      <c r="Z751" s="1">
        <v>2000</v>
      </c>
      <c r="AA751" s="1">
        <v>1505000</v>
      </c>
      <c r="AB751" s="1">
        <v>-765000</v>
      </c>
      <c r="AC751" s="1">
        <v>0</v>
      </c>
      <c r="AD751" s="1">
        <v>0</v>
      </c>
      <c r="AE751" s="7" t="s">
        <v>331</v>
      </c>
      <c r="AF751" s="7" t="s">
        <v>1226</v>
      </c>
      <c r="AG751" s="7" t="s">
        <v>319</v>
      </c>
    </row>
    <row r="752" spans="1:33" ht="15.75" x14ac:dyDescent="0.25">
      <c r="A752" s="3">
        <v>1097746033571</v>
      </c>
      <c r="B752" s="9">
        <v>7729627466</v>
      </c>
      <c r="C752" s="10" t="s">
        <v>6682</v>
      </c>
      <c r="D752" s="10" t="s">
        <v>6683</v>
      </c>
      <c r="E752" s="9">
        <v>89652132</v>
      </c>
      <c r="F752" s="9">
        <v>45268592000</v>
      </c>
      <c r="G752" s="9">
        <v>16</v>
      </c>
      <c r="H752" s="9">
        <v>12300</v>
      </c>
      <c r="I752" s="9">
        <v>772901001</v>
      </c>
      <c r="J752" s="10" t="s">
        <v>6684</v>
      </c>
      <c r="K752" s="10"/>
      <c r="L752" s="3" t="s">
        <v>1072</v>
      </c>
      <c r="M752" s="10" t="s">
        <v>1073</v>
      </c>
      <c r="N752" s="10" t="s">
        <v>6685</v>
      </c>
      <c r="O752" s="10" t="s">
        <v>6686</v>
      </c>
      <c r="P752" s="11">
        <v>772919559628</v>
      </c>
      <c r="Q752" s="10" t="s">
        <v>340</v>
      </c>
      <c r="R752" s="10" t="s">
        <v>6687</v>
      </c>
      <c r="S752" s="10" t="s">
        <v>6688</v>
      </c>
      <c r="T752" s="10"/>
      <c r="U752" s="10"/>
      <c r="V752" s="3">
        <v>10000</v>
      </c>
      <c r="W752" s="3">
        <v>59911000</v>
      </c>
      <c r="X752" s="3">
        <v>198000</v>
      </c>
      <c r="Y752" s="3">
        <v>12000</v>
      </c>
      <c r="Z752" s="3">
        <v>13959000</v>
      </c>
      <c r="AA752" s="3">
        <v>5050000</v>
      </c>
      <c r="AB752" s="3">
        <v>19867000</v>
      </c>
      <c r="AC752" s="3">
        <v>0</v>
      </c>
      <c r="AD752" s="3">
        <v>0</v>
      </c>
      <c r="AE752" s="10" t="s">
        <v>317</v>
      </c>
      <c r="AF752" s="10" t="s">
        <v>1465</v>
      </c>
      <c r="AG752" s="10" t="s">
        <v>319</v>
      </c>
    </row>
    <row r="753" spans="1:33" ht="15.75" x14ac:dyDescent="0.25">
      <c r="A753" s="1">
        <v>1025004910358</v>
      </c>
      <c r="B753" s="6">
        <v>5038012572</v>
      </c>
      <c r="C753" s="7" t="s">
        <v>6689</v>
      </c>
      <c r="D753" s="7" t="s">
        <v>6690</v>
      </c>
      <c r="E753" s="6">
        <v>33030068</v>
      </c>
      <c r="F753" s="6">
        <v>46458561000</v>
      </c>
      <c r="G753" s="6">
        <v>16</v>
      </c>
      <c r="H753" s="6">
        <v>12300</v>
      </c>
      <c r="I753" s="6">
        <v>503801001</v>
      </c>
      <c r="J753" s="7" t="s">
        <v>6691</v>
      </c>
      <c r="K753" s="7"/>
      <c r="L753" s="1" t="s">
        <v>6692</v>
      </c>
      <c r="M753" s="7" t="s">
        <v>6693</v>
      </c>
      <c r="N753" s="7" t="s">
        <v>6694</v>
      </c>
      <c r="O753" s="7" t="s">
        <v>6695</v>
      </c>
      <c r="P753" s="8">
        <v>773577024756</v>
      </c>
      <c r="Q753" s="7" t="s">
        <v>1379</v>
      </c>
      <c r="R753" s="7" t="s">
        <v>6696</v>
      </c>
      <c r="S753" s="7" t="s">
        <v>6697</v>
      </c>
      <c r="T753" s="7"/>
      <c r="U753" s="7"/>
      <c r="V753" s="1">
        <v>10000</v>
      </c>
      <c r="W753" s="1">
        <v>51985000</v>
      </c>
      <c r="X753" s="1">
        <v>0</v>
      </c>
      <c r="Y753" s="1">
        <v>7925000</v>
      </c>
      <c r="Z753" s="1">
        <v>5183000</v>
      </c>
      <c r="AA753" s="1">
        <v>467000</v>
      </c>
      <c r="AB753" s="1">
        <v>6353000</v>
      </c>
      <c r="AC753" s="1">
        <v>0</v>
      </c>
      <c r="AD753" s="1">
        <v>0</v>
      </c>
      <c r="AE753" s="7" t="s">
        <v>317</v>
      </c>
      <c r="AF753" s="7" t="s">
        <v>740</v>
      </c>
      <c r="AG753" s="7" t="s">
        <v>319</v>
      </c>
    </row>
    <row r="754" spans="1:33" ht="15.75" x14ac:dyDescent="0.25">
      <c r="A754" s="3">
        <v>1157746543360</v>
      </c>
      <c r="B754" s="9">
        <v>7725277193</v>
      </c>
      <c r="C754" s="10" t="s">
        <v>6698</v>
      </c>
      <c r="D754" s="10" t="s">
        <v>6699</v>
      </c>
      <c r="E754" s="9">
        <v>46349452</v>
      </c>
      <c r="F754" s="9">
        <v>45286555000</v>
      </c>
      <c r="G754" s="9">
        <v>16</v>
      </c>
      <c r="H754" s="9">
        <v>12300</v>
      </c>
      <c r="I754" s="9">
        <v>770101001</v>
      </c>
      <c r="J754" s="10" t="s">
        <v>6700</v>
      </c>
      <c r="K754" s="10"/>
      <c r="L754" s="3" t="s">
        <v>6701</v>
      </c>
      <c r="M754" s="10" t="s">
        <v>6702</v>
      </c>
      <c r="N754" s="10" t="s">
        <v>6703</v>
      </c>
      <c r="O754" s="10" t="s">
        <v>6704</v>
      </c>
      <c r="P754" s="11">
        <v>644936597311</v>
      </c>
      <c r="Q754" s="10" t="s">
        <v>41</v>
      </c>
      <c r="R754" s="10" t="s">
        <v>6705</v>
      </c>
      <c r="S754" s="10" t="s">
        <v>6706</v>
      </c>
      <c r="T754" s="10"/>
      <c r="U754" s="10" t="s">
        <v>6707</v>
      </c>
      <c r="V754" s="3">
        <v>10000</v>
      </c>
      <c r="W754" s="3">
        <v>40521000</v>
      </c>
      <c r="X754" s="3">
        <v>0</v>
      </c>
      <c r="Y754" s="3">
        <v>0</v>
      </c>
      <c r="Z754" s="3">
        <v>18563000</v>
      </c>
      <c r="AA754" s="3">
        <v>9976000</v>
      </c>
      <c r="AB754" s="3">
        <v>32313000</v>
      </c>
      <c r="AC754" s="3">
        <v>0</v>
      </c>
      <c r="AD754" s="3">
        <v>0</v>
      </c>
      <c r="AE754" s="10" t="s">
        <v>317</v>
      </c>
      <c r="AF754" s="10" t="s">
        <v>421</v>
      </c>
      <c r="AG754" s="10" t="s">
        <v>319</v>
      </c>
    </row>
    <row r="755" spans="1:33" ht="15.75" x14ac:dyDescent="0.25">
      <c r="A755" s="1">
        <v>1157746565954</v>
      </c>
      <c r="B755" s="6">
        <v>7730176828</v>
      </c>
      <c r="C755" s="7" t="s">
        <v>6708</v>
      </c>
      <c r="D755" s="7" t="s">
        <v>6709</v>
      </c>
      <c r="E755" s="6">
        <v>46436240</v>
      </c>
      <c r="F755" s="6">
        <v>45283582000</v>
      </c>
      <c r="G755" s="6">
        <v>16</v>
      </c>
      <c r="H755" s="6">
        <v>12300</v>
      </c>
      <c r="I755" s="6">
        <v>773401001</v>
      </c>
      <c r="J755" s="7" t="s">
        <v>6710</v>
      </c>
      <c r="K755" s="7"/>
      <c r="L755" s="1" t="s">
        <v>288</v>
      </c>
      <c r="M755" s="7" t="s">
        <v>289</v>
      </c>
      <c r="N755" s="7" t="s">
        <v>6711</v>
      </c>
      <c r="O755" s="7" t="s">
        <v>6712</v>
      </c>
      <c r="P755" s="8">
        <v>771505559935</v>
      </c>
      <c r="Q755" s="7" t="s">
        <v>41</v>
      </c>
      <c r="R755" s="7" t="s">
        <v>6713</v>
      </c>
      <c r="S755" s="7" t="s">
        <v>6714</v>
      </c>
      <c r="T755" s="7"/>
      <c r="U755" s="7"/>
      <c r="V755" s="1">
        <v>10000</v>
      </c>
      <c r="W755" s="1">
        <v>62495000</v>
      </c>
      <c r="X755" s="1">
        <v>0</v>
      </c>
      <c r="Y755" s="1">
        <v>75874000</v>
      </c>
      <c r="Z755" s="1">
        <v>29795000</v>
      </c>
      <c r="AA755" s="1">
        <v>60821000</v>
      </c>
      <c r="AB755" s="1">
        <v>358000</v>
      </c>
      <c r="AC755" s="1">
        <v>0</v>
      </c>
      <c r="AD755" s="1">
        <v>0</v>
      </c>
      <c r="AE755" s="7" t="s">
        <v>317</v>
      </c>
      <c r="AF755" s="7" t="s">
        <v>1534</v>
      </c>
      <c r="AG755" s="7" t="s">
        <v>319</v>
      </c>
    </row>
    <row r="756" spans="1:33" ht="15.75" x14ac:dyDescent="0.25">
      <c r="A756" s="3">
        <v>1157746522152</v>
      </c>
      <c r="B756" s="9">
        <v>7716796675</v>
      </c>
      <c r="C756" s="10" t="s">
        <v>6715</v>
      </c>
      <c r="D756" s="10" t="s">
        <v>6716</v>
      </c>
      <c r="E756" s="9">
        <v>65188546</v>
      </c>
      <c r="F756" s="9">
        <v>45280565000</v>
      </c>
      <c r="G756" s="9">
        <v>16</v>
      </c>
      <c r="H756" s="9">
        <v>12300</v>
      </c>
      <c r="I756" s="9">
        <v>771601001</v>
      </c>
      <c r="J756" s="10" t="s">
        <v>6717</v>
      </c>
      <c r="K756" s="10"/>
      <c r="L756" s="3" t="s">
        <v>6718</v>
      </c>
      <c r="M756" s="10" t="s">
        <v>6719</v>
      </c>
      <c r="N756" s="10" t="s">
        <v>6720</v>
      </c>
      <c r="O756" s="10" t="s">
        <v>6721</v>
      </c>
      <c r="P756" s="11">
        <v>502902403887</v>
      </c>
      <c r="Q756" s="10" t="s">
        <v>41</v>
      </c>
      <c r="R756" s="10" t="s">
        <v>6722</v>
      </c>
      <c r="S756" s="10" t="s">
        <v>6723</v>
      </c>
      <c r="T756" s="10" t="s">
        <v>6724</v>
      </c>
      <c r="U756" s="10" t="s">
        <v>6725</v>
      </c>
      <c r="V756" s="3">
        <v>10000</v>
      </c>
      <c r="W756" s="3">
        <v>42628000</v>
      </c>
      <c r="X756" s="3">
        <v>0</v>
      </c>
      <c r="Y756" s="3">
        <v>0</v>
      </c>
      <c r="Z756" s="3">
        <v>14092000</v>
      </c>
      <c r="AA756" s="3">
        <v>4105000</v>
      </c>
      <c r="AB756" s="3">
        <v>13467000</v>
      </c>
      <c r="AC756" s="3">
        <v>0</v>
      </c>
      <c r="AD756" s="3">
        <v>0</v>
      </c>
      <c r="AE756" s="10" t="s">
        <v>317</v>
      </c>
      <c r="AF756" s="10" t="s">
        <v>461</v>
      </c>
      <c r="AG756" s="10" t="s">
        <v>319</v>
      </c>
    </row>
    <row r="757" spans="1:33" ht="15.75" x14ac:dyDescent="0.25">
      <c r="A757" s="1">
        <v>1157746322799</v>
      </c>
      <c r="B757" s="6">
        <v>7707338291</v>
      </c>
      <c r="C757" s="7" t="s">
        <v>6726</v>
      </c>
      <c r="D757" s="7" t="s">
        <v>6727</v>
      </c>
      <c r="E757" s="6">
        <v>35254197</v>
      </c>
      <c r="F757" s="6">
        <v>45277553000</v>
      </c>
      <c r="G757" s="6">
        <v>16</v>
      </c>
      <c r="H757" s="6">
        <v>12300</v>
      </c>
      <c r="I757" s="6">
        <v>771401001</v>
      </c>
      <c r="J757" s="7" t="s">
        <v>6728</v>
      </c>
      <c r="K757" s="7"/>
      <c r="L757" s="1" t="s">
        <v>6729</v>
      </c>
      <c r="M757" s="7" t="s">
        <v>6730</v>
      </c>
      <c r="N757" s="7" t="s">
        <v>6731</v>
      </c>
      <c r="O757" s="7" t="s">
        <v>6732</v>
      </c>
      <c r="P757" s="8">
        <v>490909321419</v>
      </c>
      <c r="Q757" s="7" t="s">
        <v>41</v>
      </c>
      <c r="R757" s="7" t="s">
        <v>6733</v>
      </c>
      <c r="S757" s="7" t="s">
        <v>6734</v>
      </c>
      <c r="T757" s="7" t="s">
        <v>6735</v>
      </c>
      <c r="U757" s="7" t="s">
        <v>6736</v>
      </c>
      <c r="V757" s="1">
        <v>10000</v>
      </c>
      <c r="W757" s="1">
        <v>75834000</v>
      </c>
      <c r="X757" s="1">
        <v>916000</v>
      </c>
      <c r="Y757" s="1">
        <v>0</v>
      </c>
      <c r="Z757" s="1">
        <v>2975000</v>
      </c>
      <c r="AA757" s="1">
        <v>2131000</v>
      </c>
      <c r="AB757" s="1">
        <v>10281000</v>
      </c>
      <c r="AC757" s="1">
        <v>0</v>
      </c>
      <c r="AD757" s="1">
        <v>0</v>
      </c>
      <c r="AE757" s="7" t="s">
        <v>331</v>
      </c>
      <c r="AF757" s="7" t="s">
        <v>947</v>
      </c>
      <c r="AG757" s="7" t="s">
        <v>319</v>
      </c>
    </row>
    <row r="758" spans="1:33" ht="15.75" x14ac:dyDescent="0.25">
      <c r="A758" s="1">
        <v>1106316002330</v>
      </c>
      <c r="B758" s="6">
        <v>6316152762</v>
      </c>
      <c r="C758" s="7" t="s">
        <v>6737</v>
      </c>
      <c r="D758" s="7" t="s">
        <v>6738</v>
      </c>
      <c r="E758" s="6">
        <v>64938784</v>
      </c>
      <c r="F758" s="6">
        <v>45268595000</v>
      </c>
      <c r="G758" s="6">
        <v>16</v>
      </c>
      <c r="H758" s="6">
        <v>12300</v>
      </c>
      <c r="I758" s="6">
        <v>773001001</v>
      </c>
      <c r="J758" s="7" t="s">
        <v>6739</v>
      </c>
      <c r="K758" s="7"/>
      <c r="L758" s="1" t="s">
        <v>323</v>
      </c>
      <c r="M758" s="7" t="s">
        <v>324</v>
      </c>
      <c r="N758" s="7" t="s">
        <v>6740</v>
      </c>
      <c r="O758" s="7" t="s">
        <v>6741</v>
      </c>
      <c r="P758" s="8">
        <v>631907323177</v>
      </c>
      <c r="Q758" s="7" t="s">
        <v>41</v>
      </c>
      <c r="R758" s="7" t="s">
        <v>6742</v>
      </c>
      <c r="S758" s="7" t="s">
        <v>6743</v>
      </c>
      <c r="T758" s="7" t="s">
        <v>6744</v>
      </c>
      <c r="U758" s="7" t="s">
        <v>6745</v>
      </c>
      <c r="V758" s="1">
        <v>10000</v>
      </c>
      <c r="W758" s="1">
        <v>59490000</v>
      </c>
      <c r="X758" s="1">
        <v>91137000</v>
      </c>
      <c r="Y758" s="1">
        <v>1600000</v>
      </c>
      <c r="Z758" s="1">
        <v>22482000</v>
      </c>
      <c r="AA758" s="1">
        <v>1646000</v>
      </c>
      <c r="AB758" s="1">
        <v>705000</v>
      </c>
      <c r="AC758" s="1">
        <v>24441000</v>
      </c>
      <c r="AD758" s="1">
        <v>1281000</v>
      </c>
      <c r="AE758" s="7" t="s">
        <v>317</v>
      </c>
      <c r="AF758" s="7" t="s">
        <v>318</v>
      </c>
      <c r="AG758" s="7" t="s">
        <v>319</v>
      </c>
    </row>
    <row r="759" spans="1:33" ht="15.75" x14ac:dyDescent="0.25">
      <c r="A759" s="3">
        <v>1157746280691</v>
      </c>
      <c r="B759" s="9">
        <v>7703252822</v>
      </c>
      <c r="C759" s="10" t="s">
        <v>6746</v>
      </c>
      <c r="D759" s="10" t="s">
        <v>6747</v>
      </c>
      <c r="E759" s="9">
        <v>42849942</v>
      </c>
      <c r="F759" s="9">
        <v>45280569000</v>
      </c>
      <c r="G759" s="9">
        <v>16</v>
      </c>
      <c r="H759" s="9">
        <v>12300</v>
      </c>
      <c r="I759" s="9">
        <v>771501001</v>
      </c>
      <c r="J759" s="10" t="s">
        <v>6748</v>
      </c>
      <c r="K759" s="10"/>
      <c r="L759" s="3" t="s">
        <v>1918</v>
      </c>
      <c r="M759" s="10" t="s">
        <v>1919</v>
      </c>
      <c r="N759" s="10" t="s">
        <v>6749</v>
      </c>
      <c r="O759" s="10" t="s">
        <v>6750</v>
      </c>
      <c r="P759" s="11">
        <v>772604442841</v>
      </c>
      <c r="Q759" s="10" t="s">
        <v>41</v>
      </c>
      <c r="R759" s="10" t="s">
        <v>6751</v>
      </c>
      <c r="S759" s="10" t="s">
        <v>6752</v>
      </c>
      <c r="T759" s="10"/>
      <c r="U759" s="10" t="s">
        <v>6753</v>
      </c>
      <c r="V759" s="3">
        <v>10000</v>
      </c>
      <c r="W759" s="3">
        <v>75839000</v>
      </c>
      <c r="X759" s="3">
        <v>0</v>
      </c>
      <c r="Y759" s="3">
        <v>1895000</v>
      </c>
      <c r="Z759" s="3">
        <v>6915000</v>
      </c>
      <c r="AA759" s="3">
        <v>10788000</v>
      </c>
      <c r="AB759" s="3">
        <v>5413000</v>
      </c>
      <c r="AC759" s="3">
        <v>0</v>
      </c>
      <c r="AD759" s="3">
        <v>0</v>
      </c>
      <c r="AE759" s="10" t="s">
        <v>317</v>
      </c>
      <c r="AF759" s="10" t="s">
        <v>740</v>
      </c>
      <c r="AG759" s="10" t="s">
        <v>319</v>
      </c>
    </row>
    <row r="760" spans="1:33" ht="15.75" x14ac:dyDescent="0.25">
      <c r="A760" s="1">
        <v>1157746490846</v>
      </c>
      <c r="B760" s="6">
        <v>7733236560</v>
      </c>
      <c r="C760" s="7" t="s">
        <v>6754</v>
      </c>
      <c r="D760" s="7" t="s">
        <v>6755</v>
      </c>
      <c r="E760" s="6">
        <v>45863218</v>
      </c>
      <c r="F760" s="6">
        <v>46455000000</v>
      </c>
      <c r="G760" s="6">
        <v>16</v>
      </c>
      <c r="H760" s="6">
        <v>12300</v>
      </c>
      <c r="I760" s="6">
        <v>503201001</v>
      </c>
      <c r="J760" s="7" t="s">
        <v>6756</v>
      </c>
      <c r="K760" s="7"/>
      <c r="L760" s="1" t="s">
        <v>4299</v>
      </c>
      <c r="M760" s="7" t="s">
        <v>4300</v>
      </c>
      <c r="N760" s="7" t="s">
        <v>6757</v>
      </c>
      <c r="O760" s="7" t="s">
        <v>6758</v>
      </c>
      <c r="P760" s="8">
        <v>690706443174</v>
      </c>
      <c r="Q760" s="7" t="s">
        <v>41</v>
      </c>
      <c r="R760" s="7" t="s">
        <v>6759</v>
      </c>
      <c r="S760" s="7" t="s">
        <v>6760</v>
      </c>
      <c r="T760" s="7"/>
      <c r="U760" s="7" t="s">
        <v>6761</v>
      </c>
      <c r="V760" s="1">
        <v>10000</v>
      </c>
      <c r="W760" s="1">
        <v>42560000</v>
      </c>
      <c r="X760" s="1">
        <v>406000</v>
      </c>
      <c r="Y760" s="1">
        <v>6844000</v>
      </c>
      <c r="Z760" s="1">
        <v>10206000</v>
      </c>
      <c r="AA760" s="1">
        <v>810000</v>
      </c>
      <c r="AB760" s="1">
        <v>1185000</v>
      </c>
      <c r="AC760" s="1">
        <v>0</v>
      </c>
      <c r="AD760" s="1">
        <v>0</v>
      </c>
      <c r="AE760" s="7" t="s">
        <v>317</v>
      </c>
      <c r="AF760" s="7" t="s">
        <v>421</v>
      </c>
      <c r="AG760" s="7" t="s">
        <v>319</v>
      </c>
    </row>
    <row r="761" spans="1:33" ht="15.75" x14ac:dyDescent="0.25">
      <c r="A761" s="3">
        <v>1025005920114</v>
      </c>
      <c r="B761" s="9">
        <v>5045023374</v>
      </c>
      <c r="C761" s="10" t="s">
        <v>6762</v>
      </c>
      <c r="D761" s="10" t="s">
        <v>6763</v>
      </c>
      <c r="E761" s="9">
        <v>4002510</v>
      </c>
      <c r="F761" s="9">
        <v>46476000000</v>
      </c>
      <c r="G761" s="9">
        <v>16</v>
      </c>
      <c r="H761" s="9">
        <v>12267</v>
      </c>
      <c r="I761" s="9">
        <v>504501001</v>
      </c>
      <c r="J761" s="10" t="s">
        <v>6764</v>
      </c>
      <c r="K761" s="10"/>
      <c r="L761" s="3" t="s">
        <v>404</v>
      </c>
      <c r="M761" s="10" t="s">
        <v>405</v>
      </c>
      <c r="N761" s="10" t="s">
        <v>6765</v>
      </c>
      <c r="O761" s="10" t="s">
        <v>6766</v>
      </c>
      <c r="P761" s="11">
        <v>504500005311</v>
      </c>
      <c r="Q761" s="10" t="s">
        <v>150</v>
      </c>
      <c r="R761" s="10" t="s">
        <v>6767</v>
      </c>
      <c r="S761" s="10" t="s">
        <v>6768</v>
      </c>
      <c r="T761" s="10"/>
      <c r="U761" s="10" t="s">
        <v>6769</v>
      </c>
      <c r="V761" s="3">
        <v>10000</v>
      </c>
      <c r="W761" s="3">
        <v>55476000</v>
      </c>
      <c r="X761" s="3">
        <v>71780000</v>
      </c>
      <c r="Y761" s="3">
        <v>0</v>
      </c>
      <c r="Z761" s="3">
        <v>5026000</v>
      </c>
      <c r="AA761" s="3">
        <v>46967000</v>
      </c>
      <c r="AB761" s="3">
        <v>3296000</v>
      </c>
      <c r="AC761" s="3">
        <v>3877000</v>
      </c>
      <c r="AD761" s="3">
        <v>3877000</v>
      </c>
      <c r="AE761" s="10" t="s">
        <v>317</v>
      </c>
      <c r="AF761" s="10" t="s">
        <v>421</v>
      </c>
      <c r="AG761" s="10" t="s">
        <v>319</v>
      </c>
    </row>
    <row r="762" spans="1:33" ht="15.75" x14ac:dyDescent="0.25">
      <c r="A762" s="3">
        <v>1157746456295</v>
      </c>
      <c r="B762" s="9">
        <v>7719413899</v>
      </c>
      <c r="C762" s="10" t="s">
        <v>6770</v>
      </c>
      <c r="D762" s="10" t="s">
        <v>6771</v>
      </c>
      <c r="E762" s="9">
        <v>45337642</v>
      </c>
      <c r="F762" s="9">
        <v>45277556000</v>
      </c>
      <c r="G762" s="9">
        <v>16</v>
      </c>
      <c r="H762" s="9">
        <v>12300</v>
      </c>
      <c r="I762" s="9">
        <v>771401001</v>
      </c>
      <c r="J762" s="10" t="s">
        <v>6772</v>
      </c>
      <c r="K762" s="10"/>
      <c r="L762" s="3" t="s">
        <v>6773</v>
      </c>
      <c r="M762" s="10" t="s">
        <v>6774</v>
      </c>
      <c r="N762" s="10" t="s">
        <v>6775</v>
      </c>
      <c r="O762" s="10" t="s">
        <v>6776</v>
      </c>
      <c r="P762" s="11">
        <v>771908624619</v>
      </c>
      <c r="Q762" s="10" t="s">
        <v>41</v>
      </c>
      <c r="R762" s="10" t="s">
        <v>6777</v>
      </c>
      <c r="S762" s="10" t="s">
        <v>6778</v>
      </c>
      <c r="T762" s="10"/>
      <c r="U762" s="10" t="s">
        <v>6779</v>
      </c>
      <c r="V762" s="3">
        <v>10000</v>
      </c>
      <c r="W762" s="3">
        <v>43022000</v>
      </c>
      <c r="X762" s="3">
        <v>0</v>
      </c>
      <c r="Y762" s="3">
        <v>3576000</v>
      </c>
      <c r="Z762" s="3">
        <v>5214000</v>
      </c>
      <c r="AA762" s="3">
        <v>895000</v>
      </c>
      <c r="AB762" s="3">
        <v>5000</v>
      </c>
      <c r="AC762" s="3">
        <v>0</v>
      </c>
      <c r="AD762" s="3">
        <v>0</v>
      </c>
      <c r="AE762" s="10" t="s">
        <v>317</v>
      </c>
      <c r="AF762" s="10" t="s">
        <v>493</v>
      </c>
      <c r="AG762" s="10" t="s">
        <v>319</v>
      </c>
    </row>
    <row r="763" spans="1:33" ht="15.75" x14ac:dyDescent="0.25">
      <c r="A763" s="1">
        <v>1025004857646</v>
      </c>
      <c r="B763" s="6">
        <v>5037060647</v>
      </c>
      <c r="C763" s="7" t="s">
        <v>6780</v>
      </c>
      <c r="D763" s="7" t="s">
        <v>6781</v>
      </c>
      <c r="E763" s="6">
        <v>18071360</v>
      </c>
      <c r="F763" s="6">
        <v>46470506000</v>
      </c>
      <c r="G763" s="6">
        <v>16</v>
      </c>
      <c r="H763" s="6">
        <v>12300</v>
      </c>
      <c r="I763" s="6">
        <v>503701001</v>
      </c>
      <c r="J763" s="7" t="s">
        <v>6782</v>
      </c>
      <c r="K763" s="7"/>
      <c r="L763" s="1" t="s">
        <v>3081</v>
      </c>
      <c r="M763" s="7" t="s">
        <v>3082</v>
      </c>
      <c r="N763" s="7" t="s">
        <v>6783</v>
      </c>
      <c r="O763" s="7" t="s">
        <v>6784</v>
      </c>
      <c r="P763" s="8">
        <v>503702367256</v>
      </c>
      <c r="Q763" s="7" t="s">
        <v>1379</v>
      </c>
      <c r="R763" s="7" t="s">
        <v>6785</v>
      </c>
      <c r="S763" s="7" t="s">
        <v>6786</v>
      </c>
      <c r="T763" s="7"/>
      <c r="U763" s="7" t="s">
        <v>6787</v>
      </c>
      <c r="V763" s="1">
        <v>10000</v>
      </c>
      <c r="W763" s="1">
        <v>51031000</v>
      </c>
      <c r="X763" s="1">
        <v>10588000</v>
      </c>
      <c r="Y763" s="1">
        <v>6539000</v>
      </c>
      <c r="Z763" s="1">
        <v>26905000</v>
      </c>
      <c r="AA763" s="1">
        <v>4100000</v>
      </c>
      <c r="AB763" s="1">
        <v>-4767000</v>
      </c>
      <c r="AC763" s="1">
        <v>0</v>
      </c>
      <c r="AD763" s="1">
        <v>0</v>
      </c>
      <c r="AE763" s="7" t="s">
        <v>317</v>
      </c>
      <c r="AF763" s="7" t="s">
        <v>493</v>
      </c>
      <c r="AG763" s="7" t="s">
        <v>319</v>
      </c>
    </row>
    <row r="764" spans="1:33" ht="15.75" x14ac:dyDescent="0.25">
      <c r="A764" s="3">
        <v>1157746484125</v>
      </c>
      <c r="B764" s="9">
        <v>7728253680</v>
      </c>
      <c r="C764" s="10" t="s">
        <v>6788</v>
      </c>
      <c r="D764" s="10" t="s">
        <v>6789</v>
      </c>
      <c r="E764" s="9">
        <v>45382909</v>
      </c>
      <c r="F764" s="9">
        <v>45263594000</v>
      </c>
      <c r="G764" s="9">
        <v>16</v>
      </c>
      <c r="H764" s="9">
        <v>12300</v>
      </c>
      <c r="I764" s="9">
        <v>771801001</v>
      </c>
      <c r="J764" s="10" t="s">
        <v>6790</v>
      </c>
      <c r="K764" s="10"/>
      <c r="L764" s="3" t="s">
        <v>4114</v>
      </c>
      <c r="M764" s="10" t="s">
        <v>4115</v>
      </c>
      <c r="N764" s="10" t="s">
        <v>6791</v>
      </c>
      <c r="O764" s="10" t="s">
        <v>6792</v>
      </c>
      <c r="P764" s="11">
        <v>771800890982</v>
      </c>
      <c r="Q764" s="10" t="s">
        <v>41</v>
      </c>
      <c r="R764" s="10" t="s">
        <v>6793</v>
      </c>
      <c r="S764" s="10" t="s">
        <v>6794</v>
      </c>
      <c r="T764" s="10"/>
      <c r="U764" s="10" t="s">
        <v>6795</v>
      </c>
      <c r="V764" s="3">
        <v>10000</v>
      </c>
      <c r="W764" s="3">
        <v>49525000</v>
      </c>
      <c r="X764" s="3">
        <v>0</v>
      </c>
      <c r="Y764" s="3">
        <v>0</v>
      </c>
      <c r="Z764" s="3">
        <v>9288000</v>
      </c>
      <c r="AA764" s="3">
        <v>2891000</v>
      </c>
      <c r="AB764" s="3">
        <v>21276000</v>
      </c>
      <c r="AC764" s="3">
        <v>0</v>
      </c>
      <c r="AD764" s="3">
        <v>0</v>
      </c>
      <c r="AE764" s="10" t="s">
        <v>317</v>
      </c>
      <c r="AF764" s="10" t="s">
        <v>493</v>
      </c>
      <c r="AG764" s="10" t="s">
        <v>319</v>
      </c>
    </row>
    <row r="765" spans="1:33" ht="15.75" x14ac:dyDescent="0.25">
      <c r="A765" s="1">
        <v>1025005120799</v>
      </c>
      <c r="B765" s="6">
        <v>5040038440</v>
      </c>
      <c r="C765" s="7" t="s">
        <v>6796</v>
      </c>
      <c r="D765" s="7" t="s">
        <v>6797</v>
      </c>
      <c r="E765" s="6">
        <v>42244615</v>
      </c>
      <c r="F765" s="6">
        <v>46468000430</v>
      </c>
      <c r="G765" s="6">
        <v>16</v>
      </c>
      <c r="H765" s="6">
        <v>12300</v>
      </c>
      <c r="I765" s="6">
        <v>504001001</v>
      </c>
      <c r="J765" s="7" t="s">
        <v>6798</v>
      </c>
      <c r="K765" s="7"/>
      <c r="L765" s="1" t="s">
        <v>146</v>
      </c>
      <c r="M765" s="7" t="s">
        <v>147</v>
      </c>
      <c r="N765" s="7" t="s">
        <v>6799</v>
      </c>
      <c r="O765" s="7" t="s">
        <v>6800</v>
      </c>
      <c r="P765" s="8">
        <v>504002199914</v>
      </c>
      <c r="Q765" s="7" t="s">
        <v>150</v>
      </c>
      <c r="R765" s="7" t="s">
        <v>6801</v>
      </c>
      <c r="S765" s="7" t="s">
        <v>6802</v>
      </c>
      <c r="T765" s="7"/>
      <c r="U765" s="7" t="s">
        <v>6803</v>
      </c>
      <c r="V765" s="1">
        <v>10000</v>
      </c>
      <c r="W765" s="1">
        <v>34605000</v>
      </c>
      <c r="X765" s="1">
        <v>683000</v>
      </c>
      <c r="Y765" s="1">
        <v>2752000</v>
      </c>
      <c r="Z765" s="1">
        <v>561000</v>
      </c>
      <c r="AA765" s="1">
        <v>153000</v>
      </c>
      <c r="AB765" s="1">
        <v>16000</v>
      </c>
      <c r="AC765" s="1">
        <v>0</v>
      </c>
      <c r="AD765" s="1">
        <v>0</v>
      </c>
      <c r="AE765" s="7" t="s">
        <v>317</v>
      </c>
      <c r="AF765" s="7" t="s">
        <v>1023</v>
      </c>
      <c r="AG765" s="7" t="s">
        <v>319</v>
      </c>
    </row>
    <row r="766" spans="1:33" ht="15.75" x14ac:dyDescent="0.25">
      <c r="A766" s="3">
        <v>1157746378217</v>
      </c>
      <c r="B766" s="9">
        <v>7721300910</v>
      </c>
      <c r="C766" s="10" t="s">
        <v>6804</v>
      </c>
      <c r="D766" s="10" t="s">
        <v>6805</v>
      </c>
      <c r="E766" s="9">
        <v>44496019</v>
      </c>
      <c r="F766" s="9">
        <v>45298553000</v>
      </c>
      <c r="G766" s="9">
        <v>16</v>
      </c>
      <c r="H766" s="9">
        <v>12300</v>
      </c>
      <c r="I766" s="9">
        <v>775101001</v>
      </c>
      <c r="J766" s="10" t="s">
        <v>6806</v>
      </c>
      <c r="K766" s="10"/>
      <c r="L766" s="3" t="s">
        <v>6807</v>
      </c>
      <c r="M766" s="10" t="s">
        <v>6808</v>
      </c>
      <c r="N766" s="10" t="s">
        <v>6809</v>
      </c>
      <c r="O766" s="10" t="s">
        <v>6810</v>
      </c>
      <c r="P766" s="11">
        <v>772781146713</v>
      </c>
      <c r="Q766" s="10" t="s">
        <v>41</v>
      </c>
      <c r="R766" s="10" t="s">
        <v>6811</v>
      </c>
      <c r="S766" s="10" t="s">
        <v>6812</v>
      </c>
      <c r="T766" s="10"/>
      <c r="U766" s="10" t="s">
        <v>6813</v>
      </c>
      <c r="V766" s="3">
        <v>10000</v>
      </c>
      <c r="W766" s="3">
        <v>138650000</v>
      </c>
      <c r="X766" s="3">
        <v>208000</v>
      </c>
      <c r="Y766" s="3">
        <v>21000</v>
      </c>
      <c r="Z766" s="3">
        <v>19701000</v>
      </c>
      <c r="AA766" s="3">
        <v>21447000</v>
      </c>
      <c r="AB766" s="3">
        <v>-469000</v>
      </c>
      <c r="AC766" s="3">
        <v>0</v>
      </c>
      <c r="AD766" s="3">
        <v>0</v>
      </c>
      <c r="AE766" s="10" t="s">
        <v>317</v>
      </c>
      <c r="AF766" s="10" t="s">
        <v>410</v>
      </c>
      <c r="AG766" s="10" t="s">
        <v>319</v>
      </c>
    </row>
    <row r="767" spans="1:33" ht="15.75" x14ac:dyDescent="0.25">
      <c r="A767" s="1">
        <v>1165031052735</v>
      </c>
      <c r="B767" s="6">
        <v>5031121646</v>
      </c>
      <c r="C767" s="7" t="s">
        <v>6814</v>
      </c>
      <c r="D767" s="7" t="s">
        <v>6815</v>
      </c>
      <c r="E767" s="6">
        <v>3460831</v>
      </c>
      <c r="F767" s="6">
        <v>46451506000</v>
      </c>
      <c r="G767" s="6">
        <v>16</v>
      </c>
      <c r="H767" s="6">
        <v>12300</v>
      </c>
      <c r="I767" s="6">
        <v>503101001</v>
      </c>
      <c r="J767" s="7" t="s">
        <v>6816</v>
      </c>
      <c r="K767" s="7"/>
      <c r="L767" s="1" t="s">
        <v>1800</v>
      </c>
      <c r="M767" s="7" t="s">
        <v>1801</v>
      </c>
      <c r="N767" s="7" t="s">
        <v>6817</v>
      </c>
      <c r="O767" s="7" t="s">
        <v>6818</v>
      </c>
      <c r="P767" s="8">
        <v>503129872712</v>
      </c>
      <c r="Q767" s="7" t="s">
        <v>41</v>
      </c>
      <c r="R767" s="7" t="s">
        <v>6819</v>
      </c>
      <c r="S767" s="7" t="s">
        <v>6820</v>
      </c>
      <c r="T767" s="7"/>
      <c r="U767" s="7"/>
      <c r="V767" s="1">
        <v>10000</v>
      </c>
      <c r="W767" s="1">
        <v>36706000</v>
      </c>
      <c r="X767" s="1">
        <v>5554000</v>
      </c>
      <c r="Y767" s="1">
        <v>1375000</v>
      </c>
      <c r="Z767" s="1">
        <v>1969000</v>
      </c>
      <c r="AA767" s="1">
        <v>2211000</v>
      </c>
      <c r="AB767" s="1">
        <v>590000</v>
      </c>
      <c r="AC767" s="1">
        <v>0</v>
      </c>
      <c r="AD767" s="1">
        <v>0</v>
      </c>
      <c r="AE767" s="7" t="s">
        <v>317</v>
      </c>
      <c r="AF767" s="7" t="s">
        <v>1329</v>
      </c>
      <c r="AG767" s="7" t="s">
        <v>319</v>
      </c>
    </row>
    <row r="768" spans="1:33" ht="15.75" x14ac:dyDescent="0.25">
      <c r="A768" s="3">
        <v>1025004644081</v>
      </c>
      <c r="B768" s="9">
        <v>5035019788</v>
      </c>
      <c r="C768" s="10" t="s">
        <v>6821</v>
      </c>
      <c r="D768" s="10" t="s">
        <v>6822</v>
      </c>
      <c r="E768" s="9">
        <v>53956750</v>
      </c>
      <c r="F768" s="9">
        <v>46459000000</v>
      </c>
      <c r="G768" s="9">
        <v>16</v>
      </c>
      <c r="H768" s="9">
        <v>12300</v>
      </c>
      <c r="I768" s="9">
        <v>503501001</v>
      </c>
      <c r="J768" s="10" t="s">
        <v>6823</v>
      </c>
      <c r="K768" s="10"/>
      <c r="L768" s="3" t="s">
        <v>445</v>
      </c>
      <c r="M768" s="10" t="s">
        <v>446</v>
      </c>
      <c r="N768" s="10" t="s">
        <v>6824</v>
      </c>
      <c r="O768" s="10" t="s">
        <v>6825</v>
      </c>
      <c r="P768" s="11">
        <v>331600366341</v>
      </c>
      <c r="Q768" s="10" t="s">
        <v>3927</v>
      </c>
      <c r="R768" s="10" t="s">
        <v>6826</v>
      </c>
      <c r="S768" s="10" t="s">
        <v>6827</v>
      </c>
      <c r="T768" s="10"/>
      <c r="U768" s="10"/>
      <c r="V768" s="3">
        <v>10000</v>
      </c>
      <c r="W768" s="3">
        <v>55340000</v>
      </c>
      <c r="X768" s="3">
        <v>1780000</v>
      </c>
      <c r="Y768" s="3">
        <v>68000</v>
      </c>
      <c r="Z768" s="3">
        <v>1842000</v>
      </c>
      <c r="AA768" s="3">
        <v>1035000</v>
      </c>
      <c r="AB768" s="3">
        <v>10509000</v>
      </c>
      <c r="AC768" s="3">
        <v>0</v>
      </c>
      <c r="AD768" s="3">
        <v>0</v>
      </c>
      <c r="AE768" s="10" t="s">
        <v>331</v>
      </c>
      <c r="AF768" s="10" t="s">
        <v>878</v>
      </c>
      <c r="AG768" s="10" t="s">
        <v>319</v>
      </c>
    </row>
    <row r="769" spans="1:33" ht="15.75" x14ac:dyDescent="0.25">
      <c r="A769" s="1">
        <v>1025005916275</v>
      </c>
      <c r="B769" s="6">
        <v>5045028291</v>
      </c>
      <c r="C769" s="7" t="s">
        <v>6828</v>
      </c>
      <c r="D769" s="7" t="s">
        <v>6829</v>
      </c>
      <c r="E769" s="6">
        <v>58256980</v>
      </c>
      <c r="F769" s="6">
        <v>46476000000</v>
      </c>
      <c r="G769" s="6">
        <v>16</v>
      </c>
      <c r="H769" s="6">
        <v>12300</v>
      </c>
      <c r="I769" s="6">
        <v>504501001</v>
      </c>
      <c r="J769" s="7" t="s">
        <v>6830</v>
      </c>
      <c r="K769" s="7"/>
      <c r="L769" s="1" t="s">
        <v>5626</v>
      </c>
      <c r="M769" s="7" t="s">
        <v>5627</v>
      </c>
      <c r="N769" s="7" t="s">
        <v>6831</v>
      </c>
      <c r="O769" s="7" t="s">
        <v>6832</v>
      </c>
      <c r="P769" s="8">
        <v>246400243384</v>
      </c>
      <c r="Q769" s="7" t="s">
        <v>150</v>
      </c>
      <c r="R769" s="7" t="s">
        <v>6833</v>
      </c>
      <c r="S769" s="7" t="s">
        <v>6834</v>
      </c>
      <c r="T769" s="7"/>
      <c r="U769" s="7" t="s">
        <v>6835</v>
      </c>
      <c r="V769" s="1">
        <v>10000</v>
      </c>
      <c r="W769" s="1">
        <v>89429000</v>
      </c>
      <c r="X769" s="1">
        <v>41024000</v>
      </c>
      <c r="Y769" s="1">
        <v>4294000</v>
      </c>
      <c r="Z769" s="1">
        <v>44022000</v>
      </c>
      <c r="AA769" s="1">
        <v>15906000</v>
      </c>
      <c r="AB769" s="1">
        <v>-6311000</v>
      </c>
      <c r="AC769" s="1">
        <v>0</v>
      </c>
      <c r="AD769" s="1">
        <v>0</v>
      </c>
      <c r="AE769" s="7" t="s">
        <v>331</v>
      </c>
      <c r="AF769" s="7" t="s">
        <v>464</v>
      </c>
      <c r="AG769" s="7" t="s">
        <v>319</v>
      </c>
    </row>
    <row r="770" spans="1:33" ht="15.75" x14ac:dyDescent="0.25">
      <c r="A770" s="3">
        <v>1157746315847</v>
      </c>
      <c r="B770" s="9">
        <v>7726335095</v>
      </c>
      <c r="C770" s="10" t="s">
        <v>6836</v>
      </c>
      <c r="D770" s="10" t="s">
        <v>6837</v>
      </c>
      <c r="E770" s="9">
        <v>42966082</v>
      </c>
      <c r="F770" s="9">
        <v>45296561000</v>
      </c>
      <c r="G770" s="9">
        <v>16</v>
      </c>
      <c r="H770" s="9">
        <v>12300</v>
      </c>
      <c r="I770" s="9">
        <v>772601001</v>
      </c>
      <c r="J770" s="10" t="s">
        <v>6838</v>
      </c>
      <c r="K770" s="10"/>
      <c r="L770" s="3" t="s">
        <v>6025</v>
      </c>
      <c r="M770" s="10" t="s">
        <v>6026</v>
      </c>
      <c r="N770" s="10" t="s">
        <v>6839</v>
      </c>
      <c r="O770" s="10" t="s">
        <v>6840</v>
      </c>
      <c r="P770" s="11">
        <v>505001769105</v>
      </c>
      <c r="Q770" s="10" t="s">
        <v>41</v>
      </c>
      <c r="R770" s="10" t="s">
        <v>6841</v>
      </c>
      <c r="S770" s="10" t="s">
        <v>6842</v>
      </c>
      <c r="T770" s="10"/>
      <c r="U770" s="10" t="s">
        <v>6843</v>
      </c>
      <c r="V770" s="3">
        <v>10000</v>
      </c>
      <c r="W770" s="3">
        <v>134528000</v>
      </c>
      <c r="X770" s="3">
        <v>0</v>
      </c>
      <c r="Y770" s="3">
        <v>653000</v>
      </c>
      <c r="Z770" s="3">
        <v>31226000</v>
      </c>
      <c r="AA770" s="3">
        <v>14293000</v>
      </c>
      <c r="AB770" s="3">
        <v>17571000</v>
      </c>
      <c r="AC770" s="3">
        <v>0</v>
      </c>
      <c r="AD770" s="3">
        <v>0</v>
      </c>
      <c r="AE770" s="10" t="s">
        <v>317</v>
      </c>
      <c r="AF770" s="10" t="s">
        <v>352</v>
      </c>
      <c r="AG770" s="10" t="s">
        <v>319</v>
      </c>
    </row>
    <row r="771" spans="1:33" ht="15.75" x14ac:dyDescent="0.25">
      <c r="A771" s="1">
        <v>1157746430852</v>
      </c>
      <c r="B771" s="6">
        <v>7710495745</v>
      </c>
      <c r="C771" s="7" t="s">
        <v>6844</v>
      </c>
      <c r="D771" s="7" t="s">
        <v>6845</v>
      </c>
      <c r="E771" s="6">
        <v>26667279</v>
      </c>
      <c r="F771" s="6">
        <v>45286575000</v>
      </c>
      <c r="G771" s="6">
        <v>16</v>
      </c>
      <c r="H771" s="6">
        <v>12300</v>
      </c>
      <c r="I771" s="6">
        <v>770301001</v>
      </c>
      <c r="J771" s="7" t="s">
        <v>6846</v>
      </c>
      <c r="K771" s="7"/>
      <c r="L771" s="1" t="s">
        <v>1800</v>
      </c>
      <c r="M771" s="7" t="s">
        <v>1801</v>
      </c>
      <c r="N771" s="7" t="s">
        <v>6847</v>
      </c>
      <c r="O771" s="7" t="s">
        <v>6848</v>
      </c>
      <c r="P771" s="8">
        <v>502984509803</v>
      </c>
      <c r="Q771" s="7" t="s">
        <v>41</v>
      </c>
      <c r="R771" s="7" t="s">
        <v>6849</v>
      </c>
      <c r="S771" s="7" t="s">
        <v>6850</v>
      </c>
      <c r="T771" s="7"/>
      <c r="U771" s="7"/>
      <c r="V771" s="1">
        <v>10000</v>
      </c>
      <c r="W771" s="1">
        <v>138731000</v>
      </c>
      <c r="X771" s="1">
        <v>2487000</v>
      </c>
      <c r="Y771" s="1">
        <v>720000</v>
      </c>
      <c r="Z771" s="1">
        <v>32629000</v>
      </c>
      <c r="AA771" s="1">
        <v>31793000</v>
      </c>
      <c r="AB771" s="1">
        <v>16511000</v>
      </c>
      <c r="AC771" s="1">
        <v>0</v>
      </c>
      <c r="AD771" s="1">
        <v>0</v>
      </c>
      <c r="AE771" s="7" t="s">
        <v>317</v>
      </c>
      <c r="AF771" s="7" t="s">
        <v>545</v>
      </c>
      <c r="AG771" s="7" t="s">
        <v>319</v>
      </c>
    </row>
    <row r="772" spans="1:33" ht="15.75" x14ac:dyDescent="0.25">
      <c r="A772" s="3">
        <v>1157746330862</v>
      </c>
      <c r="B772" s="9">
        <v>7725269570</v>
      </c>
      <c r="C772" s="10" t="s">
        <v>6851</v>
      </c>
      <c r="D772" s="10" t="s">
        <v>6852</v>
      </c>
      <c r="E772" s="9">
        <v>43288193</v>
      </c>
      <c r="F772" s="9">
        <v>45296575000</v>
      </c>
      <c r="G772" s="9">
        <v>16</v>
      </c>
      <c r="H772" s="9">
        <v>12300</v>
      </c>
      <c r="I772" s="9">
        <v>772601001</v>
      </c>
      <c r="J772" s="10" t="s">
        <v>6853</v>
      </c>
      <c r="K772" s="10"/>
      <c r="L772" s="3" t="s">
        <v>1055</v>
      </c>
      <c r="M772" s="10" t="s">
        <v>1056</v>
      </c>
      <c r="N772" s="10" t="s">
        <v>6854</v>
      </c>
      <c r="O772" s="10" t="s">
        <v>6855</v>
      </c>
      <c r="P772" s="11">
        <v>772021167424</v>
      </c>
      <c r="Q772" s="10" t="s">
        <v>41</v>
      </c>
      <c r="R772" s="10" t="s">
        <v>6856</v>
      </c>
      <c r="S772" s="10" t="s">
        <v>6857</v>
      </c>
      <c r="T772" s="10"/>
      <c r="U772" s="10"/>
      <c r="V772" s="3">
        <v>10000</v>
      </c>
      <c r="W772" s="3">
        <v>59776000</v>
      </c>
      <c r="X772" s="3">
        <v>1135000</v>
      </c>
      <c r="Y772" s="3">
        <v>101000</v>
      </c>
      <c r="Z772" s="3">
        <v>9362000</v>
      </c>
      <c r="AA772" s="3">
        <v>9624000</v>
      </c>
      <c r="AB772" s="3">
        <v>3431000</v>
      </c>
      <c r="AC772" s="3">
        <v>0</v>
      </c>
      <c r="AD772" s="3">
        <v>0</v>
      </c>
      <c r="AE772" s="10" t="s">
        <v>317</v>
      </c>
      <c r="AF772" s="10" t="s">
        <v>493</v>
      </c>
      <c r="AG772" s="10" t="s">
        <v>319</v>
      </c>
    </row>
    <row r="773" spans="1:33" ht="15.75" x14ac:dyDescent="0.25">
      <c r="A773" s="1">
        <v>1025004070080</v>
      </c>
      <c r="B773" s="6">
        <v>5032066028</v>
      </c>
      <c r="C773" s="7" t="s">
        <v>6858</v>
      </c>
      <c r="D773" s="7" t="s">
        <v>6859</v>
      </c>
      <c r="E773" s="6">
        <v>53957956</v>
      </c>
      <c r="F773" s="6">
        <v>46455000000</v>
      </c>
      <c r="G773" s="6">
        <v>16</v>
      </c>
      <c r="H773" s="6">
        <v>12300</v>
      </c>
      <c r="I773" s="6">
        <v>503201001</v>
      </c>
      <c r="J773" s="7" t="s">
        <v>1730</v>
      </c>
      <c r="K773" s="7"/>
      <c r="L773" s="1" t="s">
        <v>367</v>
      </c>
      <c r="M773" s="7" t="s">
        <v>368</v>
      </c>
      <c r="N773" s="7" t="s">
        <v>6860</v>
      </c>
      <c r="O773" s="7" t="s">
        <v>6861</v>
      </c>
      <c r="P773" s="8">
        <v>772490837963</v>
      </c>
      <c r="Q773" s="7" t="s">
        <v>41</v>
      </c>
      <c r="R773" s="7" t="s">
        <v>6862</v>
      </c>
      <c r="S773" s="7" t="s">
        <v>6863</v>
      </c>
      <c r="T773" s="7"/>
      <c r="U773" s="7"/>
      <c r="V773" s="1">
        <v>10000</v>
      </c>
      <c r="W773" s="1">
        <v>71202000</v>
      </c>
      <c r="X773" s="1">
        <v>376000</v>
      </c>
      <c r="Y773" s="1">
        <v>3359000</v>
      </c>
      <c r="Z773" s="1">
        <v>16855000</v>
      </c>
      <c r="AA773" s="1">
        <v>2776000</v>
      </c>
      <c r="AB773" s="1">
        <v>264000</v>
      </c>
      <c r="AC773" s="1">
        <v>486000</v>
      </c>
      <c r="AD773" s="1">
        <v>1039000</v>
      </c>
      <c r="AE773" s="7" t="s">
        <v>331</v>
      </c>
      <c r="AF773" s="7" t="s">
        <v>1235</v>
      </c>
      <c r="AG773" s="7" t="s">
        <v>319</v>
      </c>
    </row>
    <row r="774" spans="1:33" ht="15.75" x14ac:dyDescent="0.25">
      <c r="A774" s="3">
        <v>1157746502770</v>
      </c>
      <c r="B774" s="9">
        <v>7703381553</v>
      </c>
      <c r="C774" s="10" t="s">
        <v>6864</v>
      </c>
      <c r="D774" s="10" t="s">
        <v>6865</v>
      </c>
      <c r="E774" s="9">
        <v>45867044</v>
      </c>
      <c r="F774" s="9">
        <v>46471566000</v>
      </c>
      <c r="G774" s="9">
        <v>16</v>
      </c>
      <c r="H774" s="9">
        <v>12300</v>
      </c>
      <c r="I774" s="9">
        <v>504401001</v>
      </c>
      <c r="J774" s="10" t="s">
        <v>4993</v>
      </c>
      <c r="K774" s="10"/>
      <c r="L774" s="3" t="s">
        <v>50</v>
      </c>
      <c r="M774" s="10" t="s">
        <v>51</v>
      </c>
      <c r="N774" s="10" t="s">
        <v>6866</v>
      </c>
      <c r="O774" s="10" t="s">
        <v>6867</v>
      </c>
      <c r="P774" s="11">
        <v>504409259081</v>
      </c>
      <c r="Q774" s="10" t="s">
        <v>41</v>
      </c>
      <c r="R774" s="10" t="s">
        <v>6868</v>
      </c>
      <c r="S774" s="10" t="s">
        <v>6869</v>
      </c>
      <c r="T774" s="10"/>
      <c r="U774" s="10" t="s">
        <v>6870</v>
      </c>
      <c r="V774" s="3">
        <v>10000</v>
      </c>
      <c r="W774" s="3">
        <v>82953000</v>
      </c>
      <c r="X774" s="3">
        <v>111000</v>
      </c>
      <c r="Y774" s="3">
        <v>4000</v>
      </c>
      <c r="Z774" s="3">
        <v>19912000</v>
      </c>
      <c r="AA774" s="3">
        <v>9705000</v>
      </c>
      <c r="AB774" s="3">
        <v>10303000</v>
      </c>
      <c r="AC774" s="3">
        <v>0</v>
      </c>
      <c r="AD774" s="3">
        <v>0</v>
      </c>
      <c r="AE774" s="10" t="s">
        <v>317</v>
      </c>
      <c r="AF774" s="10" t="s">
        <v>410</v>
      </c>
      <c r="AG774" s="10" t="s">
        <v>319</v>
      </c>
    </row>
    <row r="775" spans="1:33" ht="15.75" x14ac:dyDescent="0.25">
      <c r="A775" s="1">
        <v>1157746282737</v>
      </c>
      <c r="B775" s="6">
        <v>7751003657</v>
      </c>
      <c r="C775" s="7" t="s">
        <v>6871</v>
      </c>
      <c r="D775" s="7" t="s">
        <v>6872</v>
      </c>
      <c r="E775" s="6">
        <v>42914272</v>
      </c>
      <c r="F775" s="6">
        <v>45296571000</v>
      </c>
      <c r="G775" s="6">
        <v>16</v>
      </c>
      <c r="H775" s="6">
        <v>12300</v>
      </c>
      <c r="I775" s="6">
        <v>772401001</v>
      </c>
      <c r="J775" s="7" t="s">
        <v>6873</v>
      </c>
      <c r="K775" s="7"/>
      <c r="L775" s="1" t="s">
        <v>6025</v>
      </c>
      <c r="M775" s="7" t="s">
        <v>6026</v>
      </c>
      <c r="N775" s="7" t="s">
        <v>6874</v>
      </c>
      <c r="O775" s="7" t="s">
        <v>6875</v>
      </c>
      <c r="P775" s="8">
        <v>662329626311</v>
      </c>
      <c r="Q775" s="7" t="s">
        <v>41</v>
      </c>
      <c r="R775" s="7" t="s">
        <v>6876</v>
      </c>
      <c r="S775" s="7" t="s">
        <v>6877</v>
      </c>
      <c r="T775" s="7"/>
      <c r="U775" s="7" t="s">
        <v>6878</v>
      </c>
      <c r="V775" s="1">
        <v>10000</v>
      </c>
      <c r="W775" s="1">
        <v>37824000</v>
      </c>
      <c r="X775" s="1">
        <v>0</v>
      </c>
      <c r="Y775" s="1">
        <v>4590000</v>
      </c>
      <c r="Z775" s="1">
        <v>19665000</v>
      </c>
      <c r="AA775" s="1">
        <v>6445000</v>
      </c>
      <c r="AB775" s="1">
        <v>1278000</v>
      </c>
      <c r="AC775" s="1">
        <v>0</v>
      </c>
      <c r="AD775" s="1">
        <v>0</v>
      </c>
      <c r="AE775" s="7" t="s">
        <v>317</v>
      </c>
      <c r="AF775" s="7" t="s">
        <v>410</v>
      </c>
      <c r="AG775" s="7" t="s">
        <v>319</v>
      </c>
    </row>
    <row r="776" spans="1:33" ht="15.75" x14ac:dyDescent="0.25">
      <c r="A776" s="3">
        <v>1025004905320</v>
      </c>
      <c r="B776" s="9">
        <v>5038024352</v>
      </c>
      <c r="C776" s="10" t="s">
        <v>6879</v>
      </c>
      <c r="D776" s="10" t="s">
        <v>6880</v>
      </c>
      <c r="E776" s="9">
        <v>42285092</v>
      </c>
      <c r="F776" s="9">
        <v>46458000000</v>
      </c>
      <c r="G776" s="9">
        <v>16</v>
      </c>
      <c r="H776" s="9">
        <v>12300</v>
      </c>
      <c r="I776" s="9">
        <v>503801001</v>
      </c>
      <c r="J776" s="10" t="s">
        <v>6881</v>
      </c>
      <c r="K776" s="10"/>
      <c r="L776" s="3" t="s">
        <v>404</v>
      </c>
      <c r="M776" s="10" t="s">
        <v>405</v>
      </c>
      <c r="N776" s="10" t="s">
        <v>6882</v>
      </c>
      <c r="O776" s="10" t="s">
        <v>6883</v>
      </c>
      <c r="P776" s="11">
        <v>502300603102</v>
      </c>
      <c r="Q776" s="10" t="s">
        <v>150</v>
      </c>
      <c r="R776" s="10" t="s">
        <v>6884</v>
      </c>
      <c r="S776" s="10" t="s">
        <v>6885</v>
      </c>
      <c r="T776" s="10"/>
      <c r="U776" s="10"/>
      <c r="V776" s="3">
        <v>10000</v>
      </c>
      <c r="W776" s="3">
        <v>49788000</v>
      </c>
      <c r="X776" s="3">
        <v>16047000</v>
      </c>
      <c r="Y776" s="3">
        <v>0</v>
      </c>
      <c r="Z776" s="3">
        <v>660000</v>
      </c>
      <c r="AA776" s="3">
        <v>3449000</v>
      </c>
      <c r="AB776" s="3">
        <v>26732000</v>
      </c>
      <c r="AC776" s="3">
        <v>0</v>
      </c>
      <c r="AD776" s="3">
        <v>0</v>
      </c>
      <c r="AE776" s="10" t="s">
        <v>317</v>
      </c>
      <c r="AF776" s="10" t="s">
        <v>352</v>
      </c>
      <c r="AG776" s="10" t="s">
        <v>319</v>
      </c>
    </row>
    <row r="777" spans="1:33" ht="15.75" x14ac:dyDescent="0.25">
      <c r="A777" s="1">
        <v>1125740004719</v>
      </c>
      <c r="B777" s="6">
        <v>5751053206</v>
      </c>
      <c r="C777" s="7" t="s">
        <v>6886</v>
      </c>
      <c r="D777" s="7" t="s">
        <v>6887</v>
      </c>
      <c r="E777" s="6">
        <v>37397966</v>
      </c>
      <c r="F777" s="6">
        <v>46470000000</v>
      </c>
      <c r="G777" s="6">
        <v>16</v>
      </c>
      <c r="H777" s="6">
        <v>12300</v>
      </c>
      <c r="I777" s="6">
        <v>504301001</v>
      </c>
      <c r="J777" s="7" t="s">
        <v>6888</v>
      </c>
      <c r="K777" s="7"/>
      <c r="L777" s="1" t="s">
        <v>277</v>
      </c>
      <c r="M777" s="7" t="s">
        <v>278</v>
      </c>
      <c r="N777" s="7" t="s">
        <v>6889</v>
      </c>
      <c r="O777" s="7" t="s">
        <v>6890</v>
      </c>
      <c r="P777" s="8">
        <v>504309264056</v>
      </c>
      <c r="Q777" s="7" t="s">
        <v>150</v>
      </c>
      <c r="R777" s="7" t="s">
        <v>6891</v>
      </c>
      <c r="S777" s="7" t="s">
        <v>6892</v>
      </c>
      <c r="T777" s="7"/>
      <c r="U777" s="7"/>
      <c r="V777" s="1">
        <v>10000</v>
      </c>
      <c r="W777" s="1">
        <v>62150000</v>
      </c>
      <c r="X777" s="1">
        <v>6731000</v>
      </c>
      <c r="Y777" s="1">
        <v>611000</v>
      </c>
      <c r="Z777" s="1">
        <v>473000</v>
      </c>
      <c r="AA777" s="1">
        <v>1145000</v>
      </c>
      <c r="AB777" s="1">
        <v>1947000</v>
      </c>
      <c r="AC777" s="1">
        <v>0</v>
      </c>
      <c r="AD777" s="1">
        <v>0</v>
      </c>
      <c r="AE777" s="7" t="s">
        <v>317</v>
      </c>
      <c r="AF777" s="7" t="s">
        <v>669</v>
      </c>
      <c r="AG777" s="7" t="s">
        <v>319</v>
      </c>
    </row>
    <row r="778" spans="1:33" ht="15.75" x14ac:dyDescent="0.25">
      <c r="A778" s="3">
        <v>1157746550730</v>
      </c>
      <c r="B778" s="9">
        <v>7728265372</v>
      </c>
      <c r="C778" s="10" t="s">
        <v>6893</v>
      </c>
      <c r="D778" s="10" t="s">
        <v>6894</v>
      </c>
      <c r="E778" s="9">
        <v>46352402</v>
      </c>
      <c r="F778" s="9">
        <v>45293566000</v>
      </c>
      <c r="G778" s="9">
        <v>16</v>
      </c>
      <c r="H778" s="9">
        <v>12300</v>
      </c>
      <c r="I778" s="9">
        <v>772801001</v>
      </c>
      <c r="J778" s="10" t="s">
        <v>5714</v>
      </c>
      <c r="K778" s="10"/>
      <c r="L778" s="3" t="s">
        <v>6701</v>
      </c>
      <c r="M778" s="10" t="s">
        <v>6702</v>
      </c>
      <c r="N778" s="10" t="s">
        <v>6895</v>
      </c>
      <c r="O778" s="10" t="s">
        <v>6896</v>
      </c>
      <c r="P778" s="11">
        <v>550701305197</v>
      </c>
      <c r="Q778" s="10" t="s">
        <v>41</v>
      </c>
      <c r="R778" s="10" t="s">
        <v>6897</v>
      </c>
      <c r="S778" s="10" t="s">
        <v>6898</v>
      </c>
      <c r="T778" s="10"/>
      <c r="U778" s="10" t="s">
        <v>6899</v>
      </c>
      <c r="V778" s="3">
        <v>10000</v>
      </c>
      <c r="W778" s="3">
        <v>84147000</v>
      </c>
      <c r="X778" s="3">
        <v>0</v>
      </c>
      <c r="Y778" s="3">
        <v>0</v>
      </c>
      <c r="Z778" s="3">
        <v>96280000</v>
      </c>
      <c r="AA778" s="3">
        <v>26676000</v>
      </c>
      <c r="AB778" s="3">
        <v>66996000</v>
      </c>
      <c r="AC778" s="3">
        <v>0</v>
      </c>
      <c r="AD778" s="3">
        <v>0</v>
      </c>
      <c r="AE778" s="10" t="s">
        <v>317</v>
      </c>
      <c r="AF778" s="10" t="s">
        <v>352</v>
      </c>
      <c r="AG778" s="10" t="s">
        <v>319</v>
      </c>
    </row>
    <row r="779" spans="1:33" ht="15.75" x14ac:dyDescent="0.25">
      <c r="A779" s="1">
        <v>1025006170848</v>
      </c>
      <c r="B779" s="6">
        <v>5047030994</v>
      </c>
      <c r="C779" s="7" t="s">
        <v>6900</v>
      </c>
      <c r="D779" s="7" t="s">
        <v>6901</v>
      </c>
      <c r="E779" s="6">
        <v>50179961</v>
      </c>
      <c r="F779" s="6">
        <v>46483000000</v>
      </c>
      <c r="G779" s="6">
        <v>16</v>
      </c>
      <c r="H779" s="6">
        <v>12300</v>
      </c>
      <c r="I779" s="6">
        <v>504701001</v>
      </c>
      <c r="J779" s="7" t="s">
        <v>6902</v>
      </c>
      <c r="K779" s="7"/>
      <c r="L779" s="1" t="s">
        <v>6903</v>
      </c>
      <c r="M779" s="7" t="s">
        <v>6904</v>
      </c>
      <c r="N779" s="7" t="s">
        <v>6905</v>
      </c>
      <c r="O779" s="7" t="s">
        <v>6906</v>
      </c>
      <c r="P779" s="8">
        <v>771200337504</v>
      </c>
      <c r="Q779" s="7" t="s">
        <v>41</v>
      </c>
      <c r="R779" s="7" t="s">
        <v>6907</v>
      </c>
      <c r="S779" s="7" t="s">
        <v>6908</v>
      </c>
      <c r="T779" s="7"/>
      <c r="U779" s="7"/>
      <c r="V779" s="1">
        <v>10000</v>
      </c>
      <c r="W779" s="1">
        <v>62342000</v>
      </c>
      <c r="X779" s="1">
        <v>5348000</v>
      </c>
      <c r="Y779" s="1">
        <v>64900000</v>
      </c>
      <c r="Z779" s="1">
        <v>12093000</v>
      </c>
      <c r="AA779" s="1">
        <v>2552000</v>
      </c>
      <c r="AB779" s="1">
        <v>7516000</v>
      </c>
      <c r="AC779" s="1">
        <v>0</v>
      </c>
      <c r="AD779" s="1">
        <v>0</v>
      </c>
      <c r="AE779" s="7" t="s">
        <v>317</v>
      </c>
      <c r="AF779" s="7" t="s">
        <v>530</v>
      </c>
      <c r="AG779" s="7" t="s">
        <v>319</v>
      </c>
    </row>
    <row r="780" spans="1:33" ht="15.75" x14ac:dyDescent="0.25">
      <c r="A780" s="3">
        <v>1157746509436</v>
      </c>
      <c r="B780" s="9">
        <v>7709459911</v>
      </c>
      <c r="C780" s="10" t="s">
        <v>6909</v>
      </c>
      <c r="D780" s="10" t="s">
        <v>6910</v>
      </c>
      <c r="E780" s="9">
        <v>45896212</v>
      </c>
      <c r="F780" s="9">
        <v>45286580000</v>
      </c>
      <c r="G780" s="9">
        <v>16</v>
      </c>
      <c r="H780" s="9">
        <v>12300</v>
      </c>
      <c r="I780" s="9">
        <v>770901001</v>
      </c>
      <c r="J780" s="10" t="s">
        <v>6911</v>
      </c>
      <c r="K780" s="10"/>
      <c r="L780" s="3" t="s">
        <v>6912</v>
      </c>
      <c r="M780" s="10" t="s">
        <v>6913</v>
      </c>
      <c r="N780" s="10" t="s">
        <v>6914</v>
      </c>
      <c r="O780" s="10" t="s">
        <v>6915</v>
      </c>
      <c r="P780" s="11">
        <v>561010302766</v>
      </c>
      <c r="Q780" s="10" t="s">
        <v>41</v>
      </c>
      <c r="R780" s="10" t="s">
        <v>6916</v>
      </c>
      <c r="S780" s="10" t="s">
        <v>6917</v>
      </c>
      <c r="T780" s="10"/>
      <c r="U780" s="10" t="s">
        <v>6918</v>
      </c>
      <c r="V780" s="3">
        <v>10000</v>
      </c>
      <c r="W780" s="3">
        <v>144968000</v>
      </c>
      <c r="X780" s="3">
        <v>0</v>
      </c>
      <c r="Y780" s="3">
        <v>41818000</v>
      </c>
      <c r="Z780" s="3">
        <v>22213000</v>
      </c>
      <c r="AA780" s="3">
        <v>10793000</v>
      </c>
      <c r="AB780" s="3">
        <v>39052000</v>
      </c>
      <c r="AC780" s="3">
        <v>0</v>
      </c>
      <c r="AD780" s="3">
        <v>0</v>
      </c>
      <c r="AE780" s="10" t="s">
        <v>317</v>
      </c>
      <c r="AF780" s="10" t="s">
        <v>1465</v>
      </c>
      <c r="AG780" s="10" t="s">
        <v>319</v>
      </c>
    </row>
    <row r="781" spans="1:33" ht="15.75" x14ac:dyDescent="0.25">
      <c r="A781" s="1">
        <v>1055002747788</v>
      </c>
      <c r="B781" s="6">
        <v>5017062565</v>
      </c>
      <c r="C781" s="7" t="s">
        <v>6919</v>
      </c>
      <c r="D781" s="7" t="s">
        <v>6920</v>
      </c>
      <c r="E781" s="6">
        <v>78120515</v>
      </c>
      <c r="F781" s="6">
        <v>46433000000</v>
      </c>
      <c r="G781" s="6">
        <v>16</v>
      </c>
      <c r="H781" s="6">
        <v>12300</v>
      </c>
      <c r="I781" s="6">
        <v>501701001</v>
      </c>
      <c r="J781" s="7" t="s">
        <v>6921</v>
      </c>
      <c r="K781" s="7"/>
      <c r="L781" s="1" t="s">
        <v>288</v>
      </c>
      <c r="M781" s="7" t="s">
        <v>289</v>
      </c>
      <c r="N781" s="7" t="s">
        <v>6922</v>
      </c>
      <c r="O781" s="7" t="s">
        <v>6923</v>
      </c>
      <c r="P781" s="8">
        <v>501704702450</v>
      </c>
      <c r="Q781" s="7" t="s">
        <v>340</v>
      </c>
      <c r="R781" s="7" t="s">
        <v>6924</v>
      </c>
      <c r="S781" s="7" t="s">
        <v>6925</v>
      </c>
      <c r="T781" s="7"/>
      <c r="U781" s="7"/>
      <c r="V781" s="1">
        <v>10000</v>
      </c>
      <c r="W781" s="1">
        <v>59000000</v>
      </c>
      <c r="X781" s="1">
        <v>6830000</v>
      </c>
      <c r="Y781" s="1">
        <v>83717000</v>
      </c>
      <c r="Z781" s="1">
        <v>3000000</v>
      </c>
      <c r="AA781" s="1">
        <v>1635000</v>
      </c>
      <c r="AB781" s="1">
        <v>6123000</v>
      </c>
      <c r="AC781" s="1">
        <v>0</v>
      </c>
      <c r="AD781" s="1">
        <v>0</v>
      </c>
      <c r="AE781" s="7" t="s">
        <v>317</v>
      </c>
      <c r="AF781" s="7" t="s">
        <v>1534</v>
      </c>
      <c r="AG781" s="7" t="s">
        <v>319</v>
      </c>
    </row>
    <row r="782" spans="1:33" ht="15.75" x14ac:dyDescent="0.25">
      <c r="A782" s="3">
        <v>1157746395960</v>
      </c>
      <c r="B782" s="9">
        <v>7720301572</v>
      </c>
      <c r="C782" s="10" t="s">
        <v>6926</v>
      </c>
      <c r="D782" s="10" t="s">
        <v>6927</v>
      </c>
      <c r="E782" s="9">
        <v>11621751</v>
      </c>
      <c r="F782" s="9">
        <v>45263583000</v>
      </c>
      <c r="G782" s="9">
        <v>16</v>
      </c>
      <c r="H782" s="9">
        <v>12300</v>
      </c>
      <c r="I782" s="9">
        <v>772001001</v>
      </c>
      <c r="J782" s="10" t="s">
        <v>6928</v>
      </c>
      <c r="K782" s="10"/>
      <c r="L782" s="3" t="s">
        <v>3112</v>
      </c>
      <c r="M782" s="10" t="s">
        <v>3113</v>
      </c>
      <c r="N782" s="10" t="s">
        <v>4256</v>
      </c>
      <c r="O782" s="10" t="s">
        <v>6929</v>
      </c>
      <c r="P782" s="11">
        <v>501811378007</v>
      </c>
      <c r="Q782" s="10" t="s">
        <v>41</v>
      </c>
      <c r="R782" s="10" t="s">
        <v>6930</v>
      </c>
      <c r="S782" s="10" t="s">
        <v>6931</v>
      </c>
      <c r="T782" s="10"/>
      <c r="U782" s="10"/>
      <c r="V782" s="3">
        <v>10000</v>
      </c>
      <c r="W782" s="3">
        <v>42876000</v>
      </c>
      <c r="X782" s="3">
        <v>0</v>
      </c>
      <c r="Y782" s="3">
        <v>2000</v>
      </c>
      <c r="Z782" s="3">
        <v>819000</v>
      </c>
      <c r="AA782" s="3">
        <v>978000</v>
      </c>
      <c r="AB782" s="3">
        <v>2721000</v>
      </c>
      <c r="AC782" s="3">
        <v>0</v>
      </c>
      <c r="AD782" s="3">
        <v>0</v>
      </c>
      <c r="AE782" s="10" t="s">
        <v>317</v>
      </c>
      <c r="AF782" s="10" t="s">
        <v>530</v>
      </c>
      <c r="AG782" s="10" t="s">
        <v>319</v>
      </c>
    </row>
    <row r="783" spans="1:33" ht="15.75" x14ac:dyDescent="0.25">
      <c r="A783" s="1">
        <v>1125543059070</v>
      </c>
      <c r="B783" s="6">
        <v>5503238993</v>
      </c>
      <c r="C783" s="7" t="s">
        <v>6932</v>
      </c>
      <c r="D783" s="7" t="s">
        <v>6933</v>
      </c>
      <c r="E783" s="6">
        <v>9488472</v>
      </c>
      <c r="F783" s="6">
        <v>45263579000</v>
      </c>
      <c r="G783" s="6">
        <v>16</v>
      </c>
      <c r="H783" s="6">
        <v>12300</v>
      </c>
      <c r="I783" s="6">
        <v>772001001</v>
      </c>
      <c r="J783" s="7" t="s">
        <v>6934</v>
      </c>
      <c r="K783" s="7"/>
      <c r="L783" s="1" t="s">
        <v>6935</v>
      </c>
      <c r="M783" s="7" t="s">
        <v>6936</v>
      </c>
      <c r="N783" s="7" t="s">
        <v>6937</v>
      </c>
      <c r="O783" s="7" t="s">
        <v>6938</v>
      </c>
      <c r="P783" s="8">
        <v>550308238139</v>
      </c>
      <c r="Q783" s="7" t="s">
        <v>41</v>
      </c>
      <c r="R783" s="7" t="s">
        <v>6939</v>
      </c>
      <c r="S783" s="7" t="s">
        <v>6940</v>
      </c>
      <c r="T783" s="7"/>
      <c r="U783" s="7"/>
      <c r="V783" s="1">
        <v>10000</v>
      </c>
      <c r="W783" s="1">
        <v>44038000</v>
      </c>
      <c r="X783" s="1">
        <v>0</v>
      </c>
      <c r="Y783" s="1">
        <v>10000</v>
      </c>
      <c r="Z783" s="1">
        <v>3401000</v>
      </c>
      <c r="AA783" s="1">
        <v>104000</v>
      </c>
      <c r="AB783" s="1">
        <v>566000</v>
      </c>
      <c r="AC783" s="1">
        <v>0</v>
      </c>
      <c r="AD783" s="1">
        <v>0</v>
      </c>
      <c r="AE783" s="7" t="s">
        <v>317</v>
      </c>
      <c r="AF783" s="7" t="s">
        <v>410</v>
      </c>
      <c r="AG783" s="7" t="s">
        <v>319</v>
      </c>
    </row>
    <row r="784" spans="1:33" ht="15.75" x14ac:dyDescent="0.25">
      <c r="A784" s="1">
        <v>1157746552633</v>
      </c>
      <c r="B784" s="6">
        <v>7727186907</v>
      </c>
      <c r="C784" s="7" t="s">
        <v>6941</v>
      </c>
      <c r="D784" s="7" t="s">
        <v>6942</v>
      </c>
      <c r="E784" s="6">
        <v>46417923</v>
      </c>
      <c r="F784" s="6">
        <v>45293594000</v>
      </c>
      <c r="G784" s="6">
        <v>16</v>
      </c>
      <c r="H784" s="6">
        <v>12300</v>
      </c>
      <c r="I784" s="6">
        <v>772701001</v>
      </c>
      <c r="J784" s="7" t="s">
        <v>5714</v>
      </c>
      <c r="K784" s="7"/>
      <c r="L784" s="1" t="s">
        <v>2885</v>
      </c>
      <c r="M784" s="7" t="s">
        <v>2886</v>
      </c>
      <c r="N784" s="7" t="s">
        <v>6943</v>
      </c>
      <c r="O784" s="7" t="s">
        <v>6944</v>
      </c>
      <c r="P784" s="8">
        <v>772737244260</v>
      </c>
      <c r="Q784" s="7" t="s">
        <v>41</v>
      </c>
      <c r="R784" s="7" t="s">
        <v>6945</v>
      </c>
      <c r="S784" s="7" t="s">
        <v>6946</v>
      </c>
      <c r="T784" s="7"/>
      <c r="U784" s="7" t="s">
        <v>6947</v>
      </c>
      <c r="V784" s="1">
        <v>10000</v>
      </c>
      <c r="W784" s="1">
        <v>40081000</v>
      </c>
      <c r="X784" s="1">
        <v>0</v>
      </c>
      <c r="Y784" s="1">
        <v>0</v>
      </c>
      <c r="Z784" s="1">
        <v>0</v>
      </c>
      <c r="AA784" s="1">
        <v>0</v>
      </c>
      <c r="AB784" s="1">
        <v>22153000</v>
      </c>
      <c r="AC784" s="1">
        <v>0</v>
      </c>
      <c r="AD784" s="1">
        <v>0</v>
      </c>
      <c r="AE784" s="7" t="s">
        <v>317</v>
      </c>
      <c r="AF784" s="7" t="s">
        <v>286</v>
      </c>
      <c r="AG784" s="7" t="s">
        <v>319</v>
      </c>
    </row>
    <row r="785" spans="1:33" ht="15.75" x14ac:dyDescent="0.25">
      <c r="A785" s="3">
        <v>1157746354138</v>
      </c>
      <c r="B785" s="9">
        <v>7710494484</v>
      </c>
      <c r="C785" s="10" t="s">
        <v>6948</v>
      </c>
      <c r="D785" s="10" t="s">
        <v>6949</v>
      </c>
      <c r="E785" s="9">
        <v>44480449</v>
      </c>
      <c r="F785" s="9">
        <v>45286585000</v>
      </c>
      <c r="G785" s="9">
        <v>16</v>
      </c>
      <c r="H785" s="9">
        <v>12300</v>
      </c>
      <c r="I785" s="9">
        <v>771001001</v>
      </c>
      <c r="J785" s="10" t="s">
        <v>6950</v>
      </c>
      <c r="K785" s="10"/>
      <c r="L785" s="3" t="s">
        <v>6951</v>
      </c>
      <c r="M785" s="10" t="s">
        <v>6952</v>
      </c>
      <c r="N785" s="10" t="s">
        <v>6953</v>
      </c>
      <c r="O785" s="10" t="s">
        <v>6954</v>
      </c>
      <c r="P785" s="11">
        <v>233707833470</v>
      </c>
      <c r="Q785" s="10" t="s">
        <v>41</v>
      </c>
      <c r="R785" s="10" t="s">
        <v>6955</v>
      </c>
      <c r="S785" s="10" t="s">
        <v>6956</v>
      </c>
      <c r="T785" s="10"/>
      <c r="U785" s="10" t="s">
        <v>6957</v>
      </c>
      <c r="V785" s="3">
        <v>10000</v>
      </c>
      <c r="W785" s="3">
        <v>83957000</v>
      </c>
      <c r="X785" s="3">
        <v>0</v>
      </c>
      <c r="Y785" s="3">
        <v>352000</v>
      </c>
      <c r="Z785" s="3">
        <v>16726000</v>
      </c>
      <c r="AA785" s="3">
        <v>6604000</v>
      </c>
      <c r="AB785" s="3">
        <v>-5542000</v>
      </c>
      <c r="AC785" s="3">
        <v>-5040000</v>
      </c>
      <c r="AD785" s="3">
        <v>-2782000</v>
      </c>
      <c r="AE785" s="10" t="s">
        <v>317</v>
      </c>
      <c r="AF785" s="10" t="s">
        <v>821</v>
      </c>
      <c r="AG785" s="10" t="s">
        <v>319</v>
      </c>
    </row>
    <row r="786" spans="1:33" ht="15.75" x14ac:dyDescent="0.25">
      <c r="A786" s="3">
        <v>1157746569056</v>
      </c>
      <c r="B786" s="9">
        <v>7743106049</v>
      </c>
      <c r="C786" s="10" t="s">
        <v>6958</v>
      </c>
      <c r="D786" s="10" t="s">
        <v>6959</v>
      </c>
      <c r="E786" s="9">
        <v>46458655</v>
      </c>
      <c r="F786" s="9">
        <v>45277584000</v>
      </c>
      <c r="G786" s="9">
        <v>16</v>
      </c>
      <c r="H786" s="9">
        <v>12300</v>
      </c>
      <c r="I786" s="9">
        <v>774301001</v>
      </c>
      <c r="J786" s="10" t="s">
        <v>6960</v>
      </c>
      <c r="K786" s="10"/>
      <c r="L786" s="3" t="s">
        <v>6961</v>
      </c>
      <c r="M786" s="10" t="s">
        <v>6962</v>
      </c>
      <c r="N786" s="10" t="s">
        <v>6963</v>
      </c>
      <c r="O786" s="10" t="s">
        <v>6964</v>
      </c>
      <c r="P786" s="11">
        <v>771120063689</v>
      </c>
      <c r="Q786" s="10" t="s">
        <v>41</v>
      </c>
      <c r="R786" s="10" t="s">
        <v>6965</v>
      </c>
      <c r="S786" s="10" t="s">
        <v>6966</v>
      </c>
      <c r="T786" s="10"/>
      <c r="U786" s="10" t="s">
        <v>6967</v>
      </c>
      <c r="V786" s="3">
        <v>10000</v>
      </c>
      <c r="W786" s="3">
        <v>68781000</v>
      </c>
      <c r="X786" s="3">
        <v>1346000</v>
      </c>
      <c r="Y786" s="3">
        <v>240000</v>
      </c>
      <c r="Z786" s="3">
        <v>4146000</v>
      </c>
      <c r="AA786" s="3">
        <v>3399000</v>
      </c>
      <c r="AB786" s="3">
        <v>9136000</v>
      </c>
      <c r="AC786" s="3">
        <v>0</v>
      </c>
      <c r="AD786" s="3">
        <v>0</v>
      </c>
      <c r="AE786" s="10" t="s">
        <v>317</v>
      </c>
      <c r="AF786" s="10" t="s">
        <v>352</v>
      </c>
      <c r="AG786" s="10" t="s">
        <v>319</v>
      </c>
    </row>
    <row r="787" spans="1:33" ht="15.75" x14ac:dyDescent="0.25">
      <c r="A787" s="3">
        <v>1157746314934</v>
      </c>
      <c r="B787" s="9">
        <v>7735142597</v>
      </c>
      <c r="C787" s="10" t="s">
        <v>6968</v>
      </c>
      <c r="D787" s="10" t="s">
        <v>6969</v>
      </c>
      <c r="E787" s="9">
        <v>43301775</v>
      </c>
      <c r="F787" s="9">
        <v>45272562000</v>
      </c>
      <c r="G787" s="9">
        <v>16</v>
      </c>
      <c r="H787" s="9">
        <v>12300</v>
      </c>
      <c r="I787" s="9">
        <v>773501001</v>
      </c>
      <c r="J787" s="10" t="s">
        <v>6838</v>
      </c>
      <c r="K787" s="10"/>
      <c r="L787" s="3" t="s">
        <v>1800</v>
      </c>
      <c r="M787" s="10" t="s">
        <v>1801</v>
      </c>
      <c r="N787" s="10" t="s">
        <v>6970</v>
      </c>
      <c r="O787" s="10" t="s">
        <v>6971</v>
      </c>
      <c r="P787" s="11">
        <v>524601846730</v>
      </c>
      <c r="Q787" s="10" t="s">
        <v>41</v>
      </c>
      <c r="R787" s="10" t="s">
        <v>6972</v>
      </c>
      <c r="S787" s="10" t="s">
        <v>6973</v>
      </c>
      <c r="T787" s="10"/>
      <c r="U787" s="10"/>
      <c r="V787" s="3">
        <v>10000</v>
      </c>
      <c r="W787" s="3">
        <v>76145000</v>
      </c>
      <c r="X787" s="3">
        <v>356000</v>
      </c>
      <c r="Y787" s="3">
        <v>7206000</v>
      </c>
      <c r="Z787" s="3">
        <v>2157000</v>
      </c>
      <c r="AA787" s="3">
        <v>2556000</v>
      </c>
      <c r="AB787" s="3">
        <v>790000</v>
      </c>
      <c r="AC787" s="3">
        <v>0</v>
      </c>
      <c r="AD787" s="3">
        <v>0</v>
      </c>
      <c r="AE787" s="10" t="s">
        <v>317</v>
      </c>
      <c r="AF787" s="10" t="s">
        <v>1534</v>
      </c>
      <c r="AG787" s="10" t="s">
        <v>319</v>
      </c>
    </row>
    <row r="788" spans="1:33" ht="15.75" x14ac:dyDescent="0.25">
      <c r="A788" s="1">
        <v>1157746349738</v>
      </c>
      <c r="B788" s="6">
        <v>7734352104</v>
      </c>
      <c r="C788" s="7" t="s">
        <v>6974</v>
      </c>
      <c r="D788" s="7" t="s">
        <v>6975</v>
      </c>
      <c r="E788" s="6">
        <v>44427337</v>
      </c>
      <c r="F788" s="6">
        <v>45277556000</v>
      </c>
      <c r="G788" s="6">
        <v>16</v>
      </c>
      <c r="H788" s="6">
        <v>12300</v>
      </c>
      <c r="I788" s="6">
        <v>771401001</v>
      </c>
      <c r="J788" s="7" t="s">
        <v>6976</v>
      </c>
      <c r="K788" s="7"/>
      <c r="L788" s="1" t="s">
        <v>914</v>
      </c>
      <c r="M788" s="7" t="s">
        <v>915</v>
      </c>
      <c r="N788" s="7" t="s">
        <v>6977</v>
      </c>
      <c r="O788" s="7" t="s">
        <v>6978</v>
      </c>
      <c r="P788" s="8">
        <v>182908273761</v>
      </c>
      <c r="Q788" s="7" t="s">
        <v>41</v>
      </c>
      <c r="R788" s="7" t="s">
        <v>6979</v>
      </c>
      <c r="S788" s="7" t="s">
        <v>6980</v>
      </c>
      <c r="T788" s="7"/>
      <c r="U788" s="7" t="s">
        <v>6981</v>
      </c>
      <c r="V788" s="1">
        <v>10000</v>
      </c>
      <c r="W788" s="1">
        <v>376137000</v>
      </c>
      <c r="X788" s="1">
        <v>12791000</v>
      </c>
      <c r="Y788" s="1">
        <v>95046000</v>
      </c>
      <c r="Z788" s="1">
        <v>271976000</v>
      </c>
      <c r="AA788" s="1">
        <v>57512000</v>
      </c>
      <c r="AB788" s="1">
        <v>324662000</v>
      </c>
      <c r="AC788" s="1">
        <v>324031000</v>
      </c>
      <c r="AD788" s="1">
        <v>329081000</v>
      </c>
      <c r="AE788" s="7" t="s">
        <v>317</v>
      </c>
      <c r="AF788" s="7" t="s">
        <v>512</v>
      </c>
      <c r="AG788" s="7" t="s">
        <v>319</v>
      </c>
    </row>
    <row r="789" spans="1:33" ht="15.75" x14ac:dyDescent="0.25">
      <c r="A789" s="3">
        <v>1157746166478</v>
      </c>
      <c r="B789" s="9">
        <v>7729448587</v>
      </c>
      <c r="C789" s="10" t="s">
        <v>6982</v>
      </c>
      <c r="D789" s="10" t="s">
        <v>6983</v>
      </c>
      <c r="E789" s="9">
        <v>42418127</v>
      </c>
      <c r="F789" s="9">
        <v>45268584000</v>
      </c>
      <c r="G789" s="9">
        <v>16</v>
      </c>
      <c r="H789" s="9">
        <v>12300</v>
      </c>
      <c r="I789" s="9">
        <v>772901001</v>
      </c>
      <c r="J789" s="10" t="s">
        <v>6984</v>
      </c>
      <c r="K789" s="10"/>
      <c r="L789" s="3" t="s">
        <v>445</v>
      </c>
      <c r="M789" s="10" t="s">
        <v>446</v>
      </c>
      <c r="N789" s="10" t="s">
        <v>6985</v>
      </c>
      <c r="O789" s="10" t="s">
        <v>6986</v>
      </c>
      <c r="P789" s="11">
        <v>772773047042</v>
      </c>
      <c r="Q789" s="10" t="s">
        <v>41</v>
      </c>
      <c r="R789" s="10" t="s">
        <v>6987</v>
      </c>
      <c r="S789" s="10" t="s">
        <v>6988</v>
      </c>
      <c r="T789" s="10"/>
      <c r="U789" s="10"/>
      <c r="V789" s="3">
        <v>10000</v>
      </c>
      <c r="W789" s="3">
        <v>35425000</v>
      </c>
      <c r="X789" s="3">
        <v>5000</v>
      </c>
      <c r="Y789" s="3">
        <v>0</v>
      </c>
      <c r="Z789" s="3">
        <v>8859000</v>
      </c>
      <c r="AA789" s="3">
        <v>7130000</v>
      </c>
      <c r="AB789" s="3">
        <v>17502000</v>
      </c>
      <c r="AC789" s="3">
        <v>0</v>
      </c>
      <c r="AD789" s="3">
        <v>0</v>
      </c>
      <c r="AE789" s="10" t="s">
        <v>317</v>
      </c>
      <c r="AF789" s="10" t="s">
        <v>410</v>
      </c>
      <c r="AG789" s="10" t="s">
        <v>319</v>
      </c>
    </row>
    <row r="790" spans="1:33" ht="15.75" x14ac:dyDescent="0.25">
      <c r="A790" s="1">
        <v>1025006392388</v>
      </c>
      <c r="B790" s="6">
        <v>5048009240</v>
      </c>
      <c r="C790" s="7" t="s">
        <v>6989</v>
      </c>
      <c r="D790" s="7" t="s">
        <v>6990</v>
      </c>
      <c r="E790" s="6">
        <v>329415</v>
      </c>
      <c r="F790" s="6">
        <v>46484000000</v>
      </c>
      <c r="G790" s="6">
        <v>16</v>
      </c>
      <c r="H790" s="6">
        <v>12300</v>
      </c>
      <c r="I790" s="6">
        <v>504801001</v>
      </c>
      <c r="J790" s="7" t="s">
        <v>6991</v>
      </c>
      <c r="K790" s="7"/>
      <c r="L790" s="1" t="s">
        <v>4299</v>
      </c>
      <c r="M790" s="7" t="s">
        <v>4300</v>
      </c>
      <c r="N790" s="7" t="s">
        <v>6992</v>
      </c>
      <c r="O790" s="7" t="s">
        <v>6993</v>
      </c>
      <c r="P790" s="8">
        <v>504800163132</v>
      </c>
      <c r="Q790" s="7" t="s">
        <v>41</v>
      </c>
      <c r="R790" s="7" t="s">
        <v>6994</v>
      </c>
      <c r="S790" s="7" t="s">
        <v>6995</v>
      </c>
      <c r="T790" s="7"/>
      <c r="U790" s="7" t="s">
        <v>6996</v>
      </c>
      <c r="V790" s="1">
        <v>10000</v>
      </c>
      <c r="W790" s="1">
        <v>61086000</v>
      </c>
      <c r="X790" s="1">
        <v>0</v>
      </c>
      <c r="Y790" s="1">
        <v>4764000</v>
      </c>
      <c r="Z790" s="1">
        <v>765000</v>
      </c>
      <c r="AA790" s="1">
        <v>3506000</v>
      </c>
      <c r="AB790" s="1">
        <v>633000</v>
      </c>
      <c r="AC790" s="1">
        <v>0</v>
      </c>
      <c r="AD790" s="1">
        <v>0</v>
      </c>
      <c r="AE790" s="7" t="s">
        <v>317</v>
      </c>
      <c r="AF790" s="7" t="s">
        <v>512</v>
      </c>
      <c r="AG790" s="7" t="s">
        <v>319</v>
      </c>
    </row>
    <row r="791" spans="1:33" ht="15.75" x14ac:dyDescent="0.25">
      <c r="A791" s="3">
        <v>1157746390350</v>
      </c>
      <c r="B791" s="9">
        <v>7729458923</v>
      </c>
      <c r="C791" s="10" t="s">
        <v>6997</v>
      </c>
      <c r="D791" s="10" t="s">
        <v>6998</v>
      </c>
      <c r="E791" s="9">
        <v>11476421</v>
      </c>
      <c r="F791" s="9">
        <v>45268554000</v>
      </c>
      <c r="G791" s="9">
        <v>16</v>
      </c>
      <c r="H791" s="9">
        <v>12300</v>
      </c>
      <c r="I791" s="9">
        <v>773001001</v>
      </c>
      <c r="J791" s="10" t="s">
        <v>6999</v>
      </c>
      <c r="K791" s="10"/>
      <c r="L791" s="3" t="s">
        <v>6623</v>
      </c>
      <c r="M791" s="10" t="s">
        <v>6624</v>
      </c>
      <c r="N791" s="10" t="s">
        <v>7000</v>
      </c>
      <c r="O791" s="10" t="s">
        <v>7001</v>
      </c>
      <c r="P791" s="11">
        <v>504708483370</v>
      </c>
      <c r="Q791" s="10" t="s">
        <v>41</v>
      </c>
      <c r="R791" s="10" t="s">
        <v>7002</v>
      </c>
      <c r="S791" s="10" t="s">
        <v>7003</v>
      </c>
      <c r="T791" s="10"/>
      <c r="U791" s="10" t="s">
        <v>7004</v>
      </c>
      <c r="V791" s="3">
        <v>10000</v>
      </c>
      <c r="W791" s="3">
        <v>106302000</v>
      </c>
      <c r="X791" s="3">
        <v>0</v>
      </c>
      <c r="Y791" s="3">
        <v>0</v>
      </c>
      <c r="Z791" s="3">
        <v>0</v>
      </c>
      <c r="AA791" s="3">
        <v>0</v>
      </c>
      <c r="AB791" s="3">
        <v>17111000</v>
      </c>
      <c r="AC791" s="3">
        <v>17111000</v>
      </c>
      <c r="AD791" s="3">
        <v>17111000</v>
      </c>
      <c r="AE791" s="10" t="s">
        <v>317</v>
      </c>
      <c r="AF791" s="10" t="s">
        <v>410</v>
      </c>
      <c r="AG791" s="10" t="s">
        <v>319</v>
      </c>
    </row>
    <row r="792" spans="1:33" ht="15.75" x14ac:dyDescent="0.25">
      <c r="A792" s="1">
        <v>1025005925340</v>
      </c>
      <c r="B792" s="6">
        <v>5045023134</v>
      </c>
      <c r="C792" s="7" t="s">
        <v>7005</v>
      </c>
      <c r="D792" s="7" t="s">
        <v>7006</v>
      </c>
      <c r="E792" s="6">
        <v>42305966</v>
      </c>
      <c r="F792" s="6">
        <v>46476000000</v>
      </c>
      <c r="G792" s="6">
        <v>16</v>
      </c>
      <c r="H792" s="6">
        <v>12300</v>
      </c>
      <c r="I792" s="6">
        <v>504501001</v>
      </c>
      <c r="J792" s="7" t="s">
        <v>5733</v>
      </c>
      <c r="K792" s="7"/>
      <c r="L792" s="1" t="s">
        <v>2363</v>
      </c>
      <c r="M792" s="7" t="s">
        <v>2364</v>
      </c>
      <c r="N792" s="7" t="s">
        <v>7007</v>
      </c>
      <c r="O792" s="7" t="s">
        <v>7008</v>
      </c>
      <c r="P792" s="8">
        <v>504502738106</v>
      </c>
      <c r="Q792" s="7" t="s">
        <v>150</v>
      </c>
      <c r="R792" s="7" t="s">
        <v>7009</v>
      </c>
      <c r="S792" s="7" t="s">
        <v>7010</v>
      </c>
      <c r="T792" s="7"/>
      <c r="U792" s="7" t="s">
        <v>7011</v>
      </c>
      <c r="V792" s="1">
        <v>10000</v>
      </c>
      <c r="W792" s="1">
        <v>31779000</v>
      </c>
      <c r="X792" s="1">
        <v>2480000</v>
      </c>
      <c r="Y792" s="1">
        <v>770000</v>
      </c>
      <c r="Z792" s="1">
        <v>458000</v>
      </c>
      <c r="AA792" s="1">
        <v>1305000</v>
      </c>
      <c r="AB792" s="1">
        <v>29000</v>
      </c>
      <c r="AC792" s="1">
        <v>0</v>
      </c>
      <c r="AD792" s="1">
        <v>0</v>
      </c>
      <c r="AE792" s="7" t="s">
        <v>317</v>
      </c>
      <c r="AF792" s="7" t="s">
        <v>461</v>
      </c>
      <c r="AG792" s="7" t="s">
        <v>319</v>
      </c>
    </row>
    <row r="793" spans="1:33" ht="15.75" x14ac:dyDescent="0.25">
      <c r="A793" s="3">
        <v>1157746505916</v>
      </c>
      <c r="B793" s="9">
        <v>7728257847</v>
      </c>
      <c r="C793" s="10" t="s">
        <v>7012</v>
      </c>
      <c r="D793" s="10" t="s">
        <v>7013</v>
      </c>
      <c r="E793" s="9">
        <v>45877226</v>
      </c>
      <c r="F793" s="9">
        <v>45293566000</v>
      </c>
      <c r="G793" s="9">
        <v>16</v>
      </c>
      <c r="H793" s="9">
        <v>12300</v>
      </c>
      <c r="I793" s="9">
        <v>772801001</v>
      </c>
      <c r="J793" s="10" t="s">
        <v>6911</v>
      </c>
      <c r="K793" s="10"/>
      <c r="L793" s="3" t="s">
        <v>7014</v>
      </c>
      <c r="M793" s="10" t="s">
        <v>7015</v>
      </c>
      <c r="N793" s="10" t="s">
        <v>7016</v>
      </c>
      <c r="O793" s="10" t="s">
        <v>7017</v>
      </c>
      <c r="P793" s="11">
        <v>500302174906</v>
      </c>
      <c r="Q793" s="10" t="s">
        <v>41</v>
      </c>
      <c r="R793" s="10" t="s">
        <v>7018</v>
      </c>
      <c r="S793" s="10" t="s">
        <v>7019</v>
      </c>
      <c r="T793" s="10"/>
      <c r="U793" s="10"/>
      <c r="V793" s="3">
        <v>10000</v>
      </c>
      <c r="W793" s="3">
        <v>49812000</v>
      </c>
      <c r="X793" s="3">
        <v>887000</v>
      </c>
      <c r="Y793" s="3">
        <v>0</v>
      </c>
      <c r="Z793" s="3">
        <v>17805000</v>
      </c>
      <c r="AA793" s="3">
        <v>12612000</v>
      </c>
      <c r="AB793" s="3">
        <v>20039000</v>
      </c>
      <c r="AC793" s="3">
        <v>0</v>
      </c>
      <c r="AD793" s="3">
        <v>0</v>
      </c>
      <c r="AE793" s="10" t="s">
        <v>317</v>
      </c>
      <c r="AF793" s="10" t="s">
        <v>410</v>
      </c>
      <c r="AG793" s="10" t="s">
        <v>319</v>
      </c>
    </row>
    <row r="794" spans="1:33" ht="15.75" x14ac:dyDescent="0.25">
      <c r="A794" s="1">
        <v>1025004911491</v>
      </c>
      <c r="B794" s="6">
        <v>5038029569</v>
      </c>
      <c r="C794" s="7" t="s">
        <v>7020</v>
      </c>
      <c r="D794" s="7" t="s">
        <v>7021</v>
      </c>
      <c r="E794" s="6">
        <v>48819815</v>
      </c>
      <c r="F794" s="6">
        <v>46458000000</v>
      </c>
      <c r="G794" s="6">
        <v>16</v>
      </c>
      <c r="H794" s="6">
        <v>12300</v>
      </c>
      <c r="I794" s="6">
        <v>503801001</v>
      </c>
      <c r="J794" s="7" t="s">
        <v>7022</v>
      </c>
      <c r="K794" s="7"/>
      <c r="L794" s="1" t="s">
        <v>7023</v>
      </c>
      <c r="M794" s="7" t="s">
        <v>7024</v>
      </c>
      <c r="N794" s="7" t="s">
        <v>7025</v>
      </c>
      <c r="O794" s="7" t="s">
        <v>7026</v>
      </c>
      <c r="P794" s="8">
        <v>771535353787</v>
      </c>
      <c r="Q794" s="7" t="s">
        <v>1379</v>
      </c>
      <c r="R794" s="7" t="s">
        <v>7027</v>
      </c>
      <c r="S794" s="7" t="s">
        <v>7028</v>
      </c>
      <c r="T794" s="7"/>
      <c r="U794" s="7"/>
      <c r="V794" s="1">
        <v>10000</v>
      </c>
      <c r="W794" s="1">
        <v>49229000</v>
      </c>
      <c r="X794" s="1">
        <v>212000</v>
      </c>
      <c r="Y794" s="1">
        <v>39800000</v>
      </c>
      <c r="Z794" s="1">
        <v>0</v>
      </c>
      <c r="AA794" s="1">
        <v>0</v>
      </c>
      <c r="AB794" s="1">
        <v>-1799000</v>
      </c>
      <c r="AC794" s="1">
        <v>0</v>
      </c>
      <c r="AD794" s="1">
        <v>0</v>
      </c>
      <c r="AE794" s="7" t="s">
        <v>317</v>
      </c>
      <c r="AF794" s="7" t="s">
        <v>1329</v>
      </c>
      <c r="AG794" s="7" t="s">
        <v>319</v>
      </c>
    </row>
    <row r="795" spans="1:33" ht="15.75" x14ac:dyDescent="0.25">
      <c r="A795" s="3">
        <v>1157746369660</v>
      </c>
      <c r="B795" s="9">
        <v>7736244440</v>
      </c>
      <c r="C795" s="10" t="s">
        <v>7029</v>
      </c>
      <c r="D795" s="10" t="s">
        <v>7030</v>
      </c>
      <c r="E795" s="9">
        <v>45033451</v>
      </c>
      <c r="F795" s="9">
        <v>45293574000</v>
      </c>
      <c r="G795" s="9">
        <v>16</v>
      </c>
      <c r="H795" s="9">
        <v>12300</v>
      </c>
      <c r="I795" s="9">
        <v>773601001</v>
      </c>
      <c r="J795" s="10" t="s">
        <v>7031</v>
      </c>
      <c r="K795" s="10"/>
      <c r="L795" s="3" t="s">
        <v>7032</v>
      </c>
      <c r="M795" s="10" t="s">
        <v>7033</v>
      </c>
      <c r="N795" s="10" t="s">
        <v>7034</v>
      </c>
      <c r="O795" s="10" t="s">
        <v>7035</v>
      </c>
      <c r="P795" s="11">
        <v>500112422364</v>
      </c>
      <c r="Q795" s="10" t="s">
        <v>41</v>
      </c>
      <c r="R795" s="10" t="s">
        <v>7036</v>
      </c>
      <c r="S795" s="10" t="s">
        <v>7037</v>
      </c>
      <c r="T795" s="10"/>
      <c r="U795" s="10" t="s">
        <v>7038</v>
      </c>
      <c r="V795" s="3">
        <v>10000</v>
      </c>
      <c r="W795" s="3">
        <v>33600000</v>
      </c>
      <c r="X795" s="3">
        <v>6211000</v>
      </c>
      <c r="Y795" s="3">
        <v>0</v>
      </c>
      <c r="Z795" s="3">
        <v>1588000</v>
      </c>
      <c r="AA795" s="3">
        <v>1560000</v>
      </c>
      <c r="AB795" s="3">
        <v>14217000</v>
      </c>
      <c r="AC795" s="3">
        <v>16721000</v>
      </c>
      <c r="AD795" s="3">
        <v>16237000</v>
      </c>
      <c r="AE795" s="10" t="s">
        <v>317</v>
      </c>
      <c r="AF795" s="10" t="s">
        <v>421</v>
      </c>
      <c r="AG795" s="10" t="s">
        <v>319</v>
      </c>
    </row>
    <row r="796" spans="1:33" ht="15.75" x14ac:dyDescent="0.25">
      <c r="A796" s="1">
        <v>1157746422778</v>
      </c>
      <c r="B796" s="6">
        <v>7733233866</v>
      </c>
      <c r="C796" s="7" t="s">
        <v>7039</v>
      </c>
      <c r="D796" s="7" t="s">
        <v>7040</v>
      </c>
      <c r="E796" s="6">
        <v>45088127</v>
      </c>
      <c r="F796" s="6">
        <v>45283555000</v>
      </c>
      <c r="G796" s="6">
        <v>16</v>
      </c>
      <c r="H796" s="6">
        <v>12300</v>
      </c>
      <c r="I796" s="6">
        <v>773301001</v>
      </c>
      <c r="J796" s="7" t="s">
        <v>7041</v>
      </c>
      <c r="K796" s="7"/>
      <c r="L796" s="1" t="s">
        <v>1072</v>
      </c>
      <c r="M796" s="7" t="s">
        <v>1073</v>
      </c>
      <c r="N796" s="7" t="s">
        <v>7042</v>
      </c>
      <c r="O796" s="7" t="s">
        <v>7043</v>
      </c>
      <c r="P796" s="8">
        <v>503113818011</v>
      </c>
      <c r="Q796" s="7" t="s">
        <v>41</v>
      </c>
      <c r="R796" s="7" t="s">
        <v>7044</v>
      </c>
      <c r="S796" s="7" t="s">
        <v>7045</v>
      </c>
      <c r="T796" s="7"/>
      <c r="U796" s="7" t="s">
        <v>7046</v>
      </c>
      <c r="V796" s="1">
        <v>10000</v>
      </c>
      <c r="W796" s="1">
        <v>48709000</v>
      </c>
      <c r="X796" s="1">
        <v>0</v>
      </c>
      <c r="Y796" s="1">
        <v>4757000</v>
      </c>
      <c r="Z796" s="1">
        <v>4091000</v>
      </c>
      <c r="AA796" s="1">
        <v>2798000</v>
      </c>
      <c r="AB796" s="1">
        <v>3821000</v>
      </c>
      <c r="AC796" s="1">
        <v>6386000</v>
      </c>
      <c r="AD796" s="1">
        <v>6222000</v>
      </c>
      <c r="AE796" s="7" t="s">
        <v>317</v>
      </c>
      <c r="AF796" s="7" t="s">
        <v>421</v>
      </c>
      <c r="AG796" s="7" t="s">
        <v>319</v>
      </c>
    </row>
    <row r="797" spans="1:33" ht="15.75" x14ac:dyDescent="0.25">
      <c r="A797" s="3">
        <v>1157746323900</v>
      </c>
      <c r="B797" s="9">
        <v>7736243742</v>
      </c>
      <c r="C797" s="10" t="s">
        <v>7047</v>
      </c>
      <c r="D797" s="10" t="s">
        <v>7048</v>
      </c>
      <c r="E797" s="9">
        <v>43284568</v>
      </c>
      <c r="F797" s="9">
        <v>45293558000</v>
      </c>
      <c r="G797" s="9">
        <v>16</v>
      </c>
      <c r="H797" s="9">
        <v>12300</v>
      </c>
      <c r="I797" s="9">
        <v>773601001</v>
      </c>
      <c r="J797" s="10" t="s">
        <v>6728</v>
      </c>
      <c r="K797" s="10"/>
      <c r="L797" s="3" t="s">
        <v>7049</v>
      </c>
      <c r="M797" s="10" t="s">
        <v>3082</v>
      </c>
      <c r="N797" s="10" t="s">
        <v>7050</v>
      </c>
      <c r="O797" s="10" t="s">
        <v>7051</v>
      </c>
      <c r="P797" s="11">
        <v>772770636642</v>
      </c>
      <c r="Q797" s="10" t="s">
        <v>41</v>
      </c>
      <c r="R797" s="10" t="s">
        <v>7052</v>
      </c>
      <c r="S797" s="10" t="s">
        <v>7053</v>
      </c>
      <c r="T797" s="10"/>
      <c r="U797" s="10" t="s">
        <v>7054</v>
      </c>
      <c r="V797" s="3">
        <v>10000</v>
      </c>
      <c r="W797" s="3">
        <v>108898000</v>
      </c>
      <c r="X797" s="3">
        <v>4961000</v>
      </c>
      <c r="Y797" s="3">
        <v>18414000</v>
      </c>
      <c r="Z797" s="3">
        <v>9032000</v>
      </c>
      <c r="AA797" s="3">
        <v>22358000</v>
      </c>
      <c r="AB797" s="3">
        <v>3479000</v>
      </c>
      <c r="AC797" s="3">
        <v>0</v>
      </c>
      <c r="AD797" s="3">
        <v>0</v>
      </c>
      <c r="AE797" s="10" t="s">
        <v>317</v>
      </c>
      <c r="AF797" s="10" t="s">
        <v>352</v>
      </c>
      <c r="AG797" s="10" t="s">
        <v>319</v>
      </c>
    </row>
    <row r="798" spans="1:33" ht="15.75" x14ac:dyDescent="0.25">
      <c r="A798" s="1">
        <v>1157746420182</v>
      </c>
      <c r="B798" s="6">
        <v>7718161470</v>
      </c>
      <c r="C798" s="7" t="s">
        <v>7055</v>
      </c>
      <c r="D798" s="7" t="s">
        <v>7056</v>
      </c>
      <c r="E798" s="6">
        <v>35903744</v>
      </c>
      <c r="F798" s="6">
        <v>45263591000</v>
      </c>
      <c r="G798" s="6">
        <v>16</v>
      </c>
      <c r="H798" s="6">
        <v>12300</v>
      </c>
      <c r="I798" s="6">
        <v>771801001</v>
      </c>
      <c r="J798" s="7" t="s">
        <v>1528</v>
      </c>
      <c r="K798" s="7"/>
      <c r="L798" s="1" t="s">
        <v>6552</v>
      </c>
      <c r="M798" s="7" t="s">
        <v>6553</v>
      </c>
      <c r="N798" s="7" t="s">
        <v>7057</v>
      </c>
      <c r="O798" s="7" t="s">
        <v>7058</v>
      </c>
      <c r="P798" s="8">
        <v>772004781698</v>
      </c>
      <c r="Q798" s="7" t="s">
        <v>41</v>
      </c>
      <c r="R798" s="7" t="s">
        <v>7059</v>
      </c>
      <c r="S798" s="7" t="s">
        <v>7060</v>
      </c>
      <c r="T798" s="7" t="s">
        <v>7061</v>
      </c>
      <c r="U798" s="7" t="s">
        <v>7062</v>
      </c>
      <c r="V798" s="1">
        <v>10000</v>
      </c>
      <c r="W798" s="1">
        <v>34842000</v>
      </c>
      <c r="X798" s="1">
        <v>0</v>
      </c>
      <c r="Y798" s="1">
        <v>10000</v>
      </c>
      <c r="Z798" s="1">
        <v>12094000</v>
      </c>
      <c r="AA798" s="1">
        <v>1334000</v>
      </c>
      <c r="AB798" s="1">
        <v>4666000</v>
      </c>
      <c r="AC798" s="1">
        <v>0</v>
      </c>
      <c r="AD798" s="1">
        <v>0</v>
      </c>
      <c r="AE798" s="7" t="s">
        <v>331</v>
      </c>
      <c r="AF798" s="7" t="s">
        <v>286</v>
      </c>
      <c r="AG798" s="7" t="s">
        <v>319</v>
      </c>
    </row>
    <row r="799" spans="1:33" ht="15.75" x14ac:dyDescent="0.25">
      <c r="A799" s="3">
        <v>1157746479758</v>
      </c>
      <c r="B799" s="9">
        <v>7718201316</v>
      </c>
      <c r="C799" s="10" t="s">
        <v>7063</v>
      </c>
      <c r="D799" s="10" t="s">
        <v>7064</v>
      </c>
      <c r="E799" s="9">
        <v>45377848</v>
      </c>
      <c r="F799" s="9">
        <v>45263570000</v>
      </c>
      <c r="G799" s="9">
        <v>16</v>
      </c>
      <c r="H799" s="9">
        <v>12300</v>
      </c>
      <c r="I799" s="9">
        <v>771901001</v>
      </c>
      <c r="J799" s="10" t="s">
        <v>7065</v>
      </c>
      <c r="K799" s="10"/>
      <c r="L799" s="3" t="s">
        <v>7066</v>
      </c>
      <c r="M799" s="10" t="s">
        <v>7067</v>
      </c>
      <c r="N799" s="10" t="s">
        <v>7068</v>
      </c>
      <c r="O799" s="10" t="s">
        <v>7069</v>
      </c>
      <c r="P799" s="11">
        <v>325300529910</v>
      </c>
      <c r="Q799" s="10" t="s">
        <v>41</v>
      </c>
      <c r="R799" s="10" t="s">
        <v>7070</v>
      </c>
      <c r="S799" s="10" t="s">
        <v>7071</v>
      </c>
      <c r="T799" s="10"/>
      <c r="U799" s="10" t="s">
        <v>7072</v>
      </c>
      <c r="V799" s="3">
        <v>10000</v>
      </c>
      <c r="W799" s="3">
        <v>31049000</v>
      </c>
      <c r="X799" s="3">
        <v>0</v>
      </c>
      <c r="Y799" s="3">
        <v>0</v>
      </c>
      <c r="Z799" s="3">
        <v>4880000</v>
      </c>
      <c r="AA799" s="3">
        <v>709000</v>
      </c>
      <c r="AB799" s="3">
        <v>133000</v>
      </c>
      <c r="AC799" s="3">
        <v>0</v>
      </c>
      <c r="AD799" s="3">
        <v>0</v>
      </c>
      <c r="AE799" s="10" t="s">
        <v>317</v>
      </c>
      <c r="AF799" s="10" t="s">
        <v>1023</v>
      </c>
      <c r="AG799" s="10" t="s">
        <v>319</v>
      </c>
    </row>
    <row r="800" spans="1:33" ht="15.75" x14ac:dyDescent="0.25">
      <c r="A800" s="3">
        <v>1025005598310</v>
      </c>
      <c r="B800" s="9">
        <v>5043021646</v>
      </c>
      <c r="C800" s="10" t="s">
        <v>7073</v>
      </c>
      <c r="D800" s="10" t="s">
        <v>7074</v>
      </c>
      <c r="E800" s="9">
        <v>18069142</v>
      </c>
      <c r="F800" s="9">
        <v>46470000000</v>
      </c>
      <c r="G800" s="9">
        <v>16</v>
      </c>
      <c r="H800" s="9">
        <v>12300</v>
      </c>
      <c r="I800" s="9">
        <v>504301001</v>
      </c>
      <c r="J800" s="10" t="s">
        <v>7075</v>
      </c>
      <c r="K800" s="10"/>
      <c r="L800" s="3" t="s">
        <v>4851</v>
      </c>
      <c r="M800" s="10" t="s">
        <v>4852</v>
      </c>
      <c r="N800" s="10" t="s">
        <v>7076</v>
      </c>
      <c r="O800" s="10" t="s">
        <v>7077</v>
      </c>
      <c r="P800" s="11">
        <v>504803966018</v>
      </c>
      <c r="Q800" s="10" t="s">
        <v>150</v>
      </c>
      <c r="R800" s="10" t="s">
        <v>7078</v>
      </c>
      <c r="S800" s="10" t="s">
        <v>7079</v>
      </c>
      <c r="T800" s="10"/>
      <c r="U800" s="10"/>
      <c r="V800" s="3">
        <v>10000</v>
      </c>
      <c r="W800" s="3">
        <v>73374000</v>
      </c>
      <c r="X800" s="3">
        <v>1476000</v>
      </c>
      <c r="Y800" s="3">
        <v>34159000</v>
      </c>
      <c r="Z800" s="3">
        <v>6235000</v>
      </c>
      <c r="AA800" s="3">
        <v>3963000</v>
      </c>
      <c r="AB800" s="3">
        <v>577000</v>
      </c>
      <c r="AC800" s="3">
        <v>0</v>
      </c>
      <c r="AD800" s="3">
        <v>0</v>
      </c>
      <c r="AE800" s="10" t="s">
        <v>317</v>
      </c>
      <c r="AF800" s="10" t="s">
        <v>352</v>
      </c>
      <c r="AG800" s="10" t="s">
        <v>319</v>
      </c>
    </row>
    <row r="801" spans="1:33" ht="15.75" x14ac:dyDescent="0.25">
      <c r="A801" s="1">
        <v>1157746527124</v>
      </c>
      <c r="B801" s="6">
        <v>7717291405</v>
      </c>
      <c r="C801" s="7" t="s">
        <v>7080</v>
      </c>
      <c r="D801" s="7" t="s">
        <v>7081</v>
      </c>
      <c r="E801" s="6">
        <v>45903700</v>
      </c>
      <c r="F801" s="6">
        <v>45280572000</v>
      </c>
      <c r="G801" s="6">
        <v>16</v>
      </c>
      <c r="H801" s="6">
        <v>12300</v>
      </c>
      <c r="I801" s="6">
        <v>772701001</v>
      </c>
      <c r="J801" s="7" t="s">
        <v>7082</v>
      </c>
      <c r="K801" s="7"/>
      <c r="L801" s="1" t="s">
        <v>7083</v>
      </c>
      <c r="M801" s="7" t="s">
        <v>7084</v>
      </c>
      <c r="N801" s="7" t="s">
        <v>7085</v>
      </c>
      <c r="O801" s="7" t="s">
        <v>7086</v>
      </c>
      <c r="P801" s="8">
        <v>591152566499</v>
      </c>
      <c r="Q801" s="7" t="s">
        <v>150</v>
      </c>
      <c r="R801" s="7" t="s">
        <v>7087</v>
      </c>
      <c r="S801" s="7" t="s">
        <v>7088</v>
      </c>
      <c r="T801" s="7"/>
      <c r="U801" s="7"/>
      <c r="V801" s="1">
        <v>10000</v>
      </c>
      <c r="W801" s="1">
        <v>100395000</v>
      </c>
      <c r="X801" s="1">
        <v>3386000</v>
      </c>
      <c r="Y801" s="1">
        <v>187000</v>
      </c>
      <c r="Z801" s="1">
        <v>45189000</v>
      </c>
      <c r="AA801" s="1">
        <v>8502000</v>
      </c>
      <c r="AB801" s="1">
        <v>2941000</v>
      </c>
      <c r="AC801" s="1">
        <v>0</v>
      </c>
      <c r="AD801" s="1">
        <v>0</v>
      </c>
      <c r="AE801" s="7" t="s">
        <v>331</v>
      </c>
      <c r="AF801" s="7" t="s">
        <v>453</v>
      </c>
      <c r="AG801" s="7" t="s">
        <v>319</v>
      </c>
    </row>
    <row r="802" spans="1:33" ht="15.75" x14ac:dyDescent="0.25">
      <c r="A802" s="3">
        <v>1025005600586</v>
      </c>
      <c r="B802" s="9">
        <v>5037042415</v>
      </c>
      <c r="C802" s="10" t="s">
        <v>7089</v>
      </c>
      <c r="D802" s="10" t="s">
        <v>7090</v>
      </c>
      <c r="E802" s="9">
        <v>33064825</v>
      </c>
      <c r="F802" s="9">
        <v>46470000000</v>
      </c>
      <c r="G802" s="9">
        <v>16</v>
      </c>
      <c r="H802" s="9">
        <v>12300</v>
      </c>
      <c r="I802" s="9">
        <v>504301001</v>
      </c>
      <c r="J802" s="10" t="s">
        <v>7091</v>
      </c>
      <c r="K802" s="10"/>
      <c r="L802" s="3" t="s">
        <v>7092</v>
      </c>
      <c r="M802" s="10" t="s">
        <v>7093</v>
      </c>
      <c r="N802" s="10" t="s">
        <v>7094</v>
      </c>
      <c r="O802" s="10" t="s">
        <v>7095</v>
      </c>
      <c r="P802" s="11">
        <v>504301145233</v>
      </c>
      <c r="Q802" s="10" t="s">
        <v>150</v>
      </c>
      <c r="R802" s="10" t="s">
        <v>7096</v>
      </c>
      <c r="S802" s="10" t="s">
        <v>7097</v>
      </c>
      <c r="T802" s="10"/>
      <c r="U802" s="10"/>
      <c r="V802" s="3">
        <v>10000</v>
      </c>
      <c r="W802" s="3">
        <v>71894000</v>
      </c>
      <c r="X802" s="3">
        <v>2292000</v>
      </c>
      <c r="Y802" s="3">
        <v>50188000</v>
      </c>
      <c r="Z802" s="3">
        <v>1490000</v>
      </c>
      <c r="AA802" s="3">
        <v>11706000</v>
      </c>
      <c r="AB802" s="3">
        <v>1495000</v>
      </c>
      <c r="AC802" s="3">
        <v>0</v>
      </c>
      <c r="AD802" s="3">
        <v>0</v>
      </c>
      <c r="AE802" s="10" t="s">
        <v>317</v>
      </c>
      <c r="AF802" s="10" t="s">
        <v>352</v>
      </c>
      <c r="AG802" s="10" t="s">
        <v>319</v>
      </c>
    </row>
    <row r="803" spans="1:33" ht="15.75" x14ac:dyDescent="0.25">
      <c r="A803" s="1">
        <v>1025006174038</v>
      </c>
      <c r="B803" s="6">
        <v>5047008170</v>
      </c>
      <c r="C803" s="7" t="s">
        <v>7098</v>
      </c>
      <c r="D803" s="7" t="s">
        <v>7099</v>
      </c>
      <c r="E803" s="6">
        <v>11769270</v>
      </c>
      <c r="F803" s="6">
        <v>46483000000</v>
      </c>
      <c r="G803" s="6">
        <v>16</v>
      </c>
      <c r="H803" s="6">
        <v>12300</v>
      </c>
      <c r="I803" s="6">
        <v>504701001</v>
      </c>
      <c r="J803" s="7" t="s">
        <v>7100</v>
      </c>
      <c r="K803" s="7"/>
      <c r="L803" s="1" t="s">
        <v>404</v>
      </c>
      <c r="M803" s="7" t="s">
        <v>405</v>
      </c>
      <c r="N803" s="7" t="s">
        <v>7101</v>
      </c>
      <c r="O803" s="7" t="s">
        <v>7102</v>
      </c>
      <c r="P803" s="8">
        <v>774339715147</v>
      </c>
      <c r="Q803" s="7" t="s">
        <v>150</v>
      </c>
      <c r="R803" s="7" t="s">
        <v>7103</v>
      </c>
      <c r="S803" s="7" t="s">
        <v>7104</v>
      </c>
      <c r="T803" s="7"/>
      <c r="U803" s="7"/>
      <c r="V803" s="1">
        <v>10000</v>
      </c>
      <c r="W803" s="1">
        <v>47701000</v>
      </c>
      <c r="X803" s="1">
        <v>17415000</v>
      </c>
      <c r="Y803" s="1">
        <v>35000</v>
      </c>
      <c r="Z803" s="1">
        <v>99311000</v>
      </c>
      <c r="AA803" s="1">
        <v>1884000</v>
      </c>
      <c r="AB803" s="1">
        <v>-315000</v>
      </c>
      <c r="AC803" s="1">
        <v>0</v>
      </c>
      <c r="AD803" s="1">
        <v>0</v>
      </c>
      <c r="AE803" s="7" t="s">
        <v>331</v>
      </c>
      <c r="AF803" s="7" t="s">
        <v>1727</v>
      </c>
      <c r="AG803" s="7" t="s">
        <v>319</v>
      </c>
    </row>
    <row r="804" spans="1:33" ht="15.75" x14ac:dyDescent="0.25">
      <c r="A804" s="1">
        <v>1157746501208</v>
      </c>
      <c r="B804" s="6">
        <v>7731284343</v>
      </c>
      <c r="C804" s="7" t="s">
        <v>7105</v>
      </c>
      <c r="D804" s="7" t="s">
        <v>7106</v>
      </c>
      <c r="E804" s="6">
        <v>45390725</v>
      </c>
      <c r="F804" s="6">
        <v>45293566000</v>
      </c>
      <c r="G804" s="6">
        <v>16</v>
      </c>
      <c r="H804" s="6">
        <v>12300</v>
      </c>
      <c r="I804" s="6">
        <v>772801001</v>
      </c>
      <c r="J804" s="7" t="s">
        <v>4993</v>
      </c>
      <c r="K804" s="7"/>
      <c r="L804" s="1" t="s">
        <v>1072</v>
      </c>
      <c r="M804" s="7" t="s">
        <v>1073</v>
      </c>
      <c r="N804" s="7" t="s">
        <v>7107</v>
      </c>
      <c r="O804" s="7" t="s">
        <v>7108</v>
      </c>
      <c r="P804" s="8">
        <v>772730948099</v>
      </c>
      <c r="Q804" s="7" t="s">
        <v>41</v>
      </c>
      <c r="R804" s="7" t="s">
        <v>7109</v>
      </c>
      <c r="S804" s="7" t="s">
        <v>7110</v>
      </c>
      <c r="T804" s="7"/>
      <c r="U804" s="7" t="s">
        <v>7111</v>
      </c>
      <c r="V804" s="1">
        <v>10000</v>
      </c>
      <c r="W804" s="1">
        <v>71170000</v>
      </c>
      <c r="X804" s="1">
        <v>390000</v>
      </c>
      <c r="Y804" s="1">
        <v>0</v>
      </c>
      <c r="Z804" s="1">
        <v>1045000</v>
      </c>
      <c r="AA804" s="1">
        <v>741000</v>
      </c>
      <c r="AB804" s="1">
        <v>-394000</v>
      </c>
      <c r="AC804" s="1">
        <v>0</v>
      </c>
      <c r="AD804" s="1">
        <v>0</v>
      </c>
      <c r="AE804" s="7" t="s">
        <v>331</v>
      </c>
      <c r="AF804" s="7" t="s">
        <v>2168</v>
      </c>
      <c r="AG804" s="7" t="s">
        <v>319</v>
      </c>
    </row>
    <row r="805" spans="1:33" ht="15.75" x14ac:dyDescent="0.25">
      <c r="A805" s="3">
        <v>1157746261750</v>
      </c>
      <c r="B805" s="9">
        <v>7730122117</v>
      </c>
      <c r="C805" s="10" t="s">
        <v>7112</v>
      </c>
      <c r="D805" s="10" t="s">
        <v>7113</v>
      </c>
      <c r="E805" s="9">
        <v>52733999</v>
      </c>
      <c r="F805" s="9">
        <v>45268554000</v>
      </c>
      <c r="G805" s="9">
        <v>16</v>
      </c>
      <c r="H805" s="9">
        <v>12300</v>
      </c>
      <c r="I805" s="9">
        <v>773001001</v>
      </c>
      <c r="J805" s="10" t="s">
        <v>7114</v>
      </c>
      <c r="K805" s="10"/>
      <c r="L805" s="3" t="s">
        <v>277</v>
      </c>
      <c r="M805" s="10" t="s">
        <v>278</v>
      </c>
      <c r="N805" s="10" t="s">
        <v>7115</v>
      </c>
      <c r="O805" s="10" t="s">
        <v>7116</v>
      </c>
      <c r="P805" s="11">
        <v>770470983803</v>
      </c>
      <c r="Q805" s="10" t="s">
        <v>41</v>
      </c>
      <c r="R805" s="10" t="s">
        <v>7117</v>
      </c>
      <c r="S805" s="10" t="s">
        <v>7118</v>
      </c>
      <c r="T805" s="10" t="s">
        <v>7119</v>
      </c>
      <c r="U805" s="10" t="s">
        <v>7120</v>
      </c>
      <c r="V805" s="3">
        <v>10000</v>
      </c>
      <c r="W805" s="3">
        <v>72207000</v>
      </c>
      <c r="X805" s="3">
        <v>10755000</v>
      </c>
      <c r="Y805" s="3">
        <v>8000</v>
      </c>
      <c r="Z805" s="3">
        <v>30804000</v>
      </c>
      <c r="AA805" s="3">
        <v>8288000</v>
      </c>
      <c r="AB805" s="3">
        <v>-2582000</v>
      </c>
      <c r="AC805" s="3">
        <v>0</v>
      </c>
      <c r="AD805" s="3">
        <v>0</v>
      </c>
      <c r="AE805" s="10" t="s">
        <v>331</v>
      </c>
      <c r="AF805" s="10" t="s">
        <v>1104</v>
      </c>
      <c r="AG805" s="10" t="s">
        <v>319</v>
      </c>
    </row>
    <row r="806" spans="1:33" ht="15.75" x14ac:dyDescent="0.25">
      <c r="A806" s="1">
        <v>1025007392486</v>
      </c>
      <c r="B806" s="6">
        <v>5072709677</v>
      </c>
      <c r="C806" s="7" t="s">
        <v>7121</v>
      </c>
      <c r="D806" s="7" t="s">
        <v>7122</v>
      </c>
      <c r="E806" s="6">
        <v>39839368</v>
      </c>
      <c r="F806" s="6">
        <v>46447000000</v>
      </c>
      <c r="G806" s="6">
        <v>16</v>
      </c>
      <c r="H806" s="6">
        <v>12300</v>
      </c>
      <c r="I806" s="6">
        <v>507201001</v>
      </c>
      <c r="J806" s="7" t="s">
        <v>7123</v>
      </c>
      <c r="K806" s="7"/>
      <c r="L806" s="1" t="s">
        <v>445</v>
      </c>
      <c r="M806" s="7" t="s">
        <v>446</v>
      </c>
      <c r="N806" s="7"/>
      <c r="O806" s="7" t="s">
        <v>7124</v>
      </c>
      <c r="P806" s="8">
        <v>644107157204</v>
      </c>
      <c r="Q806" s="7" t="s">
        <v>150</v>
      </c>
      <c r="R806" s="7" t="s">
        <v>7125</v>
      </c>
      <c r="S806" s="7" t="s">
        <v>7126</v>
      </c>
      <c r="T806" s="7"/>
      <c r="U806" s="7"/>
      <c r="V806" s="1">
        <v>10000</v>
      </c>
      <c r="W806" s="1">
        <v>33670000</v>
      </c>
      <c r="X806" s="1">
        <v>7961000</v>
      </c>
      <c r="Y806" s="1">
        <v>0</v>
      </c>
      <c r="Z806" s="1">
        <v>2072000</v>
      </c>
      <c r="AA806" s="1">
        <v>0</v>
      </c>
      <c r="AB806" s="1">
        <v>33333000</v>
      </c>
      <c r="AC806" s="1">
        <v>33670000</v>
      </c>
      <c r="AD806" s="1">
        <v>33333000</v>
      </c>
      <c r="AE806" s="7" t="s">
        <v>317</v>
      </c>
      <c r="AF806" s="7" t="s">
        <v>318</v>
      </c>
      <c r="AG806" s="7" t="s">
        <v>319</v>
      </c>
    </row>
    <row r="807" spans="1:33" ht="15.75" x14ac:dyDescent="0.25">
      <c r="A807" s="3">
        <v>1157746537123</v>
      </c>
      <c r="B807" s="9">
        <v>7733237941</v>
      </c>
      <c r="C807" s="10" t="s">
        <v>7127</v>
      </c>
      <c r="D807" s="10" t="s">
        <v>7128</v>
      </c>
      <c r="E807" s="9">
        <v>46381970</v>
      </c>
      <c r="F807" s="9">
        <v>45283559000</v>
      </c>
      <c r="G807" s="9">
        <v>16</v>
      </c>
      <c r="H807" s="9">
        <v>12300</v>
      </c>
      <c r="I807" s="9">
        <v>773301001</v>
      </c>
      <c r="J807" s="10" t="s">
        <v>7129</v>
      </c>
      <c r="K807" s="10"/>
      <c r="L807" s="3" t="s">
        <v>7130</v>
      </c>
      <c r="M807" s="10" t="s">
        <v>7131</v>
      </c>
      <c r="N807" s="10" t="s">
        <v>7132</v>
      </c>
      <c r="O807" s="10" t="s">
        <v>7133</v>
      </c>
      <c r="P807" s="11">
        <v>301302553442</v>
      </c>
      <c r="Q807" s="10" t="s">
        <v>41</v>
      </c>
      <c r="R807" s="10" t="s">
        <v>7134</v>
      </c>
      <c r="S807" s="10" t="s">
        <v>7135</v>
      </c>
      <c r="T807" s="10"/>
      <c r="U807" s="10" t="s">
        <v>7136</v>
      </c>
      <c r="V807" s="3">
        <v>10000</v>
      </c>
      <c r="W807" s="3">
        <v>35500000</v>
      </c>
      <c r="X807" s="3">
        <v>2289000</v>
      </c>
      <c r="Y807" s="3">
        <v>7791000</v>
      </c>
      <c r="Z807" s="3">
        <v>10561000</v>
      </c>
      <c r="AA807" s="3">
        <v>3070000</v>
      </c>
      <c r="AB807" s="3">
        <v>2045000</v>
      </c>
      <c r="AC807" s="3">
        <v>0</v>
      </c>
      <c r="AD807" s="3">
        <v>0</v>
      </c>
      <c r="AE807" s="10" t="s">
        <v>317</v>
      </c>
      <c r="AF807" s="10" t="s">
        <v>318</v>
      </c>
      <c r="AG807" s="10" t="s">
        <v>319</v>
      </c>
    </row>
    <row r="808" spans="1:33" ht="15.75" x14ac:dyDescent="0.25">
      <c r="A808" s="1">
        <v>1157746424175</v>
      </c>
      <c r="B808" s="6">
        <v>7730161243</v>
      </c>
      <c r="C808" s="7" t="s">
        <v>7137</v>
      </c>
      <c r="D808" s="7" t="s">
        <v>7138</v>
      </c>
      <c r="E808" s="6">
        <v>45094547</v>
      </c>
      <c r="F808" s="6">
        <v>45268597000</v>
      </c>
      <c r="G808" s="6">
        <v>16</v>
      </c>
      <c r="H808" s="6">
        <v>12300</v>
      </c>
      <c r="I808" s="6">
        <v>773101001</v>
      </c>
      <c r="J808" s="7" t="s">
        <v>7041</v>
      </c>
      <c r="K808" s="7"/>
      <c r="L808" s="1" t="s">
        <v>7139</v>
      </c>
      <c r="M808" s="7" t="s">
        <v>7140</v>
      </c>
      <c r="N808" s="7" t="s">
        <v>7141</v>
      </c>
      <c r="O808" s="7" t="s">
        <v>7142</v>
      </c>
      <c r="P808" s="8">
        <v>560705050860</v>
      </c>
      <c r="Q808" s="7" t="s">
        <v>41</v>
      </c>
      <c r="R808" s="7" t="s">
        <v>7143</v>
      </c>
      <c r="S808" s="7" t="s">
        <v>7144</v>
      </c>
      <c r="T808" s="7"/>
      <c r="U808" s="7" t="s">
        <v>7145</v>
      </c>
      <c r="V808" s="1">
        <v>10000</v>
      </c>
      <c r="W808" s="1">
        <v>64190000</v>
      </c>
      <c r="X808" s="1">
        <v>2163000</v>
      </c>
      <c r="Y808" s="1">
        <v>74000</v>
      </c>
      <c r="Z808" s="1">
        <v>25312000</v>
      </c>
      <c r="AA808" s="1">
        <v>25003000</v>
      </c>
      <c r="AB808" s="1">
        <v>1598000</v>
      </c>
      <c r="AC808" s="1">
        <v>0</v>
      </c>
      <c r="AD808" s="1">
        <v>0</v>
      </c>
      <c r="AE808" s="7" t="s">
        <v>317</v>
      </c>
      <c r="AF808" s="7" t="s">
        <v>286</v>
      </c>
      <c r="AG808" s="7" t="s">
        <v>319</v>
      </c>
    </row>
    <row r="809" spans="1:33" ht="15.75" x14ac:dyDescent="0.25">
      <c r="A809" s="1">
        <v>1025007390760</v>
      </c>
      <c r="B809" s="6">
        <v>5072000665</v>
      </c>
      <c r="C809" s="7" t="s">
        <v>7146</v>
      </c>
      <c r="D809" s="7" t="s">
        <v>7147</v>
      </c>
      <c r="E809" s="6">
        <v>34847995</v>
      </c>
      <c r="F809" s="6">
        <v>46447000000</v>
      </c>
      <c r="G809" s="6">
        <v>16</v>
      </c>
      <c r="H809" s="6">
        <v>12300</v>
      </c>
      <c r="I809" s="6">
        <v>507201001</v>
      </c>
      <c r="J809" s="7" t="s">
        <v>7148</v>
      </c>
      <c r="K809" s="7"/>
      <c r="L809" s="1" t="s">
        <v>7149</v>
      </c>
      <c r="M809" s="7" t="s">
        <v>7150</v>
      </c>
      <c r="N809" s="7" t="s">
        <v>7151</v>
      </c>
      <c r="O809" s="7" t="s">
        <v>7152</v>
      </c>
      <c r="P809" s="8">
        <v>507201036684</v>
      </c>
      <c r="Q809" s="7" t="s">
        <v>41</v>
      </c>
      <c r="R809" s="7" t="s">
        <v>7153</v>
      </c>
      <c r="S809" s="7" t="s">
        <v>7154</v>
      </c>
      <c r="T809" s="7"/>
      <c r="U809" s="7" t="s">
        <v>7155</v>
      </c>
      <c r="V809" s="1">
        <v>10000</v>
      </c>
      <c r="W809" s="1">
        <v>56962000</v>
      </c>
      <c r="X809" s="1">
        <v>19732000</v>
      </c>
      <c r="Y809" s="1">
        <v>424000</v>
      </c>
      <c r="Z809" s="1">
        <v>1029000</v>
      </c>
      <c r="AA809" s="1">
        <v>1123000</v>
      </c>
      <c r="AB809" s="1">
        <v>12737000</v>
      </c>
      <c r="AC809" s="1">
        <v>0</v>
      </c>
      <c r="AD809" s="1">
        <v>0</v>
      </c>
      <c r="AE809" s="7" t="s">
        <v>317</v>
      </c>
      <c r="AF809" s="7" t="s">
        <v>530</v>
      </c>
      <c r="AG809" s="7" t="s">
        <v>319</v>
      </c>
    </row>
    <row r="810" spans="1:33" ht="15.75" x14ac:dyDescent="0.25">
      <c r="A810" s="3">
        <v>1157746289030</v>
      </c>
      <c r="B810" s="9">
        <v>7743095118</v>
      </c>
      <c r="C810" s="10" t="s">
        <v>7156</v>
      </c>
      <c r="D810" s="10" t="s">
        <v>7157</v>
      </c>
      <c r="E810" s="9">
        <v>42948233</v>
      </c>
      <c r="F810" s="9">
        <v>45277595000</v>
      </c>
      <c r="G810" s="9">
        <v>16</v>
      </c>
      <c r="H810" s="9">
        <v>12300</v>
      </c>
      <c r="I810" s="9">
        <v>774301001</v>
      </c>
      <c r="J810" s="10" t="s">
        <v>7158</v>
      </c>
      <c r="K810" s="10"/>
      <c r="L810" s="3" t="s">
        <v>7159</v>
      </c>
      <c r="M810" s="10" t="s">
        <v>7160</v>
      </c>
      <c r="N810" s="10" t="s">
        <v>7161</v>
      </c>
      <c r="O810" s="10" t="s">
        <v>7162</v>
      </c>
      <c r="P810" s="11">
        <v>183113613783</v>
      </c>
      <c r="Q810" s="10" t="s">
        <v>41</v>
      </c>
      <c r="R810" s="10" t="s">
        <v>7163</v>
      </c>
      <c r="S810" s="10" t="s">
        <v>7164</v>
      </c>
      <c r="T810" s="10"/>
      <c r="U810" s="10" t="s">
        <v>7165</v>
      </c>
      <c r="V810" s="3">
        <v>10000</v>
      </c>
      <c r="W810" s="3">
        <v>37536000</v>
      </c>
      <c r="X810" s="3">
        <v>0</v>
      </c>
      <c r="Y810" s="3">
        <v>0</v>
      </c>
      <c r="Z810" s="3">
        <v>0</v>
      </c>
      <c r="AA810" s="3">
        <v>0</v>
      </c>
      <c r="AB810" s="3">
        <v>4722000</v>
      </c>
      <c r="AC810" s="3">
        <v>0</v>
      </c>
      <c r="AD810" s="3">
        <v>0</v>
      </c>
      <c r="AE810" s="10" t="s">
        <v>317</v>
      </c>
      <c r="AF810" s="10" t="s">
        <v>318</v>
      </c>
      <c r="AG810" s="10" t="s">
        <v>319</v>
      </c>
    </row>
    <row r="811" spans="1:33" ht="15.75" x14ac:dyDescent="0.25">
      <c r="A811" s="1">
        <v>1247700264987</v>
      </c>
      <c r="B811" s="6">
        <v>9727072861</v>
      </c>
      <c r="C811" s="7" t="s">
        <v>7166</v>
      </c>
      <c r="D811" s="7" t="s">
        <v>7167</v>
      </c>
      <c r="E811" s="6">
        <v>93913420</v>
      </c>
      <c r="F811" s="6">
        <v>45293554000</v>
      </c>
      <c r="G811" s="6">
        <v>16</v>
      </c>
      <c r="H811" s="6">
        <v>12300</v>
      </c>
      <c r="I811" s="6">
        <v>772701001</v>
      </c>
      <c r="J811" s="7" t="s">
        <v>7168</v>
      </c>
      <c r="K811" s="7"/>
      <c r="L811" s="1" t="s">
        <v>7169</v>
      </c>
      <c r="M811" s="7" t="s">
        <v>7170</v>
      </c>
      <c r="N811" s="7" t="s">
        <v>7171</v>
      </c>
      <c r="O811" s="7" t="s">
        <v>7172</v>
      </c>
      <c r="P811" s="8">
        <v>245723128644</v>
      </c>
      <c r="Q811" s="7" t="s">
        <v>41</v>
      </c>
      <c r="R811" s="7" t="s">
        <v>7173</v>
      </c>
      <c r="S811" s="7" t="s">
        <v>7174</v>
      </c>
      <c r="T811" s="7"/>
      <c r="U811" s="7" t="s">
        <v>7175</v>
      </c>
      <c r="V811" s="1">
        <v>10000</v>
      </c>
      <c r="W811" s="1">
        <v>43555000</v>
      </c>
      <c r="X811" s="1">
        <v>2250000</v>
      </c>
      <c r="Y811" s="1">
        <v>0</v>
      </c>
      <c r="Z811" s="1">
        <v>46017000</v>
      </c>
      <c r="AA811" s="1">
        <v>1721000</v>
      </c>
      <c r="AB811" s="1">
        <v>20364000</v>
      </c>
      <c r="AC811" s="1">
        <v>0</v>
      </c>
      <c r="AD811" s="1">
        <v>0</v>
      </c>
      <c r="AE811" s="7" t="s">
        <v>317</v>
      </c>
      <c r="AF811" s="7" t="s">
        <v>352</v>
      </c>
      <c r="AG811" s="7" t="s">
        <v>319</v>
      </c>
    </row>
    <row r="812" spans="1:33" ht="15.75" x14ac:dyDescent="0.25">
      <c r="A812" s="3">
        <v>1167746297553</v>
      </c>
      <c r="B812" s="9">
        <v>7719441984</v>
      </c>
      <c r="C812" s="10" t="s">
        <v>7176</v>
      </c>
      <c r="D812" s="10" t="s">
        <v>7177</v>
      </c>
      <c r="E812" s="9">
        <v>1340654</v>
      </c>
      <c r="F812" s="9">
        <v>45263588000</v>
      </c>
      <c r="G812" s="9">
        <v>16</v>
      </c>
      <c r="H812" s="9">
        <v>12300</v>
      </c>
      <c r="I812" s="9">
        <v>771901001</v>
      </c>
      <c r="J812" s="10" t="s">
        <v>7178</v>
      </c>
      <c r="K812" s="10"/>
      <c r="L812" s="3" t="s">
        <v>5774</v>
      </c>
      <c r="M812" s="10" t="s">
        <v>5775</v>
      </c>
      <c r="N812" s="10" t="s">
        <v>7179</v>
      </c>
      <c r="O812" s="10" t="s">
        <v>7180</v>
      </c>
      <c r="P812" s="11">
        <v>773014716675</v>
      </c>
      <c r="Q812" s="10" t="s">
        <v>41</v>
      </c>
      <c r="R812" s="10" t="s">
        <v>7181</v>
      </c>
      <c r="S812" s="10" t="s">
        <v>7182</v>
      </c>
      <c r="T812" s="10"/>
      <c r="U812" s="10"/>
      <c r="V812" s="3">
        <v>10000</v>
      </c>
      <c r="W812" s="3">
        <v>32262000</v>
      </c>
      <c r="X812" s="3">
        <v>1303000</v>
      </c>
      <c r="Y812" s="3">
        <v>0</v>
      </c>
      <c r="Z812" s="3">
        <v>93259000</v>
      </c>
      <c r="AA812" s="3">
        <v>2320000</v>
      </c>
      <c r="AB812" s="3">
        <v>22296000</v>
      </c>
      <c r="AC812" s="3">
        <v>0</v>
      </c>
      <c r="AD812" s="3">
        <v>0</v>
      </c>
      <c r="AE812" s="10" t="s">
        <v>317</v>
      </c>
      <c r="AF812" s="10" t="s">
        <v>1023</v>
      </c>
      <c r="AG812" s="10" t="s">
        <v>319</v>
      </c>
    </row>
    <row r="813" spans="1:33" ht="15.75" x14ac:dyDescent="0.25">
      <c r="A813" s="1">
        <v>1125658038648</v>
      </c>
      <c r="B813" s="6">
        <v>5610149917</v>
      </c>
      <c r="C813" s="7" t="s">
        <v>7183</v>
      </c>
      <c r="D813" s="7" t="s">
        <v>7184</v>
      </c>
      <c r="E813" s="6">
        <v>11926025</v>
      </c>
      <c r="F813" s="6">
        <v>45280569000</v>
      </c>
      <c r="G813" s="6">
        <v>16</v>
      </c>
      <c r="H813" s="6">
        <v>12300</v>
      </c>
      <c r="I813" s="6">
        <v>771501001</v>
      </c>
      <c r="J813" s="7" t="s">
        <v>7185</v>
      </c>
      <c r="K813" s="7"/>
      <c r="L813" s="1" t="s">
        <v>1055</v>
      </c>
      <c r="M813" s="7" t="s">
        <v>1056</v>
      </c>
      <c r="N813" s="7" t="s">
        <v>7186</v>
      </c>
      <c r="O813" s="7" t="s">
        <v>7187</v>
      </c>
      <c r="P813" s="8">
        <v>771523245434</v>
      </c>
      <c r="Q813" s="7" t="s">
        <v>41</v>
      </c>
      <c r="R813" s="7" t="s">
        <v>7188</v>
      </c>
      <c r="S813" s="7" t="s">
        <v>7189</v>
      </c>
      <c r="T813" s="7"/>
      <c r="U813" s="7"/>
      <c r="V813" s="1">
        <v>10000</v>
      </c>
      <c r="W813" s="1">
        <v>34060000</v>
      </c>
      <c r="X813" s="1">
        <v>1719000</v>
      </c>
      <c r="Y813" s="1">
        <v>0</v>
      </c>
      <c r="Z813" s="1">
        <v>5707000</v>
      </c>
      <c r="AA813" s="1">
        <v>3285000</v>
      </c>
      <c r="AB813" s="1">
        <v>3559000</v>
      </c>
      <c r="AC813" s="1">
        <v>0</v>
      </c>
      <c r="AD813" s="1">
        <v>0</v>
      </c>
      <c r="AE813" s="7" t="s">
        <v>317</v>
      </c>
      <c r="AF813" s="7" t="s">
        <v>421</v>
      </c>
      <c r="AG813" s="7" t="s">
        <v>319</v>
      </c>
    </row>
    <row r="814" spans="1:33" ht="15.75" x14ac:dyDescent="0.25">
      <c r="A814" s="3">
        <v>1157746283870</v>
      </c>
      <c r="B814" s="9">
        <v>7704311358</v>
      </c>
      <c r="C814" s="10" t="s">
        <v>7190</v>
      </c>
      <c r="D814" s="10" t="s">
        <v>7191</v>
      </c>
      <c r="E814" s="9">
        <v>42942160</v>
      </c>
      <c r="F814" s="9">
        <v>45290572000</v>
      </c>
      <c r="G814" s="9">
        <v>16</v>
      </c>
      <c r="H814" s="9">
        <v>12300</v>
      </c>
      <c r="I814" s="9">
        <v>772301001</v>
      </c>
      <c r="J814" s="10" t="s">
        <v>6873</v>
      </c>
      <c r="K814" s="10"/>
      <c r="L814" s="3" t="s">
        <v>1494</v>
      </c>
      <c r="M814" s="10" t="s">
        <v>1495</v>
      </c>
      <c r="N814" s="10" t="s">
        <v>7192</v>
      </c>
      <c r="O814" s="10" t="s">
        <v>7193</v>
      </c>
      <c r="P814" s="11">
        <v>772327772500</v>
      </c>
      <c r="Q814" s="10" t="s">
        <v>41</v>
      </c>
      <c r="R814" s="10" t="s">
        <v>7194</v>
      </c>
      <c r="S814" s="10" t="s">
        <v>7195</v>
      </c>
      <c r="T814" s="10"/>
      <c r="U814" s="10"/>
      <c r="V814" s="3">
        <v>10000</v>
      </c>
      <c r="W814" s="3">
        <v>45253000</v>
      </c>
      <c r="X814" s="3">
        <v>1364000</v>
      </c>
      <c r="Y814" s="3">
        <v>1414000</v>
      </c>
      <c r="Z814" s="3">
        <v>3036000</v>
      </c>
      <c r="AA814" s="3">
        <v>6697000</v>
      </c>
      <c r="AB814" s="3">
        <v>9063000</v>
      </c>
      <c r="AC814" s="3">
        <v>10838000</v>
      </c>
      <c r="AD814" s="3">
        <v>10520000</v>
      </c>
      <c r="AE814" s="10" t="s">
        <v>317</v>
      </c>
      <c r="AF814" s="10" t="s">
        <v>1023</v>
      </c>
      <c r="AG814" s="10" t="s">
        <v>319</v>
      </c>
    </row>
    <row r="815" spans="1:33" ht="15.75" x14ac:dyDescent="0.25">
      <c r="A815" s="1">
        <v>1025007516115</v>
      </c>
      <c r="B815" s="6">
        <v>5074020674</v>
      </c>
      <c r="C815" s="7" t="s">
        <v>7196</v>
      </c>
      <c r="D815" s="7" t="s">
        <v>7197</v>
      </c>
      <c r="E815" s="6">
        <v>56873711</v>
      </c>
      <c r="F815" s="6">
        <v>45297581000</v>
      </c>
      <c r="G815" s="6">
        <v>24</v>
      </c>
      <c r="H815" s="6">
        <v>12300</v>
      </c>
      <c r="I815" s="6">
        <v>775101001</v>
      </c>
      <c r="J815" s="7" t="s">
        <v>7198</v>
      </c>
      <c r="K815" s="7"/>
      <c r="L815" s="1" t="s">
        <v>5837</v>
      </c>
      <c r="M815" s="7" t="s">
        <v>5838</v>
      </c>
      <c r="N815" s="7" t="s">
        <v>7199</v>
      </c>
      <c r="O815" s="7" t="s">
        <v>7200</v>
      </c>
      <c r="P815" s="8">
        <v>502100707753</v>
      </c>
      <c r="Q815" s="7" t="s">
        <v>7201</v>
      </c>
      <c r="R815" s="7" t="s">
        <v>7202</v>
      </c>
      <c r="S815" s="7" t="s">
        <v>7203</v>
      </c>
      <c r="T815" s="7"/>
      <c r="U815" s="7" t="s">
        <v>7204</v>
      </c>
      <c r="V815" s="1">
        <v>10000</v>
      </c>
      <c r="W815" s="1">
        <v>103664000</v>
      </c>
      <c r="X815" s="1">
        <v>98441000</v>
      </c>
      <c r="Y815" s="1">
        <v>208000</v>
      </c>
      <c r="Z815" s="1">
        <v>97824000</v>
      </c>
      <c r="AA815" s="1">
        <v>5380000</v>
      </c>
      <c r="AB815" s="1">
        <v>-16320000</v>
      </c>
      <c r="AC815" s="1">
        <v>0</v>
      </c>
      <c r="AD815" s="1">
        <v>0</v>
      </c>
      <c r="AE815" s="7" t="s">
        <v>331</v>
      </c>
      <c r="AF815" s="7" t="s">
        <v>1896</v>
      </c>
      <c r="AG815" s="7" t="s">
        <v>319</v>
      </c>
    </row>
    <row r="816" spans="1:33" ht="15.75" x14ac:dyDescent="0.25">
      <c r="A816" s="3">
        <v>1157746337110</v>
      </c>
      <c r="B816" s="9">
        <v>7731242128</v>
      </c>
      <c r="C816" s="10" t="s">
        <v>7205</v>
      </c>
      <c r="D816" s="10" t="s">
        <v>7206</v>
      </c>
      <c r="E816" s="9">
        <v>43313270</v>
      </c>
      <c r="F816" s="9">
        <v>46455000000</v>
      </c>
      <c r="G816" s="9">
        <v>16</v>
      </c>
      <c r="H816" s="9">
        <v>12300</v>
      </c>
      <c r="I816" s="9">
        <v>503201001</v>
      </c>
      <c r="J816" s="10" t="s">
        <v>7207</v>
      </c>
      <c r="K816" s="10"/>
      <c r="L816" s="3" t="s">
        <v>1661</v>
      </c>
      <c r="M816" s="10" t="s">
        <v>1662</v>
      </c>
      <c r="N816" s="10" t="s">
        <v>7208</v>
      </c>
      <c r="O816" s="10" t="s">
        <v>7209</v>
      </c>
      <c r="P816" s="11">
        <v>772748819369</v>
      </c>
      <c r="Q816" s="10" t="s">
        <v>41</v>
      </c>
      <c r="R816" s="10" t="s">
        <v>7210</v>
      </c>
      <c r="S816" s="10" t="s">
        <v>7211</v>
      </c>
      <c r="T816" s="10"/>
      <c r="U816" s="10"/>
      <c r="V816" s="3">
        <v>10000</v>
      </c>
      <c r="W816" s="3">
        <v>30923000</v>
      </c>
      <c r="X816" s="3">
        <v>0</v>
      </c>
      <c r="Y816" s="3">
        <v>9729000</v>
      </c>
      <c r="Z816" s="3">
        <v>2199000</v>
      </c>
      <c r="AA816" s="3">
        <v>12201000</v>
      </c>
      <c r="AB816" s="3">
        <v>1553000</v>
      </c>
      <c r="AC816" s="3">
        <v>0</v>
      </c>
      <c r="AD816" s="3">
        <v>0</v>
      </c>
      <c r="AE816" s="10" t="s">
        <v>317</v>
      </c>
      <c r="AF816" s="10" t="s">
        <v>421</v>
      </c>
      <c r="AG816" s="10" t="s">
        <v>319</v>
      </c>
    </row>
    <row r="817" spans="1:33" ht="15.75" x14ac:dyDescent="0.25">
      <c r="A817" s="1">
        <v>1157746455019</v>
      </c>
      <c r="B817" s="6">
        <v>9705039363</v>
      </c>
      <c r="C817" s="7" t="s">
        <v>7212</v>
      </c>
      <c r="D817" s="7" t="s">
        <v>7213</v>
      </c>
      <c r="E817" s="6">
        <v>45186769</v>
      </c>
      <c r="F817" s="6">
        <v>45286560000</v>
      </c>
      <c r="G817" s="6">
        <v>16</v>
      </c>
      <c r="H817" s="6">
        <v>12300</v>
      </c>
      <c r="I817" s="6">
        <v>770501001</v>
      </c>
      <c r="J817" s="7" t="s">
        <v>6772</v>
      </c>
      <c r="K817" s="7"/>
      <c r="L817" s="1" t="s">
        <v>1800</v>
      </c>
      <c r="M817" s="7" t="s">
        <v>1801</v>
      </c>
      <c r="N817" s="7" t="s">
        <v>7214</v>
      </c>
      <c r="O817" s="7" t="s">
        <v>7215</v>
      </c>
      <c r="P817" s="8">
        <v>235309976850</v>
      </c>
      <c r="Q817" s="7" t="s">
        <v>41</v>
      </c>
      <c r="R817" s="7" t="s">
        <v>7216</v>
      </c>
      <c r="S817" s="7" t="s">
        <v>7217</v>
      </c>
      <c r="T817" s="7"/>
      <c r="U817" s="7" t="s">
        <v>7218</v>
      </c>
      <c r="V817" s="1">
        <v>10000</v>
      </c>
      <c r="W817" s="1">
        <v>39941000</v>
      </c>
      <c r="X817" s="1">
        <v>0</v>
      </c>
      <c r="Y817" s="1">
        <v>0</v>
      </c>
      <c r="Z817" s="1">
        <v>8662000</v>
      </c>
      <c r="AA817" s="1">
        <v>740000</v>
      </c>
      <c r="AB817" s="1">
        <v>77000</v>
      </c>
      <c r="AC817" s="1">
        <v>0</v>
      </c>
      <c r="AD817" s="1">
        <v>0</v>
      </c>
      <c r="AE817" s="7" t="s">
        <v>317</v>
      </c>
      <c r="AF817" s="7" t="s">
        <v>352</v>
      </c>
      <c r="AG817" s="7" t="s">
        <v>319</v>
      </c>
    </row>
    <row r="818" spans="1:33" ht="15.75" x14ac:dyDescent="0.25">
      <c r="A818" s="1">
        <v>5147746372736</v>
      </c>
      <c r="B818" s="6">
        <v>7718308757</v>
      </c>
      <c r="C818" s="7" t="s">
        <v>7219</v>
      </c>
      <c r="D818" s="7" t="s">
        <v>7220</v>
      </c>
      <c r="E818" s="6">
        <v>40144080</v>
      </c>
      <c r="F818" s="6">
        <v>45263591000</v>
      </c>
      <c r="G818" s="6">
        <v>16</v>
      </c>
      <c r="H818" s="6">
        <v>12300</v>
      </c>
      <c r="I818" s="6">
        <v>771801001</v>
      </c>
      <c r="J818" s="7" t="s">
        <v>3457</v>
      </c>
      <c r="K818" s="7"/>
      <c r="L818" s="1" t="s">
        <v>497</v>
      </c>
      <c r="M818" s="7" t="s">
        <v>498</v>
      </c>
      <c r="N818" s="7" t="s">
        <v>7221</v>
      </c>
      <c r="O818" s="7" t="s">
        <v>7222</v>
      </c>
      <c r="P818" s="8">
        <v>772322166248</v>
      </c>
      <c r="Q818" s="7" t="s">
        <v>41</v>
      </c>
      <c r="R818" s="7" t="s">
        <v>7223</v>
      </c>
      <c r="S818" s="7" t="s">
        <v>7224</v>
      </c>
      <c r="T818" s="7"/>
      <c r="U818" s="7" t="s">
        <v>7225</v>
      </c>
      <c r="V818" s="1">
        <v>10000</v>
      </c>
      <c r="W818" s="1">
        <v>47236000</v>
      </c>
      <c r="X818" s="1">
        <v>1252000</v>
      </c>
      <c r="Y818" s="1">
        <v>4000</v>
      </c>
      <c r="Z818" s="1">
        <v>21268000</v>
      </c>
      <c r="AA818" s="1">
        <v>4124000</v>
      </c>
      <c r="AB818" s="1">
        <v>8214000</v>
      </c>
      <c r="AC818" s="1">
        <v>9049000</v>
      </c>
      <c r="AD818" s="1">
        <v>8581000</v>
      </c>
      <c r="AE818" s="7" t="s">
        <v>317</v>
      </c>
      <c r="AF818" s="7" t="s">
        <v>530</v>
      </c>
      <c r="AG818" s="7" t="s">
        <v>319</v>
      </c>
    </row>
    <row r="819" spans="1:33" ht="15.75" x14ac:dyDescent="0.25">
      <c r="A819" s="3">
        <v>1167746626805</v>
      </c>
      <c r="B819" s="9">
        <v>7709496487</v>
      </c>
      <c r="C819" s="10" t="s">
        <v>7226</v>
      </c>
      <c r="D819" s="10" t="s">
        <v>7227</v>
      </c>
      <c r="E819" s="9">
        <v>17669339</v>
      </c>
      <c r="F819" s="9">
        <v>45286555000</v>
      </c>
      <c r="G819" s="9">
        <v>16</v>
      </c>
      <c r="H819" s="9">
        <v>12300</v>
      </c>
      <c r="I819" s="9">
        <v>770901001</v>
      </c>
      <c r="J819" s="10" t="s">
        <v>7228</v>
      </c>
      <c r="K819" s="10"/>
      <c r="L819" s="3" t="s">
        <v>1800</v>
      </c>
      <c r="M819" s="10" t="s">
        <v>1801</v>
      </c>
      <c r="N819" s="10" t="s">
        <v>7229</v>
      </c>
      <c r="O819" s="10" t="s">
        <v>7230</v>
      </c>
      <c r="P819" s="11">
        <v>615425563410</v>
      </c>
      <c r="Q819" s="10" t="s">
        <v>41</v>
      </c>
      <c r="R819" s="10" t="s">
        <v>7231</v>
      </c>
      <c r="S819" s="10" t="s">
        <v>7232</v>
      </c>
      <c r="T819" s="10"/>
      <c r="U819" s="10"/>
      <c r="V819" s="3">
        <v>10000</v>
      </c>
      <c r="W819" s="3">
        <v>32226000</v>
      </c>
      <c r="X819" s="3">
        <v>39219000</v>
      </c>
      <c r="Y819" s="3">
        <v>9266000</v>
      </c>
      <c r="Z819" s="3">
        <v>4593000</v>
      </c>
      <c r="AA819" s="3">
        <v>139000</v>
      </c>
      <c r="AB819" s="3">
        <v>336000</v>
      </c>
      <c r="AC819" s="3">
        <v>0</v>
      </c>
      <c r="AD819" s="3">
        <v>0</v>
      </c>
      <c r="AE819" s="10" t="s">
        <v>317</v>
      </c>
      <c r="AF819" s="10" t="s">
        <v>493</v>
      </c>
      <c r="AG819" s="10" t="s">
        <v>319</v>
      </c>
    </row>
    <row r="820" spans="1:33" ht="15.75" x14ac:dyDescent="0.25">
      <c r="A820" s="3">
        <v>1157746465667</v>
      </c>
      <c r="B820" s="9">
        <v>7727176391</v>
      </c>
      <c r="C820" s="10" t="s">
        <v>7233</v>
      </c>
      <c r="D820" s="10" t="s">
        <v>7234</v>
      </c>
      <c r="E820" s="9">
        <v>45198732</v>
      </c>
      <c r="F820" s="9">
        <v>45286575000</v>
      </c>
      <c r="G820" s="9">
        <v>16</v>
      </c>
      <c r="H820" s="9">
        <v>12300</v>
      </c>
      <c r="I820" s="9">
        <v>770301001</v>
      </c>
      <c r="J820" s="10" t="s">
        <v>7235</v>
      </c>
      <c r="K820" s="10"/>
      <c r="L820" s="3" t="s">
        <v>565</v>
      </c>
      <c r="M820" s="10" t="s">
        <v>680</v>
      </c>
      <c r="N820" s="10" t="s">
        <v>7236</v>
      </c>
      <c r="O820" s="10" t="s">
        <v>7237</v>
      </c>
      <c r="P820" s="11">
        <v>382704617900</v>
      </c>
      <c r="Q820" s="10" t="s">
        <v>41</v>
      </c>
      <c r="R820" s="10" t="s">
        <v>7238</v>
      </c>
      <c r="S820" s="10" t="s">
        <v>7239</v>
      </c>
      <c r="T820" s="10"/>
      <c r="U820" s="10" t="s">
        <v>7240</v>
      </c>
      <c r="V820" s="3">
        <v>10000</v>
      </c>
      <c r="W820" s="3">
        <v>58413000</v>
      </c>
      <c r="X820" s="3">
        <v>0</v>
      </c>
      <c r="Y820" s="3">
        <v>0</v>
      </c>
      <c r="Z820" s="3">
        <v>75886000</v>
      </c>
      <c r="AA820" s="3">
        <v>7859000</v>
      </c>
      <c r="AB820" s="3">
        <v>26657000</v>
      </c>
      <c r="AC820" s="3">
        <v>0</v>
      </c>
      <c r="AD820" s="3">
        <v>0</v>
      </c>
      <c r="AE820" s="10" t="s">
        <v>317</v>
      </c>
      <c r="AF820" s="10" t="s">
        <v>1534</v>
      </c>
      <c r="AG820" s="10" t="s">
        <v>319</v>
      </c>
    </row>
    <row r="821" spans="1:33" ht="15.75" x14ac:dyDescent="0.25">
      <c r="A821" s="1">
        <v>1157746517015</v>
      </c>
      <c r="B821" s="6">
        <v>7727183409</v>
      </c>
      <c r="C821" s="7" t="s">
        <v>7241</v>
      </c>
      <c r="D821" s="7" t="s">
        <v>7242</v>
      </c>
      <c r="E821" s="6">
        <v>45936087</v>
      </c>
      <c r="F821" s="6">
        <v>45293582000</v>
      </c>
      <c r="G821" s="6">
        <v>16</v>
      </c>
      <c r="H821" s="6">
        <v>12300</v>
      </c>
      <c r="I821" s="6">
        <v>772701001</v>
      </c>
      <c r="J821" s="7" t="s">
        <v>7243</v>
      </c>
      <c r="K821" s="7"/>
      <c r="L821" s="1" t="s">
        <v>5774</v>
      </c>
      <c r="M821" s="7" t="s">
        <v>5775</v>
      </c>
      <c r="N821" s="7" t="s">
        <v>7244</v>
      </c>
      <c r="O821" s="7" t="s">
        <v>7245</v>
      </c>
      <c r="P821" s="8">
        <v>772734054374</v>
      </c>
      <c r="Q821" s="7" t="s">
        <v>41</v>
      </c>
      <c r="R821" s="7" t="s">
        <v>7246</v>
      </c>
      <c r="S821" s="7" t="s">
        <v>7247</v>
      </c>
      <c r="T821" s="7"/>
      <c r="U821" s="7"/>
      <c r="V821" s="1">
        <v>10000</v>
      </c>
      <c r="W821" s="1">
        <v>84005000</v>
      </c>
      <c r="X821" s="1">
        <v>3786000</v>
      </c>
      <c r="Y821" s="1">
        <v>0</v>
      </c>
      <c r="Z821" s="1">
        <v>16022000</v>
      </c>
      <c r="AA821" s="1">
        <v>690000</v>
      </c>
      <c r="AB821" s="1">
        <v>3860000</v>
      </c>
      <c r="AC821" s="1">
        <v>0</v>
      </c>
      <c r="AD821" s="1">
        <v>0</v>
      </c>
      <c r="AE821" s="7" t="s">
        <v>317</v>
      </c>
      <c r="AF821" s="7" t="s">
        <v>1465</v>
      </c>
      <c r="AG821" s="7" t="s">
        <v>319</v>
      </c>
    </row>
    <row r="822" spans="1:33" ht="15.75" x14ac:dyDescent="0.25">
      <c r="A822" s="1">
        <v>1167746094560</v>
      </c>
      <c r="B822" s="6">
        <v>7718295106</v>
      </c>
      <c r="C822" s="7" t="s">
        <v>7248</v>
      </c>
      <c r="D822" s="7" t="s">
        <v>7249</v>
      </c>
      <c r="E822" s="6">
        <v>990639</v>
      </c>
      <c r="F822" s="6">
        <v>45296571000</v>
      </c>
      <c r="G822" s="6">
        <v>16</v>
      </c>
      <c r="H822" s="6">
        <v>12300</v>
      </c>
      <c r="I822" s="6">
        <v>772401001</v>
      </c>
      <c r="J822" s="7" t="s">
        <v>7250</v>
      </c>
      <c r="K822" s="7"/>
      <c r="L822" s="1" t="s">
        <v>288</v>
      </c>
      <c r="M822" s="7" t="s">
        <v>289</v>
      </c>
      <c r="N822" s="7" t="s">
        <v>7251</v>
      </c>
      <c r="O822" s="7" t="s">
        <v>7252</v>
      </c>
      <c r="P822" s="8">
        <v>325206323125</v>
      </c>
      <c r="Q822" s="7" t="s">
        <v>41</v>
      </c>
      <c r="R822" s="7" t="s">
        <v>7253</v>
      </c>
      <c r="S822" s="7" t="s">
        <v>7254</v>
      </c>
      <c r="T822" s="7"/>
      <c r="U822" s="7" t="s">
        <v>7255</v>
      </c>
      <c r="V822" s="1">
        <v>10000</v>
      </c>
      <c r="W822" s="1">
        <v>102068000</v>
      </c>
      <c r="X822" s="1">
        <v>5907000</v>
      </c>
      <c r="Y822" s="1">
        <v>0</v>
      </c>
      <c r="Z822" s="1">
        <v>53539000</v>
      </c>
      <c r="AA822" s="1">
        <v>40934000</v>
      </c>
      <c r="AB822" s="1">
        <v>0</v>
      </c>
      <c r="AC822" s="1">
        <v>0</v>
      </c>
      <c r="AD822" s="1">
        <v>0</v>
      </c>
      <c r="AE822" s="7" t="s">
        <v>317</v>
      </c>
      <c r="AF822" s="7" t="s">
        <v>318</v>
      </c>
      <c r="AG822" s="7" t="s">
        <v>319</v>
      </c>
    </row>
    <row r="823" spans="1:33" ht="15.75" x14ac:dyDescent="0.25">
      <c r="A823" s="3">
        <v>1157746373080</v>
      </c>
      <c r="B823" s="9">
        <v>7733231770</v>
      </c>
      <c r="C823" s="10" t="s">
        <v>7256</v>
      </c>
      <c r="D823" s="10" t="s">
        <v>7257</v>
      </c>
      <c r="E823" s="9">
        <v>44444079</v>
      </c>
      <c r="F823" s="9">
        <v>45283573000</v>
      </c>
      <c r="G823" s="9">
        <v>16</v>
      </c>
      <c r="H823" s="9">
        <v>12300</v>
      </c>
      <c r="I823" s="9">
        <v>773301001</v>
      </c>
      <c r="J823" s="10" t="s">
        <v>7031</v>
      </c>
      <c r="K823" s="10"/>
      <c r="L823" s="3" t="s">
        <v>7258</v>
      </c>
      <c r="M823" s="10" t="s">
        <v>7259</v>
      </c>
      <c r="N823" s="10" t="s">
        <v>7260</v>
      </c>
      <c r="O823" s="10" t="s">
        <v>7261</v>
      </c>
      <c r="P823" s="11">
        <v>773371528407</v>
      </c>
      <c r="Q823" s="10" t="s">
        <v>41</v>
      </c>
      <c r="R823" s="10" t="s">
        <v>7262</v>
      </c>
      <c r="S823" s="10" t="s">
        <v>7263</v>
      </c>
      <c r="T823" s="10"/>
      <c r="U823" s="10" t="s">
        <v>7264</v>
      </c>
      <c r="V823" s="3">
        <v>10000</v>
      </c>
      <c r="W823" s="3">
        <v>136547000</v>
      </c>
      <c r="X823" s="3">
        <v>0</v>
      </c>
      <c r="Y823" s="3">
        <v>20297000</v>
      </c>
      <c r="Z823" s="3">
        <v>7984000</v>
      </c>
      <c r="AA823" s="3">
        <v>2533000</v>
      </c>
      <c r="AB823" s="3">
        <v>6930000</v>
      </c>
      <c r="AC823" s="3">
        <v>0</v>
      </c>
      <c r="AD823" s="3">
        <v>0</v>
      </c>
      <c r="AE823" s="10" t="s">
        <v>317</v>
      </c>
      <c r="AF823" s="10" t="s">
        <v>461</v>
      </c>
      <c r="AG823" s="10" t="s">
        <v>319</v>
      </c>
    </row>
    <row r="824" spans="1:33" ht="15.75" x14ac:dyDescent="0.25">
      <c r="A824" s="1">
        <v>1157746411800</v>
      </c>
      <c r="B824" s="6">
        <v>7704315514</v>
      </c>
      <c r="C824" s="7" t="s">
        <v>7265</v>
      </c>
      <c r="D824" s="7" t="s">
        <v>7266</v>
      </c>
      <c r="E824" s="6">
        <v>40382945</v>
      </c>
      <c r="F824" s="6">
        <v>45268569000</v>
      </c>
      <c r="G824" s="6">
        <v>16</v>
      </c>
      <c r="H824" s="6">
        <v>12300</v>
      </c>
      <c r="I824" s="6">
        <v>773101001</v>
      </c>
      <c r="J824" s="7" t="s">
        <v>7267</v>
      </c>
      <c r="K824" s="7"/>
      <c r="L824" s="1" t="s">
        <v>2885</v>
      </c>
      <c r="M824" s="7" t="s">
        <v>2886</v>
      </c>
      <c r="N824" s="7" t="s">
        <v>7268</v>
      </c>
      <c r="O824" s="7" t="s">
        <v>7269</v>
      </c>
      <c r="P824" s="8">
        <v>774311800346</v>
      </c>
      <c r="Q824" s="7" t="s">
        <v>41</v>
      </c>
      <c r="R824" s="7" t="s">
        <v>7270</v>
      </c>
      <c r="S824" s="7" t="s">
        <v>7271</v>
      </c>
      <c r="T824" s="7"/>
      <c r="U824" s="7"/>
      <c r="V824" s="1">
        <v>10000</v>
      </c>
      <c r="W824" s="1">
        <v>78497000</v>
      </c>
      <c r="X824" s="1">
        <v>848000</v>
      </c>
      <c r="Y824" s="1">
        <v>9194000</v>
      </c>
      <c r="Z824" s="1">
        <v>28601000</v>
      </c>
      <c r="AA824" s="1">
        <v>22768000</v>
      </c>
      <c r="AB824" s="1">
        <v>6067000</v>
      </c>
      <c r="AC824" s="1">
        <v>15845000</v>
      </c>
      <c r="AD824" s="1">
        <v>8164000</v>
      </c>
      <c r="AE824" s="7" t="s">
        <v>317</v>
      </c>
      <c r="AF824" s="7" t="s">
        <v>1727</v>
      </c>
      <c r="AG824" s="7" t="s">
        <v>319</v>
      </c>
    </row>
    <row r="825" spans="1:33" ht="15.75" x14ac:dyDescent="0.25">
      <c r="A825" s="1">
        <v>1157746489405</v>
      </c>
      <c r="B825" s="6">
        <v>7723393412</v>
      </c>
      <c r="C825" s="7" t="s">
        <v>7272</v>
      </c>
      <c r="D825" s="7" t="s">
        <v>7273</v>
      </c>
      <c r="E825" s="6">
        <v>59134121</v>
      </c>
      <c r="F825" s="6">
        <v>45290582000</v>
      </c>
      <c r="G825" s="6">
        <v>16</v>
      </c>
      <c r="H825" s="6">
        <v>12300</v>
      </c>
      <c r="I825" s="6">
        <v>772301001</v>
      </c>
      <c r="J825" s="7" t="s">
        <v>7274</v>
      </c>
      <c r="K825" s="7"/>
      <c r="L825" s="1" t="s">
        <v>1731</v>
      </c>
      <c r="M825" s="7" t="s">
        <v>1732</v>
      </c>
      <c r="N825" s="7" t="s">
        <v>7275</v>
      </c>
      <c r="O825" s="7" t="s">
        <v>7276</v>
      </c>
      <c r="P825" s="8">
        <v>772322336901</v>
      </c>
      <c r="Q825" s="7" t="s">
        <v>41</v>
      </c>
      <c r="R825" s="7" t="s">
        <v>7277</v>
      </c>
      <c r="S825" s="7" t="s">
        <v>7278</v>
      </c>
      <c r="T825" s="7"/>
      <c r="U825" s="7" t="s">
        <v>7279</v>
      </c>
      <c r="V825" s="1">
        <v>10000</v>
      </c>
      <c r="W825" s="1">
        <v>59709000</v>
      </c>
      <c r="X825" s="1">
        <v>27432000</v>
      </c>
      <c r="Y825" s="1">
        <v>28555000</v>
      </c>
      <c r="Z825" s="1">
        <v>27848000</v>
      </c>
      <c r="AA825" s="1">
        <v>47569000</v>
      </c>
      <c r="AB825" s="1">
        <v>25262000</v>
      </c>
      <c r="AC825" s="1">
        <v>0</v>
      </c>
      <c r="AD825" s="1">
        <v>0</v>
      </c>
      <c r="AE825" s="7" t="s">
        <v>317</v>
      </c>
      <c r="AF825" s="7" t="s">
        <v>669</v>
      </c>
      <c r="AG825" s="7" t="s">
        <v>319</v>
      </c>
    </row>
    <row r="826" spans="1:33" ht="15.75" x14ac:dyDescent="0.25">
      <c r="A826" s="1">
        <v>1157746341280</v>
      </c>
      <c r="B826" s="6">
        <v>7723387049</v>
      </c>
      <c r="C826" s="7" t="s">
        <v>7280</v>
      </c>
      <c r="D826" s="7" t="s">
        <v>7281</v>
      </c>
      <c r="E826" s="6">
        <v>44455109</v>
      </c>
      <c r="F826" s="6">
        <v>45290594000</v>
      </c>
      <c r="G826" s="6">
        <v>16</v>
      </c>
      <c r="H826" s="6">
        <v>12300</v>
      </c>
      <c r="I826" s="6">
        <v>772301001</v>
      </c>
      <c r="J826" s="7" t="s">
        <v>7282</v>
      </c>
      <c r="K826" s="7"/>
      <c r="L826" s="1" t="s">
        <v>288</v>
      </c>
      <c r="M826" s="7" t="s">
        <v>289</v>
      </c>
      <c r="N826" s="7" t="s">
        <v>7283</v>
      </c>
      <c r="O826" s="7" t="s">
        <v>7284</v>
      </c>
      <c r="P826" s="8">
        <v>772130167329</v>
      </c>
      <c r="Q826" s="7" t="s">
        <v>41</v>
      </c>
      <c r="R826" s="7" t="s">
        <v>7285</v>
      </c>
      <c r="S826" s="7" t="s">
        <v>7286</v>
      </c>
      <c r="T826" s="7"/>
      <c r="U826" s="7" t="s">
        <v>7287</v>
      </c>
      <c r="V826" s="1">
        <v>10000</v>
      </c>
      <c r="W826" s="1">
        <v>51401000</v>
      </c>
      <c r="X826" s="1">
        <v>0</v>
      </c>
      <c r="Y826" s="1">
        <v>3971000</v>
      </c>
      <c r="Z826" s="1">
        <v>7251000</v>
      </c>
      <c r="AA826" s="1">
        <v>5891000</v>
      </c>
      <c r="AB826" s="1">
        <v>867000</v>
      </c>
      <c r="AC826" s="1">
        <v>0</v>
      </c>
      <c r="AD826" s="1">
        <v>0</v>
      </c>
      <c r="AE826" s="7" t="s">
        <v>317</v>
      </c>
      <c r="AF826" s="7" t="s">
        <v>421</v>
      </c>
      <c r="AG826" s="7" t="s">
        <v>319</v>
      </c>
    </row>
    <row r="827" spans="1:33" ht="15.75" x14ac:dyDescent="0.25">
      <c r="A827" s="3">
        <v>1157746454898</v>
      </c>
      <c r="B827" s="9">
        <v>7724319179</v>
      </c>
      <c r="C827" s="10" t="s">
        <v>7288</v>
      </c>
      <c r="D827" s="10" t="s">
        <v>7289</v>
      </c>
      <c r="E827" s="9">
        <v>45186120</v>
      </c>
      <c r="F827" s="9">
        <v>45297555000</v>
      </c>
      <c r="G827" s="9">
        <v>16</v>
      </c>
      <c r="H827" s="9">
        <v>12300</v>
      </c>
      <c r="I827" s="9">
        <v>775101001</v>
      </c>
      <c r="J827" s="10" t="s">
        <v>6772</v>
      </c>
      <c r="K827" s="10"/>
      <c r="L827" s="3" t="s">
        <v>7290</v>
      </c>
      <c r="M827" s="10" t="s">
        <v>7291</v>
      </c>
      <c r="N827" s="10" t="s">
        <v>7292</v>
      </c>
      <c r="O827" s="10" t="s">
        <v>7293</v>
      </c>
      <c r="P827" s="11">
        <v>673110458093</v>
      </c>
      <c r="Q827" s="10" t="s">
        <v>41</v>
      </c>
      <c r="R827" s="10" t="s">
        <v>7294</v>
      </c>
      <c r="S827" s="10" t="s">
        <v>7295</v>
      </c>
      <c r="T827" s="10"/>
      <c r="U827" s="10" t="s">
        <v>7296</v>
      </c>
      <c r="V827" s="3">
        <v>10000</v>
      </c>
      <c r="W827" s="3">
        <v>41829000</v>
      </c>
      <c r="X827" s="3">
        <v>0</v>
      </c>
      <c r="Y827" s="3">
        <v>4008000</v>
      </c>
      <c r="Z827" s="3">
        <v>15603000</v>
      </c>
      <c r="AA827" s="3">
        <v>6335000</v>
      </c>
      <c r="AB827" s="3">
        <v>3851000</v>
      </c>
      <c r="AC827" s="3">
        <v>0</v>
      </c>
      <c r="AD827" s="3">
        <v>0</v>
      </c>
      <c r="AE827" s="10" t="s">
        <v>317</v>
      </c>
      <c r="AF827" s="10" t="s">
        <v>421</v>
      </c>
      <c r="AG827" s="10" t="s">
        <v>319</v>
      </c>
    </row>
    <row r="828" spans="1:33" ht="15.75" x14ac:dyDescent="0.25">
      <c r="A828" s="3">
        <v>1157746286587</v>
      </c>
      <c r="B828" s="9">
        <v>7724312335</v>
      </c>
      <c r="C828" s="10" t="s">
        <v>7297</v>
      </c>
      <c r="D828" s="10" t="s">
        <v>7298</v>
      </c>
      <c r="E828" s="9">
        <v>42920766</v>
      </c>
      <c r="F828" s="9">
        <v>45296571000</v>
      </c>
      <c r="G828" s="9">
        <v>16</v>
      </c>
      <c r="H828" s="9">
        <v>12300</v>
      </c>
      <c r="I828" s="9">
        <v>772401001</v>
      </c>
      <c r="J828" s="10" t="s">
        <v>7158</v>
      </c>
      <c r="K828" s="10"/>
      <c r="L828" s="3" t="s">
        <v>6552</v>
      </c>
      <c r="M828" s="10" t="s">
        <v>6553</v>
      </c>
      <c r="N828" s="10" t="s">
        <v>7299</v>
      </c>
      <c r="O828" s="10" t="s">
        <v>7300</v>
      </c>
      <c r="P828" s="11">
        <v>772792281506</v>
      </c>
      <c r="Q828" s="10" t="s">
        <v>41</v>
      </c>
      <c r="R828" s="10" t="s">
        <v>7301</v>
      </c>
      <c r="S828" s="10" t="s">
        <v>7302</v>
      </c>
      <c r="T828" s="10"/>
      <c r="U828" s="10" t="s">
        <v>7303</v>
      </c>
      <c r="V828" s="3">
        <v>10000</v>
      </c>
      <c r="W828" s="3">
        <v>51920000</v>
      </c>
      <c r="X828" s="3">
        <v>631000</v>
      </c>
      <c r="Y828" s="3">
        <v>18000</v>
      </c>
      <c r="Z828" s="3">
        <v>1051000</v>
      </c>
      <c r="AA828" s="3">
        <v>0</v>
      </c>
      <c r="AB828" s="3">
        <v>4315000</v>
      </c>
      <c r="AC828" s="3">
        <v>0</v>
      </c>
      <c r="AD828" s="3">
        <v>0</v>
      </c>
      <c r="AE828" s="10" t="s">
        <v>317</v>
      </c>
      <c r="AF828" s="10" t="s">
        <v>318</v>
      </c>
      <c r="AG828" s="10" t="s">
        <v>319</v>
      </c>
    </row>
    <row r="829" spans="1:33" ht="15.75" x14ac:dyDescent="0.25">
      <c r="A829" s="1">
        <v>1025006394137</v>
      </c>
      <c r="B829" s="6">
        <v>5046059140</v>
      </c>
      <c r="C829" s="7" t="s">
        <v>7304</v>
      </c>
      <c r="D829" s="7" t="s">
        <v>7305</v>
      </c>
      <c r="E829" s="6">
        <v>55022158</v>
      </c>
      <c r="F829" s="6">
        <v>46484000441</v>
      </c>
      <c r="G829" s="6">
        <v>16</v>
      </c>
      <c r="H829" s="6">
        <v>12300</v>
      </c>
      <c r="I829" s="6">
        <v>504801001</v>
      </c>
      <c r="J829" s="7" t="s">
        <v>7306</v>
      </c>
      <c r="K829" s="7"/>
      <c r="L829" s="1" t="s">
        <v>445</v>
      </c>
      <c r="M829" s="7" t="s">
        <v>446</v>
      </c>
      <c r="N829" s="7" t="s">
        <v>7307</v>
      </c>
      <c r="O829" s="7" t="s">
        <v>7308</v>
      </c>
      <c r="P829" s="8">
        <v>502767384850</v>
      </c>
      <c r="Q829" s="7" t="s">
        <v>41</v>
      </c>
      <c r="R829" s="7" t="s">
        <v>7309</v>
      </c>
      <c r="S829" s="7" t="s">
        <v>7310</v>
      </c>
      <c r="T829" s="7"/>
      <c r="U829" s="7" t="s">
        <v>7311</v>
      </c>
      <c r="V829" s="1">
        <v>10000</v>
      </c>
      <c r="W829" s="1">
        <v>57391000</v>
      </c>
      <c r="X829" s="1">
        <v>42587000</v>
      </c>
      <c r="Y829" s="1">
        <v>8000</v>
      </c>
      <c r="Z829" s="1">
        <v>13914000</v>
      </c>
      <c r="AA829" s="1">
        <v>11044000</v>
      </c>
      <c r="AB829" s="1">
        <v>48608000</v>
      </c>
      <c r="AC829" s="1">
        <v>0</v>
      </c>
      <c r="AD829" s="1">
        <v>0</v>
      </c>
      <c r="AE829" s="7" t="s">
        <v>317</v>
      </c>
      <c r="AF829" s="7" t="s">
        <v>318</v>
      </c>
      <c r="AG829" s="7" t="s">
        <v>319</v>
      </c>
    </row>
    <row r="830" spans="1:33" ht="15.75" x14ac:dyDescent="0.25">
      <c r="A830" s="3">
        <v>1157746343270</v>
      </c>
      <c r="B830" s="9">
        <v>7718143544</v>
      </c>
      <c r="C830" s="10" t="s">
        <v>7312</v>
      </c>
      <c r="D830" s="10" t="s">
        <v>7313</v>
      </c>
      <c r="E830" s="9">
        <v>44462138</v>
      </c>
      <c r="F830" s="9">
        <v>45263581000</v>
      </c>
      <c r="G830" s="9">
        <v>16</v>
      </c>
      <c r="H830" s="9">
        <v>12300</v>
      </c>
      <c r="I830" s="9">
        <v>771801001</v>
      </c>
      <c r="J830" s="10" t="s">
        <v>7282</v>
      </c>
      <c r="K830" s="10"/>
      <c r="L830" s="3" t="s">
        <v>7314</v>
      </c>
      <c r="M830" s="10" t="s">
        <v>7315</v>
      </c>
      <c r="N830" s="10" t="s">
        <v>7316</v>
      </c>
      <c r="O830" s="10" t="s">
        <v>7317</v>
      </c>
      <c r="P830" s="11">
        <v>614706372392</v>
      </c>
      <c r="Q830" s="10" t="s">
        <v>150</v>
      </c>
      <c r="R830" s="10" t="s">
        <v>7318</v>
      </c>
      <c r="S830" s="10" t="s">
        <v>7319</v>
      </c>
      <c r="T830" s="10"/>
      <c r="U830" s="10"/>
      <c r="V830" s="3">
        <v>10000</v>
      </c>
      <c r="W830" s="3">
        <v>46515000</v>
      </c>
      <c r="X830" s="3">
        <v>12924000</v>
      </c>
      <c r="Y830" s="3">
        <v>224000</v>
      </c>
      <c r="Z830" s="3">
        <v>120000</v>
      </c>
      <c r="AA830" s="3">
        <v>1764000</v>
      </c>
      <c r="AB830" s="3">
        <v>3573000</v>
      </c>
      <c r="AC830" s="3">
        <v>0</v>
      </c>
      <c r="AD830" s="3">
        <v>0</v>
      </c>
      <c r="AE830" s="10" t="s">
        <v>317</v>
      </c>
      <c r="AF830" s="10" t="s">
        <v>352</v>
      </c>
      <c r="AG830" s="10" t="s">
        <v>319</v>
      </c>
    </row>
    <row r="831" spans="1:33" ht="15.75" x14ac:dyDescent="0.25">
      <c r="A831" s="1">
        <v>1157746385554</v>
      </c>
      <c r="B831" s="6">
        <v>7701343400</v>
      </c>
      <c r="C831" s="7" t="s">
        <v>7320</v>
      </c>
      <c r="D831" s="7" t="s">
        <v>7321</v>
      </c>
      <c r="E831" s="6">
        <v>45039324</v>
      </c>
      <c r="F831" s="6">
        <v>45286555000</v>
      </c>
      <c r="G831" s="6">
        <v>16</v>
      </c>
      <c r="H831" s="6">
        <v>12300</v>
      </c>
      <c r="I831" s="6">
        <v>770101001</v>
      </c>
      <c r="J831" s="7" t="s">
        <v>7322</v>
      </c>
      <c r="K831" s="7"/>
      <c r="L831" s="1" t="s">
        <v>1800</v>
      </c>
      <c r="M831" s="7" t="s">
        <v>1801</v>
      </c>
      <c r="N831" s="7" t="s">
        <v>7323</v>
      </c>
      <c r="O831" s="7" t="s">
        <v>7324</v>
      </c>
      <c r="P831" s="8">
        <v>772072423490</v>
      </c>
      <c r="Q831" s="7" t="s">
        <v>41</v>
      </c>
      <c r="R831" s="7" t="s">
        <v>7325</v>
      </c>
      <c r="S831" s="7" t="s">
        <v>7326</v>
      </c>
      <c r="T831" s="7"/>
      <c r="U831" s="7"/>
      <c r="V831" s="1">
        <v>10000</v>
      </c>
      <c r="W831" s="1">
        <v>35120000</v>
      </c>
      <c r="X831" s="1">
        <v>663000</v>
      </c>
      <c r="Y831" s="1">
        <v>1736000</v>
      </c>
      <c r="Z831" s="1">
        <v>18912000</v>
      </c>
      <c r="AA831" s="1">
        <v>1443000</v>
      </c>
      <c r="AB831" s="1">
        <v>8206000</v>
      </c>
      <c r="AC831" s="1">
        <v>0</v>
      </c>
      <c r="AD831" s="1">
        <v>0</v>
      </c>
      <c r="AE831" s="7" t="s">
        <v>317</v>
      </c>
      <c r="AF831" s="7" t="s">
        <v>493</v>
      </c>
      <c r="AG831" s="7" t="s">
        <v>319</v>
      </c>
    </row>
    <row r="832" spans="1:33" ht="15.75" x14ac:dyDescent="0.25">
      <c r="A832" s="3">
        <v>1137746090371</v>
      </c>
      <c r="B832" s="9">
        <v>7743877771</v>
      </c>
      <c r="C832" s="10" t="s">
        <v>7327</v>
      </c>
      <c r="D832" s="10" t="s">
        <v>7328</v>
      </c>
      <c r="E832" s="9">
        <v>17154718</v>
      </c>
      <c r="F832" s="9">
        <v>45277583000</v>
      </c>
      <c r="G832" s="9">
        <v>16</v>
      </c>
      <c r="H832" s="9">
        <v>12300</v>
      </c>
      <c r="I832" s="9">
        <v>774301001</v>
      </c>
      <c r="J832" s="10" t="s">
        <v>7329</v>
      </c>
      <c r="K832" s="10"/>
      <c r="L832" s="3" t="s">
        <v>7330</v>
      </c>
      <c r="M832" s="10" t="s">
        <v>7331</v>
      </c>
      <c r="N832" s="10" t="s">
        <v>7332</v>
      </c>
      <c r="O832" s="10" t="s">
        <v>7333</v>
      </c>
      <c r="P832" s="11">
        <v>290109514208</v>
      </c>
      <c r="Q832" s="10" t="s">
        <v>41</v>
      </c>
      <c r="R832" s="10" t="s">
        <v>7334</v>
      </c>
      <c r="S832" s="10" t="s">
        <v>7335</v>
      </c>
      <c r="T832" s="10"/>
      <c r="U832" s="10" t="s">
        <v>7336</v>
      </c>
      <c r="V832" s="3">
        <v>10000</v>
      </c>
      <c r="W832" s="3">
        <v>143404000</v>
      </c>
      <c r="X832" s="3">
        <v>1113000</v>
      </c>
      <c r="Y832" s="3">
        <v>38100000</v>
      </c>
      <c r="Z832" s="3">
        <v>14791000</v>
      </c>
      <c r="AA832" s="3">
        <v>5238000</v>
      </c>
      <c r="AB832" s="3">
        <v>21319000</v>
      </c>
      <c r="AC832" s="3">
        <v>0</v>
      </c>
      <c r="AD832" s="3">
        <v>0</v>
      </c>
      <c r="AE832" s="10" t="s">
        <v>317</v>
      </c>
      <c r="AF832" s="10" t="s">
        <v>352</v>
      </c>
      <c r="AG832" s="10" t="s">
        <v>319</v>
      </c>
    </row>
    <row r="833" spans="1:33" ht="15.75" x14ac:dyDescent="0.25">
      <c r="A833" s="1">
        <v>1157746558551</v>
      </c>
      <c r="B833" s="6">
        <v>7727188132</v>
      </c>
      <c r="C833" s="7" t="s">
        <v>7337</v>
      </c>
      <c r="D833" s="7" t="s">
        <v>7338</v>
      </c>
      <c r="E833" s="6">
        <v>46419017</v>
      </c>
      <c r="F833" s="6">
        <v>45293570000</v>
      </c>
      <c r="G833" s="6">
        <v>16</v>
      </c>
      <c r="H833" s="6">
        <v>12300</v>
      </c>
      <c r="I833" s="6">
        <v>772701001</v>
      </c>
      <c r="J833" s="7" t="s">
        <v>7339</v>
      </c>
      <c r="K833" s="7"/>
      <c r="L833" s="1" t="s">
        <v>7340</v>
      </c>
      <c r="M833" s="7" t="s">
        <v>7341</v>
      </c>
      <c r="N833" s="7" t="s">
        <v>7342</v>
      </c>
      <c r="O833" s="7" t="s">
        <v>7343</v>
      </c>
      <c r="P833" s="8">
        <v>773602695334</v>
      </c>
      <c r="Q833" s="7" t="s">
        <v>41</v>
      </c>
      <c r="R833" s="7" t="s">
        <v>7344</v>
      </c>
      <c r="S833" s="7" t="s">
        <v>7345</v>
      </c>
      <c r="T833" s="7"/>
      <c r="U833" s="7" t="s">
        <v>7346</v>
      </c>
      <c r="V833" s="1">
        <v>10000</v>
      </c>
      <c r="W833" s="1">
        <v>46855000</v>
      </c>
      <c r="X833" s="1">
        <v>0</v>
      </c>
      <c r="Y833" s="1">
        <v>12523000</v>
      </c>
      <c r="Z833" s="1">
        <v>3646000</v>
      </c>
      <c r="AA833" s="1">
        <v>0</v>
      </c>
      <c r="AB833" s="1">
        <v>3755000</v>
      </c>
      <c r="AC833" s="1">
        <v>0</v>
      </c>
      <c r="AD833" s="1">
        <v>0</v>
      </c>
      <c r="AE833" s="7" t="s">
        <v>317</v>
      </c>
      <c r="AF833" s="7" t="s">
        <v>1023</v>
      </c>
      <c r="AG833" s="7" t="s">
        <v>319</v>
      </c>
    </row>
    <row r="834" spans="1:33" ht="15.75" x14ac:dyDescent="0.25">
      <c r="A834" s="3">
        <v>1025007117486</v>
      </c>
      <c r="B834" s="9">
        <v>5053013620</v>
      </c>
      <c r="C834" s="10" t="s">
        <v>7347</v>
      </c>
      <c r="D834" s="10" t="s">
        <v>7348</v>
      </c>
      <c r="E834" s="9">
        <v>39845529</v>
      </c>
      <c r="F834" s="9">
        <v>46490000000</v>
      </c>
      <c r="G834" s="9">
        <v>16</v>
      </c>
      <c r="H834" s="9">
        <v>12300</v>
      </c>
      <c r="I834" s="9">
        <v>505301001</v>
      </c>
      <c r="J834" s="10" t="s">
        <v>7349</v>
      </c>
      <c r="K834" s="10"/>
      <c r="L834" s="3" t="s">
        <v>7350</v>
      </c>
      <c r="M834" s="10" t="s">
        <v>7351</v>
      </c>
      <c r="N834" s="10" t="s">
        <v>7352</v>
      </c>
      <c r="O834" s="10" t="s">
        <v>7353</v>
      </c>
      <c r="P834" s="11">
        <v>505301855034</v>
      </c>
      <c r="Q834" s="10" t="s">
        <v>150</v>
      </c>
      <c r="R834" s="10" t="s">
        <v>7354</v>
      </c>
      <c r="S834" s="10" t="s">
        <v>7355</v>
      </c>
      <c r="T834" s="10"/>
      <c r="U834" s="10"/>
      <c r="V834" s="3">
        <v>10000</v>
      </c>
      <c r="W834" s="3">
        <v>33895000</v>
      </c>
      <c r="X834" s="3">
        <v>0</v>
      </c>
      <c r="Y834" s="3">
        <v>3601000</v>
      </c>
      <c r="Z834" s="3">
        <v>0</v>
      </c>
      <c r="AA834" s="3">
        <v>421000</v>
      </c>
      <c r="AB834" s="3">
        <v>3058000</v>
      </c>
      <c r="AC834" s="3">
        <v>0</v>
      </c>
      <c r="AD834" s="3">
        <v>0</v>
      </c>
      <c r="AE834" s="10" t="s">
        <v>317</v>
      </c>
      <c r="AF834" s="10" t="s">
        <v>1465</v>
      </c>
      <c r="AG834" s="10" t="s">
        <v>319</v>
      </c>
    </row>
    <row r="835" spans="1:33" ht="15.75" x14ac:dyDescent="0.25">
      <c r="A835" s="1">
        <v>1157746360551</v>
      </c>
      <c r="B835" s="6">
        <v>7715472861</v>
      </c>
      <c r="C835" s="7" t="s">
        <v>7356</v>
      </c>
      <c r="D835" s="7" t="s">
        <v>7357</v>
      </c>
      <c r="E835" s="6">
        <v>48525344</v>
      </c>
      <c r="F835" s="6">
        <v>45280569000</v>
      </c>
      <c r="G835" s="6">
        <v>16</v>
      </c>
      <c r="H835" s="6">
        <v>12300</v>
      </c>
      <c r="I835" s="6">
        <v>771501001</v>
      </c>
      <c r="J835" s="7" t="s">
        <v>7358</v>
      </c>
      <c r="K835" s="7"/>
      <c r="L835" s="1" t="s">
        <v>1800</v>
      </c>
      <c r="M835" s="7" t="s">
        <v>1801</v>
      </c>
      <c r="N835" s="7" t="s">
        <v>7359</v>
      </c>
      <c r="O835" s="7" t="s">
        <v>7360</v>
      </c>
      <c r="P835" s="8">
        <v>771300343685</v>
      </c>
      <c r="Q835" s="7" t="s">
        <v>41</v>
      </c>
      <c r="R835" s="7" t="s">
        <v>7361</v>
      </c>
      <c r="S835" s="7" t="s">
        <v>7362</v>
      </c>
      <c r="T835" s="7"/>
      <c r="U835" s="7"/>
      <c r="V835" s="1">
        <v>10000</v>
      </c>
      <c r="W835" s="1">
        <v>40671000</v>
      </c>
      <c r="X835" s="1">
        <v>11107000</v>
      </c>
      <c r="Y835" s="1">
        <v>718000</v>
      </c>
      <c r="Z835" s="1">
        <v>97491000</v>
      </c>
      <c r="AA835" s="1">
        <v>37009000</v>
      </c>
      <c r="AB835" s="1">
        <v>219000</v>
      </c>
      <c r="AC835" s="1">
        <v>0</v>
      </c>
      <c r="AD835" s="1">
        <v>0</v>
      </c>
      <c r="AE835" s="7" t="s">
        <v>317</v>
      </c>
      <c r="AF835" s="7" t="s">
        <v>421</v>
      </c>
      <c r="AG835" s="7" t="s">
        <v>319</v>
      </c>
    </row>
    <row r="836" spans="1:33" ht="15.75" x14ac:dyDescent="0.25">
      <c r="A836" s="1">
        <v>1157746375720</v>
      </c>
      <c r="B836" s="6">
        <v>7718149850</v>
      </c>
      <c r="C836" s="7" t="s">
        <v>7363</v>
      </c>
      <c r="D836" s="7" t="s">
        <v>7364</v>
      </c>
      <c r="E836" s="6">
        <v>45054861</v>
      </c>
      <c r="F836" s="6">
        <v>45263564000</v>
      </c>
      <c r="G836" s="6">
        <v>16</v>
      </c>
      <c r="H836" s="6">
        <v>12300</v>
      </c>
      <c r="I836" s="6">
        <v>771801001</v>
      </c>
      <c r="J836" s="7" t="s">
        <v>6806</v>
      </c>
      <c r="K836" s="7"/>
      <c r="L836" s="1" t="s">
        <v>288</v>
      </c>
      <c r="M836" s="7" t="s">
        <v>289</v>
      </c>
      <c r="N836" s="7" t="s">
        <v>7365</v>
      </c>
      <c r="O836" s="7" t="s">
        <v>7366</v>
      </c>
      <c r="P836" s="8">
        <v>563605155695</v>
      </c>
      <c r="Q836" s="7" t="s">
        <v>41</v>
      </c>
      <c r="R836" s="7" t="s">
        <v>7367</v>
      </c>
      <c r="S836" s="7" t="s">
        <v>7368</v>
      </c>
      <c r="T836" s="7"/>
      <c r="U836" s="7" t="s">
        <v>7369</v>
      </c>
      <c r="V836" s="1">
        <v>10000</v>
      </c>
      <c r="W836" s="1">
        <v>53537000</v>
      </c>
      <c r="X836" s="1">
        <v>4116000</v>
      </c>
      <c r="Y836" s="1">
        <v>8000</v>
      </c>
      <c r="Z836" s="1">
        <v>6752000</v>
      </c>
      <c r="AA836" s="1">
        <v>898000</v>
      </c>
      <c r="AB836" s="1">
        <v>9889000</v>
      </c>
      <c r="AC836" s="1">
        <v>0</v>
      </c>
      <c r="AD836" s="1">
        <v>0</v>
      </c>
      <c r="AE836" s="7" t="s">
        <v>317</v>
      </c>
      <c r="AF836" s="7" t="s">
        <v>352</v>
      </c>
      <c r="AG836" s="7" t="s">
        <v>319</v>
      </c>
    </row>
    <row r="837" spans="1:33" ht="15.75" x14ac:dyDescent="0.25">
      <c r="A837" s="3">
        <v>1025006520054</v>
      </c>
      <c r="B837" s="9">
        <v>5050040960</v>
      </c>
      <c r="C837" s="10" t="s">
        <v>7370</v>
      </c>
      <c r="D837" s="10" t="s">
        <v>7371</v>
      </c>
      <c r="E837" s="9">
        <v>59350865</v>
      </c>
      <c r="F837" s="9">
        <v>46442000000</v>
      </c>
      <c r="G837" s="9">
        <v>16</v>
      </c>
      <c r="H837" s="9">
        <v>12300</v>
      </c>
      <c r="I837" s="9">
        <v>505001001</v>
      </c>
      <c r="J837" s="10" t="s">
        <v>7372</v>
      </c>
      <c r="K837" s="10"/>
      <c r="L837" s="3" t="s">
        <v>323</v>
      </c>
      <c r="M837" s="10" t="s">
        <v>324</v>
      </c>
      <c r="N837" s="10" t="s">
        <v>7373</v>
      </c>
      <c r="O837" s="10" t="s">
        <v>7374</v>
      </c>
      <c r="P837" s="11">
        <v>505011606950</v>
      </c>
      <c r="Q837" s="10" t="s">
        <v>41</v>
      </c>
      <c r="R837" s="10" t="s">
        <v>7375</v>
      </c>
      <c r="S837" s="10" t="s">
        <v>7376</v>
      </c>
      <c r="T837" s="10" t="s">
        <v>7377</v>
      </c>
      <c r="U837" s="10" t="s">
        <v>7378</v>
      </c>
      <c r="V837" s="3">
        <v>10000</v>
      </c>
      <c r="W837" s="3">
        <v>35957000</v>
      </c>
      <c r="X837" s="3">
        <v>0</v>
      </c>
      <c r="Y837" s="3">
        <v>0</v>
      </c>
      <c r="Z837" s="3">
        <v>35364000</v>
      </c>
      <c r="AA837" s="3">
        <v>0</v>
      </c>
      <c r="AB837" s="3">
        <v>35957000</v>
      </c>
      <c r="AC837" s="3">
        <v>0</v>
      </c>
      <c r="AD837" s="3">
        <v>0</v>
      </c>
      <c r="AE837" s="10" t="s">
        <v>317</v>
      </c>
      <c r="AF837" s="10" t="s">
        <v>740</v>
      </c>
      <c r="AG837" s="10" t="s">
        <v>319</v>
      </c>
    </row>
    <row r="838" spans="1:33" ht="15.75" x14ac:dyDescent="0.25">
      <c r="A838" s="1">
        <v>1157746431358</v>
      </c>
      <c r="B838" s="6">
        <v>7714339433</v>
      </c>
      <c r="C838" s="7" t="s">
        <v>7379</v>
      </c>
      <c r="D838" s="7" t="s">
        <v>7380</v>
      </c>
      <c r="E838" s="6">
        <v>40105223</v>
      </c>
      <c r="F838" s="6">
        <v>45277556000</v>
      </c>
      <c r="G838" s="6">
        <v>16</v>
      </c>
      <c r="H838" s="6">
        <v>12300</v>
      </c>
      <c r="I838" s="6">
        <v>771401001</v>
      </c>
      <c r="J838" s="7" t="s">
        <v>7381</v>
      </c>
      <c r="K838" s="7"/>
      <c r="L838" s="1" t="s">
        <v>2885</v>
      </c>
      <c r="M838" s="7" t="s">
        <v>2886</v>
      </c>
      <c r="N838" s="7" t="s">
        <v>7382</v>
      </c>
      <c r="O838" s="7" t="s">
        <v>7383</v>
      </c>
      <c r="P838" s="8">
        <v>772728362934</v>
      </c>
      <c r="Q838" s="7" t="s">
        <v>41</v>
      </c>
      <c r="R838" s="7" t="s">
        <v>7384</v>
      </c>
      <c r="S838" s="7" t="s">
        <v>7385</v>
      </c>
      <c r="T838" s="7" t="s">
        <v>7386</v>
      </c>
      <c r="U838" s="7" t="s">
        <v>7387</v>
      </c>
      <c r="V838" s="1">
        <v>10000</v>
      </c>
      <c r="W838" s="1">
        <v>65199000</v>
      </c>
      <c r="X838" s="1">
        <v>10006000</v>
      </c>
      <c r="Y838" s="1">
        <v>20302000</v>
      </c>
      <c r="Z838" s="1">
        <v>13385000</v>
      </c>
      <c r="AA838" s="1">
        <v>5306000</v>
      </c>
      <c r="AB838" s="1">
        <v>29062000</v>
      </c>
      <c r="AC838" s="1">
        <v>0</v>
      </c>
      <c r="AD838" s="1">
        <v>0</v>
      </c>
      <c r="AE838" s="7" t="s">
        <v>317</v>
      </c>
      <c r="AF838" s="7" t="s">
        <v>286</v>
      </c>
      <c r="AG838" s="7" t="s">
        <v>319</v>
      </c>
    </row>
    <row r="839" spans="1:33" ht="15.75" x14ac:dyDescent="0.25">
      <c r="A839" s="3">
        <v>1157746557946</v>
      </c>
      <c r="B839" s="9">
        <v>7701355036</v>
      </c>
      <c r="C839" s="10" t="s">
        <v>7388</v>
      </c>
      <c r="D839" s="10" t="s">
        <v>7389</v>
      </c>
      <c r="E839" s="9">
        <v>46405481</v>
      </c>
      <c r="F839" s="9">
        <v>45286555000</v>
      </c>
      <c r="G839" s="9">
        <v>16</v>
      </c>
      <c r="H839" s="9">
        <v>12300</v>
      </c>
      <c r="I839" s="9">
        <v>770101001</v>
      </c>
      <c r="J839" s="10" t="s">
        <v>7339</v>
      </c>
      <c r="K839" s="10"/>
      <c r="L839" s="3" t="s">
        <v>7390</v>
      </c>
      <c r="M839" s="10" t="s">
        <v>7391</v>
      </c>
      <c r="N839" s="10" t="s">
        <v>7392</v>
      </c>
      <c r="O839" s="10" t="s">
        <v>7393</v>
      </c>
      <c r="P839" s="11">
        <v>366605271074</v>
      </c>
      <c r="Q839" s="10" t="s">
        <v>41</v>
      </c>
      <c r="R839" s="10" t="s">
        <v>7394</v>
      </c>
      <c r="S839" s="10" t="s">
        <v>7395</v>
      </c>
      <c r="T839" s="10"/>
      <c r="U839" s="10" t="s">
        <v>7396</v>
      </c>
      <c r="V839" s="3">
        <v>10000</v>
      </c>
      <c r="W839" s="3">
        <v>35945000</v>
      </c>
      <c r="X839" s="3">
        <v>0</v>
      </c>
      <c r="Y839" s="3">
        <v>0</v>
      </c>
      <c r="Z839" s="3">
        <v>49272000</v>
      </c>
      <c r="AA839" s="3">
        <v>20081000</v>
      </c>
      <c r="AB839" s="3">
        <v>9774000</v>
      </c>
      <c r="AC839" s="3">
        <v>0</v>
      </c>
      <c r="AD839" s="3">
        <v>0</v>
      </c>
      <c r="AE839" s="10" t="s">
        <v>317</v>
      </c>
      <c r="AF839" s="10" t="s">
        <v>352</v>
      </c>
      <c r="AG839" s="10" t="s">
        <v>319</v>
      </c>
    </row>
    <row r="840" spans="1:33" ht="15.75" x14ac:dyDescent="0.25">
      <c r="A840" s="1">
        <v>1157746359374</v>
      </c>
      <c r="B840" s="6">
        <v>7701330031</v>
      </c>
      <c r="C840" s="7" t="s">
        <v>7397</v>
      </c>
      <c r="D840" s="7" t="s">
        <v>7398</v>
      </c>
      <c r="E840" s="6">
        <v>44504931</v>
      </c>
      <c r="F840" s="6">
        <v>45296571000</v>
      </c>
      <c r="G840" s="6">
        <v>16</v>
      </c>
      <c r="H840" s="6">
        <v>12300</v>
      </c>
      <c r="I840" s="6">
        <v>772401001</v>
      </c>
      <c r="J840" s="7" t="s">
        <v>7399</v>
      </c>
      <c r="K840" s="7"/>
      <c r="L840" s="1" t="s">
        <v>7014</v>
      </c>
      <c r="M840" s="7" t="s">
        <v>7015</v>
      </c>
      <c r="N840" s="7" t="s">
        <v>7400</v>
      </c>
      <c r="O840" s="7" t="s">
        <v>7401</v>
      </c>
      <c r="P840" s="8">
        <v>772153132330</v>
      </c>
      <c r="Q840" s="7" t="s">
        <v>41</v>
      </c>
      <c r="R840" s="7" t="s">
        <v>7402</v>
      </c>
      <c r="S840" s="7" t="s">
        <v>7403</v>
      </c>
      <c r="T840" s="7"/>
      <c r="U840" s="7" t="s">
        <v>7404</v>
      </c>
      <c r="V840" s="1">
        <v>10000</v>
      </c>
      <c r="W840" s="1">
        <v>61558000</v>
      </c>
      <c r="X840" s="1">
        <v>2837000</v>
      </c>
      <c r="Y840" s="1">
        <v>364000</v>
      </c>
      <c r="Z840" s="1">
        <v>52220000</v>
      </c>
      <c r="AA840" s="1">
        <v>36096000</v>
      </c>
      <c r="AB840" s="1">
        <v>7676000</v>
      </c>
      <c r="AC840" s="1">
        <v>0</v>
      </c>
      <c r="AD840" s="1">
        <v>0</v>
      </c>
      <c r="AE840" s="7" t="s">
        <v>317</v>
      </c>
      <c r="AF840" s="7" t="s">
        <v>1023</v>
      </c>
      <c r="AG840" s="7" t="s">
        <v>319</v>
      </c>
    </row>
    <row r="841" spans="1:33" ht="15.75" x14ac:dyDescent="0.25">
      <c r="A841" s="3">
        <v>1167746222874</v>
      </c>
      <c r="B841" s="9">
        <v>7728332484</v>
      </c>
      <c r="C841" s="10" t="s">
        <v>7405</v>
      </c>
      <c r="D841" s="10" t="s">
        <v>7406</v>
      </c>
      <c r="E841" s="9">
        <v>169161</v>
      </c>
      <c r="F841" s="9">
        <v>45286585000</v>
      </c>
      <c r="G841" s="9">
        <v>16</v>
      </c>
      <c r="H841" s="9">
        <v>12300</v>
      </c>
      <c r="I841" s="9">
        <v>770701001</v>
      </c>
      <c r="J841" s="10" t="s">
        <v>7407</v>
      </c>
      <c r="K841" s="10"/>
      <c r="L841" s="3" t="s">
        <v>1163</v>
      </c>
      <c r="M841" s="10" t="s">
        <v>1164</v>
      </c>
      <c r="N841" s="10" t="s">
        <v>7408</v>
      </c>
      <c r="O841" s="10" t="s">
        <v>7409</v>
      </c>
      <c r="P841" s="11">
        <v>773305055363</v>
      </c>
      <c r="Q841" s="10" t="s">
        <v>41</v>
      </c>
      <c r="R841" s="10" t="s">
        <v>7410</v>
      </c>
      <c r="S841" s="10" t="s">
        <v>7411</v>
      </c>
      <c r="T841" s="10"/>
      <c r="U841" s="10"/>
      <c r="V841" s="3">
        <v>10000</v>
      </c>
      <c r="W841" s="3">
        <v>64666000</v>
      </c>
      <c r="X841" s="3">
        <v>982000</v>
      </c>
      <c r="Y841" s="3">
        <v>0</v>
      </c>
      <c r="Z841" s="3">
        <v>3757000</v>
      </c>
      <c r="AA841" s="3">
        <v>4865000</v>
      </c>
      <c r="AB841" s="3">
        <v>-2375000</v>
      </c>
      <c r="AC841" s="3">
        <v>0</v>
      </c>
      <c r="AD841" s="3">
        <v>0</v>
      </c>
      <c r="AE841" s="10" t="s">
        <v>331</v>
      </c>
      <c r="AF841" s="10" t="s">
        <v>1727</v>
      </c>
      <c r="AG841" s="10" t="s">
        <v>319</v>
      </c>
    </row>
    <row r="842" spans="1:33" ht="15.75" x14ac:dyDescent="0.25">
      <c r="A842" s="1">
        <v>1157746417729</v>
      </c>
      <c r="B842" s="6">
        <v>7710495463</v>
      </c>
      <c r="C842" s="7" t="s">
        <v>7412</v>
      </c>
      <c r="D842" s="7" t="s">
        <v>7413</v>
      </c>
      <c r="E842" s="6">
        <v>29449525</v>
      </c>
      <c r="F842" s="6">
        <v>45286585000</v>
      </c>
      <c r="G842" s="6">
        <v>16</v>
      </c>
      <c r="H842" s="6">
        <v>12300</v>
      </c>
      <c r="I842" s="6">
        <v>771001001</v>
      </c>
      <c r="J842" s="7" t="s">
        <v>1528</v>
      </c>
      <c r="K842" s="7"/>
      <c r="L842" s="1" t="s">
        <v>7414</v>
      </c>
      <c r="M842" s="7" t="s">
        <v>7415</v>
      </c>
      <c r="N842" s="7" t="s">
        <v>7416</v>
      </c>
      <c r="O842" s="7" t="s">
        <v>7417</v>
      </c>
      <c r="P842" s="8">
        <v>771312315918</v>
      </c>
      <c r="Q842" s="7" t="s">
        <v>41</v>
      </c>
      <c r="R842" s="7" t="s">
        <v>7418</v>
      </c>
      <c r="S842" s="7" t="s">
        <v>7419</v>
      </c>
      <c r="T842" s="7" t="s">
        <v>7420</v>
      </c>
      <c r="U842" s="7" t="s">
        <v>7421</v>
      </c>
      <c r="V842" s="1">
        <v>10000</v>
      </c>
      <c r="W842" s="1">
        <v>52999000</v>
      </c>
      <c r="X842" s="1">
        <v>0</v>
      </c>
      <c r="Y842" s="1">
        <v>0</v>
      </c>
      <c r="Z842" s="1">
        <v>9302000</v>
      </c>
      <c r="AA842" s="1">
        <v>791000</v>
      </c>
      <c r="AB842" s="1">
        <v>567000</v>
      </c>
      <c r="AC842" s="1">
        <v>0</v>
      </c>
      <c r="AD842" s="1">
        <v>0</v>
      </c>
      <c r="AE842" s="7" t="s">
        <v>317</v>
      </c>
      <c r="AF842" s="7" t="s">
        <v>493</v>
      </c>
      <c r="AG842" s="7" t="s">
        <v>319</v>
      </c>
    </row>
    <row r="843" spans="1:33" ht="15.75" x14ac:dyDescent="0.25">
      <c r="A843" s="3">
        <v>1025007270342</v>
      </c>
      <c r="B843" s="9">
        <v>5056001936</v>
      </c>
      <c r="C843" s="10" t="s">
        <v>7422</v>
      </c>
      <c r="D843" s="10" t="s">
        <v>7423</v>
      </c>
      <c r="E843" s="9">
        <v>53133379</v>
      </c>
      <c r="F843" s="9">
        <v>46411000000</v>
      </c>
      <c r="G843" s="9">
        <v>16</v>
      </c>
      <c r="H843" s="9">
        <v>12300</v>
      </c>
      <c r="I843" s="9">
        <v>502701001</v>
      </c>
      <c r="J843" s="10" t="s">
        <v>7424</v>
      </c>
      <c r="K843" s="10"/>
      <c r="L843" s="3" t="s">
        <v>404</v>
      </c>
      <c r="M843" s="10" t="s">
        <v>405</v>
      </c>
      <c r="N843" s="10" t="s">
        <v>7425</v>
      </c>
      <c r="O843" s="10" t="s">
        <v>7426</v>
      </c>
      <c r="P843" s="11">
        <v>772175824969</v>
      </c>
      <c r="Q843" s="10" t="s">
        <v>41</v>
      </c>
      <c r="R843" s="10" t="s">
        <v>7427</v>
      </c>
      <c r="S843" s="10" t="s">
        <v>7428</v>
      </c>
      <c r="T843" s="10"/>
      <c r="U843" s="10" t="s">
        <v>7429</v>
      </c>
      <c r="V843" s="3">
        <v>10000</v>
      </c>
      <c r="W843" s="3">
        <v>66835000</v>
      </c>
      <c r="X843" s="3">
        <v>59717000</v>
      </c>
      <c r="Y843" s="3">
        <v>2768000</v>
      </c>
      <c r="Z843" s="3">
        <v>13873000</v>
      </c>
      <c r="AA843" s="3">
        <v>12739000</v>
      </c>
      <c r="AB843" s="3">
        <v>14433000</v>
      </c>
      <c r="AC843" s="3">
        <v>0</v>
      </c>
      <c r="AD843" s="3">
        <v>0</v>
      </c>
      <c r="AE843" s="10" t="s">
        <v>331</v>
      </c>
      <c r="AF843" s="10" t="s">
        <v>545</v>
      </c>
      <c r="AG843" s="10" t="s">
        <v>319</v>
      </c>
    </row>
    <row r="844" spans="1:33" ht="15.75" x14ac:dyDescent="0.25">
      <c r="A844" s="1">
        <v>1025006522232</v>
      </c>
      <c r="B844" s="6">
        <v>5050033530</v>
      </c>
      <c r="C844" s="7" t="s">
        <v>7430</v>
      </c>
      <c r="D844" s="7" t="s">
        <v>7431</v>
      </c>
      <c r="E844" s="6">
        <v>53912540</v>
      </c>
      <c r="F844" s="6">
        <v>46488000000</v>
      </c>
      <c r="G844" s="6">
        <v>16</v>
      </c>
      <c r="H844" s="6">
        <v>12300</v>
      </c>
      <c r="I844" s="6">
        <v>505001001</v>
      </c>
      <c r="J844" s="7" t="s">
        <v>7432</v>
      </c>
      <c r="K844" s="7"/>
      <c r="L844" s="1" t="s">
        <v>445</v>
      </c>
      <c r="M844" s="7" t="s">
        <v>446</v>
      </c>
      <c r="N844" s="7" t="s">
        <v>7433</v>
      </c>
      <c r="O844" s="7" t="s">
        <v>7434</v>
      </c>
      <c r="P844" s="8">
        <v>770503021709</v>
      </c>
      <c r="Q844" s="7" t="s">
        <v>41</v>
      </c>
      <c r="R844" s="7" t="s">
        <v>7435</v>
      </c>
      <c r="S844" s="7" t="s">
        <v>7436</v>
      </c>
      <c r="T844" s="7" t="s">
        <v>7437</v>
      </c>
      <c r="U844" s="7" t="s">
        <v>7438</v>
      </c>
      <c r="V844" s="1">
        <v>10000</v>
      </c>
      <c r="W844" s="1">
        <v>101439000</v>
      </c>
      <c r="X844" s="1">
        <v>21300000</v>
      </c>
      <c r="Y844" s="1">
        <v>2241000</v>
      </c>
      <c r="Z844" s="1">
        <v>5041000</v>
      </c>
      <c r="AA844" s="1">
        <v>9018000</v>
      </c>
      <c r="AB844" s="1">
        <v>-4269000</v>
      </c>
      <c r="AC844" s="1">
        <v>0</v>
      </c>
      <c r="AD844" s="1">
        <v>0</v>
      </c>
      <c r="AE844" s="7" t="s">
        <v>317</v>
      </c>
      <c r="AF844" s="7" t="s">
        <v>512</v>
      </c>
      <c r="AG844" s="7" t="s">
        <v>319</v>
      </c>
    </row>
    <row r="845" spans="1:33" ht="15.75" x14ac:dyDescent="0.25">
      <c r="A845" s="3">
        <v>1157746678715</v>
      </c>
      <c r="B845" s="9">
        <v>7734358681</v>
      </c>
      <c r="C845" s="10" t="s">
        <v>7439</v>
      </c>
      <c r="D845" s="10" t="s">
        <v>7440</v>
      </c>
      <c r="E845" s="9">
        <v>46856261</v>
      </c>
      <c r="F845" s="9">
        <v>45283582000</v>
      </c>
      <c r="G845" s="9">
        <v>16</v>
      </c>
      <c r="H845" s="9">
        <v>12300</v>
      </c>
      <c r="I845" s="9">
        <v>773401001</v>
      </c>
      <c r="J845" s="10" t="s">
        <v>7441</v>
      </c>
      <c r="K845" s="10"/>
      <c r="L845" s="3" t="s">
        <v>3297</v>
      </c>
      <c r="M845" s="10" t="s">
        <v>3389</v>
      </c>
      <c r="N845" s="10" t="s">
        <v>7442</v>
      </c>
      <c r="O845" s="10" t="s">
        <v>7443</v>
      </c>
      <c r="P845" s="11">
        <v>330500868970</v>
      </c>
      <c r="Q845" s="10" t="s">
        <v>41</v>
      </c>
      <c r="R845" s="10" t="s">
        <v>7444</v>
      </c>
      <c r="S845" s="10" t="s">
        <v>7445</v>
      </c>
      <c r="T845" s="10"/>
      <c r="U845" s="10" t="s">
        <v>7446</v>
      </c>
      <c r="V845" s="3">
        <v>10000</v>
      </c>
      <c r="W845" s="3">
        <v>35559000</v>
      </c>
      <c r="X845" s="3">
        <v>0</v>
      </c>
      <c r="Y845" s="3">
        <v>0</v>
      </c>
      <c r="Z845" s="3">
        <v>19155000</v>
      </c>
      <c r="AA845" s="3">
        <v>7508000</v>
      </c>
      <c r="AB845" s="3">
        <v>2525000</v>
      </c>
      <c r="AC845" s="3">
        <v>0</v>
      </c>
      <c r="AD845" s="3">
        <v>0</v>
      </c>
      <c r="AE845" s="10" t="s">
        <v>317</v>
      </c>
      <c r="AF845" s="10" t="s">
        <v>352</v>
      </c>
      <c r="AG845" s="10" t="s">
        <v>319</v>
      </c>
    </row>
    <row r="846" spans="1:33" ht="15.75" x14ac:dyDescent="0.25">
      <c r="A846" s="1">
        <v>1157746620085</v>
      </c>
      <c r="B846" s="6">
        <v>7721327573</v>
      </c>
      <c r="C846" s="7" t="s">
        <v>7447</v>
      </c>
      <c r="D846" s="7" t="s">
        <v>7448</v>
      </c>
      <c r="E846" s="6">
        <v>17842588</v>
      </c>
      <c r="F846" s="6">
        <v>45290578000</v>
      </c>
      <c r="G846" s="6">
        <v>16</v>
      </c>
      <c r="H846" s="6">
        <v>12300</v>
      </c>
      <c r="I846" s="6">
        <v>772201001</v>
      </c>
      <c r="J846" s="7" t="s">
        <v>7449</v>
      </c>
      <c r="K846" s="7"/>
      <c r="L846" s="1" t="s">
        <v>1072</v>
      </c>
      <c r="M846" s="7" t="s">
        <v>1073</v>
      </c>
      <c r="N846" s="7" t="s">
        <v>7450</v>
      </c>
      <c r="O846" s="7" t="s">
        <v>7451</v>
      </c>
      <c r="P846" s="8">
        <v>770200792075</v>
      </c>
      <c r="Q846" s="7" t="s">
        <v>41</v>
      </c>
      <c r="R846" s="7" t="s">
        <v>7452</v>
      </c>
      <c r="S846" s="7" t="s">
        <v>7453</v>
      </c>
      <c r="T846" s="7"/>
      <c r="U846" s="7" t="s">
        <v>7454</v>
      </c>
      <c r="V846" s="1">
        <v>10000</v>
      </c>
      <c r="W846" s="1">
        <v>50775000</v>
      </c>
      <c r="X846" s="1">
        <v>0</v>
      </c>
      <c r="Y846" s="1">
        <v>0</v>
      </c>
      <c r="Z846" s="1">
        <v>31399000</v>
      </c>
      <c r="AA846" s="1">
        <v>4613000</v>
      </c>
      <c r="AB846" s="1">
        <v>23958000</v>
      </c>
      <c r="AC846" s="1">
        <v>0</v>
      </c>
      <c r="AD846" s="1">
        <v>0</v>
      </c>
      <c r="AE846" s="7" t="s">
        <v>317</v>
      </c>
      <c r="AF846" s="7" t="s">
        <v>421</v>
      </c>
      <c r="AG846" s="7" t="s">
        <v>319</v>
      </c>
    </row>
    <row r="847" spans="1:33" ht="15.75" x14ac:dyDescent="0.25">
      <c r="A847" s="3">
        <v>1157746758443</v>
      </c>
      <c r="B847" s="9">
        <v>7722337221</v>
      </c>
      <c r="C847" s="10" t="s">
        <v>7455</v>
      </c>
      <c r="D847" s="10" t="s">
        <v>7456</v>
      </c>
      <c r="E847" s="9">
        <v>47544948</v>
      </c>
      <c r="F847" s="9">
        <v>45290564000</v>
      </c>
      <c r="G847" s="9">
        <v>16</v>
      </c>
      <c r="H847" s="9">
        <v>12300</v>
      </c>
      <c r="I847" s="9">
        <v>772201001</v>
      </c>
      <c r="J847" s="10" t="s">
        <v>7457</v>
      </c>
      <c r="K847" s="10"/>
      <c r="L847" s="3" t="s">
        <v>7458</v>
      </c>
      <c r="M847" s="10" t="s">
        <v>7459</v>
      </c>
      <c r="N847" s="10" t="s">
        <v>7460</v>
      </c>
      <c r="O847" s="10" t="s">
        <v>7461</v>
      </c>
      <c r="P847" s="11">
        <v>772073453377</v>
      </c>
      <c r="Q847" s="10" t="s">
        <v>41</v>
      </c>
      <c r="R847" s="10" t="s">
        <v>7462</v>
      </c>
      <c r="S847" s="10" t="s">
        <v>7463</v>
      </c>
      <c r="T847" s="10"/>
      <c r="U847" s="10" t="s">
        <v>7464</v>
      </c>
      <c r="V847" s="3">
        <v>10000</v>
      </c>
      <c r="W847" s="3">
        <v>32304000</v>
      </c>
      <c r="X847" s="3">
        <v>0</v>
      </c>
      <c r="Y847" s="3">
        <v>0</v>
      </c>
      <c r="Z847" s="3">
        <v>3620000</v>
      </c>
      <c r="AA847" s="3">
        <v>1563000</v>
      </c>
      <c r="AB847" s="3">
        <v>9272000</v>
      </c>
      <c r="AC847" s="3">
        <v>0</v>
      </c>
      <c r="AD847" s="3">
        <v>0</v>
      </c>
      <c r="AE847" s="10" t="s">
        <v>317</v>
      </c>
      <c r="AF847" s="10" t="s">
        <v>493</v>
      </c>
      <c r="AG847" s="10" t="s">
        <v>319</v>
      </c>
    </row>
    <row r="848" spans="1:33" ht="15.75" x14ac:dyDescent="0.25">
      <c r="A848" s="1">
        <v>1157746635397</v>
      </c>
      <c r="B848" s="6">
        <v>7716799041</v>
      </c>
      <c r="C848" s="7" t="s">
        <v>7465</v>
      </c>
      <c r="D848" s="7" t="s">
        <v>7466</v>
      </c>
      <c r="E848" s="6">
        <v>40209951</v>
      </c>
      <c r="F848" s="6">
        <v>45280556000</v>
      </c>
      <c r="G848" s="6">
        <v>16</v>
      </c>
      <c r="H848" s="6">
        <v>12300</v>
      </c>
      <c r="I848" s="6">
        <v>771601001</v>
      </c>
      <c r="J848" s="7" t="s">
        <v>7467</v>
      </c>
      <c r="K848" s="7"/>
      <c r="L848" s="1" t="s">
        <v>7414</v>
      </c>
      <c r="M848" s="7" t="s">
        <v>7415</v>
      </c>
      <c r="N848" s="7" t="s">
        <v>7468</v>
      </c>
      <c r="O848" s="7" t="s">
        <v>7469</v>
      </c>
      <c r="P848" s="8">
        <v>500307729206</v>
      </c>
      <c r="Q848" s="7" t="s">
        <v>41</v>
      </c>
      <c r="R848" s="7" t="s">
        <v>7470</v>
      </c>
      <c r="S848" s="7" t="s">
        <v>7471</v>
      </c>
      <c r="T848" s="7"/>
      <c r="U848" s="7"/>
      <c r="V848" s="1">
        <v>10000</v>
      </c>
      <c r="W848" s="1">
        <v>108927000</v>
      </c>
      <c r="X848" s="1">
        <v>0</v>
      </c>
      <c r="Y848" s="1">
        <v>0</v>
      </c>
      <c r="Z848" s="1">
        <v>1095000</v>
      </c>
      <c r="AA848" s="1">
        <v>1852000</v>
      </c>
      <c r="AB848" s="1">
        <v>407000</v>
      </c>
      <c r="AC848" s="1">
        <v>0</v>
      </c>
      <c r="AD848" s="1">
        <v>0</v>
      </c>
      <c r="AE848" s="7" t="s">
        <v>317</v>
      </c>
      <c r="AF848" s="7" t="s">
        <v>1023</v>
      </c>
      <c r="AG848" s="7" t="s">
        <v>319</v>
      </c>
    </row>
    <row r="849" spans="1:33" ht="15.75" x14ac:dyDescent="0.25">
      <c r="A849" s="3">
        <v>1157746737488</v>
      </c>
      <c r="B849" s="9">
        <v>7709465383</v>
      </c>
      <c r="C849" s="10" t="s">
        <v>7472</v>
      </c>
      <c r="D849" s="10" t="s">
        <v>7473</v>
      </c>
      <c r="E849" s="9">
        <v>47382730</v>
      </c>
      <c r="F849" s="9">
        <v>45286555000</v>
      </c>
      <c r="G849" s="9">
        <v>16</v>
      </c>
      <c r="H849" s="9">
        <v>12300</v>
      </c>
      <c r="I849" s="9">
        <v>770901001</v>
      </c>
      <c r="J849" s="10" t="s">
        <v>7474</v>
      </c>
      <c r="K849" s="10"/>
      <c r="L849" s="3" t="s">
        <v>5774</v>
      </c>
      <c r="M849" s="10" t="s">
        <v>5775</v>
      </c>
      <c r="N849" s="10" t="s">
        <v>7475</v>
      </c>
      <c r="O849" s="10" t="s">
        <v>7476</v>
      </c>
      <c r="P849" s="11">
        <v>504793283718</v>
      </c>
      <c r="Q849" s="10" t="s">
        <v>41</v>
      </c>
      <c r="R849" s="10" t="s">
        <v>7477</v>
      </c>
      <c r="S849" s="10" t="s">
        <v>7478</v>
      </c>
      <c r="T849" s="10"/>
      <c r="U849" s="10"/>
      <c r="V849" s="3">
        <v>10000</v>
      </c>
      <c r="W849" s="3">
        <v>58512000</v>
      </c>
      <c r="X849" s="3">
        <v>23861000</v>
      </c>
      <c r="Y849" s="3">
        <v>1430000</v>
      </c>
      <c r="Z849" s="3">
        <v>2439000</v>
      </c>
      <c r="AA849" s="3">
        <v>1254000</v>
      </c>
      <c r="AB849" s="3">
        <v>9000000</v>
      </c>
      <c r="AC849" s="3">
        <v>12326000</v>
      </c>
      <c r="AD849" s="3">
        <v>10889000</v>
      </c>
      <c r="AE849" s="10" t="s">
        <v>317</v>
      </c>
      <c r="AF849" s="10" t="s">
        <v>1534</v>
      </c>
      <c r="AG849" s="10" t="s">
        <v>319</v>
      </c>
    </row>
    <row r="850" spans="1:33" ht="15.75" x14ac:dyDescent="0.25">
      <c r="A850" s="1">
        <v>1157746653657</v>
      </c>
      <c r="B850" s="6">
        <v>9701001464</v>
      </c>
      <c r="C850" s="7" t="s">
        <v>7479</v>
      </c>
      <c r="D850" s="7" t="s">
        <v>7480</v>
      </c>
      <c r="E850" s="6">
        <v>42783186</v>
      </c>
      <c r="F850" s="6">
        <v>45286560000</v>
      </c>
      <c r="G850" s="6">
        <v>16</v>
      </c>
      <c r="H850" s="6">
        <v>12300</v>
      </c>
      <c r="I850" s="6">
        <v>770501001</v>
      </c>
      <c r="J850" s="7" t="s">
        <v>7481</v>
      </c>
      <c r="K850" s="7"/>
      <c r="L850" s="1" t="s">
        <v>1800</v>
      </c>
      <c r="M850" s="7" t="s">
        <v>1801</v>
      </c>
      <c r="N850" s="7" t="s">
        <v>7482</v>
      </c>
      <c r="O850" s="7" t="s">
        <v>7483</v>
      </c>
      <c r="P850" s="8">
        <v>71600193230</v>
      </c>
      <c r="Q850" s="7" t="s">
        <v>41</v>
      </c>
      <c r="R850" s="7" t="s">
        <v>7484</v>
      </c>
      <c r="S850" s="7" t="s">
        <v>7485</v>
      </c>
      <c r="T850" s="7"/>
      <c r="U850" s="7"/>
      <c r="V850" s="1">
        <v>10000</v>
      </c>
      <c r="W850" s="1">
        <v>69737000</v>
      </c>
      <c r="X850" s="1">
        <v>0</v>
      </c>
      <c r="Y850" s="1">
        <v>1400000</v>
      </c>
      <c r="Z850" s="1">
        <v>415000</v>
      </c>
      <c r="AA850" s="1">
        <v>14978000</v>
      </c>
      <c r="AB850" s="1">
        <v>1511000</v>
      </c>
      <c r="AC850" s="1">
        <v>0</v>
      </c>
      <c r="AD850" s="1">
        <v>0</v>
      </c>
      <c r="AE850" s="7" t="s">
        <v>317</v>
      </c>
      <c r="AF850" s="7" t="s">
        <v>1534</v>
      </c>
      <c r="AG850" s="7" t="s">
        <v>319</v>
      </c>
    </row>
    <row r="851" spans="1:33" ht="15.75" x14ac:dyDescent="0.25">
      <c r="A851" s="3">
        <v>1157746719701</v>
      </c>
      <c r="B851" s="9">
        <v>7729470092</v>
      </c>
      <c r="C851" s="10" t="s">
        <v>7486</v>
      </c>
      <c r="D851" s="10" t="s">
        <v>7487</v>
      </c>
      <c r="E851" s="9">
        <v>47313485</v>
      </c>
      <c r="F851" s="9">
        <v>45268592000</v>
      </c>
      <c r="G851" s="9">
        <v>16</v>
      </c>
      <c r="H851" s="9">
        <v>12300</v>
      </c>
      <c r="I851" s="9">
        <v>772901001</v>
      </c>
      <c r="J851" s="10" t="s">
        <v>7488</v>
      </c>
      <c r="K851" s="10"/>
      <c r="L851" s="3" t="s">
        <v>861</v>
      </c>
      <c r="M851" s="10" t="s">
        <v>862</v>
      </c>
      <c r="N851" s="10" t="s">
        <v>7489</v>
      </c>
      <c r="O851" s="10" t="s">
        <v>7490</v>
      </c>
      <c r="P851" s="11">
        <v>773671407932</v>
      </c>
      <c r="Q851" s="10" t="s">
        <v>41</v>
      </c>
      <c r="R851" s="10" t="s">
        <v>7491</v>
      </c>
      <c r="S851" s="10" t="s">
        <v>7492</v>
      </c>
      <c r="T851" s="10"/>
      <c r="U851" s="10"/>
      <c r="V851" s="3">
        <v>10000</v>
      </c>
      <c r="W851" s="3">
        <v>36117000</v>
      </c>
      <c r="X851" s="3">
        <v>81612000</v>
      </c>
      <c r="Y851" s="3">
        <v>1489000</v>
      </c>
      <c r="Z851" s="3">
        <v>48740000</v>
      </c>
      <c r="AA851" s="3">
        <v>25708000</v>
      </c>
      <c r="AB851" s="3">
        <v>-7563000</v>
      </c>
      <c r="AC851" s="3">
        <v>0</v>
      </c>
      <c r="AD851" s="3">
        <v>0</v>
      </c>
      <c r="AE851" s="10" t="s">
        <v>317</v>
      </c>
      <c r="AF851" s="10" t="s">
        <v>530</v>
      </c>
      <c r="AG851" s="10" t="s">
        <v>319</v>
      </c>
    </row>
    <row r="852" spans="1:33" ht="15.75" x14ac:dyDescent="0.25">
      <c r="A852" s="3">
        <v>1025007771953</v>
      </c>
      <c r="B852" s="9">
        <v>5077014679</v>
      </c>
      <c r="C852" s="10" t="s">
        <v>7493</v>
      </c>
      <c r="D852" s="10" t="s">
        <v>7494</v>
      </c>
      <c r="E852" s="9">
        <v>58259464</v>
      </c>
      <c r="F852" s="9">
        <v>46470000000</v>
      </c>
      <c r="G852" s="9">
        <v>16</v>
      </c>
      <c r="H852" s="9">
        <v>12300</v>
      </c>
      <c r="I852" s="9">
        <v>507701001</v>
      </c>
      <c r="J852" s="10" t="s">
        <v>7495</v>
      </c>
      <c r="K852" s="10"/>
      <c r="L852" s="3" t="s">
        <v>74</v>
      </c>
      <c r="M852" s="10" t="s">
        <v>75</v>
      </c>
      <c r="N852" s="10" t="s">
        <v>7496</v>
      </c>
      <c r="O852" s="10" t="s">
        <v>7497</v>
      </c>
      <c r="P852" s="11">
        <v>504300009742</v>
      </c>
      <c r="Q852" s="10" t="s">
        <v>150</v>
      </c>
      <c r="R852" s="10" t="s">
        <v>7498</v>
      </c>
      <c r="S852" s="10" t="s">
        <v>7499</v>
      </c>
      <c r="T852" s="10"/>
      <c r="U852" s="10"/>
      <c r="V852" s="3">
        <v>10000</v>
      </c>
      <c r="W852" s="3">
        <v>92210000</v>
      </c>
      <c r="X852" s="3">
        <v>9882000</v>
      </c>
      <c r="Y852" s="3">
        <v>880000</v>
      </c>
      <c r="Z852" s="3">
        <v>169000</v>
      </c>
      <c r="AA852" s="3">
        <v>56625000</v>
      </c>
      <c r="AB852" s="3">
        <v>8439000</v>
      </c>
      <c r="AC852" s="3">
        <v>0</v>
      </c>
      <c r="AD852" s="3">
        <v>0</v>
      </c>
      <c r="AE852" s="10" t="s">
        <v>331</v>
      </c>
      <c r="AF852" s="10" t="s">
        <v>84</v>
      </c>
      <c r="AG852" s="10" t="s">
        <v>319</v>
      </c>
    </row>
    <row r="853" spans="1:33" ht="15.75" x14ac:dyDescent="0.25">
      <c r="A853" s="1">
        <v>1157746737598</v>
      </c>
      <c r="B853" s="6">
        <v>7721339480</v>
      </c>
      <c r="C853" s="7" t="s">
        <v>7500</v>
      </c>
      <c r="D853" s="7" t="s">
        <v>7501</v>
      </c>
      <c r="E853" s="6">
        <v>46878297</v>
      </c>
      <c r="F853" s="6">
        <v>45263591000</v>
      </c>
      <c r="G853" s="6">
        <v>16</v>
      </c>
      <c r="H853" s="6">
        <v>12300</v>
      </c>
      <c r="I853" s="6">
        <v>771801001</v>
      </c>
      <c r="J853" s="7" t="s">
        <v>7474</v>
      </c>
      <c r="K853" s="7"/>
      <c r="L853" s="1" t="s">
        <v>7502</v>
      </c>
      <c r="M853" s="7" t="s">
        <v>7503</v>
      </c>
      <c r="N853" s="7" t="s">
        <v>7504</v>
      </c>
      <c r="O853" s="7" t="s">
        <v>7505</v>
      </c>
      <c r="P853" s="8">
        <v>362301467021</v>
      </c>
      <c r="Q853" s="7" t="s">
        <v>41</v>
      </c>
      <c r="R853" s="7" t="s">
        <v>7506</v>
      </c>
      <c r="S853" s="7" t="s">
        <v>7507</v>
      </c>
      <c r="T853" s="7"/>
      <c r="U853" s="7"/>
      <c r="V853" s="1">
        <v>10000</v>
      </c>
      <c r="W853" s="1">
        <v>52848000</v>
      </c>
      <c r="X853" s="1">
        <v>134000</v>
      </c>
      <c r="Y853" s="1">
        <v>0</v>
      </c>
      <c r="Z853" s="1">
        <v>2623000</v>
      </c>
      <c r="AA853" s="1">
        <v>2205000</v>
      </c>
      <c r="AB853" s="1">
        <v>4206000</v>
      </c>
      <c r="AC853" s="1">
        <v>0</v>
      </c>
      <c r="AD853" s="1">
        <v>0</v>
      </c>
      <c r="AE853" s="7" t="s">
        <v>317</v>
      </c>
      <c r="AF853" s="7" t="s">
        <v>352</v>
      </c>
      <c r="AG853" s="7" t="s">
        <v>319</v>
      </c>
    </row>
    <row r="854" spans="1:33" ht="15.75" x14ac:dyDescent="0.25">
      <c r="A854" s="3">
        <v>1067746651147</v>
      </c>
      <c r="B854" s="9">
        <v>7727577717</v>
      </c>
      <c r="C854" s="10" t="s">
        <v>7508</v>
      </c>
      <c r="D854" s="10" t="s">
        <v>7509</v>
      </c>
      <c r="E854" s="9">
        <v>95952298</v>
      </c>
      <c r="F854" s="9">
        <v>45293590000</v>
      </c>
      <c r="G854" s="9">
        <v>16</v>
      </c>
      <c r="H854" s="9">
        <v>12300</v>
      </c>
      <c r="I854" s="9">
        <v>772801001</v>
      </c>
      <c r="J854" s="10" t="s">
        <v>7510</v>
      </c>
      <c r="K854" s="10"/>
      <c r="L854" s="3" t="s">
        <v>5774</v>
      </c>
      <c r="M854" s="10" t="s">
        <v>5775</v>
      </c>
      <c r="N854" s="10" t="s">
        <v>7511</v>
      </c>
      <c r="O854" s="10" t="s">
        <v>7512</v>
      </c>
      <c r="P854" s="11">
        <v>772774224015</v>
      </c>
      <c r="Q854" s="10" t="s">
        <v>41</v>
      </c>
      <c r="R854" s="10" t="s">
        <v>7513</v>
      </c>
      <c r="S854" s="10" t="s">
        <v>7514</v>
      </c>
      <c r="T854" s="10"/>
      <c r="U854" s="10"/>
      <c r="V854" s="3">
        <v>10000</v>
      </c>
      <c r="W854" s="3">
        <v>98378000</v>
      </c>
      <c r="X854" s="3">
        <v>427000</v>
      </c>
      <c r="Y854" s="3">
        <v>0</v>
      </c>
      <c r="Z854" s="3">
        <v>22508000</v>
      </c>
      <c r="AA854" s="3">
        <v>2198000</v>
      </c>
      <c r="AB854" s="3">
        <v>-410000</v>
      </c>
      <c r="AC854" s="3">
        <v>3557000</v>
      </c>
      <c r="AD854" s="3">
        <v>2543000</v>
      </c>
      <c r="AE854" s="10" t="s">
        <v>331</v>
      </c>
      <c r="AF854" s="10" t="s">
        <v>821</v>
      </c>
      <c r="AG854" s="10" t="s">
        <v>319</v>
      </c>
    </row>
    <row r="855" spans="1:33" ht="15.75" x14ac:dyDescent="0.25">
      <c r="A855" s="1">
        <v>1157746701749</v>
      </c>
      <c r="B855" s="6">
        <v>7743113222</v>
      </c>
      <c r="C855" s="7" t="s">
        <v>7515</v>
      </c>
      <c r="D855" s="7" t="s">
        <v>7516</v>
      </c>
      <c r="E855" s="6">
        <v>47273834</v>
      </c>
      <c r="F855" s="6">
        <v>45277571000</v>
      </c>
      <c r="G855" s="6">
        <v>16</v>
      </c>
      <c r="H855" s="6">
        <v>12300</v>
      </c>
      <c r="I855" s="6">
        <v>774301001</v>
      </c>
      <c r="J855" s="7" t="s">
        <v>7517</v>
      </c>
      <c r="K855" s="7"/>
      <c r="L855" s="1" t="s">
        <v>1494</v>
      </c>
      <c r="M855" s="7" t="s">
        <v>1495</v>
      </c>
      <c r="N855" s="7" t="s">
        <v>7518</v>
      </c>
      <c r="O855" s="7" t="s">
        <v>7519</v>
      </c>
      <c r="P855" s="8">
        <v>504794799664</v>
      </c>
      <c r="Q855" s="7" t="s">
        <v>41</v>
      </c>
      <c r="R855" s="7" t="s">
        <v>7520</v>
      </c>
      <c r="S855" s="7" t="s">
        <v>7521</v>
      </c>
      <c r="T855" s="7"/>
      <c r="U855" s="7" t="s">
        <v>7522</v>
      </c>
      <c r="V855" s="1">
        <v>10000</v>
      </c>
      <c r="W855" s="1">
        <v>58697000</v>
      </c>
      <c r="X855" s="1">
        <v>0</v>
      </c>
      <c r="Y855" s="1">
        <v>1552000</v>
      </c>
      <c r="Z855" s="1">
        <v>3720000</v>
      </c>
      <c r="AA855" s="1">
        <v>3997000</v>
      </c>
      <c r="AB855" s="1">
        <v>166000</v>
      </c>
      <c r="AC855" s="1">
        <v>0</v>
      </c>
      <c r="AD855" s="1">
        <v>0</v>
      </c>
      <c r="AE855" s="7" t="s">
        <v>317</v>
      </c>
      <c r="AF855" s="7" t="s">
        <v>318</v>
      </c>
      <c r="AG855" s="7" t="s">
        <v>319</v>
      </c>
    </row>
    <row r="856" spans="1:33" ht="15.75" x14ac:dyDescent="0.25">
      <c r="A856" s="3">
        <v>1157746648080</v>
      </c>
      <c r="B856" s="9">
        <v>7730178688</v>
      </c>
      <c r="C856" s="10" t="s">
        <v>7523</v>
      </c>
      <c r="D856" s="10" t="s">
        <v>7524</v>
      </c>
      <c r="E856" s="9">
        <v>43302533</v>
      </c>
      <c r="F856" s="9">
        <v>45268595000</v>
      </c>
      <c r="G856" s="9">
        <v>16</v>
      </c>
      <c r="H856" s="9">
        <v>12300</v>
      </c>
      <c r="I856" s="9">
        <v>773001001</v>
      </c>
      <c r="J856" s="10" t="s">
        <v>1018</v>
      </c>
      <c r="K856" s="10"/>
      <c r="L856" s="3" t="s">
        <v>1800</v>
      </c>
      <c r="M856" s="10" t="s">
        <v>1801</v>
      </c>
      <c r="N856" s="10" t="s">
        <v>7525</v>
      </c>
      <c r="O856" s="10" t="s">
        <v>7526</v>
      </c>
      <c r="P856" s="11">
        <v>616305198609</v>
      </c>
      <c r="Q856" s="10" t="s">
        <v>41</v>
      </c>
      <c r="R856" s="10" t="s">
        <v>7527</v>
      </c>
      <c r="S856" s="10" t="s">
        <v>7528</v>
      </c>
      <c r="T856" s="10"/>
      <c r="U856" s="10"/>
      <c r="V856" s="3">
        <v>10000</v>
      </c>
      <c r="W856" s="3">
        <v>68274000</v>
      </c>
      <c r="X856" s="3">
        <v>27733000</v>
      </c>
      <c r="Y856" s="3">
        <v>901000</v>
      </c>
      <c r="Z856" s="3">
        <v>13909000</v>
      </c>
      <c r="AA856" s="3">
        <v>5282000</v>
      </c>
      <c r="AB856" s="3">
        <v>-2417000</v>
      </c>
      <c r="AC856" s="3">
        <v>0</v>
      </c>
      <c r="AD856" s="3">
        <v>0</v>
      </c>
      <c r="AE856" s="10" t="s">
        <v>317</v>
      </c>
      <c r="AF856" s="10" t="s">
        <v>669</v>
      </c>
      <c r="AG856" s="10" t="s">
        <v>319</v>
      </c>
    </row>
    <row r="857" spans="1:33" ht="15.75" x14ac:dyDescent="0.25">
      <c r="A857" s="1">
        <v>1025006396150</v>
      </c>
      <c r="B857" s="6">
        <v>5048004813</v>
      </c>
      <c r="C857" s="7" t="s">
        <v>7529</v>
      </c>
      <c r="D857" s="7" t="s">
        <v>7530</v>
      </c>
      <c r="E857" s="6">
        <v>42247370</v>
      </c>
      <c r="F857" s="6">
        <v>46484000000</v>
      </c>
      <c r="G857" s="6">
        <v>16</v>
      </c>
      <c r="H857" s="6">
        <v>12300</v>
      </c>
      <c r="I857" s="6">
        <v>504801001</v>
      </c>
      <c r="J857" s="7" t="s">
        <v>7531</v>
      </c>
      <c r="K857" s="7"/>
      <c r="L857" s="1" t="s">
        <v>1219</v>
      </c>
      <c r="M857" s="7" t="s">
        <v>1220</v>
      </c>
      <c r="N857" s="7" t="s">
        <v>7532</v>
      </c>
      <c r="O857" s="7" t="s">
        <v>7533</v>
      </c>
      <c r="P857" s="8">
        <v>504800791835</v>
      </c>
      <c r="Q857" s="7" t="s">
        <v>150</v>
      </c>
      <c r="R857" s="7" t="s">
        <v>7534</v>
      </c>
      <c r="S857" s="7" t="s">
        <v>7535</v>
      </c>
      <c r="T857" s="7"/>
      <c r="U857" s="7" t="s">
        <v>7536</v>
      </c>
      <c r="V857" s="1">
        <v>10000</v>
      </c>
      <c r="W857" s="1">
        <v>37112000</v>
      </c>
      <c r="X857" s="1">
        <v>10097000</v>
      </c>
      <c r="Y857" s="1">
        <v>37977000</v>
      </c>
      <c r="Z857" s="1">
        <v>6655000</v>
      </c>
      <c r="AA857" s="1">
        <v>4620000</v>
      </c>
      <c r="AB857" s="1">
        <v>14893000</v>
      </c>
      <c r="AC857" s="1">
        <v>0</v>
      </c>
      <c r="AD857" s="1">
        <v>0</v>
      </c>
      <c r="AE857" s="7" t="s">
        <v>317</v>
      </c>
      <c r="AF857" s="7" t="s">
        <v>530</v>
      </c>
      <c r="AG857" s="7" t="s">
        <v>319</v>
      </c>
    </row>
    <row r="858" spans="1:33" ht="15.75" x14ac:dyDescent="0.25">
      <c r="A858" s="3">
        <v>1157746251101</v>
      </c>
      <c r="B858" s="9">
        <v>7734350019</v>
      </c>
      <c r="C858" s="10" t="s">
        <v>7537</v>
      </c>
      <c r="D858" s="10" t="s">
        <v>7538</v>
      </c>
      <c r="E858" s="9">
        <v>42780265</v>
      </c>
      <c r="F858" s="9">
        <v>45268569000</v>
      </c>
      <c r="G858" s="9">
        <v>16</v>
      </c>
      <c r="H858" s="9">
        <v>12300</v>
      </c>
      <c r="I858" s="9">
        <v>773101001</v>
      </c>
      <c r="J858" s="10" t="s">
        <v>7539</v>
      </c>
      <c r="K858" s="10"/>
      <c r="L858" s="3" t="s">
        <v>5888</v>
      </c>
      <c r="M858" s="10" t="s">
        <v>5889</v>
      </c>
      <c r="N858" s="10" t="s">
        <v>7540</v>
      </c>
      <c r="O858" s="10" t="s">
        <v>7541</v>
      </c>
      <c r="P858" s="11">
        <v>504215018866</v>
      </c>
      <c r="Q858" s="10" t="s">
        <v>41</v>
      </c>
      <c r="R858" s="10" t="s">
        <v>7542</v>
      </c>
      <c r="S858" s="10" t="s">
        <v>7543</v>
      </c>
      <c r="T858" s="10"/>
      <c r="U858" s="10"/>
      <c r="V858" s="3">
        <v>10000</v>
      </c>
      <c r="W858" s="3">
        <v>72325000</v>
      </c>
      <c r="X858" s="3">
        <v>14623000</v>
      </c>
      <c r="Y858" s="3">
        <v>11808000</v>
      </c>
      <c r="Z858" s="3">
        <v>5137000</v>
      </c>
      <c r="AA858" s="3">
        <v>13576000</v>
      </c>
      <c r="AB858" s="3">
        <v>4923000</v>
      </c>
      <c r="AC858" s="3">
        <v>0</v>
      </c>
      <c r="AD858" s="3">
        <v>0</v>
      </c>
      <c r="AE858" s="10" t="s">
        <v>317</v>
      </c>
      <c r="AF858" s="10" t="s">
        <v>530</v>
      </c>
      <c r="AG858" s="10" t="s">
        <v>319</v>
      </c>
    </row>
    <row r="859" spans="1:33" ht="15.75" x14ac:dyDescent="0.25">
      <c r="A859" s="1">
        <v>1157746647024</v>
      </c>
      <c r="B859" s="6">
        <v>7723400236</v>
      </c>
      <c r="C859" s="7" t="s">
        <v>7544</v>
      </c>
      <c r="D859" s="7" t="s">
        <v>7545</v>
      </c>
      <c r="E859" s="6">
        <v>43284083</v>
      </c>
      <c r="F859" s="6">
        <v>45290568000</v>
      </c>
      <c r="G859" s="6">
        <v>16</v>
      </c>
      <c r="H859" s="6">
        <v>12300</v>
      </c>
      <c r="I859" s="6">
        <v>772301001</v>
      </c>
      <c r="J859" s="7" t="s">
        <v>5423</v>
      </c>
      <c r="K859" s="7"/>
      <c r="L859" s="1" t="s">
        <v>2575</v>
      </c>
      <c r="M859" s="7" t="s">
        <v>2576</v>
      </c>
      <c r="N859" s="7" t="s">
        <v>7546</v>
      </c>
      <c r="O859" s="7" t="s">
        <v>7547</v>
      </c>
      <c r="P859" s="8">
        <v>500306345359</v>
      </c>
      <c r="Q859" s="7" t="s">
        <v>41</v>
      </c>
      <c r="R859" s="7" t="s">
        <v>7548</v>
      </c>
      <c r="S859" s="7" t="s">
        <v>7549</v>
      </c>
      <c r="T859" s="7"/>
      <c r="U859" s="7" t="s">
        <v>7550</v>
      </c>
      <c r="V859" s="1">
        <v>10000</v>
      </c>
      <c r="W859" s="1">
        <v>32646000</v>
      </c>
      <c r="X859" s="1">
        <v>18906000</v>
      </c>
      <c r="Y859" s="1">
        <v>103000</v>
      </c>
      <c r="Z859" s="1">
        <v>48123000</v>
      </c>
      <c r="AA859" s="1">
        <v>13841000</v>
      </c>
      <c r="AB859" s="1">
        <v>1187000</v>
      </c>
      <c r="AC859" s="1">
        <v>0</v>
      </c>
      <c r="AD859" s="1">
        <v>0</v>
      </c>
      <c r="AE859" s="7" t="s">
        <v>317</v>
      </c>
      <c r="AF859" s="7" t="s">
        <v>512</v>
      </c>
      <c r="AG859" s="7" t="s">
        <v>319</v>
      </c>
    </row>
    <row r="860" spans="1:33" ht="15.75" x14ac:dyDescent="0.25">
      <c r="A860" s="3">
        <v>1157746659630</v>
      </c>
      <c r="B860" s="9">
        <v>7718262943</v>
      </c>
      <c r="C860" s="10" t="s">
        <v>7551</v>
      </c>
      <c r="D860" s="10" t="s">
        <v>7552</v>
      </c>
      <c r="E860" s="9">
        <v>46804577</v>
      </c>
      <c r="F860" s="9">
        <v>45277598000</v>
      </c>
      <c r="G860" s="9">
        <v>16</v>
      </c>
      <c r="H860" s="9">
        <v>12300</v>
      </c>
      <c r="I860" s="9">
        <v>771401001</v>
      </c>
      <c r="J860" s="10" t="s">
        <v>7553</v>
      </c>
      <c r="K860" s="10"/>
      <c r="L860" s="3" t="s">
        <v>7554</v>
      </c>
      <c r="M860" s="10" t="s">
        <v>7555</v>
      </c>
      <c r="N860" s="10" t="s">
        <v>7556</v>
      </c>
      <c r="O860" s="10" t="s">
        <v>7557</v>
      </c>
      <c r="P860" s="11">
        <v>183309914496</v>
      </c>
      <c r="Q860" s="10" t="s">
        <v>41</v>
      </c>
      <c r="R860" s="10" t="s">
        <v>7558</v>
      </c>
      <c r="S860" s="10" t="s">
        <v>7559</v>
      </c>
      <c r="T860" s="10"/>
      <c r="U860" s="10" t="s">
        <v>7560</v>
      </c>
      <c r="V860" s="3">
        <v>10000</v>
      </c>
      <c r="W860" s="3">
        <v>65647000</v>
      </c>
      <c r="X860" s="3">
        <v>225000</v>
      </c>
      <c r="Y860" s="3">
        <v>0</v>
      </c>
      <c r="Z860" s="3">
        <v>4219000</v>
      </c>
      <c r="AA860" s="3">
        <v>2757000</v>
      </c>
      <c r="AB860" s="3">
        <v>3043000</v>
      </c>
      <c r="AC860" s="3">
        <v>0</v>
      </c>
      <c r="AD860" s="3">
        <v>0</v>
      </c>
      <c r="AE860" s="10" t="s">
        <v>317</v>
      </c>
      <c r="AF860" s="10" t="s">
        <v>493</v>
      </c>
      <c r="AG860" s="10" t="s">
        <v>319</v>
      </c>
    </row>
    <row r="861" spans="1:33" ht="15.75" x14ac:dyDescent="0.25">
      <c r="A861" s="3">
        <v>1157746600274</v>
      </c>
      <c r="B861" s="9">
        <v>7703386590</v>
      </c>
      <c r="C861" s="10" t="s">
        <v>7561</v>
      </c>
      <c r="D861" s="10" t="s">
        <v>7562</v>
      </c>
      <c r="E861" s="9">
        <v>46512567</v>
      </c>
      <c r="F861" s="9">
        <v>45286575000</v>
      </c>
      <c r="G861" s="9">
        <v>16</v>
      </c>
      <c r="H861" s="9">
        <v>12300</v>
      </c>
      <c r="I861" s="9">
        <v>770301001</v>
      </c>
      <c r="J861" s="10" t="s">
        <v>7563</v>
      </c>
      <c r="K861" s="10"/>
      <c r="L861" s="3" t="s">
        <v>7564</v>
      </c>
      <c r="M861" s="10" t="s">
        <v>7565</v>
      </c>
      <c r="N861" s="10" t="s">
        <v>7566</v>
      </c>
      <c r="O861" s="10" t="s">
        <v>7567</v>
      </c>
      <c r="P861" s="11">
        <v>632144377790</v>
      </c>
      <c r="Q861" s="10" t="s">
        <v>41</v>
      </c>
      <c r="R861" s="10" t="s">
        <v>7568</v>
      </c>
      <c r="S861" s="10" t="s">
        <v>7569</v>
      </c>
      <c r="T861" s="10"/>
      <c r="U861" s="10" t="s">
        <v>7570</v>
      </c>
      <c r="V861" s="3">
        <v>10000</v>
      </c>
      <c r="W861" s="3">
        <v>40460000</v>
      </c>
      <c r="X861" s="3">
        <v>0</v>
      </c>
      <c r="Y861" s="3">
        <v>10097000</v>
      </c>
      <c r="Z861" s="3">
        <v>151427000</v>
      </c>
      <c r="AA861" s="3">
        <v>77758000</v>
      </c>
      <c r="AB861" s="3">
        <v>12584000</v>
      </c>
      <c r="AC861" s="3">
        <v>0</v>
      </c>
      <c r="AD861" s="3">
        <v>0</v>
      </c>
      <c r="AE861" s="10" t="s">
        <v>317</v>
      </c>
      <c r="AF861" s="10" t="s">
        <v>410</v>
      </c>
      <c r="AG861" s="10" t="s">
        <v>319</v>
      </c>
    </row>
    <row r="862" spans="1:33" ht="15.75" x14ac:dyDescent="0.25">
      <c r="A862" s="1">
        <v>1125905007051</v>
      </c>
      <c r="B862" s="6">
        <v>5905293017</v>
      </c>
      <c r="C862" s="7" t="s">
        <v>7571</v>
      </c>
      <c r="D862" s="7" t="s">
        <v>7572</v>
      </c>
      <c r="E862" s="6">
        <v>12018620</v>
      </c>
      <c r="F862" s="6">
        <v>45263583000</v>
      </c>
      <c r="G862" s="6">
        <v>16</v>
      </c>
      <c r="H862" s="6">
        <v>12300</v>
      </c>
      <c r="I862" s="6">
        <v>772001001</v>
      </c>
      <c r="J862" s="7" t="s">
        <v>7573</v>
      </c>
      <c r="K862" s="7"/>
      <c r="L862" s="1" t="s">
        <v>2832</v>
      </c>
      <c r="M862" s="7" t="s">
        <v>2833</v>
      </c>
      <c r="N862" s="7" t="s">
        <v>7574</v>
      </c>
      <c r="O862" s="7" t="s">
        <v>7575</v>
      </c>
      <c r="P862" s="8">
        <v>773005802543</v>
      </c>
      <c r="Q862" s="7" t="s">
        <v>41</v>
      </c>
      <c r="R862" s="7" t="s">
        <v>7576</v>
      </c>
      <c r="S862" s="7" t="s">
        <v>7577</v>
      </c>
      <c r="T862" s="7"/>
      <c r="U862" s="7"/>
      <c r="V862" s="1">
        <v>10000</v>
      </c>
      <c r="W862" s="1">
        <v>45079000</v>
      </c>
      <c r="X862" s="1">
        <v>10549000</v>
      </c>
      <c r="Y862" s="1">
        <v>9000</v>
      </c>
      <c r="Z862" s="1">
        <v>7175000</v>
      </c>
      <c r="AA862" s="1">
        <v>7526000</v>
      </c>
      <c r="AB862" s="1">
        <v>13250000</v>
      </c>
      <c r="AC862" s="1">
        <v>0</v>
      </c>
      <c r="AD862" s="1">
        <v>0</v>
      </c>
      <c r="AE862" s="7" t="s">
        <v>317</v>
      </c>
      <c r="AF862" s="7" t="s">
        <v>410</v>
      </c>
      <c r="AG862" s="7" t="s">
        <v>319</v>
      </c>
    </row>
    <row r="863" spans="1:33" ht="15.75" x14ac:dyDescent="0.25">
      <c r="A863" s="3">
        <v>1157746701441</v>
      </c>
      <c r="B863" s="9">
        <v>7725282884</v>
      </c>
      <c r="C863" s="10" t="s">
        <v>7578</v>
      </c>
      <c r="D863" s="10" t="s">
        <v>7579</v>
      </c>
      <c r="E863" s="9">
        <v>47254311</v>
      </c>
      <c r="F863" s="9">
        <v>45280572000</v>
      </c>
      <c r="G863" s="9">
        <v>16</v>
      </c>
      <c r="H863" s="9">
        <v>12300</v>
      </c>
      <c r="I863" s="9">
        <v>771701001</v>
      </c>
      <c r="J863" s="10" t="s">
        <v>7517</v>
      </c>
      <c r="K863" s="10"/>
      <c r="L863" s="3" t="s">
        <v>7580</v>
      </c>
      <c r="M863" s="10" t="s">
        <v>7581</v>
      </c>
      <c r="N863" s="10" t="s">
        <v>7582</v>
      </c>
      <c r="O863" s="10" t="s">
        <v>7583</v>
      </c>
      <c r="P863" s="11">
        <v>772863038733</v>
      </c>
      <c r="Q863" s="10" t="s">
        <v>41</v>
      </c>
      <c r="R863" s="10" t="s">
        <v>7584</v>
      </c>
      <c r="S863" s="10" t="s">
        <v>7585</v>
      </c>
      <c r="T863" s="10"/>
      <c r="U863" s="10"/>
      <c r="V863" s="3">
        <v>10000</v>
      </c>
      <c r="W863" s="3">
        <v>42810000</v>
      </c>
      <c r="X863" s="3">
        <v>0</v>
      </c>
      <c r="Y863" s="3">
        <v>1000</v>
      </c>
      <c r="Z863" s="3">
        <v>15660000</v>
      </c>
      <c r="AA863" s="3">
        <v>676000</v>
      </c>
      <c r="AB863" s="3">
        <v>-9778000</v>
      </c>
      <c r="AC863" s="3">
        <v>0</v>
      </c>
      <c r="AD863" s="3">
        <v>0</v>
      </c>
      <c r="AE863" s="10" t="s">
        <v>317</v>
      </c>
      <c r="AF863" s="10" t="s">
        <v>493</v>
      </c>
      <c r="AG863" s="10" t="s">
        <v>319</v>
      </c>
    </row>
    <row r="864" spans="1:33" ht="15.75" x14ac:dyDescent="0.25">
      <c r="A864" s="1">
        <v>1157746718491</v>
      </c>
      <c r="B864" s="6">
        <v>7726348337</v>
      </c>
      <c r="C864" s="7" t="s">
        <v>7586</v>
      </c>
      <c r="D864" s="7" t="s">
        <v>7587</v>
      </c>
      <c r="E864" s="6">
        <v>17270264</v>
      </c>
      <c r="F864" s="6">
        <v>45296561000</v>
      </c>
      <c r="G864" s="6">
        <v>16</v>
      </c>
      <c r="H864" s="6">
        <v>12300</v>
      </c>
      <c r="I864" s="6">
        <v>772601001</v>
      </c>
      <c r="J864" s="7" t="s">
        <v>7488</v>
      </c>
      <c r="K864" s="7"/>
      <c r="L864" s="1" t="s">
        <v>7139</v>
      </c>
      <c r="M864" s="7" t="s">
        <v>7140</v>
      </c>
      <c r="N864" s="7" t="s">
        <v>7588</v>
      </c>
      <c r="O864" s="7" t="s">
        <v>7589</v>
      </c>
      <c r="P864" s="8">
        <v>772168895020</v>
      </c>
      <c r="Q864" s="7" t="s">
        <v>41</v>
      </c>
      <c r="R864" s="7" t="s">
        <v>7590</v>
      </c>
      <c r="S864" s="7" t="s">
        <v>7591</v>
      </c>
      <c r="T864" s="7"/>
      <c r="U864" s="7" t="s">
        <v>7592</v>
      </c>
      <c r="V864" s="1">
        <v>10000</v>
      </c>
      <c r="W864" s="1">
        <v>32090000</v>
      </c>
      <c r="X864" s="1">
        <v>0</v>
      </c>
      <c r="Y864" s="1">
        <v>16000</v>
      </c>
      <c r="Z864" s="1">
        <v>8107000</v>
      </c>
      <c r="AA864" s="1">
        <v>7025000</v>
      </c>
      <c r="AB864" s="1">
        <v>1705000</v>
      </c>
      <c r="AC864" s="1">
        <v>0</v>
      </c>
      <c r="AD864" s="1">
        <v>0</v>
      </c>
      <c r="AE864" s="7" t="s">
        <v>317</v>
      </c>
      <c r="AF864" s="7" t="s">
        <v>286</v>
      </c>
      <c r="AG864" s="7" t="s">
        <v>319</v>
      </c>
    </row>
    <row r="865" spans="1:33" ht="15.75" x14ac:dyDescent="0.25">
      <c r="A865" s="3">
        <v>1157746720977</v>
      </c>
      <c r="B865" s="9">
        <v>7707348194</v>
      </c>
      <c r="C865" s="10" t="s">
        <v>7593</v>
      </c>
      <c r="D865" s="10" t="s">
        <v>7594</v>
      </c>
      <c r="E865" s="9">
        <v>47264255</v>
      </c>
      <c r="F865" s="9">
        <v>45263591000</v>
      </c>
      <c r="G865" s="9">
        <v>24</v>
      </c>
      <c r="H865" s="9">
        <v>12300</v>
      </c>
      <c r="I865" s="9">
        <v>771801001</v>
      </c>
      <c r="J865" s="10" t="s">
        <v>7595</v>
      </c>
      <c r="K865" s="10"/>
      <c r="L865" s="3" t="s">
        <v>3842</v>
      </c>
      <c r="M865" s="10" t="s">
        <v>7596</v>
      </c>
      <c r="N865" s="10" t="s">
        <v>7597</v>
      </c>
      <c r="O865" s="10" t="s">
        <v>7598</v>
      </c>
      <c r="P865" s="11">
        <v>771897256618</v>
      </c>
      <c r="Q865" s="10" t="s">
        <v>41</v>
      </c>
      <c r="R865" s="10" t="s">
        <v>7599</v>
      </c>
      <c r="S865" s="10" t="s">
        <v>7600</v>
      </c>
      <c r="T865" s="10" t="s">
        <v>7601</v>
      </c>
      <c r="U865" s="10" t="s">
        <v>7602</v>
      </c>
      <c r="V865" s="3">
        <v>10000</v>
      </c>
      <c r="W865" s="3">
        <v>38949000</v>
      </c>
      <c r="X865" s="3">
        <v>2834000</v>
      </c>
      <c r="Y865" s="3">
        <v>34590000</v>
      </c>
      <c r="Z865" s="3">
        <v>60962000</v>
      </c>
      <c r="AA865" s="3">
        <v>32808000</v>
      </c>
      <c r="AB865" s="3">
        <v>13228000</v>
      </c>
      <c r="AC865" s="3">
        <v>0</v>
      </c>
      <c r="AD865" s="3">
        <v>0</v>
      </c>
      <c r="AE865" s="10" t="s">
        <v>331</v>
      </c>
      <c r="AF865" s="10" t="s">
        <v>2168</v>
      </c>
      <c r="AG865" s="10" t="s">
        <v>319</v>
      </c>
    </row>
    <row r="866" spans="1:33" ht="15.75" x14ac:dyDescent="0.25">
      <c r="A866" s="1">
        <v>1157746706886</v>
      </c>
      <c r="B866" s="6">
        <v>7727219334</v>
      </c>
      <c r="C866" s="7" t="s">
        <v>7603</v>
      </c>
      <c r="D866" s="7" t="s">
        <v>7604</v>
      </c>
      <c r="E866" s="6">
        <v>47287173</v>
      </c>
      <c r="F866" s="6">
        <v>45293590000</v>
      </c>
      <c r="G866" s="6">
        <v>16</v>
      </c>
      <c r="H866" s="6">
        <v>12300</v>
      </c>
      <c r="I866" s="6">
        <v>772701001</v>
      </c>
      <c r="J866" s="7" t="s">
        <v>7605</v>
      </c>
      <c r="K866" s="7"/>
      <c r="L866" s="1" t="s">
        <v>2235</v>
      </c>
      <c r="M866" s="7" t="s">
        <v>2236</v>
      </c>
      <c r="N866" s="7" t="s">
        <v>7606</v>
      </c>
      <c r="O866" s="7" t="s">
        <v>7607</v>
      </c>
      <c r="P866" s="8">
        <v>772790919568</v>
      </c>
      <c r="Q866" s="7" t="s">
        <v>41</v>
      </c>
      <c r="R866" s="7" t="s">
        <v>7608</v>
      </c>
      <c r="S866" s="7" t="s">
        <v>7609</v>
      </c>
      <c r="T866" s="7"/>
      <c r="U866" s="7"/>
      <c r="V866" s="1">
        <v>10000</v>
      </c>
      <c r="W866" s="1">
        <v>97289000</v>
      </c>
      <c r="X866" s="1">
        <v>0</v>
      </c>
      <c r="Y866" s="1">
        <v>2175000</v>
      </c>
      <c r="Z866" s="1">
        <v>17017000</v>
      </c>
      <c r="AA866" s="1">
        <v>7707000</v>
      </c>
      <c r="AB866" s="1">
        <v>361000</v>
      </c>
      <c r="AC866" s="1">
        <v>0</v>
      </c>
      <c r="AD866" s="1">
        <v>0</v>
      </c>
      <c r="AE866" s="7" t="s">
        <v>317</v>
      </c>
      <c r="AF866" s="7" t="s">
        <v>345</v>
      </c>
      <c r="AG866" s="7" t="s">
        <v>319</v>
      </c>
    </row>
    <row r="867" spans="1:33" ht="15.75" x14ac:dyDescent="0.25">
      <c r="A867" s="3">
        <v>1157746754373</v>
      </c>
      <c r="B867" s="9">
        <v>7716801580</v>
      </c>
      <c r="C867" s="10" t="s">
        <v>7610</v>
      </c>
      <c r="D867" s="10" t="s">
        <v>7611</v>
      </c>
      <c r="E867" s="9">
        <v>47429236</v>
      </c>
      <c r="F867" s="9">
        <v>45286585000</v>
      </c>
      <c r="G867" s="9">
        <v>16</v>
      </c>
      <c r="H867" s="9">
        <v>12300</v>
      </c>
      <c r="I867" s="9">
        <v>771001001</v>
      </c>
      <c r="J867" s="10" t="s">
        <v>7612</v>
      </c>
      <c r="K867" s="10"/>
      <c r="L867" s="3" t="s">
        <v>7414</v>
      </c>
      <c r="M867" s="10" t="s">
        <v>7415</v>
      </c>
      <c r="N867" s="10" t="s">
        <v>7613</v>
      </c>
      <c r="O867" s="10" t="s">
        <v>7614</v>
      </c>
      <c r="P867" s="11">
        <v>772864057873</v>
      </c>
      <c r="Q867" s="10" t="s">
        <v>41</v>
      </c>
      <c r="R867" s="10" t="s">
        <v>7615</v>
      </c>
      <c r="S867" s="10" t="s">
        <v>7616</v>
      </c>
      <c r="T867" s="10"/>
      <c r="U867" s="10" t="s">
        <v>7617</v>
      </c>
      <c r="V867" s="3">
        <v>10000</v>
      </c>
      <c r="W867" s="3">
        <v>41440000</v>
      </c>
      <c r="X867" s="3">
        <v>63000</v>
      </c>
      <c r="Y867" s="3">
        <v>0</v>
      </c>
      <c r="Z867" s="3">
        <v>5683000</v>
      </c>
      <c r="AA867" s="3">
        <v>8136000</v>
      </c>
      <c r="AB867" s="3">
        <v>8055000</v>
      </c>
      <c r="AC867" s="3">
        <v>0</v>
      </c>
      <c r="AD867" s="3">
        <v>0</v>
      </c>
      <c r="AE867" s="10" t="s">
        <v>317</v>
      </c>
      <c r="AF867" s="10" t="s">
        <v>1465</v>
      </c>
      <c r="AG867" s="10" t="s">
        <v>319</v>
      </c>
    </row>
    <row r="868" spans="1:33" ht="15.75" x14ac:dyDescent="0.25">
      <c r="A868" s="1">
        <v>1157746596028</v>
      </c>
      <c r="B868" s="6">
        <v>7721324318</v>
      </c>
      <c r="C868" s="7" t="s">
        <v>7618</v>
      </c>
      <c r="D868" s="7" t="s">
        <v>7619</v>
      </c>
      <c r="E868" s="6">
        <v>46527959</v>
      </c>
      <c r="F868" s="6">
        <v>45290554000</v>
      </c>
      <c r="G868" s="6">
        <v>16</v>
      </c>
      <c r="H868" s="6">
        <v>12300</v>
      </c>
      <c r="I868" s="6">
        <v>772101001</v>
      </c>
      <c r="J868" s="7" t="s">
        <v>7620</v>
      </c>
      <c r="K868" s="7"/>
      <c r="L868" s="1" t="s">
        <v>7621</v>
      </c>
      <c r="M868" s="7" t="s">
        <v>7622</v>
      </c>
      <c r="N868" s="7" t="s">
        <v>7623</v>
      </c>
      <c r="O868" s="7" t="s">
        <v>7624</v>
      </c>
      <c r="P868" s="8">
        <v>570501490717</v>
      </c>
      <c r="Q868" s="7" t="s">
        <v>41</v>
      </c>
      <c r="R868" s="7" t="s">
        <v>7625</v>
      </c>
      <c r="S868" s="7" t="s">
        <v>7626</v>
      </c>
      <c r="T868" s="7"/>
      <c r="U868" s="7"/>
      <c r="V868" s="1">
        <v>10000</v>
      </c>
      <c r="W868" s="1">
        <v>53156000</v>
      </c>
      <c r="X868" s="1">
        <v>0</v>
      </c>
      <c r="Y868" s="1">
        <v>102000</v>
      </c>
      <c r="Z868" s="1">
        <v>46676000</v>
      </c>
      <c r="AA868" s="1">
        <v>16653000</v>
      </c>
      <c r="AB868" s="1">
        <v>2536000</v>
      </c>
      <c r="AC868" s="1">
        <v>0</v>
      </c>
      <c r="AD868" s="1">
        <v>0</v>
      </c>
      <c r="AE868" s="7" t="s">
        <v>317</v>
      </c>
      <c r="AF868" s="7" t="s">
        <v>1727</v>
      </c>
      <c r="AG868" s="7" t="s">
        <v>319</v>
      </c>
    </row>
    <row r="869" spans="1:33" ht="15.75" x14ac:dyDescent="0.25">
      <c r="A869" s="3">
        <v>1157746762250</v>
      </c>
      <c r="B869" s="9">
        <v>9705046530</v>
      </c>
      <c r="C869" s="10" t="s">
        <v>7627</v>
      </c>
      <c r="D869" s="10" t="s">
        <v>7628</v>
      </c>
      <c r="E869" s="9">
        <v>47558784</v>
      </c>
      <c r="F869" s="9">
        <v>45286560000</v>
      </c>
      <c r="G869" s="9">
        <v>16</v>
      </c>
      <c r="H869" s="9">
        <v>12300</v>
      </c>
      <c r="I869" s="9">
        <v>770501001</v>
      </c>
      <c r="J869" s="10" t="s">
        <v>7629</v>
      </c>
      <c r="K869" s="10"/>
      <c r="L869" s="3" t="s">
        <v>7630</v>
      </c>
      <c r="M869" s="10" t="s">
        <v>7631</v>
      </c>
      <c r="N869" s="10" t="s">
        <v>7632</v>
      </c>
      <c r="O869" s="10" t="s">
        <v>7633</v>
      </c>
      <c r="P869" s="11">
        <v>644004806785</v>
      </c>
      <c r="Q869" s="10" t="s">
        <v>41</v>
      </c>
      <c r="R869" s="10" t="s">
        <v>7634</v>
      </c>
      <c r="S869" s="10" t="s">
        <v>7635</v>
      </c>
      <c r="T869" s="10"/>
      <c r="U869" s="10" t="s">
        <v>7636</v>
      </c>
      <c r="V869" s="3">
        <v>10000</v>
      </c>
      <c r="W869" s="3">
        <v>30928000</v>
      </c>
      <c r="X869" s="3">
        <v>0</v>
      </c>
      <c r="Y869" s="3">
        <v>0</v>
      </c>
      <c r="Z869" s="3">
        <v>176740000</v>
      </c>
      <c r="AA869" s="3">
        <v>8491000</v>
      </c>
      <c r="AB869" s="3">
        <v>27316000</v>
      </c>
      <c r="AC869" s="3">
        <v>0</v>
      </c>
      <c r="AD869" s="3">
        <v>0</v>
      </c>
      <c r="AE869" s="10" t="s">
        <v>317</v>
      </c>
      <c r="AF869" s="10" t="s">
        <v>410</v>
      </c>
      <c r="AG869" s="10" t="s">
        <v>319</v>
      </c>
    </row>
    <row r="870" spans="1:33" ht="15.75" x14ac:dyDescent="0.25">
      <c r="A870" s="1">
        <v>1157746686844</v>
      </c>
      <c r="B870" s="6">
        <v>7728297014</v>
      </c>
      <c r="C870" s="7" t="s">
        <v>7637</v>
      </c>
      <c r="D870" s="7" t="s">
        <v>7638</v>
      </c>
      <c r="E870" s="6">
        <v>46867939</v>
      </c>
      <c r="F870" s="6">
        <v>45290562000</v>
      </c>
      <c r="G870" s="6">
        <v>16</v>
      </c>
      <c r="H870" s="6">
        <v>12300</v>
      </c>
      <c r="I870" s="6">
        <v>772101001</v>
      </c>
      <c r="J870" s="7" t="s">
        <v>7639</v>
      </c>
      <c r="K870" s="7"/>
      <c r="L870" s="1" t="s">
        <v>356</v>
      </c>
      <c r="M870" s="7" t="s">
        <v>357</v>
      </c>
      <c r="N870" s="7" t="s">
        <v>7640</v>
      </c>
      <c r="O870" s="7" t="s">
        <v>7641</v>
      </c>
      <c r="P870" s="8">
        <v>141901348210</v>
      </c>
      <c r="Q870" s="7" t="s">
        <v>41</v>
      </c>
      <c r="R870" s="7" t="s">
        <v>7642</v>
      </c>
      <c r="S870" s="7" t="s">
        <v>7643</v>
      </c>
      <c r="T870" s="7"/>
      <c r="U870" s="7"/>
      <c r="V870" s="1">
        <v>10000</v>
      </c>
      <c r="W870" s="1">
        <v>113849000</v>
      </c>
      <c r="X870" s="1">
        <v>20811000</v>
      </c>
      <c r="Y870" s="1">
        <v>0</v>
      </c>
      <c r="Z870" s="1">
        <v>974000</v>
      </c>
      <c r="AA870" s="1">
        <v>10862000</v>
      </c>
      <c r="AB870" s="1">
        <v>19856000</v>
      </c>
      <c r="AC870" s="1">
        <v>0</v>
      </c>
      <c r="AD870" s="1">
        <v>0</v>
      </c>
      <c r="AE870" s="7" t="s">
        <v>317</v>
      </c>
      <c r="AF870" s="7" t="s">
        <v>318</v>
      </c>
      <c r="AG870" s="7" t="s">
        <v>319</v>
      </c>
    </row>
    <row r="871" spans="1:33" ht="15.75" x14ac:dyDescent="0.25">
      <c r="A871" s="3">
        <v>1157746656022</v>
      </c>
      <c r="B871" s="9">
        <v>7723400677</v>
      </c>
      <c r="C871" s="10" t="s">
        <v>7644</v>
      </c>
      <c r="D871" s="10" t="s">
        <v>7645</v>
      </c>
      <c r="E871" s="9">
        <v>46802495</v>
      </c>
      <c r="F871" s="9">
        <v>45263570000</v>
      </c>
      <c r="G871" s="9">
        <v>16</v>
      </c>
      <c r="H871" s="9">
        <v>12300</v>
      </c>
      <c r="I871" s="9">
        <v>771901001</v>
      </c>
      <c r="J871" s="10" t="s">
        <v>7646</v>
      </c>
      <c r="K871" s="10"/>
      <c r="L871" s="3" t="s">
        <v>565</v>
      </c>
      <c r="M871" s="10" t="s">
        <v>680</v>
      </c>
      <c r="N871" s="10" t="s">
        <v>7647</v>
      </c>
      <c r="O871" s="10" t="s">
        <v>7648</v>
      </c>
      <c r="P871" s="11">
        <v>771773745140</v>
      </c>
      <c r="Q871" s="10" t="s">
        <v>41</v>
      </c>
      <c r="R871" s="10" t="s">
        <v>7649</v>
      </c>
      <c r="S871" s="10" t="s">
        <v>7650</v>
      </c>
      <c r="T871" s="10"/>
      <c r="U871" s="10" t="s">
        <v>7651</v>
      </c>
      <c r="V871" s="3">
        <v>10000</v>
      </c>
      <c r="W871" s="3">
        <v>33924000</v>
      </c>
      <c r="X871" s="3">
        <v>144000</v>
      </c>
      <c r="Y871" s="3">
        <v>0</v>
      </c>
      <c r="Z871" s="3">
        <v>3268000</v>
      </c>
      <c r="AA871" s="3">
        <v>1731000</v>
      </c>
      <c r="AB871" s="3">
        <v>4313000</v>
      </c>
      <c r="AC871" s="3">
        <v>4682000</v>
      </c>
      <c r="AD871" s="3">
        <v>5654000</v>
      </c>
      <c r="AE871" s="10" t="s">
        <v>317</v>
      </c>
      <c r="AF871" s="10" t="s">
        <v>352</v>
      </c>
      <c r="AG871" s="10" t="s">
        <v>319</v>
      </c>
    </row>
    <row r="872" spans="1:33" ht="15.75" x14ac:dyDescent="0.25">
      <c r="A872" s="1">
        <v>1157746743450</v>
      </c>
      <c r="B872" s="6">
        <v>7704326178</v>
      </c>
      <c r="C872" s="7" t="s">
        <v>7652</v>
      </c>
      <c r="D872" s="7" t="s">
        <v>7653</v>
      </c>
      <c r="E872" s="6">
        <v>47352597</v>
      </c>
      <c r="F872" s="6">
        <v>45286590000</v>
      </c>
      <c r="G872" s="6">
        <v>16</v>
      </c>
      <c r="H872" s="6">
        <v>12267</v>
      </c>
      <c r="I872" s="6">
        <v>770401001</v>
      </c>
      <c r="J872" s="7" t="s">
        <v>7654</v>
      </c>
      <c r="K872" s="7"/>
      <c r="L872" s="1" t="s">
        <v>404</v>
      </c>
      <c r="M872" s="7" t="s">
        <v>405</v>
      </c>
      <c r="N872" s="7" t="s">
        <v>7655</v>
      </c>
      <c r="O872" s="7" t="s">
        <v>7656</v>
      </c>
      <c r="P872" s="8">
        <v>561013035727</v>
      </c>
      <c r="Q872" s="7" t="s">
        <v>41</v>
      </c>
      <c r="R872" s="7" t="s">
        <v>7657</v>
      </c>
      <c r="S872" s="7" t="s">
        <v>7658</v>
      </c>
      <c r="T872" s="7"/>
      <c r="U872" s="7"/>
      <c r="V872" s="1">
        <v>10000</v>
      </c>
      <c r="W872" s="1">
        <v>33140000</v>
      </c>
      <c r="X872" s="1">
        <v>168993000</v>
      </c>
      <c r="Y872" s="1">
        <v>13792000</v>
      </c>
      <c r="Z872" s="1">
        <v>32991000</v>
      </c>
      <c r="AA872" s="1">
        <v>7164000</v>
      </c>
      <c r="AB872" s="1">
        <v>3360000</v>
      </c>
      <c r="AC872" s="1">
        <v>0</v>
      </c>
      <c r="AD872" s="1">
        <v>0</v>
      </c>
      <c r="AE872" s="7" t="s">
        <v>317</v>
      </c>
      <c r="AF872" s="7" t="s">
        <v>286</v>
      </c>
      <c r="AG872" s="7" t="s">
        <v>319</v>
      </c>
    </row>
    <row r="873" spans="1:33" ht="15.75" x14ac:dyDescent="0.25">
      <c r="A873" s="3">
        <v>1025007516709</v>
      </c>
      <c r="B873" s="9">
        <v>5074018918</v>
      </c>
      <c r="C873" s="10" t="s">
        <v>7659</v>
      </c>
      <c r="D873" s="10" t="s">
        <v>7660</v>
      </c>
      <c r="E873" s="9">
        <v>53974512</v>
      </c>
      <c r="F873" s="9">
        <v>46460000000</v>
      </c>
      <c r="G873" s="9">
        <v>16</v>
      </c>
      <c r="H873" s="9">
        <v>12300</v>
      </c>
      <c r="I873" s="9">
        <v>507401001</v>
      </c>
      <c r="J873" s="10" t="s">
        <v>7661</v>
      </c>
      <c r="K873" s="10"/>
      <c r="L873" s="3" t="s">
        <v>288</v>
      </c>
      <c r="M873" s="10" t="s">
        <v>289</v>
      </c>
      <c r="N873" s="10" t="s">
        <v>7662</v>
      </c>
      <c r="O873" s="10" t="s">
        <v>7663</v>
      </c>
      <c r="P873" s="11">
        <v>504800307987</v>
      </c>
      <c r="Q873" s="10" t="s">
        <v>150</v>
      </c>
      <c r="R873" s="10" t="s">
        <v>7664</v>
      </c>
      <c r="S873" s="10" t="s">
        <v>7665</v>
      </c>
      <c r="T873" s="10"/>
      <c r="U873" s="10" t="s">
        <v>7666</v>
      </c>
      <c r="V873" s="3">
        <v>10000</v>
      </c>
      <c r="W873" s="3">
        <v>52554000</v>
      </c>
      <c r="X873" s="3">
        <v>3825000</v>
      </c>
      <c r="Y873" s="3">
        <v>0</v>
      </c>
      <c r="Z873" s="3">
        <v>0</v>
      </c>
      <c r="AA873" s="3">
        <v>6133000</v>
      </c>
      <c r="AB873" s="3">
        <v>6906000</v>
      </c>
      <c r="AC873" s="3">
        <v>0</v>
      </c>
      <c r="AD873" s="3">
        <v>0</v>
      </c>
      <c r="AE873" s="10" t="s">
        <v>317</v>
      </c>
      <c r="AF873" s="10" t="s">
        <v>286</v>
      </c>
      <c r="AG873" s="10" t="s">
        <v>319</v>
      </c>
    </row>
    <row r="874" spans="1:33" ht="15.75" x14ac:dyDescent="0.25">
      <c r="A874" s="1">
        <v>1157746632636</v>
      </c>
      <c r="B874" s="6">
        <v>7719418801</v>
      </c>
      <c r="C874" s="7" t="s">
        <v>7667</v>
      </c>
      <c r="D874" s="7" t="s">
        <v>7668</v>
      </c>
      <c r="E874" s="6">
        <v>35267308</v>
      </c>
      <c r="F874" s="6">
        <v>45286555000</v>
      </c>
      <c r="G874" s="6">
        <v>16</v>
      </c>
      <c r="H874" s="6">
        <v>12300</v>
      </c>
      <c r="I874" s="6">
        <v>770101001</v>
      </c>
      <c r="J874" s="7" t="s">
        <v>7669</v>
      </c>
      <c r="K874" s="7"/>
      <c r="L874" s="1" t="s">
        <v>6025</v>
      </c>
      <c r="M874" s="7" t="s">
        <v>6026</v>
      </c>
      <c r="N874" s="7" t="s">
        <v>7670</v>
      </c>
      <c r="O874" s="7" t="s">
        <v>7671</v>
      </c>
      <c r="P874" s="8">
        <v>690140532224</v>
      </c>
      <c r="Q874" s="7" t="s">
        <v>41</v>
      </c>
      <c r="R874" s="7" t="s">
        <v>7672</v>
      </c>
      <c r="S874" s="7" t="s">
        <v>7673</v>
      </c>
      <c r="T874" s="7"/>
      <c r="U874" s="7"/>
      <c r="V874" s="1">
        <v>10000</v>
      </c>
      <c r="W874" s="1">
        <v>47709000</v>
      </c>
      <c r="X874" s="1">
        <v>0</v>
      </c>
      <c r="Y874" s="1">
        <v>0</v>
      </c>
      <c r="Z874" s="1">
        <v>7616000</v>
      </c>
      <c r="AA874" s="1">
        <v>1977000</v>
      </c>
      <c r="AB874" s="1">
        <v>-3117000</v>
      </c>
      <c r="AC874" s="1">
        <v>0</v>
      </c>
      <c r="AD874" s="1">
        <v>0</v>
      </c>
      <c r="AE874" s="7" t="s">
        <v>331</v>
      </c>
      <c r="AF874" s="7" t="s">
        <v>1465</v>
      </c>
      <c r="AG874" s="7" t="s">
        <v>319</v>
      </c>
    </row>
    <row r="875" spans="1:33" ht="15.75" x14ac:dyDescent="0.25">
      <c r="A875" s="3">
        <v>1157746763096</v>
      </c>
      <c r="B875" s="9">
        <v>7713402900</v>
      </c>
      <c r="C875" s="10" t="s">
        <v>7674</v>
      </c>
      <c r="D875" s="10" t="s">
        <v>7675</v>
      </c>
      <c r="E875" s="9">
        <v>47418712</v>
      </c>
      <c r="F875" s="9">
        <v>45277568000</v>
      </c>
      <c r="G875" s="9">
        <v>16</v>
      </c>
      <c r="H875" s="9">
        <v>12300</v>
      </c>
      <c r="I875" s="9">
        <v>771301001</v>
      </c>
      <c r="J875" s="10" t="s">
        <v>7457</v>
      </c>
      <c r="K875" s="10"/>
      <c r="L875" s="3" t="s">
        <v>7564</v>
      </c>
      <c r="M875" s="10" t="s">
        <v>7565</v>
      </c>
      <c r="N875" s="10" t="s">
        <v>7676</v>
      </c>
      <c r="O875" s="10" t="s">
        <v>7677</v>
      </c>
      <c r="P875" s="11">
        <v>770703015389</v>
      </c>
      <c r="Q875" s="10" t="s">
        <v>41</v>
      </c>
      <c r="R875" s="10" t="s">
        <v>7678</v>
      </c>
      <c r="S875" s="10" t="s">
        <v>7679</v>
      </c>
      <c r="T875" s="10"/>
      <c r="U875" s="10" t="s">
        <v>7680</v>
      </c>
      <c r="V875" s="3">
        <v>10000</v>
      </c>
      <c r="W875" s="3">
        <v>91227000</v>
      </c>
      <c r="X875" s="3">
        <v>0</v>
      </c>
      <c r="Y875" s="3">
        <v>17104000</v>
      </c>
      <c r="Z875" s="3">
        <v>4503000</v>
      </c>
      <c r="AA875" s="3">
        <v>1562000</v>
      </c>
      <c r="AB875" s="3">
        <v>5774000</v>
      </c>
      <c r="AC875" s="3">
        <v>0</v>
      </c>
      <c r="AD875" s="3">
        <v>0</v>
      </c>
      <c r="AE875" s="10" t="s">
        <v>317</v>
      </c>
      <c r="AF875" s="10" t="s">
        <v>421</v>
      </c>
      <c r="AG875" s="10" t="s">
        <v>319</v>
      </c>
    </row>
    <row r="876" spans="1:33" ht="15.75" x14ac:dyDescent="0.25">
      <c r="A876" s="3">
        <v>1157746622087</v>
      </c>
      <c r="B876" s="9">
        <v>7720308761</v>
      </c>
      <c r="C876" s="10" t="s">
        <v>7681</v>
      </c>
      <c r="D876" s="10" t="s">
        <v>7682</v>
      </c>
      <c r="E876" s="9">
        <v>27543929</v>
      </c>
      <c r="F876" s="9">
        <v>45286570000</v>
      </c>
      <c r="G876" s="9">
        <v>16</v>
      </c>
      <c r="H876" s="9">
        <v>12300</v>
      </c>
      <c r="I876" s="9">
        <v>770201001</v>
      </c>
      <c r="J876" s="10" t="s">
        <v>7449</v>
      </c>
      <c r="K876" s="10"/>
      <c r="L876" s="3" t="s">
        <v>7683</v>
      </c>
      <c r="M876" s="10" t="s">
        <v>7684</v>
      </c>
      <c r="N876" s="10" t="s">
        <v>7685</v>
      </c>
      <c r="O876" s="10" t="s">
        <v>7686</v>
      </c>
      <c r="P876" s="11">
        <v>500311486588</v>
      </c>
      <c r="Q876" s="10" t="s">
        <v>41</v>
      </c>
      <c r="R876" s="10" t="s">
        <v>7687</v>
      </c>
      <c r="S876" s="10" t="s">
        <v>7688</v>
      </c>
      <c r="T876" s="10"/>
      <c r="U876" s="10"/>
      <c r="V876" s="3">
        <v>10000</v>
      </c>
      <c r="W876" s="3">
        <v>83896000</v>
      </c>
      <c r="X876" s="3">
        <v>270000</v>
      </c>
      <c r="Y876" s="3">
        <v>1000</v>
      </c>
      <c r="Z876" s="3">
        <v>18347000</v>
      </c>
      <c r="AA876" s="3">
        <v>49080000</v>
      </c>
      <c r="AB876" s="3">
        <v>97000</v>
      </c>
      <c r="AC876" s="3">
        <v>0</v>
      </c>
      <c r="AD876" s="3">
        <v>0</v>
      </c>
      <c r="AE876" s="10" t="s">
        <v>317</v>
      </c>
      <c r="AF876" s="10" t="s">
        <v>740</v>
      </c>
      <c r="AG876" s="10" t="s">
        <v>319</v>
      </c>
    </row>
    <row r="877" spans="1:33" ht="15.75" x14ac:dyDescent="0.25">
      <c r="A877" s="1">
        <v>1025006527523</v>
      </c>
      <c r="B877" s="6">
        <v>5050041940</v>
      </c>
      <c r="C877" s="7" t="s">
        <v>7689</v>
      </c>
      <c r="D877" s="7" t="s">
        <v>7690</v>
      </c>
      <c r="E877" s="6">
        <v>13306002</v>
      </c>
      <c r="F877" s="6">
        <v>46488000000</v>
      </c>
      <c r="G877" s="6">
        <v>16</v>
      </c>
      <c r="H877" s="6">
        <v>12300</v>
      </c>
      <c r="I877" s="6">
        <v>505001001</v>
      </c>
      <c r="J877" s="7" t="s">
        <v>6429</v>
      </c>
      <c r="K877" s="7"/>
      <c r="L877" s="1" t="s">
        <v>404</v>
      </c>
      <c r="M877" s="7" t="s">
        <v>405</v>
      </c>
      <c r="N877" s="7" t="s">
        <v>7691</v>
      </c>
      <c r="O877" s="7" t="s">
        <v>7692</v>
      </c>
      <c r="P877" s="8">
        <v>771990479200</v>
      </c>
      <c r="Q877" s="7" t="s">
        <v>41</v>
      </c>
      <c r="R877" s="7" t="s">
        <v>7693</v>
      </c>
      <c r="S877" s="7" t="s">
        <v>7694</v>
      </c>
      <c r="T877" s="7"/>
      <c r="U877" s="7"/>
      <c r="V877" s="1">
        <v>10000</v>
      </c>
      <c r="W877" s="1">
        <v>34521000</v>
      </c>
      <c r="X877" s="1">
        <v>1856000</v>
      </c>
      <c r="Y877" s="1">
        <v>0</v>
      </c>
      <c r="Z877" s="1">
        <v>21384000</v>
      </c>
      <c r="AA877" s="1">
        <v>2159000</v>
      </c>
      <c r="AB877" s="1">
        <v>620000</v>
      </c>
      <c r="AC877" s="1">
        <v>0</v>
      </c>
      <c r="AD877" s="1">
        <v>0</v>
      </c>
      <c r="AE877" s="7" t="s">
        <v>317</v>
      </c>
      <c r="AF877" s="7" t="s">
        <v>352</v>
      </c>
      <c r="AG877" s="7" t="s">
        <v>319</v>
      </c>
    </row>
    <row r="878" spans="1:33" ht="15.75" x14ac:dyDescent="0.25">
      <c r="A878" s="3">
        <v>1157746717754</v>
      </c>
      <c r="B878" s="9">
        <v>7703390477</v>
      </c>
      <c r="C878" s="10" t="s">
        <v>7695</v>
      </c>
      <c r="D878" s="10" t="s">
        <v>7696</v>
      </c>
      <c r="E878" s="9">
        <v>47329173</v>
      </c>
      <c r="F878" s="9">
        <v>45286555000</v>
      </c>
      <c r="G878" s="9">
        <v>16</v>
      </c>
      <c r="H878" s="9">
        <v>12300</v>
      </c>
      <c r="I878" s="9">
        <v>770101001</v>
      </c>
      <c r="J878" s="10" t="s">
        <v>7605</v>
      </c>
      <c r="K878" s="10"/>
      <c r="L878" s="3" t="s">
        <v>7414</v>
      </c>
      <c r="M878" s="10" t="s">
        <v>7415</v>
      </c>
      <c r="N878" s="10" t="s">
        <v>7697</v>
      </c>
      <c r="O878" s="10" t="s">
        <v>7698</v>
      </c>
      <c r="P878" s="11">
        <v>971304785288</v>
      </c>
      <c r="Q878" s="10" t="s">
        <v>41</v>
      </c>
      <c r="R878" s="10" t="s">
        <v>7699</v>
      </c>
      <c r="S878" s="10" t="s">
        <v>7700</v>
      </c>
      <c r="T878" s="10" t="s">
        <v>7701</v>
      </c>
      <c r="U878" s="10"/>
      <c r="V878" s="3">
        <v>10000</v>
      </c>
      <c r="W878" s="3">
        <v>60965000</v>
      </c>
      <c r="X878" s="3">
        <v>0</v>
      </c>
      <c r="Y878" s="3">
        <v>0</v>
      </c>
      <c r="Z878" s="3">
        <v>401059000</v>
      </c>
      <c r="AA878" s="3">
        <v>414881000</v>
      </c>
      <c r="AB878" s="3">
        <v>4641000</v>
      </c>
      <c r="AC878" s="3">
        <v>0</v>
      </c>
      <c r="AD878" s="3">
        <v>0</v>
      </c>
      <c r="AE878" s="10" t="s">
        <v>317</v>
      </c>
      <c r="AF878" s="10" t="s">
        <v>2168</v>
      </c>
      <c r="AG878" s="10" t="s">
        <v>319</v>
      </c>
    </row>
    <row r="879" spans="1:33" ht="15.75" x14ac:dyDescent="0.25">
      <c r="A879" s="1">
        <v>1175022005333</v>
      </c>
      <c r="B879" s="6">
        <v>5011036801</v>
      </c>
      <c r="C879" s="7" t="s">
        <v>7702</v>
      </c>
      <c r="D879" s="7" t="s">
        <v>7703</v>
      </c>
      <c r="E879" s="6">
        <v>19098757</v>
      </c>
      <c r="F879" s="6">
        <v>46422000000</v>
      </c>
      <c r="G879" s="6">
        <v>16</v>
      </c>
      <c r="H879" s="6">
        <v>12300</v>
      </c>
      <c r="I879" s="6">
        <v>501101001</v>
      </c>
      <c r="J879" s="7" t="s">
        <v>7704</v>
      </c>
      <c r="K879" s="7"/>
      <c r="L879" s="1" t="s">
        <v>5774</v>
      </c>
      <c r="M879" s="7" t="s">
        <v>5775</v>
      </c>
      <c r="N879" s="7" t="s">
        <v>7705</v>
      </c>
      <c r="O879" s="7" t="s">
        <v>7706</v>
      </c>
      <c r="P879" s="8">
        <v>501105409318</v>
      </c>
      <c r="Q879" s="7" t="s">
        <v>41</v>
      </c>
      <c r="R879" s="7" t="s">
        <v>7707</v>
      </c>
      <c r="S879" s="7" t="s">
        <v>7708</v>
      </c>
      <c r="T879" s="7"/>
      <c r="U879" s="7"/>
      <c r="V879" s="1">
        <v>10000</v>
      </c>
      <c r="W879" s="1">
        <v>77820000</v>
      </c>
      <c r="X879" s="1">
        <v>11087000</v>
      </c>
      <c r="Y879" s="1">
        <v>956000</v>
      </c>
      <c r="Z879" s="1">
        <v>20798000</v>
      </c>
      <c r="AA879" s="1">
        <v>20386000</v>
      </c>
      <c r="AB879" s="1">
        <v>14169000</v>
      </c>
      <c r="AC879" s="1">
        <v>0</v>
      </c>
      <c r="AD879" s="1">
        <v>0</v>
      </c>
      <c r="AE879" s="7" t="s">
        <v>317</v>
      </c>
      <c r="AF879" s="7" t="s">
        <v>1329</v>
      </c>
      <c r="AG879" s="7" t="s">
        <v>319</v>
      </c>
    </row>
    <row r="880" spans="1:33" ht="15.75" x14ac:dyDescent="0.25">
      <c r="A880" s="3">
        <v>1157746757431</v>
      </c>
      <c r="B880" s="9">
        <v>7733246128</v>
      </c>
      <c r="C880" s="10" t="s">
        <v>7709</v>
      </c>
      <c r="D880" s="10" t="s">
        <v>7710</v>
      </c>
      <c r="E880" s="9">
        <v>47561473</v>
      </c>
      <c r="F880" s="9">
        <v>45283569000</v>
      </c>
      <c r="G880" s="9">
        <v>16</v>
      </c>
      <c r="H880" s="9">
        <v>12300</v>
      </c>
      <c r="I880" s="9">
        <v>773301001</v>
      </c>
      <c r="J880" s="10" t="s">
        <v>7612</v>
      </c>
      <c r="K880" s="10"/>
      <c r="L880" s="3" t="s">
        <v>7711</v>
      </c>
      <c r="M880" s="10" t="s">
        <v>7712</v>
      </c>
      <c r="N880" s="10" t="s">
        <v>7713</v>
      </c>
      <c r="O880" s="10" t="s">
        <v>7714</v>
      </c>
      <c r="P880" s="11">
        <v>773372784989</v>
      </c>
      <c r="Q880" s="10" t="s">
        <v>150</v>
      </c>
      <c r="R880" s="10" t="s">
        <v>7715</v>
      </c>
      <c r="S880" s="10" t="s">
        <v>7716</v>
      </c>
      <c r="T880" s="10"/>
      <c r="U880" s="10" t="s">
        <v>7717</v>
      </c>
      <c r="V880" s="3">
        <v>10000</v>
      </c>
      <c r="W880" s="3">
        <v>50155000</v>
      </c>
      <c r="X880" s="3">
        <v>0</v>
      </c>
      <c r="Y880" s="3">
        <v>646000</v>
      </c>
      <c r="Z880" s="3">
        <v>25727000</v>
      </c>
      <c r="AA880" s="3">
        <v>954000</v>
      </c>
      <c r="AB880" s="3">
        <v>5235000</v>
      </c>
      <c r="AC880" s="3">
        <v>0</v>
      </c>
      <c r="AD880" s="3">
        <v>0</v>
      </c>
      <c r="AE880" s="10" t="s">
        <v>317</v>
      </c>
      <c r="AF880" s="10" t="s">
        <v>1534</v>
      </c>
      <c r="AG880" s="10" t="s">
        <v>319</v>
      </c>
    </row>
    <row r="881" spans="1:33" ht="15.75" x14ac:dyDescent="0.25">
      <c r="A881" s="1">
        <v>1157746603178</v>
      </c>
      <c r="B881" s="6">
        <v>7710498873</v>
      </c>
      <c r="C881" s="7" t="s">
        <v>7718</v>
      </c>
      <c r="D881" s="7" t="s">
        <v>7719</v>
      </c>
      <c r="E881" s="6">
        <v>11553386</v>
      </c>
      <c r="F881" s="6">
        <v>45286585000</v>
      </c>
      <c r="G881" s="6">
        <v>16</v>
      </c>
      <c r="H881" s="6">
        <v>12300</v>
      </c>
      <c r="I881" s="6">
        <v>771001001</v>
      </c>
      <c r="J881" s="7" t="s">
        <v>7720</v>
      </c>
      <c r="K881" s="7"/>
      <c r="L881" s="1" t="s">
        <v>5774</v>
      </c>
      <c r="M881" s="7" t="s">
        <v>5775</v>
      </c>
      <c r="N881" s="7" t="s">
        <v>7721</v>
      </c>
      <c r="O881" s="7" t="s">
        <v>7722</v>
      </c>
      <c r="P881" s="8">
        <v>773603379525</v>
      </c>
      <c r="Q881" s="7" t="s">
        <v>41</v>
      </c>
      <c r="R881" s="7" t="s">
        <v>7723</v>
      </c>
      <c r="S881" s="7" t="s">
        <v>7724</v>
      </c>
      <c r="T881" s="7"/>
      <c r="U881" s="7"/>
      <c r="V881" s="1">
        <v>10000</v>
      </c>
      <c r="W881" s="1">
        <v>47625000</v>
      </c>
      <c r="X881" s="1">
        <v>1860000</v>
      </c>
      <c r="Y881" s="1">
        <v>7129000</v>
      </c>
      <c r="Z881" s="1">
        <v>3715000</v>
      </c>
      <c r="AA881" s="1">
        <v>984000</v>
      </c>
      <c r="AB881" s="1">
        <v>-2639000</v>
      </c>
      <c r="AC881" s="1">
        <v>0</v>
      </c>
      <c r="AD881" s="1">
        <v>0</v>
      </c>
      <c r="AE881" s="7" t="s">
        <v>331</v>
      </c>
      <c r="AF881" s="7" t="s">
        <v>1329</v>
      </c>
      <c r="AG881" s="7" t="s">
        <v>319</v>
      </c>
    </row>
    <row r="882" spans="1:33" ht="15.75" x14ac:dyDescent="0.25">
      <c r="A882" s="3">
        <v>1157746575150</v>
      </c>
      <c r="B882" s="9">
        <v>7719417290</v>
      </c>
      <c r="C882" s="10" t="s">
        <v>7725</v>
      </c>
      <c r="D882" s="10" t="s">
        <v>7726</v>
      </c>
      <c r="E882" s="9">
        <v>46444742</v>
      </c>
      <c r="F882" s="9">
        <v>45263558000</v>
      </c>
      <c r="G882" s="9">
        <v>16</v>
      </c>
      <c r="H882" s="9">
        <v>12300</v>
      </c>
      <c r="I882" s="9">
        <v>771901001</v>
      </c>
      <c r="J882" s="10" t="s">
        <v>7727</v>
      </c>
      <c r="K882" s="10"/>
      <c r="L882" s="3" t="s">
        <v>7728</v>
      </c>
      <c r="M882" s="10" t="s">
        <v>7729</v>
      </c>
      <c r="N882" s="10" t="s">
        <v>7730</v>
      </c>
      <c r="O882" s="10" t="s">
        <v>7731</v>
      </c>
      <c r="P882" s="11">
        <v>773393865484</v>
      </c>
      <c r="Q882" s="10" t="s">
        <v>41</v>
      </c>
      <c r="R882" s="10" t="s">
        <v>7732</v>
      </c>
      <c r="S882" s="10" t="s">
        <v>7733</v>
      </c>
      <c r="T882" s="10"/>
      <c r="U882" s="10" t="s">
        <v>7734</v>
      </c>
      <c r="V882" s="3">
        <v>10000</v>
      </c>
      <c r="W882" s="3">
        <v>173289000</v>
      </c>
      <c r="X882" s="3">
        <v>53000</v>
      </c>
      <c r="Y882" s="3">
        <v>192000</v>
      </c>
      <c r="Z882" s="3">
        <v>60097000</v>
      </c>
      <c r="AA882" s="3">
        <v>55128000</v>
      </c>
      <c r="AB882" s="3">
        <v>34623000</v>
      </c>
      <c r="AC882" s="3">
        <v>0</v>
      </c>
      <c r="AD882" s="3">
        <v>0</v>
      </c>
      <c r="AE882" s="10" t="s">
        <v>317</v>
      </c>
      <c r="AF882" s="10" t="s">
        <v>421</v>
      </c>
      <c r="AG882" s="10" t="s">
        <v>319</v>
      </c>
    </row>
    <row r="883" spans="1:33" ht="15.75" x14ac:dyDescent="0.25">
      <c r="A883" s="1">
        <v>1025007509977</v>
      </c>
      <c r="B883" s="6">
        <v>5074022054</v>
      </c>
      <c r="C883" s="7" t="s">
        <v>7735</v>
      </c>
      <c r="D883" s="7" t="s">
        <v>7736</v>
      </c>
      <c r="E883" s="6">
        <v>59353509</v>
      </c>
      <c r="F883" s="6">
        <v>46460000046</v>
      </c>
      <c r="G883" s="6">
        <v>16</v>
      </c>
      <c r="H883" s="6">
        <v>12300</v>
      </c>
      <c r="I883" s="6">
        <v>507401001</v>
      </c>
      <c r="J883" s="7" t="s">
        <v>7737</v>
      </c>
      <c r="K883" s="7"/>
      <c r="L883" s="1" t="s">
        <v>404</v>
      </c>
      <c r="M883" s="7" t="s">
        <v>405</v>
      </c>
      <c r="N883" s="7" t="s">
        <v>7738</v>
      </c>
      <c r="O883" s="7" t="s">
        <v>7739</v>
      </c>
      <c r="P883" s="8">
        <v>481502402980</v>
      </c>
      <c r="Q883" s="7" t="s">
        <v>150</v>
      </c>
      <c r="R883" s="7" t="s">
        <v>7740</v>
      </c>
      <c r="S883" s="7" t="s">
        <v>7741</v>
      </c>
      <c r="T883" s="7"/>
      <c r="U883" s="7"/>
      <c r="V883" s="1">
        <v>10000</v>
      </c>
      <c r="W883" s="1">
        <v>95951000</v>
      </c>
      <c r="X883" s="1">
        <v>110857000</v>
      </c>
      <c r="Y883" s="1">
        <v>260000</v>
      </c>
      <c r="Z883" s="1">
        <v>14806000</v>
      </c>
      <c r="AA883" s="1">
        <v>3091000</v>
      </c>
      <c r="AB883" s="1">
        <v>64338000</v>
      </c>
      <c r="AC883" s="1">
        <v>0</v>
      </c>
      <c r="AD883" s="1">
        <v>0</v>
      </c>
      <c r="AE883" s="7" t="s">
        <v>317</v>
      </c>
      <c r="AF883" s="7" t="s">
        <v>1534</v>
      </c>
      <c r="AG883" s="7" t="s">
        <v>319</v>
      </c>
    </row>
    <row r="884" spans="1:33" ht="15.75" x14ac:dyDescent="0.25">
      <c r="A884" s="3">
        <v>1157746740140</v>
      </c>
      <c r="B884" s="9">
        <v>7743114875</v>
      </c>
      <c r="C884" s="10" t="s">
        <v>7742</v>
      </c>
      <c r="D884" s="10" t="s">
        <v>7743</v>
      </c>
      <c r="E884" s="9">
        <v>47397430</v>
      </c>
      <c r="F884" s="9">
        <v>45277589000</v>
      </c>
      <c r="G884" s="9">
        <v>16</v>
      </c>
      <c r="H884" s="9">
        <v>12300</v>
      </c>
      <c r="I884" s="9">
        <v>774301001</v>
      </c>
      <c r="J884" s="10" t="s">
        <v>7654</v>
      </c>
      <c r="K884" s="10"/>
      <c r="L884" s="3" t="s">
        <v>5774</v>
      </c>
      <c r="M884" s="10" t="s">
        <v>5775</v>
      </c>
      <c r="N884" s="10" t="s">
        <v>7744</v>
      </c>
      <c r="O884" s="10" t="s">
        <v>7745</v>
      </c>
      <c r="P884" s="11">
        <v>772479586360</v>
      </c>
      <c r="Q884" s="10" t="s">
        <v>41</v>
      </c>
      <c r="R884" s="10" t="s">
        <v>7746</v>
      </c>
      <c r="S884" s="10" t="s">
        <v>7747</v>
      </c>
      <c r="T884" s="10"/>
      <c r="U884" s="10"/>
      <c r="V884" s="3">
        <v>10000</v>
      </c>
      <c r="W884" s="3">
        <v>55897000</v>
      </c>
      <c r="X884" s="3">
        <v>5906000</v>
      </c>
      <c r="Y884" s="3">
        <v>560000</v>
      </c>
      <c r="Z884" s="3">
        <v>1235000</v>
      </c>
      <c r="AA884" s="3">
        <v>1500000</v>
      </c>
      <c r="AB884" s="3">
        <v>9202000</v>
      </c>
      <c r="AC884" s="3">
        <v>0</v>
      </c>
      <c r="AD884" s="3">
        <v>0</v>
      </c>
      <c r="AE884" s="10" t="s">
        <v>317</v>
      </c>
      <c r="AF884" s="10" t="s">
        <v>512</v>
      </c>
      <c r="AG884" s="10" t="s">
        <v>319</v>
      </c>
    </row>
    <row r="885" spans="1:33" ht="15.75" x14ac:dyDescent="0.25">
      <c r="A885" s="1">
        <v>1157746688747</v>
      </c>
      <c r="B885" s="6">
        <v>7723401712</v>
      </c>
      <c r="C885" s="7" t="s">
        <v>7748</v>
      </c>
      <c r="D885" s="7" t="s">
        <v>7749</v>
      </c>
      <c r="E885" s="6">
        <v>46831444</v>
      </c>
      <c r="F885" s="6">
        <v>45296571000</v>
      </c>
      <c r="G885" s="6">
        <v>16</v>
      </c>
      <c r="H885" s="6">
        <v>12300</v>
      </c>
      <c r="I885" s="6">
        <v>772401001</v>
      </c>
      <c r="J885" s="7" t="s">
        <v>7639</v>
      </c>
      <c r="K885" s="7"/>
      <c r="L885" s="1" t="s">
        <v>6025</v>
      </c>
      <c r="M885" s="7" t="s">
        <v>6026</v>
      </c>
      <c r="N885" s="7" t="s">
        <v>7750</v>
      </c>
      <c r="O885" s="7" t="s">
        <v>7751</v>
      </c>
      <c r="P885" s="8">
        <v>331105586039</v>
      </c>
      <c r="Q885" s="7" t="s">
        <v>41</v>
      </c>
      <c r="R885" s="7" t="s">
        <v>7752</v>
      </c>
      <c r="S885" s="7" t="s">
        <v>7753</v>
      </c>
      <c r="T885" s="7"/>
      <c r="U885" s="7"/>
      <c r="V885" s="1">
        <v>10000</v>
      </c>
      <c r="W885" s="1">
        <v>35561000</v>
      </c>
      <c r="X885" s="1">
        <v>0</v>
      </c>
      <c r="Y885" s="1">
        <v>0</v>
      </c>
      <c r="Z885" s="1">
        <v>2464000</v>
      </c>
      <c r="AA885" s="1">
        <v>17921000</v>
      </c>
      <c r="AB885" s="1">
        <v>-6245000</v>
      </c>
      <c r="AC885" s="1">
        <v>0</v>
      </c>
      <c r="AD885" s="1">
        <v>0</v>
      </c>
      <c r="AE885" s="7" t="s">
        <v>317</v>
      </c>
      <c r="AF885" s="7" t="s">
        <v>410</v>
      </c>
      <c r="AG885" s="7" t="s">
        <v>319</v>
      </c>
    </row>
    <row r="886" spans="1:33" ht="15.75" x14ac:dyDescent="0.25">
      <c r="A886" s="3">
        <v>1025007459641</v>
      </c>
      <c r="B886" s="9">
        <v>5073005137</v>
      </c>
      <c r="C886" s="10" t="s">
        <v>7754</v>
      </c>
      <c r="D886" s="10" t="s">
        <v>7755</v>
      </c>
      <c r="E886" s="9">
        <v>48806787</v>
      </c>
      <c r="F886" s="9">
        <v>46457000356</v>
      </c>
      <c r="G886" s="9">
        <v>16</v>
      </c>
      <c r="H886" s="9">
        <v>12300</v>
      </c>
      <c r="I886" s="9">
        <v>507301001</v>
      </c>
      <c r="J886" s="10" t="s">
        <v>7756</v>
      </c>
      <c r="K886" s="10"/>
      <c r="L886" s="3" t="s">
        <v>7149</v>
      </c>
      <c r="M886" s="10" t="s">
        <v>7150</v>
      </c>
      <c r="N886" s="10" t="s">
        <v>7757</v>
      </c>
      <c r="O886" s="10" t="s">
        <v>7758</v>
      </c>
      <c r="P886" s="11">
        <v>507300132205</v>
      </c>
      <c r="Q886" s="10" t="s">
        <v>150</v>
      </c>
      <c r="R886" s="10" t="s">
        <v>7759</v>
      </c>
      <c r="S886" s="10" t="s">
        <v>7760</v>
      </c>
      <c r="T886" s="10"/>
      <c r="U886" s="10" t="s">
        <v>7761</v>
      </c>
      <c r="V886" s="3">
        <v>10000</v>
      </c>
      <c r="W886" s="3">
        <v>42296000</v>
      </c>
      <c r="X886" s="3">
        <v>7812000</v>
      </c>
      <c r="Y886" s="3">
        <v>0</v>
      </c>
      <c r="Z886" s="3">
        <v>216000</v>
      </c>
      <c r="AA886" s="3">
        <v>2680000</v>
      </c>
      <c r="AB886" s="3">
        <v>7446000</v>
      </c>
      <c r="AC886" s="3">
        <v>0</v>
      </c>
      <c r="AD886" s="3">
        <v>0</v>
      </c>
      <c r="AE886" s="10" t="s">
        <v>317</v>
      </c>
      <c r="AF886" s="10" t="s">
        <v>740</v>
      </c>
      <c r="AG886" s="10" t="s">
        <v>319</v>
      </c>
    </row>
    <row r="887" spans="1:33" ht="15.75" x14ac:dyDescent="0.25">
      <c r="A887" s="3">
        <v>1175027004460</v>
      </c>
      <c r="B887" s="9">
        <v>5040147055</v>
      </c>
      <c r="C887" s="10" t="s">
        <v>7762</v>
      </c>
      <c r="D887" s="10" t="s">
        <v>7763</v>
      </c>
      <c r="E887" s="9">
        <v>6855553</v>
      </c>
      <c r="F887" s="9">
        <v>46468000000</v>
      </c>
      <c r="G887" s="9">
        <v>16</v>
      </c>
      <c r="H887" s="9">
        <v>12300</v>
      </c>
      <c r="I887" s="9">
        <v>504001001</v>
      </c>
      <c r="J887" s="10" t="s">
        <v>7764</v>
      </c>
      <c r="K887" s="10"/>
      <c r="L887" s="3" t="s">
        <v>5774</v>
      </c>
      <c r="M887" s="10" t="s">
        <v>5775</v>
      </c>
      <c r="N887" s="10" t="s">
        <v>7765</v>
      </c>
      <c r="O887" s="10" t="s">
        <v>7766</v>
      </c>
      <c r="P887" s="11">
        <v>504005935721</v>
      </c>
      <c r="Q887" s="10" t="s">
        <v>41</v>
      </c>
      <c r="R887" s="10" t="s">
        <v>7767</v>
      </c>
      <c r="S887" s="10" t="s">
        <v>7768</v>
      </c>
      <c r="T887" s="10"/>
      <c r="U887" s="10" t="s">
        <v>7769</v>
      </c>
      <c r="V887" s="3">
        <v>10000</v>
      </c>
      <c r="W887" s="3">
        <v>76406000</v>
      </c>
      <c r="X887" s="3">
        <v>1853000</v>
      </c>
      <c r="Y887" s="3">
        <v>12873000</v>
      </c>
      <c r="Z887" s="3">
        <v>4012000</v>
      </c>
      <c r="AA887" s="3">
        <v>1869000</v>
      </c>
      <c r="AB887" s="3">
        <v>2893000</v>
      </c>
      <c r="AC887" s="3">
        <v>0</v>
      </c>
      <c r="AD887" s="3">
        <v>0</v>
      </c>
      <c r="AE887" s="10" t="s">
        <v>317</v>
      </c>
      <c r="AF887" s="10" t="s">
        <v>1329</v>
      </c>
      <c r="AG887" s="10" t="s">
        <v>319</v>
      </c>
    </row>
    <row r="888" spans="1:33" ht="15.75" x14ac:dyDescent="0.25">
      <c r="A888" s="1">
        <v>1175027020134</v>
      </c>
      <c r="B888" s="6">
        <v>5027255196</v>
      </c>
      <c r="C888" s="7" t="s">
        <v>7770</v>
      </c>
      <c r="D888" s="7" t="s">
        <v>7771</v>
      </c>
      <c r="E888" s="6">
        <v>19098289</v>
      </c>
      <c r="F888" s="6">
        <v>46448566000</v>
      </c>
      <c r="G888" s="6">
        <v>16</v>
      </c>
      <c r="H888" s="6">
        <v>12300</v>
      </c>
      <c r="I888" s="6">
        <v>502701001</v>
      </c>
      <c r="J888" s="7" t="s">
        <v>7772</v>
      </c>
      <c r="K888" s="7"/>
      <c r="L888" s="1" t="s">
        <v>6935</v>
      </c>
      <c r="M888" s="7" t="s">
        <v>6936</v>
      </c>
      <c r="N888" s="7" t="s">
        <v>7773</v>
      </c>
      <c r="O888" s="7" t="s">
        <v>7774</v>
      </c>
      <c r="P888" s="8">
        <v>502771244630</v>
      </c>
      <c r="Q888" s="7" t="s">
        <v>41</v>
      </c>
      <c r="R888" s="7" t="s">
        <v>7775</v>
      </c>
      <c r="S888" s="7" t="s">
        <v>7776</v>
      </c>
      <c r="T888" s="7"/>
      <c r="U888" s="7"/>
      <c r="V888" s="1">
        <v>10000</v>
      </c>
      <c r="W888" s="1">
        <v>63021000</v>
      </c>
      <c r="X888" s="1">
        <v>67624000</v>
      </c>
      <c r="Y888" s="1">
        <v>765000</v>
      </c>
      <c r="Z888" s="1">
        <v>310000</v>
      </c>
      <c r="AA888" s="1">
        <v>2441000</v>
      </c>
      <c r="AB888" s="1">
        <v>-12492000</v>
      </c>
      <c r="AC888" s="1">
        <v>0</v>
      </c>
      <c r="AD888" s="1">
        <v>0</v>
      </c>
      <c r="AE888" s="7" t="s">
        <v>317</v>
      </c>
      <c r="AF888" s="7" t="s">
        <v>318</v>
      </c>
      <c r="AG888" s="7" t="s">
        <v>319</v>
      </c>
    </row>
    <row r="889" spans="1:33" ht="15.75" x14ac:dyDescent="0.25">
      <c r="A889" s="3">
        <v>1025006466649</v>
      </c>
      <c r="B889" s="9">
        <v>5049011771</v>
      </c>
      <c r="C889" s="10" t="s">
        <v>7777</v>
      </c>
      <c r="D889" s="10" t="s">
        <v>7778</v>
      </c>
      <c r="E889" s="9">
        <v>53109151</v>
      </c>
      <c r="F889" s="9">
        <v>46486000000</v>
      </c>
      <c r="G889" s="9">
        <v>41</v>
      </c>
      <c r="H889" s="9">
        <v>12300</v>
      </c>
      <c r="I889" s="9">
        <v>504901001</v>
      </c>
      <c r="J889" s="10" t="s">
        <v>7779</v>
      </c>
      <c r="K889" s="10"/>
      <c r="L889" s="3" t="s">
        <v>7780</v>
      </c>
      <c r="M889" s="10" t="s">
        <v>7781</v>
      </c>
      <c r="N889" s="10" t="s">
        <v>7782</v>
      </c>
      <c r="O889" s="10" t="s">
        <v>7783</v>
      </c>
      <c r="P889" s="11">
        <v>504900637146</v>
      </c>
      <c r="Q889" s="10" t="s">
        <v>340</v>
      </c>
      <c r="R889" s="10" t="s">
        <v>7784</v>
      </c>
      <c r="S889" s="10" t="s">
        <v>7785</v>
      </c>
      <c r="T889" s="10"/>
      <c r="U889" s="10" t="s">
        <v>7786</v>
      </c>
      <c r="V889" s="3">
        <v>10000</v>
      </c>
      <c r="W889" s="3">
        <v>44188000</v>
      </c>
      <c r="X889" s="3">
        <v>3101000</v>
      </c>
      <c r="Y889" s="3">
        <v>867000</v>
      </c>
      <c r="Z889" s="3">
        <v>4150000</v>
      </c>
      <c r="AA889" s="3">
        <v>1121000</v>
      </c>
      <c r="AB889" s="3">
        <v>10359000</v>
      </c>
      <c r="AC889" s="3">
        <v>0</v>
      </c>
      <c r="AD889" s="3">
        <v>0</v>
      </c>
      <c r="AE889" s="10" t="s">
        <v>317</v>
      </c>
      <c r="AF889" s="10" t="s">
        <v>1727</v>
      </c>
      <c r="AG889" s="10" t="s">
        <v>319</v>
      </c>
    </row>
    <row r="890" spans="1:33" ht="15.75" x14ac:dyDescent="0.25">
      <c r="A890" s="1">
        <v>1157746692950</v>
      </c>
      <c r="B890" s="6">
        <v>7736249857</v>
      </c>
      <c r="C890" s="7" t="s">
        <v>7787</v>
      </c>
      <c r="D890" s="7" t="s">
        <v>7788</v>
      </c>
      <c r="E890" s="6">
        <v>47235118</v>
      </c>
      <c r="F890" s="6">
        <v>45293574000</v>
      </c>
      <c r="G890" s="6">
        <v>16</v>
      </c>
      <c r="H890" s="6">
        <v>12300</v>
      </c>
      <c r="I890" s="6">
        <v>773601001</v>
      </c>
      <c r="J890" s="7" t="s">
        <v>7789</v>
      </c>
      <c r="K890" s="7"/>
      <c r="L890" s="1" t="s">
        <v>1800</v>
      </c>
      <c r="M890" s="7" t="s">
        <v>1801</v>
      </c>
      <c r="N890" s="7" t="s">
        <v>7790</v>
      </c>
      <c r="O890" s="7" t="s">
        <v>7791</v>
      </c>
      <c r="P890" s="8">
        <v>501210935870</v>
      </c>
      <c r="Q890" s="7" t="s">
        <v>41</v>
      </c>
      <c r="R890" s="7" t="s">
        <v>7792</v>
      </c>
      <c r="S890" s="7" t="s">
        <v>7793</v>
      </c>
      <c r="T890" s="7"/>
      <c r="U890" s="7"/>
      <c r="V890" s="1">
        <v>10000</v>
      </c>
      <c r="W890" s="1">
        <v>105598000</v>
      </c>
      <c r="X890" s="1">
        <v>2842000</v>
      </c>
      <c r="Y890" s="1">
        <v>1361000</v>
      </c>
      <c r="Z890" s="1">
        <v>18410000</v>
      </c>
      <c r="AA890" s="1">
        <v>4534000</v>
      </c>
      <c r="AB890" s="1">
        <v>10400000</v>
      </c>
      <c r="AC890" s="1">
        <v>0</v>
      </c>
      <c r="AD890" s="1">
        <v>0</v>
      </c>
      <c r="AE890" s="7" t="s">
        <v>317</v>
      </c>
      <c r="AF890" s="7" t="s">
        <v>84</v>
      </c>
      <c r="AG890" s="7" t="s">
        <v>319</v>
      </c>
    </row>
    <row r="891" spans="1:33" ht="15.75" x14ac:dyDescent="0.25">
      <c r="A891" s="3">
        <v>1157746728732</v>
      </c>
      <c r="B891" s="9">
        <v>9705045857</v>
      </c>
      <c r="C891" s="10" t="s">
        <v>7794</v>
      </c>
      <c r="D891" s="10" t="s">
        <v>7795</v>
      </c>
      <c r="E891" s="9">
        <v>47342374</v>
      </c>
      <c r="F891" s="9">
        <v>45286585000</v>
      </c>
      <c r="G891" s="9">
        <v>16</v>
      </c>
      <c r="H891" s="9">
        <v>12300</v>
      </c>
      <c r="I891" s="9">
        <v>771001001</v>
      </c>
      <c r="J891" s="10" t="s">
        <v>7796</v>
      </c>
      <c r="K891" s="10"/>
      <c r="L891" s="3" t="s">
        <v>7797</v>
      </c>
      <c r="M891" s="10" t="s">
        <v>7798</v>
      </c>
      <c r="N891" s="10" t="s">
        <v>7799</v>
      </c>
      <c r="O891" s="10" t="s">
        <v>7800</v>
      </c>
      <c r="P891" s="11">
        <v>771905792534</v>
      </c>
      <c r="Q891" s="10" t="s">
        <v>41</v>
      </c>
      <c r="R891" s="10" t="s">
        <v>7801</v>
      </c>
      <c r="S891" s="10" t="s">
        <v>7802</v>
      </c>
      <c r="T891" s="10"/>
      <c r="U891" s="10" t="s">
        <v>7803</v>
      </c>
      <c r="V891" s="3">
        <v>10000</v>
      </c>
      <c r="W891" s="3">
        <v>39413000</v>
      </c>
      <c r="X891" s="3">
        <v>0</v>
      </c>
      <c r="Y891" s="3">
        <v>0</v>
      </c>
      <c r="Z891" s="3">
        <v>490000</v>
      </c>
      <c r="AA891" s="3">
        <v>347000</v>
      </c>
      <c r="AB891" s="3">
        <v>3437000</v>
      </c>
      <c r="AC891" s="3">
        <v>0</v>
      </c>
      <c r="AD891" s="3">
        <v>0</v>
      </c>
      <c r="AE891" s="10" t="s">
        <v>317</v>
      </c>
      <c r="AF891" s="10" t="s">
        <v>421</v>
      </c>
      <c r="AG891" s="10" t="s">
        <v>319</v>
      </c>
    </row>
    <row r="892" spans="1:33" ht="15.75" x14ac:dyDescent="0.25">
      <c r="A892" s="1">
        <v>1157746754296</v>
      </c>
      <c r="B892" s="6">
        <v>7743115526</v>
      </c>
      <c r="C892" s="7" t="s">
        <v>7804</v>
      </c>
      <c r="D892" s="7" t="s">
        <v>7805</v>
      </c>
      <c r="E892" s="6">
        <v>47416274</v>
      </c>
      <c r="F892" s="6">
        <v>45268595000</v>
      </c>
      <c r="G892" s="6">
        <v>16</v>
      </c>
      <c r="H892" s="6">
        <v>12300</v>
      </c>
      <c r="I892" s="6">
        <v>773001001</v>
      </c>
      <c r="J892" s="7" t="s">
        <v>7612</v>
      </c>
      <c r="K892" s="7"/>
      <c r="L892" s="1" t="s">
        <v>367</v>
      </c>
      <c r="M892" s="7" t="s">
        <v>368</v>
      </c>
      <c r="N892" s="7" t="s">
        <v>7806</v>
      </c>
      <c r="O892" s="7" t="s">
        <v>7807</v>
      </c>
      <c r="P892" s="8">
        <v>773373389653</v>
      </c>
      <c r="Q892" s="7" t="s">
        <v>41</v>
      </c>
      <c r="R892" s="7" t="s">
        <v>7808</v>
      </c>
      <c r="S892" s="7" t="s">
        <v>7809</v>
      </c>
      <c r="T892" s="7"/>
      <c r="U892" s="7" t="s">
        <v>7810</v>
      </c>
      <c r="V892" s="1">
        <v>10000</v>
      </c>
      <c r="W892" s="1">
        <v>49401000</v>
      </c>
      <c r="X892" s="1">
        <v>0</v>
      </c>
      <c r="Y892" s="1">
        <v>236000</v>
      </c>
      <c r="Z892" s="1">
        <v>6397000</v>
      </c>
      <c r="AA892" s="1">
        <v>9159000</v>
      </c>
      <c r="AB892" s="1">
        <v>-2211000</v>
      </c>
      <c r="AC892" s="1">
        <v>0</v>
      </c>
      <c r="AD892" s="1">
        <v>0</v>
      </c>
      <c r="AE892" s="7" t="s">
        <v>331</v>
      </c>
      <c r="AF892" s="7" t="s">
        <v>512</v>
      </c>
      <c r="AG892" s="7" t="s">
        <v>319</v>
      </c>
    </row>
    <row r="893" spans="1:33" ht="15.75" x14ac:dyDescent="0.25">
      <c r="A893" s="3">
        <v>1157746604950</v>
      </c>
      <c r="B893" s="9">
        <v>7714345973</v>
      </c>
      <c r="C893" s="10" t="s">
        <v>7811</v>
      </c>
      <c r="D893" s="10" t="s">
        <v>7812</v>
      </c>
      <c r="E893" s="9">
        <v>46514661</v>
      </c>
      <c r="F893" s="9">
        <v>45277598000</v>
      </c>
      <c r="G893" s="9">
        <v>16</v>
      </c>
      <c r="H893" s="9">
        <v>12300</v>
      </c>
      <c r="I893" s="9">
        <v>771401001</v>
      </c>
      <c r="J893" s="10" t="s">
        <v>7720</v>
      </c>
      <c r="K893" s="10"/>
      <c r="L893" s="3" t="s">
        <v>7813</v>
      </c>
      <c r="M893" s="10" t="s">
        <v>7814</v>
      </c>
      <c r="N893" s="10" t="s">
        <v>7815</v>
      </c>
      <c r="O893" s="10" t="s">
        <v>7816</v>
      </c>
      <c r="P893" s="11">
        <v>503800463215</v>
      </c>
      <c r="Q893" s="10" t="s">
        <v>41</v>
      </c>
      <c r="R893" s="10" t="s">
        <v>7817</v>
      </c>
      <c r="S893" s="10" t="s">
        <v>7818</v>
      </c>
      <c r="T893" s="10" t="s">
        <v>7819</v>
      </c>
      <c r="U893" s="10"/>
      <c r="V893" s="3">
        <v>10000</v>
      </c>
      <c r="W893" s="3">
        <v>91967000</v>
      </c>
      <c r="X893" s="3">
        <v>1016000</v>
      </c>
      <c r="Y893" s="3">
        <v>0</v>
      </c>
      <c r="Z893" s="3">
        <v>17220000</v>
      </c>
      <c r="AA893" s="3">
        <v>2307000</v>
      </c>
      <c r="AB893" s="3">
        <v>12357000</v>
      </c>
      <c r="AC893" s="3">
        <v>0</v>
      </c>
      <c r="AD893" s="3">
        <v>0</v>
      </c>
      <c r="AE893" s="10" t="s">
        <v>317</v>
      </c>
      <c r="AF893" s="10" t="s">
        <v>1534</v>
      </c>
      <c r="AG893" s="10" t="s">
        <v>319</v>
      </c>
    </row>
    <row r="894" spans="1:33" ht="15.75" x14ac:dyDescent="0.25">
      <c r="A894" s="1">
        <v>1157746679870</v>
      </c>
      <c r="B894" s="6">
        <v>7733242660</v>
      </c>
      <c r="C894" s="7" t="s">
        <v>7820</v>
      </c>
      <c r="D894" s="7" t="s">
        <v>7821</v>
      </c>
      <c r="E894" s="6">
        <v>46845623</v>
      </c>
      <c r="F894" s="6">
        <v>45283555000</v>
      </c>
      <c r="G894" s="6">
        <v>16</v>
      </c>
      <c r="H894" s="6">
        <v>12300</v>
      </c>
      <c r="I894" s="6">
        <v>773301001</v>
      </c>
      <c r="J894" s="7" t="s">
        <v>7441</v>
      </c>
      <c r="K894" s="7"/>
      <c r="L894" s="1" t="s">
        <v>3081</v>
      </c>
      <c r="M894" s="7" t="s">
        <v>3082</v>
      </c>
      <c r="N894" s="7" t="s">
        <v>7822</v>
      </c>
      <c r="O894" s="7" t="s">
        <v>7823</v>
      </c>
      <c r="P894" s="8">
        <v>773311750559</v>
      </c>
      <c r="Q894" s="7" t="s">
        <v>41</v>
      </c>
      <c r="R894" s="7" t="s">
        <v>7824</v>
      </c>
      <c r="S894" s="7" t="s">
        <v>7825</v>
      </c>
      <c r="T894" s="7"/>
      <c r="U894" s="7"/>
      <c r="V894" s="1">
        <v>10000</v>
      </c>
      <c r="W894" s="1">
        <v>37941000</v>
      </c>
      <c r="X894" s="1">
        <v>0</v>
      </c>
      <c r="Y894" s="1">
        <v>3327000</v>
      </c>
      <c r="Z894" s="1">
        <v>7722000</v>
      </c>
      <c r="AA894" s="1">
        <v>2533000</v>
      </c>
      <c r="AB894" s="1">
        <v>619000</v>
      </c>
      <c r="AC894" s="1">
        <v>0</v>
      </c>
      <c r="AD894" s="1">
        <v>0</v>
      </c>
      <c r="AE894" s="7" t="s">
        <v>317</v>
      </c>
      <c r="AF894" s="7" t="s">
        <v>318</v>
      </c>
      <c r="AG894" s="7" t="s">
        <v>319</v>
      </c>
    </row>
    <row r="895" spans="1:33" ht="15.75" x14ac:dyDescent="0.25">
      <c r="A895" s="3">
        <v>1107746151590</v>
      </c>
      <c r="B895" s="9">
        <v>7705911132</v>
      </c>
      <c r="C895" s="10" t="s">
        <v>7826</v>
      </c>
      <c r="D895" s="10" t="s">
        <v>7827</v>
      </c>
      <c r="E895" s="9">
        <v>65274949</v>
      </c>
      <c r="F895" s="9">
        <v>45296559000</v>
      </c>
      <c r="G895" s="9">
        <v>16</v>
      </c>
      <c r="H895" s="9">
        <v>12300</v>
      </c>
      <c r="I895" s="9">
        <v>772501001</v>
      </c>
      <c r="J895" s="10" t="s">
        <v>7828</v>
      </c>
      <c r="K895" s="10"/>
      <c r="L895" s="3" t="s">
        <v>7014</v>
      </c>
      <c r="M895" s="10" t="s">
        <v>7015</v>
      </c>
      <c r="N895" s="10" t="s">
        <v>7829</v>
      </c>
      <c r="O895" s="10" t="s">
        <v>7830</v>
      </c>
      <c r="P895" s="11">
        <v>771671157686</v>
      </c>
      <c r="Q895" s="10" t="s">
        <v>41</v>
      </c>
      <c r="R895" s="10" t="s">
        <v>7831</v>
      </c>
      <c r="S895" s="10" t="s">
        <v>7832</v>
      </c>
      <c r="T895" s="10"/>
      <c r="U895" s="10" t="s">
        <v>7833</v>
      </c>
      <c r="V895" s="3">
        <v>10000</v>
      </c>
      <c r="W895" s="3">
        <v>53115000</v>
      </c>
      <c r="X895" s="3">
        <v>415000</v>
      </c>
      <c r="Y895" s="3">
        <v>0</v>
      </c>
      <c r="Z895" s="3">
        <v>6613000</v>
      </c>
      <c r="AA895" s="3">
        <v>13231000</v>
      </c>
      <c r="AB895" s="3">
        <v>-4566000</v>
      </c>
      <c r="AC895" s="3">
        <v>0</v>
      </c>
      <c r="AD895" s="3">
        <v>0</v>
      </c>
      <c r="AE895" s="10" t="s">
        <v>317</v>
      </c>
      <c r="AF895" s="10" t="s">
        <v>461</v>
      </c>
      <c r="AG895" s="10" t="s">
        <v>319</v>
      </c>
    </row>
    <row r="896" spans="1:33" ht="15.75" x14ac:dyDescent="0.25">
      <c r="A896" s="1">
        <v>1187746431982</v>
      </c>
      <c r="B896" s="6">
        <v>7722456363</v>
      </c>
      <c r="C896" s="7" t="s">
        <v>7834</v>
      </c>
      <c r="D896" s="7" t="s">
        <v>7835</v>
      </c>
      <c r="E896" s="6">
        <v>28374021</v>
      </c>
      <c r="F896" s="6">
        <v>45296579000</v>
      </c>
      <c r="G896" s="6">
        <v>24</v>
      </c>
      <c r="H896" s="6">
        <v>12300</v>
      </c>
      <c r="I896" s="6">
        <v>772401001</v>
      </c>
      <c r="J896" s="7" t="s">
        <v>7836</v>
      </c>
      <c r="K896" s="7"/>
      <c r="L896" s="1" t="s">
        <v>1800</v>
      </c>
      <c r="M896" s="7" t="s">
        <v>1801</v>
      </c>
      <c r="N896" s="7" t="s">
        <v>7837</v>
      </c>
      <c r="O896" s="7" t="s">
        <v>7838</v>
      </c>
      <c r="P896" s="8">
        <v>773431790306</v>
      </c>
      <c r="Q896" s="7" t="s">
        <v>41</v>
      </c>
      <c r="R896" s="7" t="s">
        <v>7839</v>
      </c>
      <c r="S896" s="7" t="s">
        <v>7840</v>
      </c>
      <c r="T896" s="7"/>
      <c r="U896" s="7"/>
      <c r="V896" s="1">
        <v>10000</v>
      </c>
      <c r="W896" s="1">
        <v>57952000</v>
      </c>
      <c r="X896" s="1">
        <v>0</v>
      </c>
      <c r="Y896" s="1">
        <v>4147000</v>
      </c>
      <c r="Z896" s="1">
        <v>44000</v>
      </c>
      <c r="AA896" s="1">
        <v>6998000</v>
      </c>
      <c r="AB896" s="1">
        <v>-791000</v>
      </c>
      <c r="AC896" s="1">
        <v>0</v>
      </c>
      <c r="AD896" s="1">
        <v>0</v>
      </c>
      <c r="AE896" s="7" t="s">
        <v>317</v>
      </c>
      <c r="AF896" s="7" t="s">
        <v>421</v>
      </c>
      <c r="AG896" s="7" t="s">
        <v>319</v>
      </c>
    </row>
    <row r="897" spans="1:33" ht="15.75" x14ac:dyDescent="0.25">
      <c r="A897" s="3">
        <v>1107746076778</v>
      </c>
      <c r="B897" s="9">
        <v>7722708483</v>
      </c>
      <c r="C897" s="10" t="s">
        <v>7841</v>
      </c>
      <c r="D897" s="10" t="s">
        <v>7842</v>
      </c>
      <c r="E897" s="9">
        <v>65190218</v>
      </c>
      <c r="F897" s="9">
        <v>45286552000</v>
      </c>
      <c r="G897" s="9">
        <v>16</v>
      </c>
      <c r="H897" s="9">
        <v>12300</v>
      </c>
      <c r="I897" s="9">
        <v>770401001</v>
      </c>
      <c r="J897" s="10" t="s">
        <v>7843</v>
      </c>
      <c r="K897" s="10"/>
      <c r="L897" s="3" t="s">
        <v>1072</v>
      </c>
      <c r="M897" s="10" t="s">
        <v>1073</v>
      </c>
      <c r="N897" s="10" t="s">
        <v>7844</v>
      </c>
      <c r="O897" s="10" t="s">
        <v>7845</v>
      </c>
      <c r="P897" s="11">
        <v>701703769753</v>
      </c>
      <c r="Q897" s="10" t="s">
        <v>41</v>
      </c>
      <c r="R897" s="10" t="s">
        <v>7846</v>
      </c>
      <c r="S897" s="10" t="s">
        <v>7847</v>
      </c>
      <c r="T897" s="10"/>
      <c r="U897" s="10" t="s">
        <v>7848</v>
      </c>
      <c r="V897" s="3">
        <v>10000</v>
      </c>
      <c r="W897" s="3">
        <v>123954000</v>
      </c>
      <c r="X897" s="3">
        <v>2573000</v>
      </c>
      <c r="Y897" s="3">
        <v>333000</v>
      </c>
      <c r="Z897" s="3">
        <v>27833000</v>
      </c>
      <c r="AA897" s="3">
        <v>20629000</v>
      </c>
      <c r="AB897" s="3">
        <v>1715000</v>
      </c>
      <c r="AC897" s="3">
        <v>-3431000</v>
      </c>
      <c r="AD897" s="3">
        <v>1715000</v>
      </c>
      <c r="AE897" s="10" t="s">
        <v>331</v>
      </c>
      <c r="AF897" s="10" t="s">
        <v>345</v>
      </c>
      <c r="AG897" s="10" t="s">
        <v>319</v>
      </c>
    </row>
    <row r="898" spans="1:33" ht="15.75" x14ac:dyDescent="0.25">
      <c r="A898" s="1">
        <v>1157746742251</v>
      </c>
      <c r="B898" s="6">
        <v>9701005035</v>
      </c>
      <c r="C898" s="7" t="s">
        <v>7849</v>
      </c>
      <c r="D898" s="7" t="s">
        <v>7850</v>
      </c>
      <c r="E898" s="6">
        <v>47360881</v>
      </c>
      <c r="F898" s="6">
        <v>45286575000</v>
      </c>
      <c r="G898" s="6">
        <v>16</v>
      </c>
      <c r="H898" s="6">
        <v>12300</v>
      </c>
      <c r="I898" s="6">
        <v>770301001</v>
      </c>
      <c r="J898" s="7" t="s">
        <v>7654</v>
      </c>
      <c r="K898" s="7"/>
      <c r="L898" s="1" t="s">
        <v>7851</v>
      </c>
      <c r="M898" s="7" t="s">
        <v>7852</v>
      </c>
      <c r="N898" s="7" t="s">
        <v>7853</v>
      </c>
      <c r="O898" s="7" t="s">
        <v>7854</v>
      </c>
      <c r="P898" s="8">
        <v>770370460704</v>
      </c>
      <c r="Q898" s="7" t="s">
        <v>41</v>
      </c>
      <c r="R898" s="7" t="s">
        <v>7855</v>
      </c>
      <c r="S898" s="7" t="s">
        <v>7856</v>
      </c>
      <c r="T898" s="7"/>
      <c r="U898" s="7" t="s">
        <v>7857</v>
      </c>
      <c r="V898" s="1">
        <v>10000</v>
      </c>
      <c r="W898" s="1">
        <v>58075000</v>
      </c>
      <c r="X898" s="1">
        <v>5579000</v>
      </c>
      <c r="Y898" s="1">
        <v>2189000</v>
      </c>
      <c r="Z898" s="1">
        <v>7705000</v>
      </c>
      <c r="AA898" s="1">
        <v>5197000</v>
      </c>
      <c r="AB898" s="1">
        <v>2511000</v>
      </c>
      <c r="AC898" s="1">
        <v>0</v>
      </c>
      <c r="AD898" s="1">
        <v>0</v>
      </c>
      <c r="AE898" s="7" t="s">
        <v>317</v>
      </c>
      <c r="AF898" s="7" t="s">
        <v>461</v>
      </c>
      <c r="AG898" s="7" t="s">
        <v>319</v>
      </c>
    </row>
    <row r="899" spans="1:33" ht="15.75" x14ac:dyDescent="0.25">
      <c r="A899" s="3">
        <v>1157746572940</v>
      </c>
      <c r="B899" s="9">
        <v>7717292712</v>
      </c>
      <c r="C899" s="10" t="s">
        <v>7858</v>
      </c>
      <c r="D899" s="10" t="s">
        <v>7859</v>
      </c>
      <c r="E899" s="9">
        <v>95988327</v>
      </c>
      <c r="F899" s="9">
        <v>45280552000</v>
      </c>
      <c r="G899" s="9">
        <v>16</v>
      </c>
      <c r="H899" s="9">
        <v>12300</v>
      </c>
      <c r="I899" s="9">
        <v>771701001</v>
      </c>
      <c r="J899" s="10" t="s">
        <v>7860</v>
      </c>
      <c r="K899" s="10"/>
      <c r="L899" s="3" t="s">
        <v>2575</v>
      </c>
      <c r="M899" s="10" t="s">
        <v>2576</v>
      </c>
      <c r="N899" s="10" t="s">
        <v>7861</v>
      </c>
      <c r="O899" s="10" t="s">
        <v>7862</v>
      </c>
      <c r="P899" s="11">
        <v>771587570398</v>
      </c>
      <c r="Q899" s="10" t="s">
        <v>41</v>
      </c>
      <c r="R899" s="10" t="s">
        <v>7863</v>
      </c>
      <c r="S899" s="10" t="s">
        <v>7864</v>
      </c>
      <c r="T899" s="10"/>
      <c r="U899" s="10" t="s">
        <v>7865</v>
      </c>
      <c r="V899" s="3">
        <v>10000</v>
      </c>
      <c r="W899" s="3">
        <v>76587000</v>
      </c>
      <c r="X899" s="3">
        <v>18815000</v>
      </c>
      <c r="Y899" s="3">
        <v>3000</v>
      </c>
      <c r="Z899" s="3">
        <v>5121000</v>
      </c>
      <c r="AA899" s="3">
        <v>10098000</v>
      </c>
      <c r="AB899" s="3">
        <v>8867000</v>
      </c>
      <c r="AC899" s="3">
        <v>0</v>
      </c>
      <c r="AD899" s="3">
        <v>0</v>
      </c>
      <c r="AE899" s="10" t="s">
        <v>317</v>
      </c>
      <c r="AF899" s="10" t="s">
        <v>461</v>
      </c>
      <c r="AG899" s="10" t="s">
        <v>319</v>
      </c>
    </row>
    <row r="900" spans="1:33" ht="15.75" x14ac:dyDescent="0.25">
      <c r="A900" s="1">
        <v>1157746623737</v>
      </c>
      <c r="B900" s="6">
        <v>9701000069</v>
      </c>
      <c r="C900" s="7" t="s">
        <v>7866</v>
      </c>
      <c r="D900" s="7" t="s">
        <v>7867</v>
      </c>
      <c r="E900" s="6">
        <v>29216241</v>
      </c>
      <c r="F900" s="6">
        <v>45286555000</v>
      </c>
      <c r="G900" s="6">
        <v>16</v>
      </c>
      <c r="H900" s="6">
        <v>12300</v>
      </c>
      <c r="I900" s="6">
        <v>770101001</v>
      </c>
      <c r="J900" s="7" t="s">
        <v>7868</v>
      </c>
      <c r="K900" s="7"/>
      <c r="L900" s="1" t="s">
        <v>6701</v>
      </c>
      <c r="M900" s="7" t="s">
        <v>6702</v>
      </c>
      <c r="N900" s="7" t="s">
        <v>7869</v>
      </c>
      <c r="O900" s="7" t="s">
        <v>7870</v>
      </c>
      <c r="P900" s="8">
        <v>773572087706</v>
      </c>
      <c r="Q900" s="7" t="s">
        <v>41</v>
      </c>
      <c r="R900" s="7" t="s">
        <v>7871</v>
      </c>
      <c r="S900" s="7" t="s">
        <v>7872</v>
      </c>
      <c r="T900" s="7"/>
      <c r="U900" s="7"/>
      <c r="V900" s="1">
        <v>10000</v>
      </c>
      <c r="W900" s="1">
        <v>97660000</v>
      </c>
      <c r="X900" s="1">
        <v>295000</v>
      </c>
      <c r="Y900" s="1">
        <v>68000</v>
      </c>
      <c r="Z900" s="1">
        <v>49992000</v>
      </c>
      <c r="AA900" s="1">
        <v>37992000</v>
      </c>
      <c r="AB900" s="1">
        <v>10576000</v>
      </c>
      <c r="AC900" s="1">
        <v>0</v>
      </c>
      <c r="AD900" s="1">
        <v>0</v>
      </c>
      <c r="AE900" s="7" t="s">
        <v>331</v>
      </c>
      <c r="AF900" s="7" t="s">
        <v>6176</v>
      </c>
      <c r="AG900" s="7" t="s">
        <v>319</v>
      </c>
    </row>
    <row r="901" spans="1:33" ht="15.75" x14ac:dyDescent="0.25">
      <c r="A901" s="3">
        <v>1157746737070</v>
      </c>
      <c r="B901" s="9">
        <v>7704325946</v>
      </c>
      <c r="C901" s="10" t="s">
        <v>7873</v>
      </c>
      <c r="D901" s="10" t="s">
        <v>7874</v>
      </c>
      <c r="E901" s="9">
        <v>646185</v>
      </c>
      <c r="F901" s="9">
        <v>45296561000</v>
      </c>
      <c r="G901" s="9">
        <v>16</v>
      </c>
      <c r="H901" s="9">
        <v>12300</v>
      </c>
      <c r="I901" s="9">
        <v>772501001</v>
      </c>
      <c r="J901" s="10" t="s">
        <v>7474</v>
      </c>
      <c r="K901" s="10"/>
      <c r="L901" s="3" t="s">
        <v>1072</v>
      </c>
      <c r="M901" s="10" t="s">
        <v>1073</v>
      </c>
      <c r="N901" s="10" t="s">
        <v>7875</v>
      </c>
      <c r="O901" s="10" t="s">
        <v>7876</v>
      </c>
      <c r="P901" s="11">
        <v>772816321447</v>
      </c>
      <c r="Q901" s="10" t="s">
        <v>41</v>
      </c>
      <c r="R901" s="10" t="s">
        <v>7877</v>
      </c>
      <c r="S901" s="10" t="s">
        <v>7878</v>
      </c>
      <c r="T901" s="10"/>
      <c r="U901" s="10" t="s">
        <v>7879</v>
      </c>
      <c r="V901" s="3">
        <v>10000</v>
      </c>
      <c r="W901" s="3">
        <v>38446000</v>
      </c>
      <c r="X901" s="3">
        <v>3811000</v>
      </c>
      <c r="Y901" s="3">
        <v>0</v>
      </c>
      <c r="Z901" s="3">
        <v>6932000</v>
      </c>
      <c r="AA901" s="3">
        <v>1747000</v>
      </c>
      <c r="AB901" s="3">
        <v>163000</v>
      </c>
      <c r="AC901" s="3">
        <v>0</v>
      </c>
      <c r="AD901" s="3">
        <v>0</v>
      </c>
      <c r="AE901" s="10" t="s">
        <v>317</v>
      </c>
      <c r="AF901" s="10" t="s">
        <v>461</v>
      </c>
      <c r="AG901" s="10" t="s">
        <v>319</v>
      </c>
    </row>
    <row r="902" spans="1:33" ht="15.75" x14ac:dyDescent="0.25">
      <c r="A902" s="1">
        <v>1107746017356</v>
      </c>
      <c r="B902" s="6">
        <v>7701862854</v>
      </c>
      <c r="C902" s="7" t="s">
        <v>7880</v>
      </c>
      <c r="D902" s="7" t="s">
        <v>7881</v>
      </c>
      <c r="E902" s="6">
        <v>64543643</v>
      </c>
      <c r="F902" s="6">
        <v>45280569000</v>
      </c>
      <c r="G902" s="6">
        <v>16</v>
      </c>
      <c r="H902" s="6">
        <v>12300</v>
      </c>
      <c r="I902" s="6">
        <v>771501001</v>
      </c>
      <c r="J902" s="7" t="s">
        <v>7882</v>
      </c>
      <c r="K902" s="7"/>
      <c r="L902" s="1" t="s">
        <v>7883</v>
      </c>
      <c r="M902" s="7" t="s">
        <v>7884</v>
      </c>
      <c r="N902" s="7" t="s">
        <v>7885</v>
      </c>
      <c r="O902" s="7" t="s">
        <v>7886</v>
      </c>
      <c r="P902" s="8">
        <v>772731855986</v>
      </c>
      <c r="Q902" s="7" t="s">
        <v>41</v>
      </c>
      <c r="R902" s="7" t="s">
        <v>7887</v>
      </c>
      <c r="S902" s="7" t="s">
        <v>7888</v>
      </c>
      <c r="T902" s="7"/>
      <c r="U902" s="7"/>
      <c r="V902" s="1">
        <v>10000</v>
      </c>
      <c r="W902" s="1">
        <v>48827000</v>
      </c>
      <c r="X902" s="1">
        <v>0</v>
      </c>
      <c r="Y902" s="1">
        <v>98000</v>
      </c>
      <c r="Z902" s="1">
        <v>148771000</v>
      </c>
      <c r="AA902" s="1">
        <v>2862000</v>
      </c>
      <c r="AB902" s="1">
        <v>4000</v>
      </c>
      <c r="AC902" s="1">
        <v>-2064000</v>
      </c>
      <c r="AD902" s="1">
        <v>1627000</v>
      </c>
      <c r="AE902" s="7" t="s">
        <v>331</v>
      </c>
      <c r="AF902" s="7" t="s">
        <v>345</v>
      </c>
      <c r="AG902" s="7" t="s">
        <v>319</v>
      </c>
    </row>
    <row r="903" spans="1:33" ht="15.75" x14ac:dyDescent="0.25">
      <c r="A903" s="3">
        <v>1157746645650</v>
      </c>
      <c r="B903" s="9">
        <v>7717294942</v>
      </c>
      <c r="C903" s="10" t="s">
        <v>7889</v>
      </c>
      <c r="D903" s="10" t="s">
        <v>7890</v>
      </c>
      <c r="E903" s="9">
        <v>90614898</v>
      </c>
      <c r="F903" s="9">
        <v>45290562000</v>
      </c>
      <c r="G903" s="9">
        <v>16</v>
      </c>
      <c r="H903" s="9">
        <v>12300</v>
      </c>
      <c r="I903" s="9">
        <v>772101001</v>
      </c>
      <c r="J903" s="10" t="s">
        <v>7891</v>
      </c>
      <c r="K903" s="10"/>
      <c r="L903" s="3" t="s">
        <v>7414</v>
      </c>
      <c r="M903" s="10" t="s">
        <v>7415</v>
      </c>
      <c r="N903" s="10" t="s">
        <v>7892</v>
      </c>
      <c r="O903" s="10" t="s">
        <v>7893</v>
      </c>
      <c r="P903" s="11">
        <v>366209218694</v>
      </c>
      <c r="Q903" s="10" t="s">
        <v>41</v>
      </c>
      <c r="R903" s="10" t="s">
        <v>7894</v>
      </c>
      <c r="S903" s="10" t="s">
        <v>7895</v>
      </c>
      <c r="T903" s="10"/>
      <c r="U903" s="10" t="s">
        <v>7896</v>
      </c>
      <c r="V903" s="3">
        <v>10000</v>
      </c>
      <c r="W903" s="3">
        <v>53205000</v>
      </c>
      <c r="X903" s="3">
        <v>0</v>
      </c>
      <c r="Y903" s="3">
        <v>5000</v>
      </c>
      <c r="Z903" s="3">
        <v>52213000</v>
      </c>
      <c r="AA903" s="3">
        <v>20143000</v>
      </c>
      <c r="AB903" s="3">
        <v>368000</v>
      </c>
      <c r="AC903" s="3">
        <v>0</v>
      </c>
      <c r="AD903" s="3">
        <v>0</v>
      </c>
      <c r="AE903" s="10" t="s">
        <v>331</v>
      </c>
      <c r="AF903" s="10" t="s">
        <v>1727</v>
      </c>
      <c r="AG903" s="10" t="s">
        <v>319</v>
      </c>
    </row>
    <row r="904" spans="1:33" ht="15.75" x14ac:dyDescent="0.25">
      <c r="A904" s="1">
        <v>1157746714454</v>
      </c>
      <c r="B904" s="6">
        <v>9701003736</v>
      </c>
      <c r="C904" s="7" t="s">
        <v>7897</v>
      </c>
      <c r="D904" s="7" t="s">
        <v>7898</v>
      </c>
      <c r="E904" s="6">
        <v>47258013</v>
      </c>
      <c r="F904" s="6">
        <v>45286555000</v>
      </c>
      <c r="G904" s="6">
        <v>16</v>
      </c>
      <c r="H904" s="6">
        <v>12300</v>
      </c>
      <c r="I904" s="6">
        <v>770101001</v>
      </c>
      <c r="J904" s="7" t="s">
        <v>7899</v>
      </c>
      <c r="K904" s="7"/>
      <c r="L904" s="1" t="s">
        <v>7900</v>
      </c>
      <c r="M904" s="7" t="s">
        <v>7901</v>
      </c>
      <c r="N904" s="7" t="s">
        <v>7902</v>
      </c>
      <c r="O904" s="7" t="s">
        <v>7903</v>
      </c>
      <c r="P904" s="8">
        <v>504790359920</v>
      </c>
      <c r="Q904" s="7" t="s">
        <v>41</v>
      </c>
      <c r="R904" s="7" t="s">
        <v>7904</v>
      </c>
      <c r="S904" s="7" t="s">
        <v>7905</v>
      </c>
      <c r="T904" s="7"/>
      <c r="U904" s="7" t="s">
        <v>7906</v>
      </c>
      <c r="V904" s="1">
        <v>10000</v>
      </c>
      <c r="W904" s="1">
        <v>65798000</v>
      </c>
      <c r="X904" s="1">
        <v>0</v>
      </c>
      <c r="Y904" s="1">
        <v>21844000</v>
      </c>
      <c r="Z904" s="1">
        <v>15375000</v>
      </c>
      <c r="AA904" s="1">
        <v>11142000</v>
      </c>
      <c r="AB904" s="1">
        <v>12647000</v>
      </c>
      <c r="AC904" s="1">
        <v>0</v>
      </c>
      <c r="AD904" s="1">
        <v>0</v>
      </c>
      <c r="AE904" s="7" t="s">
        <v>317</v>
      </c>
      <c r="AF904" s="7" t="s">
        <v>352</v>
      </c>
      <c r="AG904" s="7" t="s">
        <v>319</v>
      </c>
    </row>
    <row r="905" spans="1:33" ht="15.75" x14ac:dyDescent="0.25">
      <c r="A905" s="3">
        <v>1107746018643</v>
      </c>
      <c r="B905" s="9">
        <v>7725685756</v>
      </c>
      <c r="C905" s="10" t="s">
        <v>7907</v>
      </c>
      <c r="D905" s="10" t="s">
        <v>7908</v>
      </c>
      <c r="E905" s="9">
        <v>64576967</v>
      </c>
      <c r="F905" s="9">
        <v>45296573000</v>
      </c>
      <c r="G905" s="9">
        <v>16</v>
      </c>
      <c r="H905" s="9">
        <v>12300</v>
      </c>
      <c r="I905" s="9">
        <v>772501001</v>
      </c>
      <c r="J905" s="10" t="s">
        <v>7882</v>
      </c>
      <c r="K905" s="10"/>
      <c r="L905" s="3" t="s">
        <v>2959</v>
      </c>
      <c r="M905" s="10" t="s">
        <v>2960</v>
      </c>
      <c r="N905" s="10" t="s">
        <v>7909</v>
      </c>
      <c r="O905" s="10" t="s">
        <v>7910</v>
      </c>
      <c r="P905" s="11">
        <v>711605104796</v>
      </c>
      <c r="Q905" s="10" t="s">
        <v>41</v>
      </c>
      <c r="R905" s="10" t="s">
        <v>7911</v>
      </c>
      <c r="S905" s="10" t="s">
        <v>7912</v>
      </c>
      <c r="T905" s="10"/>
      <c r="U905" s="10"/>
      <c r="V905" s="3">
        <v>10000</v>
      </c>
      <c r="W905" s="3">
        <v>55041000</v>
      </c>
      <c r="X905" s="3">
        <v>0</v>
      </c>
      <c r="Y905" s="3">
        <v>0</v>
      </c>
      <c r="Z905" s="3">
        <v>19154000</v>
      </c>
      <c r="AA905" s="3">
        <v>1621000</v>
      </c>
      <c r="AB905" s="3">
        <v>71000</v>
      </c>
      <c r="AC905" s="3">
        <v>0</v>
      </c>
      <c r="AD905" s="3">
        <v>0</v>
      </c>
      <c r="AE905" s="10" t="s">
        <v>317</v>
      </c>
      <c r="AF905" s="10" t="s">
        <v>878</v>
      </c>
      <c r="AG905" s="10" t="s">
        <v>319</v>
      </c>
    </row>
    <row r="906" spans="1:33" ht="15.75" x14ac:dyDescent="0.25">
      <c r="A906" s="1">
        <v>1107746073995</v>
      </c>
      <c r="B906" s="6">
        <v>7721684871</v>
      </c>
      <c r="C906" s="7" t="s">
        <v>7913</v>
      </c>
      <c r="D906" s="7" t="s">
        <v>7914</v>
      </c>
      <c r="E906" s="6">
        <v>65200224</v>
      </c>
      <c r="F906" s="6">
        <v>45290586000</v>
      </c>
      <c r="G906" s="6">
        <v>16</v>
      </c>
      <c r="H906" s="6">
        <v>12300</v>
      </c>
      <c r="I906" s="6">
        <v>772101001</v>
      </c>
      <c r="J906" s="7" t="s">
        <v>7915</v>
      </c>
      <c r="K906" s="7"/>
      <c r="L906" s="1" t="s">
        <v>7916</v>
      </c>
      <c r="M906" s="7" t="s">
        <v>7917</v>
      </c>
      <c r="N906" s="7" t="s">
        <v>7918</v>
      </c>
      <c r="O906" s="7" t="s">
        <v>7919</v>
      </c>
      <c r="P906" s="8">
        <v>771700402166</v>
      </c>
      <c r="Q906" s="7" t="s">
        <v>41</v>
      </c>
      <c r="R906" s="7" t="s">
        <v>7920</v>
      </c>
      <c r="S906" s="7" t="s">
        <v>7921</v>
      </c>
      <c r="T906" s="7"/>
      <c r="U906" s="7" t="s">
        <v>7922</v>
      </c>
      <c r="V906" s="1">
        <v>10000</v>
      </c>
      <c r="W906" s="1">
        <v>55918000</v>
      </c>
      <c r="X906" s="1">
        <v>0</v>
      </c>
      <c r="Y906" s="1">
        <v>689000</v>
      </c>
      <c r="Z906" s="1">
        <v>11191000</v>
      </c>
      <c r="AA906" s="1">
        <v>17968000</v>
      </c>
      <c r="AB906" s="1">
        <v>2956000</v>
      </c>
      <c r="AC906" s="1">
        <v>-10877000</v>
      </c>
      <c r="AD906" s="1">
        <v>4658000</v>
      </c>
      <c r="AE906" s="7" t="s">
        <v>317</v>
      </c>
      <c r="AF906" s="7" t="s">
        <v>530</v>
      </c>
      <c r="AG906" s="7" t="s">
        <v>319</v>
      </c>
    </row>
    <row r="907" spans="1:33" ht="15.75" x14ac:dyDescent="0.25">
      <c r="A907" s="3">
        <v>1175027023027</v>
      </c>
      <c r="B907" s="9">
        <v>5040151171</v>
      </c>
      <c r="C907" s="10" t="s">
        <v>7923</v>
      </c>
      <c r="D907" s="10" t="s">
        <v>7924</v>
      </c>
      <c r="E907" s="9">
        <v>19494022</v>
      </c>
      <c r="F907" s="9">
        <v>46425000000</v>
      </c>
      <c r="G907" s="9">
        <v>16</v>
      </c>
      <c r="H907" s="9">
        <v>12300</v>
      </c>
      <c r="I907" s="9">
        <v>504001001</v>
      </c>
      <c r="J907" s="10" t="s">
        <v>7925</v>
      </c>
      <c r="K907" s="10"/>
      <c r="L907" s="3" t="s">
        <v>5774</v>
      </c>
      <c r="M907" s="10" t="s">
        <v>5775</v>
      </c>
      <c r="N907" s="10" t="s">
        <v>7926</v>
      </c>
      <c r="O907" s="10" t="s">
        <v>7927</v>
      </c>
      <c r="P907" s="11">
        <v>772387002216</v>
      </c>
      <c r="Q907" s="10" t="s">
        <v>41</v>
      </c>
      <c r="R907" s="10" t="s">
        <v>7928</v>
      </c>
      <c r="S907" s="10" t="s">
        <v>7929</v>
      </c>
      <c r="T907" s="10"/>
      <c r="U907" s="10"/>
      <c r="V907" s="3">
        <v>10000</v>
      </c>
      <c r="W907" s="3">
        <v>32720000</v>
      </c>
      <c r="X907" s="3">
        <v>16126000</v>
      </c>
      <c r="Y907" s="3">
        <v>68000</v>
      </c>
      <c r="Z907" s="3">
        <v>7487000</v>
      </c>
      <c r="AA907" s="3">
        <v>950000</v>
      </c>
      <c r="AB907" s="3">
        <v>3960000</v>
      </c>
      <c r="AC907" s="3">
        <v>0</v>
      </c>
      <c r="AD907" s="3">
        <v>0</v>
      </c>
      <c r="AE907" s="10" t="s">
        <v>317</v>
      </c>
      <c r="AF907" s="10" t="s">
        <v>493</v>
      </c>
      <c r="AG907" s="10" t="s">
        <v>319</v>
      </c>
    </row>
    <row r="908" spans="1:33" ht="15.75" x14ac:dyDescent="0.25">
      <c r="A908" s="1">
        <v>1157746670058</v>
      </c>
      <c r="B908" s="6">
        <v>7723400846</v>
      </c>
      <c r="C908" s="7" t="s">
        <v>7930</v>
      </c>
      <c r="D908" s="7" t="s">
        <v>7931</v>
      </c>
      <c r="E908" s="6">
        <v>46799190</v>
      </c>
      <c r="F908" s="6">
        <v>46439000000</v>
      </c>
      <c r="G908" s="6">
        <v>16</v>
      </c>
      <c r="H908" s="6">
        <v>12300</v>
      </c>
      <c r="I908" s="6">
        <v>502401001</v>
      </c>
      <c r="J908" s="7" t="s">
        <v>7553</v>
      </c>
      <c r="K908" s="7"/>
      <c r="L908" s="1" t="s">
        <v>5626</v>
      </c>
      <c r="M908" s="7" t="s">
        <v>5627</v>
      </c>
      <c r="N908" s="7" t="s">
        <v>7932</v>
      </c>
      <c r="O908" s="7" t="s">
        <v>7933</v>
      </c>
      <c r="P908" s="8">
        <v>504704303884</v>
      </c>
      <c r="Q908" s="7" t="s">
        <v>41</v>
      </c>
      <c r="R908" s="7" t="s">
        <v>7934</v>
      </c>
      <c r="S908" s="7" t="s">
        <v>7935</v>
      </c>
      <c r="T908" s="7" t="s">
        <v>7936</v>
      </c>
      <c r="U908" s="7" t="s">
        <v>7937</v>
      </c>
      <c r="V908" s="1">
        <v>10000</v>
      </c>
      <c r="W908" s="1">
        <v>31297000</v>
      </c>
      <c r="X908" s="1">
        <v>256000</v>
      </c>
      <c r="Y908" s="1">
        <v>0</v>
      </c>
      <c r="Z908" s="1">
        <v>36831000</v>
      </c>
      <c r="AA908" s="1">
        <v>33914000</v>
      </c>
      <c r="AB908" s="1">
        <v>10816000</v>
      </c>
      <c r="AC908" s="1">
        <v>0</v>
      </c>
      <c r="AD908" s="1">
        <v>0</v>
      </c>
      <c r="AE908" s="7" t="s">
        <v>317</v>
      </c>
      <c r="AF908" s="7" t="s">
        <v>421</v>
      </c>
      <c r="AG908" s="7" t="s">
        <v>319</v>
      </c>
    </row>
    <row r="909" spans="1:33" ht="15.75" x14ac:dyDescent="0.25">
      <c r="A909" s="1">
        <v>1141650016859</v>
      </c>
      <c r="B909" s="6">
        <v>1650293130</v>
      </c>
      <c r="C909" s="7" t="s">
        <v>7938</v>
      </c>
      <c r="D909" s="7" t="s">
        <v>7939</v>
      </c>
      <c r="E909" s="6">
        <v>59304634</v>
      </c>
      <c r="F909" s="6">
        <v>45263558000</v>
      </c>
      <c r="G909" s="6">
        <v>16</v>
      </c>
      <c r="H909" s="6">
        <v>12300</v>
      </c>
      <c r="I909" s="6">
        <v>771901001</v>
      </c>
      <c r="J909" s="7" t="s">
        <v>7940</v>
      </c>
      <c r="K909" s="7"/>
      <c r="L909" s="1" t="s">
        <v>3112</v>
      </c>
      <c r="M909" s="7" t="s">
        <v>3113</v>
      </c>
      <c r="N909" s="7" t="s">
        <v>7941</v>
      </c>
      <c r="O909" s="7" t="s">
        <v>7942</v>
      </c>
      <c r="P909" s="8">
        <v>165051967477</v>
      </c>
      <c r="Q909" s="7" t="s">
        <v>150</v>
      </c>
      <c r="R909" s="7" t="s">
        <v>7943</v>
      </c>
      <c r="S909" s="7" t="s">
        <v>7944</v>
      </c>
      <c r="T909" s="7"/>
      <c r="U909" s="7"/>
      <c r="V909" s="1">
        <v>10000</v>
      </c>
      <c r="W909" s="1">
        <v>32667000</v>
      </c>
      <c r="X909" s="1">
        <v>4408000</v>
      </c>
      <c r="Y909" s="1">
        <v>2552000</v>
      </c>
      <c r="Z909" s="1">
        <v>114254000</v>
      </c>
      <c r="AA909" s="1">
        <v>137872000</v>
      </c>
      <c r="AB909" s="1">
        <v>450000</v>
      </c>
      <c r="AC909" s="1">
        <v>0</v>
      </c>
      <c r="AD909" s="1">
        <v>0</v>
      </c>
      <c r="AE909" s="7" t="s">
        <v>317</v>
      </c>
      <c r="AF909" s="7" t="s">
        <v>84</v>
      </c>
      <c r="AG909" s="7" t="s">
        <v>319</v>
      </c>
    </row>
    <row r="910" spans="1:33" ht="15.75" x14ac:dyDescent="0.25">
      <c r="A910" s="3">
        <v>1107746002650</v>
      </c>
      <c r="B910" s="9">
        <v>7715791113</v>
      </c>
      <c r="C910" s="10" t="s">
        <v>7945</v>
      </c>
      <c r="D910" s="10" t="s">
        <v>7946</v>
      </c>
      <c r="E910" s="9">
        <v>64510827</v>
      </c>
      <c r="F910" s="9">
        <v>45280574000</v>
      </c>
      <c r="G910" s="9">
        <v>16</v>
      </c>
      <c r="H910" s="9">
        <v>12300</v>
      </c>
      <c r="I910" s="9">
        <v>771501001</v>
      </c>
      <c r="J910" s="10" t="s">
        <v>7947</v>
      </c>
      <c r="K910" s="10"/>
      <c r="L910" s="3" t="s">
        <v>6701</v>
      </c>
      <c r="M910" s="10" t="s">
        <v>6702</v>
      </c>
      <c r="N910" s="10" t="s">
        <v>7948</v>
      </c>
      <c r="O910" s="10" t="s">
        <v>7949</v>
      </c>
      <c r="P910" s="11">
        <v>150301883876</v>
      </c>
      <c r="Q910" s="10" t="s">
        <v>41</v>
      </c>
      <c r="R910" s="10" t="s">
        <v>7950</v>
      </c>
      <c r="S910" s="10" t="s">
        <v>7951</v>
      </c>
      <c r="T910" s="10"/>
      <c r="U910" s="10"/>
      <c r="V910" s="3">
        <v>10000</v>
      </c>
      <c r="W910" s="3">
        <v>49969000</v>
      </c>
      <c r="X910" s="3">
        <v>0</v>
      </c>
      <c r="Y910" s="3">
        <v>577000</v>
      </c>
      <c r="Z910" s="3">
        <v>21468000</v>
      </c>
      <c r="AA910" s="3">
        <v>9347000</v>
      </c>
      <c r="AB910" s="3">
        <v>5848000</v>
      </c>
      <c r="AC910" s="3">
        <v>0</v>
      </c>
      <c r="AD910" s="3">
        <v>0</v>
      </c>
      <c r="AE910" s="10" t="s">
        <v>317</v>
      </c>
      <c r="AF910" s="10" t="s">
        <v>461</v>
      </c>
      <c r="AG910" s="10" t="s">
        <v>319</v>
      </c>
    </row>
    <row r="911" spans="1:33" ht="15.75" x14ac:dyDescent="0.25">
      <c r="A911" s="3">
        <v>1157746715719</v>
      </c>
      <c r="B911" s="9">
        <v>7721337444</v>
      </c>
      <c r="C911" s="10" t="s">
        <v>7952</v>
      </c>
      <c r="D911" s="10" t="s">
        <v>7953</v>
      </c>
      <c r="E911" s="9">
        <v>47330302</v>
      </c>
      <c r="F911" s="9">
        <v>45290586000</v>
      </c>
      <c r="G911" s="9">
        <v>16</v>
      </c>
      <c r="H911" s="9">
        <v>12300</v>
      </c>
      <c r="I911" s="9">
        <v>772101001</v>
      </c>
      <c r="J911" s="10" t="s">
        <v>7488</v>
      </c>
      <c r="K911" s="10"/>
      <c r="L911" s="3" t="s">
        <v>3156</v>
      </c>
      <c r="M911" s="10" t="s">
        <v>3157</v>
      </c>
      <c r="N911" s="10" t="s">
        <v>7954</v>
      </c>
      <c r="O911" s="10" t="s">
        <v>7955</v>
      </c>
      <c r="P911" s="11">
        <v>504806200101</v>
      </c>
      <c r="Q911" s="10" t="s">
        <v>41</v>
      </c>
      <c r="R911" s="10" t="s">
        <v>7956</v>
      </c>
      <c r="S911" s="10" t="s">
        <v>7957</v>
      </c>
      <c r="T911" s="10"/>
      <c r="U911" s="10" t="s">
        <v>7958</v>
      </c>
      <c r="V911" s="3">
        <v>10000</v>
      </c>
      <c r="W911" s="3">
        <v>164378000</v>
      </c>
      <c r="X911" s="3">
        <v>0</v>
      </c>
      <c r="Y911" s="3">
        <v>52460000</v>
      </c>
      <c r="Z911" s="3">
        <v>36140000</v>
      </c>
      <c r="AA911" s="3">
        <v>3782000</v>
      </c>
      <c r="AB911" s="3">
        <v>27766000</v>
      </c>
      <c r="AC911" s="3">
        <v>0</v>
      </c>
      <c r="AD911" s="3">
        <v>0</v>
      </c>
      <c r="AE911" s="10" t="s">
        <v>317</v>
      </c>
      <c r="AF911" s="10" t="s">
        <v>1023</v>
      </c>
      <c r="AG911" s="10" t="s">
        <v>319</v>
      </c>
    </row>
    <row r="912" spans="1:33" ht="15.75" x14ac:dyDescent="0.25">
      <c r="A912" s="1">
        <v>1157746581816</v>
      </c>
      <c r="B912" s="6">
        <v>7721322984</v>
      </c>
      <c r="C912" s="7" t="s">
        <v>7959</v>
      </c>
      <c r="D912" s="7" t="s">
        <v>7960</v>
      </c>
      <c r="E912" s="6">
        <v>47274957</v>
      </c>
      <c r="F912" s="6">
        <v>45290554000</v>
      </c>
      <c r="G912" s="6">
        <v>16</v>
      </c>
      <c r="H912" s="6">
        <v>12300</v>
      </c>
      <c r="I912" s="6">
        <v>772101001</v>
      </c>
      <c r="J912" s="7" t="s">
        <v>7961</v>
      </c>
      <c r="K912" s="7"/>
      <c r="L912" s="1" t="s">
        <v>5774</v>
      </c>
      <c r="M912" s="7" t="s">
        <v>5775</v>
      </c>
      <c r="N912" s="7" t="s">
        <v>7962</v>
      </c>
      <c r="O912" s="7" t="s">
        <v>7963</v>
      </c>
      <c r="P912" s="8">
        <v>772115552703</v>
      </c>
      <c r="Q912" s="7" t="s">
        <v>41</v>
      </c>
      <c r="R912" s="7" t="s">
        <v>7964</v>
      </c>
      <c r="S912" s="7" t="s">
        <v>7965</v>
      </c>
      <c r="T912" s="7" t="s">
        <v>7966</v>
      </c>
      <c r="U912" s="7" t="s">
        <v>7967</v>
      </c>
      <c r="V912" s="1">
        <v>10000</v>
      </c>
      <c r="W912" s="1">
        <v>93081000</v>
      </c>
      <c r="X912" s="1">
        <v>607000</v>
      </c>
      <c r="Y912" s="1">
        <v>353000</v>
      </c>
      <c r="Z912" s="1">
        <v>5773000</v>
      </c>
      <c r="AA912" s="1">
        <v>1649000</v>
      </c>
      <c r="AB912" s="1">
        <v>60000</v>
      </c>
      <c r="AC912" s="1">
        <v>2609000</v>
      </c>
      <c r="AD912" s="1">
        <v>1179000</v>
      </c>
      <c r="AE912" s="7" t="s">
        <v>331</v>
      </c>
      <c r="AF912" s="7" t="s">
        <v>120</v>
      </c>
      <c r="AG912" s="7" t="s">
        <v>319</v>
      </c>
    </row>
    <row r="913" spans="1:33" ht="15.75" x14ac:dyDescent="0.25">
      <c r="A913" s="3">
        <v>1157746727808</v>
      </c>
      <c r="B913" s="9">
        <v>7728308121</v>
      </c>
      <c r="C913" s="10" t="s">
        <v>7968</v>
      </c>
      <c r="D913" s="10" t="s">
        <v>7969</v>
      </c>
      <c r="E913" s="9">
        <v>47349193</v>
      </c>
      <c r="F913" s="9">
        <v>45293586000</v>
      </c>
      <c r="G913" s="9">
        <v>16</v>
      </c>
      <c r="H913" s="9">
        <v>12300</v>
      </c>
      <c r="I913" s="9">
        <v>772801001</v>
      </c>
      <c r="J913" s="10" t="s">
        <v>7796</v>
      </c>
      <c r="K913" s="10"/>
      <c r="L913" s="3" t="s">
        <v>50</v>
      </c>
      <c r="M913" s="10" t="s">
        <v>51</v>
      </c>
      <c r="N913" s="10" t="s">
        <v>7970</v>
      </c>
      <c r="O913" s="10" t="s">
        <v>7971</v>
      </c>
      <c r="P913" s="11">
        <v>773472340271</v>
      </c>
      <c r="Q913" s="10" t="s">
        <v>41</v>
      </c>
      <c r="R913" s="10" t="s">
        <v>7972</v>
      </c>
      <c r="S913" s="10" t="s">
        <v>7973</v>
      </c>
      <c r="T913" s="10"/>
      <c r="U913" s="10"/>
      <c r="V913" s="3">
        <v>10000</v>
      </c>
      <c r="W913" s="3">
        <v>32397000</v>
      </c>
      <c r="X913" s="3">
        <v>0</v>
      </c>
      <c r="Y913" s="3">
        <v>0</v>
      </c>
      <c r="Z913" s="3">
        <v>5956000</v>
      </c>
      <c r="AA913" s="3">
        <v>4789000</v>
      </c>
      <c r="AB913" s="3">
        <v>6863000</v>
      </c>
      <c r="AC913" s="3">
        <v>6163000</v>
      </c>
      <c r="AD913" s="3">
        <v>6459000</v>
      </c>
      <c r="AE913" s="10" t="s">
        <v>317</v>
      </c>
      <c r="AF913" s="10" t="s">
        <v>410</v>
      </c>
      <c r="AG913" s="10" t="s">
        <v>319</v>
      </c>
    </row>
    <row r="914" spans="1:33" ht="15.75" x14ac:dyDescent="0.25">
      <c r="A914" s="1">
        <v>1107746065460</v>
      </c>
      <c r="B914" s="6">
        <v>7723746763</v>
      </c>
      <c r="C914" s="7" t="s">
        <v>7974</v>
      </c>
      <c r="D914" s="7" t="s">
        <v>7975</v>
      </c>
      <c r="E914" s="6">
        <v>65174969</v>
      </c>
      <c r="F914" s="6">
        <v>45286555000</v>
      </c>
      <c r="G914" s="6">
        <v>16</v>
      </c>
      <c r="H914" s="6">
        <v>12300</v>
      </c>
      <c r="I914" s="6">
        <v>770101001</v>
      </c>
      <c r="J914" s="7" t="s">
        <v>7976</v>
      </c>
      <c r="K914" s="7"/>
      <c r="L914" s="1" t="s">
        <v>565</v>
      </c>
      <c r="M914" s="7" t="s">
        <v>680</v>
      </c>
      <c r="N914" s="7" t="s">
        <v>7977</v>
      </c>
      <c r="O914" s="7" t="s">
        <v>7978</v>
      </c>
      <c r="P914" s="8">
        <v>771871856900</v>
      </c>
      <c r="Q914" s="7" t="s">
        <v>41</v>
      </c>
      <c r="R914" s="7" t="s">
        <v>7979</v>
      </c>
      <c r="S914" s="7" t="s">
        <v>7980</v>
      </c>
      <c r="T914" s="7"/>
      <c r="U914" s="7" t="s">
        <v>7981</v>
      </c>
      <c r="V914" s="1">
        <v>10000</v>
      </c>
      <c r="W914" s="1">
        <v>43094000</v>
      </c>
      <c r="X914" s="1">
        <v>0</v>
      </c>
      <c r="Y914" s="1">
        <v>30000</v>
      </c>
      <c r="Z914" s="1">
        <v>20919000</v>
      </c>
      <c r="AA914" s="1">
        <v>3655000</v>
      </c>
      <c r="AB914" s="1">
        <v>335000</v>
      </c>
      <c r="AC914" s="1">
        <v>0</v>
      </c>
      <c r="AD914" s="1">
        <v>0</v>
      </c>
      <c r="AE914" s="7" t="s">
        <v>317</v>
      </c>
      <c r="AF914" s="7" t="s">
        <v>1534</v>
      </c>
      <c r="AG914" s="7" t="s">
        <v>319</v>
      </c>
    </row>
    <row r="915" spans="1:33" ht="15.75" x14ac:dyDescent="0.25">
      <c r="A915" s="3">
        <v>1157746639775</v>
      </c>
      <c r="B915" s="9">
        <v>7710499370</v>
      </c>
      <c r="C915" s="10" t="s">
        <v>7982</v>
      </c>
      <c r="D915" s="10" t="s">
        <v>7983</v>
      </c>
      <c r="E915" s="9">
        <v>40308854</v>
      </c>
      <c r="F915" s="9">
        <v>45286575000</v>
      </c>
      <c r="G915" s="9">
        <v>16</v>
      </c>
      <c r="H915" s="9">
        <v>12300</v>
      </c>
      <c r="I915" s="9">
        <v>771001001</v>
      </c>
      <c r="J915" s="10" t="s">
        <v>5423</v>
      </c>
      <c r="K915" s="10"/>
      <c r="L915" s="3" t="s">
        <v>7984</v>
      </c>
      <c r="M915" s="10" t="s">
        <v>7985</v>
      </c>
      <c r="N915" s="10" t="s">
        <v>7986</v>
      </c>
      <c r="O915" s="10" t="s">
        <v>7987</v>
      </c>
      <c r="P915" s="11">
        <v>772071592103</v>
      </c>
      <c r="Q915" s="10" t="s">
        <v>41</v>
      </c>
      <c r="R915" s="10" t="s">
        <v>7988</v>
      </c>
      <c r="S915" s="10" t="s">
        <v>7989</v>
      </c>
      <c r="T915" s="10"/>
      <c r="U915" s="10"/>
      <c r="V915" s="3">
        <v>10000</v>
      </c>
      <c r="W915" s="3">
        <v>60726000</v>
      </c>
      <c r="X915" s="3">
        <v>6242000</v>
      </c>
      <c r="Y915" s="3">
        <v>0</v>
      </c>
      <c r="Z915" s="3">
        <v>0</v>
      </c>
      <c r="AA915" s="3">
        <v>0</v>
      </c>
      <c r="AB915" s="3">
        <v>1670000</v>
      </c>
      <c r="AC915" s="3">
        <v>0</v>
      </c>
      <c r="AD915" s="3">
        <v>0</v>
      </c>
      <c r="AE915" s="10" t="s">
        <v>317</v>
      </c>
      <c r="AF915" s="10" t="s">
        <v>1534</v>
      </c>
      <c r="AG915" s="10" t="s">
        <v>319</v>
      </c>
    </row>
    <row r="916" spans="1:33" ht="15.75" x14ac:dyDescent="0.25">
      <c r="A916" s="1">
        <v>1157746704521</v>
      </c>
      <c r="B916" s="6">
        <v>9705045222</v>
      </c>
      <c r="C916" s="7" t="s">
        <v>7990</v>
      </c>
      <c r="D916" s="7" t="s">
        <v>7991</v>
      </c>
      <c r="E916" s="6">
        <v>47244593</v>
      </c>
      <c r="F916" s="6">
        <v>45286560000</v>
      </c>
      <c r="G916" s="6">
        <v>16</v>
      </c>
      <c r="H916" s="6">
        <v>12300</v>
      </c>
      <c r="I916" s="6">
        <v>770501001</v>
      </c>
      <c r="J916" s="7" t="s">
        <v>7992</v>
      </c>
      <c r="K916" s="7"/>
      <c r="L916" s="1" t="s">
        <v>7414</v>
      </c>
      <c r="M916" s="7" t="s">
        <v>7415</v>
      </c>
      <c r="N916" s="7" t="s">
        <v>7993</v>
      </c>
      <c r="O916" s="7" t="s">
        <v>7994</v>
      </c>
      <c r="P916" s="8">
        <v>504405513072</v>
      </c>
      <c r="Q916" s="7" t="s">
        <v>41</v>
      </c>
      <c r="R916" s="7" t="s">
        <v>7995</v>
      </c>
      <c r="S916" s="7" t="s">
        <v>7996</v>
      </c>
      <c r="T916" s="7"/>
      <c r="U916" s="7"/>
      <c r="V916" s="1">
        <v>10000</v>
      </c>
      <c r="W916" s="1">
        <v>67297000</v>
      </c>
      <c r="X916" s="1">
        <v>0</v>
      </c>
      <c r="Y916" s="1">
        <v>45000</v>
      </c>
      <c r="Z916" s="1">
        <v>5500000</v>
      </c>
      <c r="AA916" s="1">
        <v>1897000</v>
      </c>
      <c r="AB916" s="1">
        <v>1908000</v>
      </c>
      <c r="AC916" s="1">
        <v>0</v>
      </c>
      <c r="AD916" s="1">
        <v>0</v>
      </c>
      <c r="AE916" s="7" t="s">
        <v>317</v>
      </c>
      <c r="AF916" s="7" t="s">
        <v>1023</v>
      </c>
      <c r="AG916" s="7" t="s">
        <v>319</v>
      </c>
    </row>
    <row r="917" spans="1:33" ht="15.75" x14ac:dyDescent="0.25">
      <c r="A917" s="1">
        <v>1175027001082</v>
      </c>
      <c r="B917" s="6">
        <v>5009108706</v>
      </c>
      <c r="C917" s="7" t="s">
        <v>7997</v>
      </c>
      <c r="D917" s="7" t="s">
        <v>7998</v>
      </c>
      <c r="E917" s="6">
        <v>6345579</v>
      </c>
      <c r="F917" s="6">
        <v>46409000000</v>
      </c>
      <c r="G917" s="6">
        <v>16</v>
      </c>
      <c r="H917" s="6">
        <v>12300</v>
      </c>
      <c r="I917" s="6">
        <v>500901001</v>
      </c>
      <c r="J917" s="7" t="s">
        <v>7999</v>
      </c>
      <c r="K917" s="7"/>
      <c r="L917" s="1" t="s">
        <v>6015</v>
      </c>
      <c r="M917" s="7" t="s">
        <v>6016</v>
      </c>
      <c r="N917" s="7" t="s">
        <v>8000</v>
      </c>
      <c r="O917" s="7" t="s">
        <v>8001</v>
      </c>
      <c r="P917" s="8">
        <v>710602003460</v>
      </c>
      <c r="Q917" s="7" t="s">
        <v>41</v>
      </c>
      <c r="R917" s="7" t="s">
        <v>8002</v>
      </c>
      <c r="S917" s="7" t="s">
        <v>8003</v>
      </c>
      <c r="T917" s="7"/>
      <c r="U917" s="7"/>
      <c r="V917" s="1">
        <v>10000</v>
      </c>
      <c r="W917" s="1">
        <v>38911000</v>
      </c>
      <c r="X917" s="1">
        <v>5322000</v>
      </c>
      <c r="Y917" s="1">
        <v>0</v>
      </c>
      <c r="Z917" s="1">
        <v>0</v>
      </c>
      <c r="AA917" s="1">
        <v>0</v>
      </c>
      <c r="AB917" s="1">
        <v>5516000</v>
      </c>
      <c r="AC917" s="1">
        <v>0</v>
      </c>
      <c r="AD917" s="1">
        <v>0</v>
      </c>
      <c r="AE917" s="7" t="s">
        <v>317</v>
      </c>
      <c r="AF917" s="7" t="s">
        <v>421</v>
      </c>
      <c r="AG917" s="7" t="s">
        <v>319</v>
      </c>
    </row>
    <row r="918" spans="1:33" ht="15.75" x14ac:dyDescent="0.25">
      <c r="A918" s="3">
        <v>1177746510590</v>
      </c>
      <c r="B918" s="9">
        <v>7724410741</v>
      </c>
      <c r="C918" s="10" t="s">
        <v>8004</v>
      </c>
      <c r="D918" s="10" t="s">
        <v>8005</v>
      </c>
      <c r="E918" s="9">
        <v>15755402</v>
      </c>
      <c r="F918" s="9">
        <v>45296569000</v>
      </c>
      <c r="G918" s="9">
        <v>16</v>
      </c>
      <c r="H918" s="9">
        <v>12300</v>
      </c>
      <c r="I918" s="9">
        <v>772401001</v>
      </c>
      <c r="J918" s="10" t="s">
        <v>2036</v>
      </c>
      <c r="K918" s="10"/>
      <c r="L918" s="3" t="s">
        <v>2894</v>
      </c>
      <c r="M918" s="10" t="s">
        <v>2895</v>
      </c>
      <c r="N918" s="10" t="s">
        <v>8006</v>
      </c>
      <c r="O918" s="10" t="s">
        <v>8007</v>
      </c>
      <c r="P918" s="11">
        <v>772481440376</v>
      </c>
      <c r="Q918" s="10" t="s">
        <v>41</v>
      </c>
      <c r="R918" s="10" t="s">
        <v>8008</v>
      </c>
      <c r="S918" s="10" t="s">
        <v>8009</v>
      </c>
      <c r="T918" s="10"/>
      <c r="U918" s="10"/>
      <c r="V918" s="3">
        <v>10000</v>
      </c>
      <c r="W918" s="3">
        <v>57041000</v>
      </c>
      <c r="X918" s="3">
        <v>1450000</v>
      </c>
      <c r="Y918" s="3">
        <v>21100000</v>
      </c>
      <c r="Z918" s="3">
        <v>18385000</v>
      </c>
      <c r="AA918" s="3">
        <v>15754000</v>
      </c>
      <c r="AB918" s="3">
        <v>22605000</v>
      </c>
      <c r="AC918" s="3">
        <v>0</v>
      </c>
      <c r="AD918" s="3">
        <v>0</v>
      </c>
      <c r="AE918" s="10" t="s">
        <v>317</v>
      </c>
      <c r="AF918" s="10" t="s">
        <v>421</v>
      </c>
      <c r="AG918" s="10" t="s">
        <v>319</v>
      </c>
    </row>
    <row r="919" spans="1:33" ht="15.75" x14ac:dyDescent="0.25">
      <c r="A919" s="1">
        <v>1167746615080</v>
      </c>
      <c r="B919" s="6">
        <v>7726380926</v>
      </c>
      <c r="C919" s="7" t="s">
        <v>8010</v>
      </c>
      <c r="D919" s="7" t="s">
        <v>8011</v>
      </c>
      <c r="E919" s="6">
        <v>3322000</v>
      </c>
      <c r="F919" s="6">
        <v>45296593000</v>
      </c>
      <c r="G919" s="6">
        <v>16</v>
      </c>
      <c r="H919" s="6">
        <v>12300</v>
      </c>
      <c r="I919" s="6">
        <v>772601001</v>
      </c>
      <c r="J919" s="7" t="s">
        <v>8012</v>
      </c>
      <c r="K919" s="7"/>
      <c r="L919" s="1" t="s">
        <v>3364</v>
      </c>
      <c r="M919" s="7" t="s">
        <v>3365</v>
      </c>
      <c r="N919" s="7" t="s">
        <v>8013</v>
      </c>
      <c r="O919" s="7" t="s">
        <v>8014</v>
      </c>
      <c r="P919" s="8">
        <v>772629844542</v>
      </c>
      <c r="Q919" s="7" t="s">
        <v>41</v>
      </c>
      <c r="R919" s="7" t="s">
        <v>8015</v>
      </c>
      <c r="S919" s="7" t="s">
        <v>8016</v>
      </c>
      <c r="T919" s="7"/>
      <c r="U919" s="7"/>
      <c r="V919" s="1">
        <v>10000</v>
      </c>
      <c r="W919" s="1">
        <v>33126000</v>
      </c>
      <c r="X919" s="1">
        <v>0</v>
      </c>
      <c r="Y919" s="1">
        <v>629000</v>
      </c>
      <c r="Z919" s="1">
        <v>307000</v>
      </c>
      <c r="AA919" s="1">
        <v>317000</v>
      </c>
      <c r="AB919" s="1">
        <v>-504000</v>
      </c>
      <c r="AC919" s="1">
        <v>0</v>
      </c>
      <c r="AD919" s="1">
        <v>0</v>
      </c>
      <c r="AE919" s="7" t="s">
        <v>317</v>
      </c>
      <c r="AF919" s="7" t="s">
        <v>740</v>
      </c>
      <c r="AG919" s="7" t="s">
        <v>319</v>
      </c>
    </row>
    <row r="920" spans="1:33" ht="15.75" x14ac:dyDescent="0.25">
      <c r="A920" s="3">
        <v>1157746682576</v>
      </c>
      <c r="B920" s="9">
        <v>7723401350</v>
      </c>
      <c r="C920" s="10" t="s">
        <v>8017</v>
      </c>
      <c r="D920" s="10" t="s">
        <v>8018</v>
      </c>
      <c r="E920" s="9">
        <v>46861575</v>
      </c>
      <c r="F920" s="9">
        <v>45296597000</v>
      </c>
      <c r="G920" s="9">
        <v>16</v>
      </c>
      <c r="H920" s="9">
        <v>12300</v>
      </c>
      <c r="I920" s="9">
        <v>772401001</v>
      </c>
      <c r="J920" s="10" t="s">
        <v>8019</v>
      </c>
      <c r="K920" s="10"/>
      <c r="L920" s="3" t="s">
        <v>8020</v>
      </c>
      <c r="M920" s="10" t="s">
        <v>8021</v>
      </c>
      <c r="N920" s="10" t="s">
        <v>8022</v>
      </c>
      <c r="O920" s="10" t="s">
        <v>8023</v>
      </c>
      <c r="P920" s="11">
        <v>772404720435</v>
      </c>
      <c r="Q920" s="10" t="s">
        <v>41</v>
      </c>
      <c r="R920" s="10" t="s">
        <v>8024</v>
      </c>
      <c r="S920" s="10" t="s">
        <v>8025</v>
      </c>
      <c r="T920" s="10"/>
      <c r="U920" s="10" t="s">
        <v>8026</v>
      </c>
      <c r="V920" s="3">
        <v>10000</v>
      </c>
      <c r="W920" s="3">
        <v>64136000</v>
      </c>
      <c r="X920" s="3">
        <v>2754000</v>
      </c>
      <c r="Y920" s="3">
        <v>1489000</v>
      </c>
      <c r="Z920" s="3">
        <v>9843000</v>
      </c>
      <c r="AA920" s="3">
        <v>16294000</v>
      </c>
      <c r="AB920" s="3">
        <v>-1056000</v>
      </c>
      <c r="AC920" s="3">
        <v>0</v>
      </c>
      <c r="AD920" s="3">
        <v>0</v>
      </c>
      <c r="AE920" s="10" t="s">
        <v>317</v>
      </c>
      <c r="AF920" s="10" t="s">
        <v>318</v>
      </c>
      <c r="AG920" s="10" t="s">
        <v>319</v>
      </c>
    </row>
    <row r="921" spans="1:33" ht="15.75" x14ac:dyDescent="0.25">
      <c r="A921" s="1">
        <v>1157746693015</v>
      </c>
      <c r="B921" s="6">
        <v>7718264387</v>
      </c>
      <c r="C921" s="7" t="s">
        <v>8027</v>
      </c>
      <c r="D921" s="7" t="s">
        <v>8028</v>
      </c>
      <c r="E921" s="6">
        <v>47233869</v>
      </c>
      <c r="F921" s="6">
        <v>45263581000</v>
      </c>
      <c r="G921" s="6">
        <v>16</v>
      </c>
      <c r="H921" s="6">
        <v>12300</v>
      </c>
      <c r="I921" s="6">
        <v>771801001</v>
      </c>
      <c r="J921" s="7" t="s">
        <v>7789</v>
      </c>
      <c r="K921" s="7"/>
      <c r="L921" s="1" t="s">
        <v>1045</v>
      </c>
      <c r="M921" s="7" t="s">
        <v>1046</v>
      </c>
      <c r="N921" s="7" t="s">
        <v>8029</v>
      </c>
      <c r="O921" s="7" t="s">
        <v>8030</v>
      </c>
      <c r="P921" s="8">
        <v>771405105455</v>
      </c>
      <c r="Q921" s="7" t="s">
        <v>41</v>
      </c>
      <c r="R921" s="7" t="s">
        <v>8031</v>
      </c>
      <c r="S921" s="7" t="s">
        <v>8032</v>
      </c>
      <c r="T921" s="7"/>
      <c r="U921" s="7"/>
      <c r="V921" s="1">
        <v>10000</v>
      </c>
      <c r="W921" s="1">
        <v>73587000</v>
      </c>
      <c r="X921" s="1">
        <v>0</v>
      </c>
      <c r="Y921" s="1">
        <v>54845000</v>
      </c>
      <c r="Z921" s="1">
        <v>96626000</v>
      </c>
      <c r="AA921" s="1">
        <v>3525000</v>
      </c>
      <c r="AB921" s="1">
        <v>15656000</v>
      </c>
      <c r="AC921" s="1">
        <v>0</v>
      </c>
      <c r="AD921" s="1">
        <v>0</v>
      </c>
      <c r="AE921" s="7" t="s">
        <v>317</v>
      </c>
      <c r="AF921" s="7" t="s">
        <v>461</v>
      </c>
      <c r="AG921" s="7" t="s">
        <v>319</v>
      </c>
    </row>
    <row r="922" spans="1:33" ht="15.75" x14ac:dyDescent="0.25">
      <c r="A922" s="3">
        <v>1157746628357</v>
      </c>
      <c r="B922" s="9">
        <v>7733241232</v>
      </c>
      <c r="C922" s="10" t="s">
        <v>8033</v>
      </c>
      <c r="D922" s="10" t="s">
        <v>8034</v>
      </c>
      <c r="E922" s="9">
        <v>29318319</v>
      </c>
      <c r="F922" s="9">
        <v>45283569000</v>
      </c>
      <c r="G922" s="9">
        <v>16</v>
      </c>
      <c r="H922" s="9">
        <v>12300</v>
      </c>
      <c r="I922" s="9">
        <v>773301001</v>
      </c>
      <c r="J922" s="10" t="s">
        <v>7868</v>
      </c>
      <c r="K922" s="10"/>
      <c r="L922" s="3" t="s">
        <v>7414</v>
      </c>
      <c r="M922" s="10" t="s">
        <v>7415</v>
      </c>
      <c r="N922" s="10" t="s">
        <v>8035</v>
      </c>
      <c r="O922" s="10" t="s">
        <v>8036</v>
      </c>
      <c r="P922" s="11">
        <v>580203292480</v>
      </c>
      <c r="Q922" s="10" t="s">
        <v>41</v>
      </c>
      <c r="R922" s="10" t="s">
        <v>8037</v>
      </c>
      <c r="S922" s="10" t="s">
        <v>8038</v>
      </c>
      <c r="T922" s="10"/>
      <c r="U922" s="10"/>
      <c r="V922" s="3">
        <v>10000</v>
      </c>
      <c r="W922" s="3">
        <v>38026000</v>
      </c>
      <c r="X922" s="3">
        <v>489000</v>
      </c>
      <c r="Y922" s="3">
        <v>11000</v>
      </c>
      <c r="Z922" s="3">
        <v>47126000</v>
      </c>
      <c r="AA922" s="3">
        <v>68887000</v>
      </c>
      <c r="AB922" s="3">
        <v>-1270000</v>
      </c>
      <c r="AC922" s="3">
        <v>0</v>
      </c>
      <c r="AD922" s="3">
        <v>0</v>
      </c>
      <c r="AE922" s="10" t="s">
        <v>317</v>
      </c>
      <c r="AF922" s="10" t="s">
        <v>286</v>
      </c>
      <c r="AG922" s="10" t="s">
        <v>319</v>
      </c>
    </row>
    <row r="923" spans="1:33" ht="15.75" x14ac:dyDescent="0.25">
      <c r="A923" s="3">
        <v>1107746056186</v>
      </c>
      <c r="B923" s="9">
        <v>7705908683</v>
      </c>
      <c r="C923" s="10" t="s">
        <v>8039</v>
      </c>
      <c r="D923" s="10" t="s">
        <v>8040</v>
      </c>
      <c r="E923" s="9">
        <v>64608147</v>
      </c>
      <c r="F923" s="9">
        <v>45286575000</v>
      </c>
      <c r="G923" s="9">
        <v>16</v>
      </c>
      <c r="H923" s="9">
        <v>12300</v>
      </c>
      <c r="I923" s="9">
        <v>771001001</v>
      </c>
      <c r="J923" s="10" t="s">
        <v>8041</v>
      </c>
      <c r="K923" s="10"/>
      <c r="L923" s="3" t="s">
        <v>8042</v>
      </c>
      <c r="M923" s="10" t="s">
        <v>8043</v>
      </c>
      <c r="N923" s="10" t="s">
        <v>8044</v>
      </c>
      <c r="O923" s="10" t="s">
        <v>8045</v>
      </c>
      <c r="P923" s="11">
        <v>590401851948</v>
      </c>
      <c r="Q923" s="10" t="s">
        <v>41</v>
      </c>
      <c r="R923" s="10" t="s">
        <v>8046</v>
      </c>
      <c r="S923" s="10" t="s">
        <v>8047</v>
      </c>
      <c r="T923" s="10"/>
      <c r="U923" s="10" t="s">
        <v>8048</v>
      </c>
      <c r="V923" s="3">
        <v>10000</v>
      </c>
      <c r="W923" s="3">
        <v>68195000</v>
      </c>
      <c r="X923" s="3">
        <v>4197000</v>
      </c>
      <c r="Y923" s="3">
        <v>45141000</v>
      </c>
      <c r="Z923" s="3">
        <v>14936000</v>
      </c>
      <c r="AA923" s="3">
        <v>22203000</v>
      </c>
      <c r="AB923" s="3">
        <v>18338000</v>
      </c>
      <c r="AC923" s="3">
        <v>0</v>
      </c>
      <c r="AD923" s="3">
        <v>0</v>
      </c>
      <c r="AE923" s="10" t="s">
        <v>317</v>
      </c>
      <c r="AF923" s="10" t="s">
        <v>740</v>
      </c>
      <c r="AG923" s="10" t="s">
        <v>319</v>
      </c>
    </row>
    <row r="924" spans="1:33" ht="15.75" x14ac:dyDescent="0.25">
      <c r="A924" s="1">
        <v>1157746615113</v>
      </c>
      <c r="B924" s="6">
        <v>7709462713</v>
      </c>
      <c r="C924" s="7" t="s">
        <v>8049</v>
      </c>
      <c r="D924" s="7" t="s">
        <v>8050</v>
      </c>
      <c r="E924" s="6">
        <v>18132601</v>
      </c>
      <c r="F924" s="6">
        <v>46448000000</v>
      </c>
      <c r="G924" s="6">
        <v>16</v>
      </c>
      <c r="H924" s="6">
        <v>12300</v>
      </c>
      <c r="I924" s="6">
        <v>502701001</v>
      </c>
      <c r="J924" s="7" t="s">
        <v>8051</v>
      </c>
      <c r="K924" s="7"/>
      <c r="L924" s="1" t="s">
        <v>861</v>
      </c>
      <c r="M924" s="7" t="s">
        <v>862</v>
      </c>
      <c r="N924" s="7" t="s">
        <v>8052</v>
      </c>
      <c r="O924" s="7" t="s">
        <v>8053</v>
      </c>
      <c r="P924" s="8">
        <v>504102968507</v>
      </c>
      <c r="Q924" s="7" t="s">
        <v>41</v>
      </c>
      <c r="R924" s="7" t="s">
        <v>8054</v>
      </c>
      <c r="S924" s="7" t="s">
        <v>8055</v>
      </c>
      <c r="T924" s="7"/>
      <c r="U924" s="7"/>
      <c r="V924" s="1">
        <v>10000</v>
      </c>
      <c r="W924" s="1">
        <v>33739000</v>
      </c>
      <c r="X924" s="1">
        <v>94989000</v>
      </c>
      <c r="Y924" s="1">
        <v>0</v>
      </c>
      <c r="Z924" s="1">
        <v>7502000</v>
      </c>
      <c r="AA924" s="1">
        <v>15159000</v>
      </c>
      <c r="AB924" s="1">
        <v>11603000</v>
      </c>
      <c r="AC924" s="1">
        <v>0</v>
      </c>
      <c r="AD924" s="1">
        <v>0</v>
      </c>
      <c r="AE924" s="7" t="s">
        <v>317</v>
      </c>
      <c r="AF924" s="7" t="s">
        <v>318</v>
      </c>
      <c r="AG924" s="7" t="s">
        <v>319</v>
      </c>
    </row>
    <row r="925" spans="1:33" ht="15.75" x14ac:dyDescent="0.25">
      <c r="A925" s="3">
        <v>1107746151930</v>
      </c>
      <c r="B925" s="9">
        <v>7733726710</v>
      </c>
      <c r="C925" s="10" t="s">
        <v>8056</v>
      </c>
      <c r="D925" s="10" t="s">
        <v>8057</v>
      </c>
      <c r="E925" s="9">
        <v>65278261</v>
      </c>
      <c r="F925" s="9">
        <v>45283573000</v>
      </c>
      <c r="G925" s="9">
        <v>16</v>
      </c>
      <c r="H925" s="9">
        <v>12300</v>
      </c>
      <c r="I925" s="9">
        <v>773301001</v>
      </c>
      <c r="J925" s="10" t="s">
        <v>7828</v>
      </c>
      <c r="K925" s="10"/>
      <c r="L925" s="3" t="s">
        <v>404</v>
      </c>
      <c r="M925" s="10" t="s">
        <v>405</v>
      </c>
      <c r="N925" s="10" t="s">
        <v>8058</v>
      </c>
      <c r="O925" s="10" t="s">
        <v>8059</v>
      </c>
      <c r="P925" s="11">
        <v>773301528347</v>
      </c>
      <c r="Q925" s="10" t="s">
        <v>41</v>
      </c>
      <c r="R925" s="10" t="s">
        <v>8060</v>
      </c>
      <c r="S925" s="10" t="s">
        <v>8061</v>
      </c>
      <c r="T925" s="10"/>
      <c r="U925" s="10"/>
      <c r="V925" s="3">
        <v>10000</v>
      </c>
      <c r="W925" s="3">
        <v>84131000</v>
      </c>
      <c r="X925" s="3">
        <v>63861000</v>
      </c>
      <c r="Y925" s="3">
        <v>924000</v>
      </c>
      <c r="Z925" s="3">
        <v>365742000</v>
      </c>
      <c r="AA925" s="3">
        <v>33135000</v>
      </c>
      <c r="AB925" s="3">
        <v>107727000</v>
      </c>
      <c r="AC925" s="3">
        <v>0</v>
      </c>
      <c r="AD925" s="3">
        <v>0</v>
      </c>
      <c r="AE925" s="10" t="s">
        <v>317</v>
      </c>
      <c r="AF925" s="10" t="s">
        <v>318</v>
      </c>
      <c r="AG925" s="10" t="s">
        <v>319</v>
      </c>
    </row>
    <row r="926" spans="1:33" ht="15.75" x14ac:dyDescent="0.25">
      <c r="A926" s="1">
        <v>1107746017741</v>
      </c>
      <c r="B926" s="6">
        <v>7713699602</v>
      </c>
      <c r="C926" s="7" t="s">
        <v>8062</v>
      </c>
      <c r="D926" s="7" t="s">
        <v>8063</v>
      </c>
      <c r="E926" s="6">
        <v>64565811</v>
      </c>
      <c r="F926" s="6">
        <v>45277556000</v>
      </c>
      <c r="G926" s="6">
        <v>16</v>
      </c>
      <c r="H926" s="6">
        <v>12300</v>
      </c>
      <c r="I926" s="6">
        <v>771401001</v>
      </c>
      <c r="J926" s="7" t="s">
        <v>7882</v>
      </c>
      <c r="K926" s="7"/>
      <c r="L926" s="1" t="s">
        <v>8064</v>
      </c>
      <c r="M926" s="7" t="s">
        <v>8065</v>
      </c>
      <c r="N926" s="7" t="s">
        <v>8066</v>
      </c>
      <c r="O926" s="7" t="s">
        <v>8067</v>
      </c>
      <c r="P926" s="8">
        <v>771386305706</v>
      </c>
      <c r="Q926" s="7" t="s">
        <v>41</v>
      </c>
      <c r="R926" s="7" t="s">
        <v>8068</v>
      </c>
      <c r="S926" s="7" t="s">
        <v>8069</v>
      </c>
      <c r="T926" s="7"/>
      <c r="U926" s="7"/>
      <c r="V926" s="1">
        <v>10000</v>
      </c>
      <c r="W926" s="1">
        <v>44200000</v>
      </c>
      <c r="X926" s="1">
        <v>0</v>
      </c>
      <c r="Y926" s="1">
        <v>443000</v>
      </c>
      <c r="Z926" s="1">
        <v>10450000</v>
      </c>
      <c r="AA926" s="1">
        <v>8243000</v>
      </c>
      <c r="AB926" s="1">
        <v>927000</v>
      </c>
      <c r="AC926" s="1">
        <v>0</v>
      </c>
      <c r="AD926" s="1">
        <v>0</v>
      </c>
      <c r="AE926" s="7" t="s">
        <v>317</v>
      </c>
      <c r="AF926" s="7" t="s">
        <v>1023</v>
      </c>
      <c r="AG926" s="7" t="s">
        <v>319</v>
      </c>
    </row>
    <row r="927" spans="1:33" ht="15.75" x14ac:dyDescent="0.25">
      <c r="A927" s="3">
        <v>1157746717996</v>
      </c>
      <c r="B927" s="9">
        <v>7726348320</v>
      </c>
      <c r="C927" s="10" t="s">
        <v>8070</v>
      </c>
      <c r="D927" s="10" t="s">
        <v>8071</v>
      </c>
      <c r="E927" s="9">
        <v>17245361</v>
      </c>
      <c r="F927" s="9">
        <v>45296559000</v>
      </c>
      <c r="G927" s="9">
        <v>16</v>
      </c>
      <c r="H927" s="9">
        <v>12300</v>
      </c>
      <c r="I927" s="9">
        <v>772501001</v>
      </c>
      <c r="J927" s="10" t="s">
        <v>7488</v>
      </c>
      <c r="K927" s="10"/>
      <c r="L927" s="3" t="s">
        <v>1045</v>
      </c>
      <c r="M927" s="10" t="s">
        <v>1046</v>
      </c>
      <c r="N927" s="10" t="s">
        <v>8072</v>
      </c>
      <c r="O927" s="10" t="s">
        <v>8073</v>
      </c>
      <c r="P927" s="11">
        <v>774331015030</v>
      </c>
      <c r="Q927" s="10" t="s">
        <v>41</v>
      </c>
      <c r="R927" s="10" t="s">
        <v>8074</v>
      </c>
      <c r="S927" s="10" t="s">
        <v>8075</v>
      </c>
      <c r="T927" s="10"/>
      <c r="U927" s="10" t="s">
        <v>8076</v>
      </c>
      <c r="V927" s="3">
        <v>10000</v>
      </c>
      <c r="W927" s="3">
        <v>81264000</v>
      </c>
      <c r="X927" s="3">
        <v>0</v>
      </c>
      <c r="Y927" s="3">
        <v>3808000</v>
      </c>
      <c r="Z927" s="3">
        <v>72351000</v>
      </c>
      <c r="AA927" s="3">
        <v>3377000</v>
      </c>
      <c r="AB927" s="3">
        <v>15323000</v>
      </c>
      <c r="AC927" s="3">
        <v>0</v>
      </c>
      <c r="AD927" s="3">
        <v>0</v>
      </c>
      <c r="AE927" s="10" t="s">
        <v>317</v>
      </c>
      <c r="AF927" s="10" t="s">
        <v>352</v>
      </c>
      <c r="AG927" s="10" t="s">
        <v>319</v>
      </c>
    </row>
    <row r="928" spans="1:33" ht="15.75" x14ac:dyDescent="0.25">
      <c r="A928" s="1">
        <v>1107746014353</v>
      </c>
      <c r="B928" s="6">
        <v>7723744526</v>
      </c>
      <c r="C928" s="7" t="s">
        <v>8077</v>
      </c>
      <c r="D928" s="7" t="s">
        <v>8078</v>
      </c>
      <c r="E928" s="6">
        <v>64543040</v>
      </c>
      <c r="F928" s="6">
        <v>45290572000</v>
      </c>
      <c r="G928" s="6">
        <v>16</v>
      </c>
      <c r="H928" s="6">
        <v>12300</v>
      </c>
      <c r="I928" s="6">
        <v>772301001</v>
      </c>
      <c r="J928" s="7" t="s">
        <v>8079</v>
      </c>
      <c r="K928" s="7"/>
      <c r="L928" s="1" t="s">
        <v>8080</v>
      </c>
      <c r="M928" s="7" t="s">
        <v>8081</v>
      </c>
      <c r="N928" s="7" t="s">
        <v>8082</v>
      </c>
      <c r="O928" s="7" t="s">
        <v>8083</v>
      </c>
      <c r="P928" s="8">
        <v>772389329200</v>
      </c>
      <c r="Q928" s="7" t="s">
        <v>41</v>
      </c>
      <c r="R928" s="7" t="s">
        <v>8084</v>
      </c>
      <c r="S928" s="7" t="s">
        <v>8085</v>
      </c>
      <c r="T928" s="7"/>
      <c r="U928" s="7" t="s">
        <v>8086</v>
      </c>
      <c r="V928" s="1">
        <v>10000</v>
      </c>
      <c r="W928" s="1">
        <v>64510000</v>
      </c>
      <c r="X928" s="1">
        <v>0</v>
      </c>
      <c r="Y928" s="1">
        <v>0</v>
      </c>
      <c r="Z928" s="1">
        <v>20000</v>
      </c>
      <c r="AA928" s="1">
        <v>4980000</v>
      </c>
      <c r="AB928" s="1">
        <v>2769000</v>
      </c>
      <c r="AC928" s="1">
        <v>0</v>
      </c>
      <c r="AD928" s="1">
        <v>0</v>
      </c>
      <c r="AE928" s="7" t="s">
        <v>331</v>
      </c>
      <c r="AF928" s="7" t="s">
        <v>930</v>
      </c>
      <c r="AG928" s="7" t="s">
        <v>319</v>
      </c>
    </row>
    <row r="929" spans="1:33" ht="15.75" x14ac:dyDescent="0.25">
      <c r="A929" s="3">
        <v>1157746719900</v>
      </c>
      <c r="B929" s="9">
        <v>7725283616</v>
      </c>
      <c r="C929" s="10" t="s">
        <v>8087</v>
      </c>
      <c r="D929" s="10" t="s">
        <v>8088</v>
      </c>
      <c r="E929" s="9">
        <v>17286644</v>
      </c>
      <c r="F929" s="9">
        <v>45296559000</v>
      </c>
      <c r="G929" s="9">
        <v>16</v>
      </c>
      <c r="H929" s="9">
        <v>12300</v>
      </c>
      <c r="I929" s="9">
        <v>772501001</v>
      </c>
      <c r="J929" s="10" t="s">
        <v>7488</v>
      </c>
      <c r="K929" s="10"/>
      <c r="L929" s="3" t="s">
        <v>288</v>
      </c>
      <c r="M929" s="10" t="s">
        <v>289</v>
      </c>
      <c r="N929" s="10" t="s">
        <v>8089</v>
      </c>
      <c r="O929" s="10" t="s">
        <v>8090</v>
      </c>
      <c r="P929" s="11">
        <v>280920096003</v>
      </c>
      <c r="Q929" s="10" t="s">
        <v>41</v>
      </c>
      <c r="R929" s="10" t="s">
        <v>8091</v>
      </c>
      <c r="S929" s="10" t="s">
        <v>8092</v>
      </c>
      <c r="T929" s="10"/>
      <c r="U929" s="10" t="s">
        <v>8093</v>
      </c>
      <c r="V929" s="3">
        <v>10000</v>
      </c>
      <c r="W929" s="3">
        <v>30303000</v>
      </c>
      <c r="X929" s="3">
        <v>2064000</v>
      </c>
      <c r="Y929" s="3">
        <v>39000</v>
      </c>
      <c r="Z929" s="3">
        <v>4572000</v>
      </c>
      <c r="AA929" s="3">
        <v>1642000</v>
      </c>
      <c r="AB929" s="3">
        <v>2691000</v>
      </c>
      <c r="AC929" s="3">
        <v>0</v>
      </c>
      <c r="AD929" s="3">
        <v>0</v>
      </c>
      <c r="AE929" s="10" t="s">
        <v>317</v>
      </c>
      <c r="AF929" s="10" t="s">
        <v>493</v>
      </c>
      <c r="AG929" s="10" t="s">
        <v>319</v>
      </c>
    </row>
    <row r="930" spans="1:33" ht="15.75" x14ac:dyDescent="0.25">
      <c r="A930" s="1">
        <v>1157746734650</v>
      </c>
      <c r="B930" s="6">
        <v>7723403830</v>
      </c>
      <c r="C930" s="7" t="s">
        <v>8094</v>
      </c>
      <c r="D930" s="7" t="s">
        <v>8095</v>
      </c>
      <c r="E930" s="6">
        <v>47349997</v>
      </c>
      <c r="F930" s="6">
        <v>45290564000</v>
      </c>
      <c r="G930" s="6">
        <v>16</v>
      </c>
      <c r="H930" s="6">
        <v>12300</v>
      </c>
      <c r="I930" s="6">
        <v>772201001</v>
      </c>
      <c r="J930" s="7" t="s">
        <v>8096</v>
      </c>
      <c r="K930" s="7"/>
      <c r="L930" s="1" t="s">
        <v>8097</v>
      </c>
      <c r="M930" s="7" t="s">
        <v>8098</v>
      </c>
      <c r="N930" s="7" t="s">
        <v>8099</v>
      </c>
      <c r="O930" s="7" t="s">
        <v>8100</v>
      </c>
      <c r="P930" s="8">
        <v>121514144833</v>
      </c>
      <c r="Q930" s="7" t="s">
        <v>41</v>
      </c>
      <c r="R930" s="7" t="s">
        <v>8101</v>
      </c>
      <c r="S930" s="7" t="s">
        <v>8102</v>
      </c>
      <c r="T930" s="7"/>
      <c r="U930" s="7" t="s">
        <v>8103</v>
      </c>
      <c r="V930" s="1">
        <v>10000</v>
      </c>
      <c r="W930" s="1">
        <v>57706000</v>
      </c>
      <c r="X930" s="1">
        <v>0</v>
      </c>
      <c r="Y930" s="1">
        <v>22154000</v>
      </c>
      <c r="Z930" s="1">
        <v>8241000</v>
      </c>
      <c r="AA930" s="1">
        <v>15006000</v>
      </c>
      <c r="AB930" s="1">
        <v>149000</v>
      </c>
      <c r="AC930" s="1">
        <v>0</v>
      </c>
      <c r="AD930" s="1">
        <v>0</v>
      </c>
      <c r="AE930" s="7" t="s">
        <v>317</v>
      </c>
      <c r="AF930" s="7" t="s">
        <v>461</v>
      </c>
      <c r="AG930" s="7" t="s">
        <v>319</v>
      </c>
    </row>
    <row r="931" spans="1:33" ht="15.75" x14ac:dyDescent="0.25">
      <c r="A931" s="3">
        <v>1157746692179</v>
      </c>
      <c r="B931" s="9">
        <v>7727215763</v>
      </c>
      <c r="C931" s="10" t="s">
        <v>8104</v>
      </c>
      <c r="D931" s="10" t="s">
        <v>8105</v>
      </c>
      <c r="E931" s="9">
        <v>46853506</v>
      </c>
      <c r="F931" s="9">
        <v>45293582000</v>
      </c>
      <c r="G931" s="9">
        <v>16</v>
      </c>
      <c r="H931" s="9">
        <v>12300</v>
      </c>
      <c r="I931" s="9">
        <v>772701001</v>
      </c>
      <c r="J931" s="10" t="s">
        <v>7789</v>
      </c>
      <c r="K931" s="10"/>
      <c r="L931" s="3" t="s">
        <v>1219</v>
      </c>
      <c r="M931" s="10" t="s">
        <v>1220</v>
      </c>
      <c r="N931" s="10" t="s">
        <v>8106</v>
      </c>
      <c r="O931" s="10" t="s">
        <v>8107</v>
      </c>
      <c r="P931" s="11">
        <v>772707879400</v>
      </c>
      <c r="Q931" s="10" t="s">
        <v>41</v>
      </c>
      <c r="R931" s="10" t="s">
        <v>8108</v>
      </c>
      <c r="S931" s="10" t="s">
        <v>8109</v>
      </c>
      <c r="T931" s="10"/>
      <c r="U931" s="10" t="s">
        <v>8110</v>
      </c>
      <c r="V931" s="3">
        <v>10000</v>
      </c>
      <c r="W931" s="3">
        <v>118285000</v>
      </c>
      <c r="X931" s="3">
        <v>40000</v>
      </c>
      <c r="Y931" s="3">
        <v>577000</v>
      </c>
      <c r="Z931" s="3">
        <v>17123000</v>
      </c>
      <c r="AA931" s="3">
        <v>5865000</v>
      </c>
      <c r="AB931" s="3">
        <v>8155000</v>
      </c>
      <c r="AC931" s="3">
        <v>0</v>
      </c>
      <c r="AD931" s="3">
        <v>0</v>
      </c>
      <c r="AE931" s="10" t="s">
        <v>317</v>
      </c>
      <c r="AF931" s="10" t="s">
        <v>410</v>
      </c>
      <c r="AG931" s="10" t="s">
        <v>319</v>
      </c>
    </row>
    <row r="932" spans="1:33" ht="15.75" x14ac:dyDescent="0.25">
      <c r="A932" s="1">
        <v>1157746742218</v>
      </c>
      <c r="B932" s="6">
        <v>9715210669</v>
      </c>
      <c r="C932" s="7" t="s">
        <v>8111</v>
      </c>
      <c r="D932" s="7" t="s">
        <v>8112</v>
      </c>
      <c r="E932" s="6">
        <v>47384781</v>
      </c>
      <c r="F932" s="6">
        <v>45280561000</v>
      </c>
      <c r="G932" s="6">
        <v>16</v>
      </c>
      <c r="H932" s="6">
        <v>12300</v>
      </c>
      <c r="I932" s="6">
        <v>771501001</v>
      </c>
      <c r="J932" s="7" t="s">
        <v>7654</v>
      </c>
      <c r="K932" s="7"/>
      <c r="L932" s="1" t="s">
        <v>8113</v>
      </c>
      <c r="M932" s="7" t="s">
        <v>8114</v>
      </c>
      <c r="N932" s="7" t="s">
        <v>8115</v>
      </c>
      <c r="O932" s="7" t="s">
        <v>8116</v>
      </c>
      <c r="P932" s="8">
        <v>550207915842</v>
      </c>
      <c r="Q932" s="7" t="s">
        <v>41</v>
      </c>
      <c r="R932" s="7" t="s">
        <v>8117</v>
      </c>
      <c r="S932" s="7" t="s">
        <v>8118</v>
      </c>
      <c r="T932" s="7"/>
      <c r="U932" s="7" t="s">
        <v>8119</v>
      </c>
      <c r="V932" s="1">
        <v>10000</v>
      </c>
      <c r="W932" s="1">
        <v>63128000</v>
      </c>
      <c r="X932" s="1">
        <v>5402000</v>
      </c>
      <c r="Y932" s="1">
        <v>4902000</v>
      </c>
      <c r="Z932" s="1">
        <v>11148000</v>
      </c>
      <c r="AA932" s="1">
        <v>3618000</v>
      </c>
      <c r="AB932" s="1">
        <v>16256000</v>
      </c>
      <c r="AC932" s="1">
        <v>16540000</v>
      </c>
      <c r="AD932" s="1">
        <v>19160000</v>
      </c>
      <c r="AE932" s="7" t="s">
        <v>317</v>
      </c>
      <c r="AF932" s="7" t="s">
        <v>410</v>
      </c>
      <c r="AG932" s="7" t="s">
        <v>319</v>
      </c>
    </row>
    <row r="933" spans="1:33" ht="15.75" x14ac:dyDescent="0.25">
      <c r="A933" s="3">
        <v>1107746010382</v>
      </c>
      <c r="B933" s="9">
        <v>7715791716</v>
      </c>
      <c r="C933" s="10" t="s">
        <v>8120</v>
      </c>
      <c r="D933" s="10" t="s">
        <v>8121</v>
      </c>
      <c r="E933" s="9">
        <v>64560162</v>
      </c>
      <c r="F933" s="9">
        <v>45280561000</v>
      </c>
      <c r="G933" s="9">
        <v>16</v>
      </c>
      <c r="H933" s="9">
        <v>12300</v>
      </c>
      <c r="I933" s="9">
        <v>771501001</v>
      </c>
      <c r="J933" s="10" t="s">
        <v>2744</v>
      </c>
      <c r="K933" s="10"/>
      <c r="L933" s="3" t="s">
        <v>7290</v>
      </c>
      <c r="M933" s="10" t="s">
        <v>7291</v>
      </c>
      <c r="N933" s="10" t="s">
        <v>8122</v>
      </c>
      <c r="O933" s="10" t="s">
        <v>8123</v>
      </c>
      <c r="P933" s="11">
        <v>772480579872</v>
      </c>
      <c r="Q933" s="10" t="s">
        <v>41</v>
      </c>
      <c r="R933" s="10" t="s">
        <v>8124</v>
      </c>
      <c r="S933" s="10" t="s">
        <v>8125</v>
      </c>
      <c r="T933" s="10"/>
      <c r="U933" s="10"/>
      <c r="V933" s="3">
        <v>10000</v>
      </c>
      <c r="W933" s="3">
        <v>51667000</v>
      </c>
      <c r="X933" s="3">
        <v>0</v>
      </c>
      <c r="Y933" s="3">
        <v>28829000</v>
      </c>
      <c r="Z933" s="3">
        <v>9421000</v>
      </c>
      <c r="AA933" s="3">
        <v>5127000</v>
      </c>
      <c r="AB933" s="3">
        <v>41000</v>
      </c>
      <c r="AC933" s="3">
        <v>0</v>
      </c>
      <c r="AD933" s="3">
        <v>0</v>
      </c>
      <c r="AE933" s="10" t="s">
        <v>317</v>
      </c>
      <c r="AF933" s="10" t="s">
        <v>1023</v>
      </c>
      <c r="AG933" s="10" t="s">
        <v>319</v>
      </c>
    </row>
    <row r="934" spans="1:33" ht="15.75" x14ac:dyDescent="0.25">
      <c r="A934" s="3">
        <v>1157746683016</v>
      </c>
      <c r="B934" s="9">
        <v>7743112525</v>
      </c>
      <c r="C934" s="10" t="s">
        <v>8126</v>
      </c>
      <c r="D934" s="10" t="s">
        <v>8127</v>
      </c>
      <c r="E934" s="9">
        <v>46848971</v>
      </c>
      <c r="F934" s="9">
        <v>46483000000</v>
      </c>
      <c r="G934" s="9">
        <v>16</v>
      </c>
      <c r="H934" s="9">
        <v>12300</v>
      </c>
      <c r="I934" s="9">
        <v>504701001</v>
      </c>
      <c r="J934" s="10" t="s">
        <v>8019</v>
      </c>
      <c r="K934" s="10"/>
      <c r="L934" s="3" t="s">
        <v>2832</v>
      </c>
      <c r="M934" s="10" t="s">
        <v>2833</v>
      </c>
      <c r="N934" s="10" t="s">
        <v>8128</v>
      </c>
      <c r="O934" s="10" t="s">
        <v>8129</v>
      </c>
      <c r="P934" s="11">
        <v>711202431536</v>
      </c>
      <c r="Q934" s="10" t="s">
        <v>41</v>
      </c>
      <c r="R934" s="10" t="s">
        <v>8130</v>
      </c>
      <c r="S934" s="10" t="s">
        <v>8131</v>
      </c>
      <c r="T934" s="10"/>
      <c r="U934" s="10" t="s">
        <v>8132</v>
      </c>
      <c r="V934" s="3">
        <v>10000</v>
      </c>
      <c r="W934" s="3">
        <v>66909000</v>
      </c>
      <c r="X934" s="3">
        <v>2736000</v>
      </c>
      <c r="Y934" s="3">
        <v>0</v>
      </c>
      <c r="Z934" s="3">
        <v>7078000</v>
      </c>
      <c r="AA934" s="3">
        <v>12346000</v>
      </c>
      <c r="AB934" s="3">
        <v>6755000</v>
      </c>
      <c r="AC934" s="3">
        <v>0</v>
      </c>
      <c r="AD934" s="3">
        <v>0</v>
      </c>
      <c r="AE934" s="10" t="s">
        <v>317</v>
      </c>
      <c r="AF934" s="10" t="s">
        <v>1023</v>
      </c>
      <c r="AG934" s="10" t="s">
        <v>319</v>
      </c>
    </row>
    <row r="935" spans="1:33" ht="15.75" x14ac:dyDescent="0.25">
      <c r="A935" s="1">
        <v>1117746990349</v>
      </c>
      <c r="B935" s="6">
        <v>7723821428</v>
      </c>
      <c r="C935" s="7" t="s">
        <v>8133</v>
      </c>
      <c r="D935" s="7" t="s">
        <v>8134</v>
      </c>
      <c r="E935" s="6">
        <v>37288668</v>
      </c>
      <c r="F935" s="6">
        <v>45263573000</v>
      </c>
      <c r="G935" s="6">
        <v>16</v>
      </c>
      <c r="H935" s="6">
        <v>12300</v>
      </c>
      <c r="I935" s="6">
        <v>772001001</v>
      </c>
      <c r="J935" s="7" t="s">
        <v>8135</v>
      </c>
      <c r="K935" s="7"/>
      <c r="L935" s="1" t="s">
        <v>8136</v>
      </c>
      <c r="M935" s="7" t="s">
        <v>8137</v>
      </c>
      <c r="N935" s="7" t="s">
        <v>8138</v>
      </c>
      <c r="O935" s="7" t="s">
        <v>8139</v>
      </c>
      <c r="P935" s="8">
        <v>692500999500</v>
      </c>
      <c r="Q935" s="7" t="s">
        <v>41</v>
      </c>
      <c r="R935" s="7" t="s">
        <v>8140</v>
      </c>
      <c r="S935" s="7" t="s">
        <v>8141</v>
      </c>
      <c r="T935" s="7"/>
      <c r="U935" s="7"/>
      <c r="V935" s="1">
        <v>10000</v>
      </c>
      <c r="W935" s="1">
        <v>40970000</v>
      </c>
      <c r="X935" s="1">
        <v>14273000</v>
      </c>
      <c r="Y935" s="1">
        <v>2742000</v>
      </c>
      <c r="Z935" s="1">
        <v>10246000</v>
      </c>
      <c r="AA935" s="1">
        <v>5461000</v>
      </c>
      <c r="AB935" s="1">
        <v>10453000</v>
      </c>
      <c r="AC935" s="1">
        <v>0</v>
      </c>
      <c r="AD935" s="1">
        <v>0</v>
      </c>
      <c r="AE935" s="7" t="s">
        <v>317</v>
      </c>
      <c r="AF935" s="7" t="s">
        <v>286</v>
      </c>
      <c r="AG935" s="7" t="s">
        <v>319</v>
      </c>
    </row>
    <row r="936" spans="1:33" ht="15.75" x14ac:dyDescent="0.25">
      <c r="A936" s="3">
        <v>1157746581849</v>
      </c>
      <c r="B936" s="9">
        <v>7701356618</v>
      </c>
      <c r="C936" s="10" t="s">
        <v>8142</v>
      </c>
      <c r="D936" s="10" t="s">
        <v>8143</v>
      </c>
      <c r="E936" s="9">
        <v>44447860</v>
      </c>
      <c r="F936" s="9">
        <v>45296561000</v>
      </c>
      <c r="G936" s="9">
        <v>16</v>
      </c>
      <c r="H936" s="9">
        <v>12300</v>
      </c>
      <c r="I936" s="9">
        <v>772501001</v>
      </c>
      <c r="J936" s="10" t="s">
        <v>7961</v>
      </c>
      <c r="K936" s="10"/>
      <c r="L936" s="3" t="s">
        <v>3842</v>
      </c>
      <c r="M936" s="10" t="s">
        <v>7596</v>
      </c>
      <c r="N936" s="10" t="s">
        <v>8144</v>
      </c>
      <c r="O936" s="10" t="s">
        <v>8145</v>
      </c>
      <c r="P936" s="11">
        <v>772871223659</v>
      </c>
      <c r="Q936" s="10" t="s">
        <v>41</v>
      </c>
      <c r="R936" s="10" t="s">
        <v>8146</v>
      </c>
      <c r="S936" s="10" t="s">
        <v>8147</v>
      </c>
      <c r="T936" s="10" t="s">
        <v>8148</v>
      </c>
      <c r="U936" s="10" t="s">
        <v>8149</v>
      </c>
      <c r="V936" s="3">
        <v>10000</v>
      </c>
      <c r="W936" s="3">
        <v>39913000</v>
      </c>
      <c r="X936" s="3">
        <v>106000</v>
      </c>
      <c r="Y936" s="3">
        <v>9879000</v>
      </c>
      <c r="Z936" s="3">
        <v>12621000</v>
      </c>
      <c r="AA936" s="3">
        <v>8056000</v>
      </c>
      <c r="AB936" s="3">
        <v>35000</v>
      </c>
      <c r="AC936" s="3">
        <v>794000</v>
      </c>
      <c r="AD936" s="3">
        <v>363000</v>
      </c>
      <c r="AE936" s="10" t="s">
        <v>317</v>
      </c>
      <c r="AF936" s="10" t="s">
        <v>1534</v>
      </c>
      <c r="AG936" s="10" t="s">
        <v>319</v>
      </c>
    </row>
    <row r="937" spans="1:33" ht="15.75" x14ac:dyDescent="0.25">
      <c r="A937" s="1">
        <v>1107746085721</v>
      </c>
      <c r="B937" s="6">
        <v>7730621620</v>
      </c>
      <c r="C937" s="7" t="s">
        <v>8150</v>
      </c>
      <c r="D937" s="7" t="s">
        <v>8151</v>
      </c>
      <c r="E937" s="6">
        <v>65191643</v>
      </c>
      <c r="F937" s="6">
        <v>45268595000</v>
      </c>
      <c r="G937" s="6">
        <v>16</v>
      </c>
      <c r="H937" s="6">
        <v>12300</v>
      </c>
      <c r="I937" s="6">
        <v>773001001</v>
      </c>
      <c r="J937" s="7" t="s">
        <v>8152</v>
      </c>
      <c r="K937" s="7"/>
      <c r="L937" s="1" t="s">
        <v>3081</v>
      </c>
      <c r="M937" s="7" t="s">
        <v>3082</v>
      </c>
      <c r="N937" s="7" t="s">
        <v>8153</v>
      </c>
      <c r="O937" s="7" t="s">
        <v>8154</v>
      </c>
      <c r="P937" s="8">
        <v>501801838819</v>
      </c>
      <c r="Q937" s="7" t="s">
        <v>340</v>
      </c>
      <c r="R937" s="7" t="s">
        <v>8155</v>
      </c>
      <c r="S937" s="7" t="s">
        <v>8156</v>
      </c>
      <c r="T937" s="7"/>
      <c r="U937" s="7" t="s">
        <v>8157</v>
      </c>
      <c r="V937" s="1">
        <v>10000</v>
      </c>
      <c r="W937" s="1">
        <v>127021000</v>
      </c>
      <c r="X937" s="1">
        <v>0</v>
      </c>
      <c r="Y937" s="1">
        <v>16353000</v>
      </c>
      <c r="Z937" s="1">
        <v>22899000</v>
      </c>
      <c r="AA937" s="1">
        <v>2577000</v>
      </c>
      <c r="AB937" s="1">
        <v>20861000</v>
      </c>
      <c r="AC937" s="1">
        <v>0</v>
      </c>
      <c r="AD937" s="1">
        <v>0</v>
      </c>
      <c r="AE937" s="7" t="s">
        <v>317</v>
      </c>
      <c r="AF937" s="7" t="s">
        <v>352</v>
      </c>
      <c r="AG937" s="7" t="s">
        <v>319</v>
      </c>
    </row>
    <row r="938" spans="1:33" ht="15.75" x14ac:dyDescent="0.25">
      <c r="A938" s="3">
        <v>1107746086491</v>
      </c>
      <c r="B938" s="9">
        <v>7728726143</v>
      </c>
      <c r="C938" s="10" t="s">
        <v>8158</v>
      </c>
      <c r="D938" s="10" t="s">
        <v>8159</v>
      </c>
      <c r="E938" s="9">
        <v>65215898</v>
      </c>
      <c r="F938" s="9">
        <v>45268562000</v>
      </c>
      <c r="G938" s="9">
        <v>16</v>
      </c>
      <c r="H938" s="9">
        <v>12300</v>
      </c>
      <c r="I938" s="9">
        <v>773101001</v>
      </c>
      <c r="J938" s="10" t="s">
        <v>8152</v>
      </c>
      <c r="K938" s="10"/>
      <c r="L938" s="3" t="s">
        <v>8160</v>
      </c>
      <c r="M938" s="10" t="s">
        <v>8161</v>
      </c>
      <c r="N938" s="10" t="s">
        <v>8162</v>
      </c>
      <c r="O938" s="10" t="s">
        <v>8163</v>
      </c>
      <c r="P938" s="11">
        <v>503610981160</v>
      </c>
      <c r="Q938" s="10" t="s">
        <v>41</v>
      </c>
      <c r="R938" s="10" t="s">
        <v>8164</v>
      </c>
      <c r="S938" s="10" t="s">
        <v>8165</v>
      </c>
      <c r="T938" s="10"/>
      <c r="U938" s="10" t="s">
        <v>8166</v>
      </c>
      <c r="V938" s="3">
        <v>10000</v>
      </c>
      <c r="W938" s="3">
        <v>39628000</v>
      </c>
      <c r="X938" s="3">
        <v>1390000</v>
      </c>
      <c r="Y938" s="3">
        <v>0</v>
      </c>
      <c r="Z938" s="3">
        <v>0</v>
      </c>
      <c r="AA938" s="3">
        <v>683000</v>
      </c>
      <c r="AB938" s="3">
        <v>92000</v>
      </c>
      <c r="AC938" s="3">
        <v>0</v>
      </c>
      <c r="AD938" s="3">
        <v>0</v>
      </c>
      <c r="AE938" s="10" t="s">
        <v>317</v>
      </c>
      <c r="AF938" s="10" t="s">
        <v>1534</v>
      </c>
      <c r="AG938" s="10" t="s">
        <v>319</v>
      </c>
    </row>
    <row r="939" spans="1:33" ht="15.75" x14ac:dyDescent="0.25">
      <c r="A939" s="1">
        <v>1157746748081</v>
      </c>
      <c r="B939" s="6">
        <v>7709465626</v>
      </c>
      <c r="C939" s="7" t="s">
        <v>8167</v>
      </c>
      <c r="D939" s="7" t="s">
        <v>8168</v>
      </c>
      <c r="E939" s="6">
        <v>47411928</v>
      </c>
      <c r="F939" s="6">
        <v>45286555000</v>
      </c>
      <c r="G939" s="6">
        <v>16</v>
      </c>
      <c r="H939" s="6">
        <v>12300</v>
      </c>
      <c r="I939" s="6">
        <v>770901001</v>
      </c>
      <c r="J939" s="7" t="s">
        <v>8169</v>
      </c>
      <c r="K939" s="7"/>
      <c r="L939" s="1" t="s">
        <v>8170</v>
      </c>
      <c r="M939" s="7" t="s">
        <v>8171</v>
      </c>
      <c r="N939" s="7" t="s">
        <v>8172</v>
      </c>
      <c r="O939" s="7" t="s">
        <v>8173</v>
      </c>
      <c r="P939" s="8">
        <v>772912649720</v>
      </c>
      <c r="Q939" s="7" t="s">
        <v>41</v>
      </c>
      <c r="R939" s="7" t="s">
        <v>8174</v>
      </c>
      <c r="S939" s="7" t="s">
        <v>8175</v>
      </c>
      <c r="T939" s="7"/>
      <c r="U939" s="7"/>
      <c r="V939" s="1">
        <v>10000</v>
      </c>
      <c r="W939" s="1">
        <v>46356000</v>
      </c>
      <c r="X939" s="1">
        <v>0</v>
      </c>
      <c r="Y939" s="1">
        <v>31819000</v>
      </c>
      <c r="Z939" s="1">
        <v>68378000</v>
      </c>
      <c r="AA939" s="1">
        <v>45380000</v>
      </c>
      <c r="AB939" s="1">
        <v>8466000</v>
      </c>
      <c r="AC939" s="1">
        <v>0</v>
      </c>
      <c r="AD939" s="1">
        <v>0</v>
      </c>
      <c r="AE939" s="7" t="s">
        <v>317</v>
      </c>
      <c r="AF939" s="7" t="s">
        <v>530</v>
      </c>
      <c r="AG939" s="7" t="s">
        <v>319</v>
      </c>
    </row>
    <row r="940" spans="1:33" ht="15.75" x14ac:dyDescent="0.25">
      <c r="A940" s="3">
        <v>1157746648289</v>
      </c>
      <c r="B940" s="9">
        <v>7708261980</v>
      </c>
      <c r="C940" s="10" t="s">
        <v>8176</v>
      </c>
      <c r="D940" s="10" t="s">
        <v>8177</v>
      </c>
      <c r="E940" s="9">
        <v>42426463</v>
      </c>
      <c r="F940" s="9">
        <v>45277577000</v>
      </c>
      <c r="G940" s="9">
        <v>16</v>
      </c>
      <c r="H940" s="9">
        <v>12300</v>
      </c>
      <c r="I940" s="9">
        <v>771301001</v>
      </c>
      <c r="J940" s="10" t="s">
        <v>1018</v>
      </c>
      <c r="K940" s="10"/>
      <c r="L940" s="3" t="s">
        <v>8178</v>
      </c>
      <c r="M940" s="10" t="s">
        <v>8179</v>
      </c>
      <c r="N940" s="10" t="s">
        <v>8180</v>
      </c>
      <c r="O940" s="10" t="s">
        <v>8181</v>
      </c>
      <c r="P940" s="11">
        <v>610801947903</v>
      </c>
      <c r="Q940" s="10" t="s">
        <v>41</v>
      </c>
      <c r="R940" s="10" t="s">
        <v>8182</v>
      </c>
      <c r="S940" s="10" t="s">
        <v>8183</v>
      </c>
      <c r="T940" s="10"/>
      <c r="U940" s="10" t="s">
        <v>8184</v>
      </c>
      <c r="V940" s="3">
        <v>10000</v>
      </c>
      <c r="W940" s="3">
        <v>124705000</v>
      </c>
      <c r="X940" s="3">
        <v>8849000</v>
      </c>
      <c r="Y940" s="3">
        <v>15639000</v>
      </c>
      <c r="Z940" s="3">
        <v>23324000</v>
      </c>
      <c r="AA940" s="3">
        <v>24151000</v>
      </c>
      <c r="AB940" s="3">
        <v>6863000</v>
      </c>
      <c r="AC940" s="3">
        <v>0</v>
      </c>
      <c r="AD940" s="3">
        <v>0</v>
      </c>
      <c r="AE940" s="10" t="s">
        <v>317</v>
      </c>
      <c r="AF940" s="10" t="s">
        <v>1534</v>
      </c>
      <c r="AG940" s="10" t="s">
        <v>319</v>
      </c>
    </row>
    <row r="941" spans="1:33" ht="15.75" x14ac:dyDescent="0.25">
      <c r="A941" s="1">
        <v>1087746214346</v>
      </c>
      <c r="B941" s="6">
        <v>7723648580</v>
      </c>
      <c r="C941" s="7" t="s">
        <v>8185</v>
      </c>
      <c r="D941" s="7" t="s">
        <v>8186</v>
      </c>
      <c r="E941" s="6">
        <v>84829459</v>
      </c>
      <c r="F941" s="6">
        <v>45290558000</v>
      </c>
      <c r="G941" s="6">
        <v>16</v>
      </c>
      <c r="H941" s="6">
        <v>12300</v>
      </c>
      <c r="I941" s="6">
        <v>772301001</v>
      </c>
      <c r="J941" s="7" t="s">
        <v>8187</v>
      </c>
      <c r="K941" s="7"/>
      <c r="L941" s="1" t="s">
        <v>8188</v>
      </c>
      <c r="M941" s="7" t="s">
        <v>8189</v>
      </c>
      <c r="N941" s="7" t="s">
        <v>8190</v>
      </c>
      <c r="O941" s="7" t="s">
        <v>8191</v>
      </c>
      <c r="P941" s="8">
        <v>772603400912</v>
      </c>
      <c r="Q941" s="7" t="s">
        <v>340</v>
      </c>
      <c r="R941" s="7" t="s">
        <v>8192</v>
      </c>
      <c r="S941" s="7" t="s">
        <v>8193</v>
      </c>
      <c r="T941" s="7"/>
      <c r="U941" s="7"/>
      <c r="V941" s="1">
        <v>10000</v>
      </c>
      <c r="W941" s="1">
        <v>73708000</v>
      </c>
      <c r="X941" s="1">
        <v>23627000</v>
      </c>
      <c r="Y941" s="1">
        <v>160000</v>
      </c>
      <c r="Z941" s="1">
        <v>2469000</v>
      </c>
      <c r="AA941" s="1">
        <v>1712000</v>
      </c>
      <c r="AB941" s="1">
        <v>8300000</v>
      </c>
      <c r="AC941" s="1">
        <v>0</v>
      </c>
      <c r="AD941" s="1">
        <v>0</v>
      </c>
      <c r="AE941" s="7" t="s">
        <v>331</v>
      </c>
      <c r="AF941" s="7" t="s">
        <v>6457</v>
      </c>
      <c r="AG941" s="7" t="s">
        <v>319</v>
      </c>
    </row>
    <row r="942" spans="1:33" ht="15.75" x14ac:dyDescent="0.25">
      <c r="A942" s="3">
        <v>1107746182400</v>
      </c>
      <c r="B942" s="9">
        <v>7726648725</v>
      </c>
      <c r="C942" s="10" t="s">
        <v>8194</v>
      </c>
      <c r="D942" s="10" t="s">
        <v>8195</v>
      </c>
      <c r="E942" s="9">
        <v>65297525</v>
      </c>
      <c r="F942" s="9">
        <v>45296593000</v>
      </c>
      <c r="G942" s="9">
        <v>16</v>
      </c>
      <c r="H942" s="9">
        <v>12300</v>
      </c>
      <c r="I942" s="9">
        <v>772601001</v>
      </c>
      <c r="J942" s="10" t="s">
        <v>8196</v>
      </c>
      <c r="K942" s="10"/>
      <c r="L942" s="3" t="s">
        <v>7630</v>
      </c>
      <c r="M942" s="10" t="s">
        <v>7631</v>
      </c>
      <c r="N942" s="10" t="s">
        <v>8197</v>
      </c>
      <c r="O942" s="10" t="s">
        <v>8198</v>
      </c>
      <c r="P942" s="11">
        <v>772647136366</v>
      </c>
      <c r="Q942" s="10" t="s">
        <v>41</v>
      </c>
      <c r="R942" s="10" t="s">
        <v>8199</v>
      </c>
      <c r="S942" s="10" t="s">
        <v>8200</v>
      </c>
      <c r="T942" s="10"/>
      <c r="U942" s="10" t="s">
        <v>8201</v>
      </c>
      <c r="V942" s="3">
        <v>10000</v>
      </c>
      <c r="W942" s="3">
        <v>31567000</v>
      </c>
      <c r="X942" s="3">
        <v>386000</v>
      </c>
      <c r="Y942" s="3">
        <v>3950000</v>
      </c>
      <c r="Z942" s="3">
        <v>8446000</v>
      </c>
      <c r="AA942" s="3">
        <v>3188000</v>
      </c>
      <c r="AB942" s="3">
        <v>2133000</v>
      </c>
      <c r="AC942" s="3">
        <v>2648000</v>
      </c>
      <c r="AD942" s="3">
        <v>2630000</v>
      </c>
      <c r="AE942" s="10" t="s">
        <v>317</v>
      </c>
      <c r="AF942" s="10" t="s">
        <v>352</v>
      </c>
      <c r="AG942" s="10" t="s">
        <v>319</v>
      </c>
    </row>
    <row r="943" spans="1:33" ht="15.75" x14ac:dyDescent="0.25">
      <c r="A943" s="1">
        <v>1107746181113</v>
      </c>
      <c r="B943" s="6">
        <v>7714802637</v>
      </c>
      <c r="C943" s="7" t="s">
        <v>8202</v>
      </c>
      <c r="D943" s="7" t="s">
        <v>8203</v>
      </c>
      <c r="E943" s="6">
        <v>65294202</v>
      </c>
      <c r="F943" s="6">
        <v>45286555000</v>
      </c>
      <c r="G943" s="6">
        <v>16</v>
      </c>
      <c r="H943" s="6">
        <v>12300</v>
      </c>
      <c r="I943" s="6">
        <v>770101001</v>
      </c>
      <c r="J943" s="7" t="s">
        <v>8204</v>
      </c>
      <c r="K943" s="7"/>
      <c r="L943" s="1" t="s">
        <v>6574</v>
      </c>
      <c r="M943" s="7" t="s">
        <v>6575</v>
      </c>
      <c r="N943" s="7" t="s">
        <v>8205</v>
      </c>
      <c r="O943" s="7" t="s">
        <v>8206</v>
      </c>
      <c r="P943" s="8">
        <v>500801640422</v>
      </c>
      <c r="Q943" s="7" t="s">
        <v>41</v>
      </c>
      <c r="R943" s="7" t="s">
        <v>8207</v>
      </c>
      <c r="S943" s="7" t="s">
        <v>8208</v>
      </c>
      <c r="T943" s="7"/>
      <c r="U943" s="7"/>
      <c r="V943" s="1">
        <v>10000</v>
      </c>
      <c r="W943" s="1">
        <v>56556000</v>
      </c>
      <c r="X943" s="1">
        <v>71000</v>
      </c>
      <c r="Y943" s="1">
        <v>1168000</v>
      </c>
      <c r="Z943" s="1">
        <v>35338000</v>
      </c>
      <c r="AA943" s="1">
        <v>11795000</v>
      </c>
      <c r="AB943" s="1">
        <v>32676000</v>
      </c>
      <c r="AC943" s="1">
        <v>0</v>
      </c>
      <c r="AD943" s="1">
        <v>0</v>
      </c>
      <c r="AE943" s="7" t="s">
        <v>317</v>
      </c>
      <c r="AF943" s="7" t="s">
        <v>1534</v>
      </c>
      <c r="AG943" s="7" t="s">
        <v>319</v>
      </c>
    </row>
    <row r="944" spans="1:33" ht="15.75" x14ac:dyDescent="0.25">
      <c r="A944" s="3">
        <v>1107746151919</v>
      </c>
      <c r="B944" s="9">
        <v>7723749838</v>
      </c>
      <c r="C944" s="10" t="s">
        <v>8209</v>
      </c>
      <c r="D944" s="10" t="s">
        <v>8210</v>
      </c>
      <c r="E944" s="9">
        <v>65278249</v>
      </c>
      <c r="F944" s="9">
        <v>46448000000</v>
      </c>
      <c r="G944" s="9">
        <v>16</v>
      </c>
      <c r="H944" s="9">
        <v>12300</v>
      </c>
      <c r="I944" s="9">
        <v>502701001</v>
      </c>
      <c r="J944" s="10" t="s">
        <v>7828</v>
      </c>
      <c r="K944" s="10"/>
      <c r="L944" s="3" t="s">
        <v>8211</v>
      </c>
      <c r="M944" s="10" t="s">
        <v>8212</v>
      </c>
      <c r="N944" s="10" t="s">
        <v>8213</v>
      </c>
      <c r="O944" s="10" t="s">
        <v>8214</v>
      </c>
      <c r="P944" s="11">
        <v>440111281321</v>
      </c>
      <c r="Q944" s="10" t="s">
        <v>1076</v>
      </c>
      <c r="R944" s="10" t="s">
        <v>8215</v>
      </c>
      <c r="S944" s="10" t="s">
        <v>8216</v>
      </c>
      <c r="T944" s="10"/>
      <c r="U944" s="10"/>
      <c r="V944" s="3">
        <v>10000</v>
      </c>
      <c r="W944" s="3">
        <v>112261000</v>
      </c>
      <c r="X944" s="3">
        <v>0</v>
      </c>
      <c r="Y944" s="3">
        <v>21000</v>
      </c>
      <c r="Z944" s="3">
        <v>17594000</v>
      </c>
      <c r="AA944" s="3">
        <v>11850000</v>
      </c>
      <c r="AB944" s="3">
        <v>13668000</v>
      </c>
      <c r="AC944" s="3">
        <v>0</v>
      </c>
      <c r="AD944" s="3">
        <v>0</v>
      </c>
      <c r="AE944" s="10" t="s">
        <v>317</v>
      </c>
      <c r="AF944" s="10" t="s">
        <v>318</v>
      </c>
      <c r="AG944" s="10" t="s">
        <v>319</v>
      </c>
    </row>
    <row r="945" spans="1:33" ht="15.75" x14ac:dyDescent="0.25">
      <c r="A945" s="1">
        <v>1107746175305</v>
      </c>
      <c r="B945" s="6">
        <v>7734631683</v>
      </c>
      <c r="C945" s="7" t="s">
        <v>8217</v>
      </c>
      <c r="D945" s="7" t="s">
        <v>8218</v>
      </c>
      <c r="E945" s="6">
        <v>65316234</v>
      </c>
      <c r="F945" s="6">
        <v>45283577000</v>
      </c>
      <c r="G945" s="6">
        <v>16</v>
      </c>
      <c r="H945" s="6">
        <v>12300</v>
      </c>
      <c r="I945" s="6">
        <v>773401001</v>
      </c>
      <c r="J945" s="7" t="s">
        <v>8219</v>
      </c>
      <c r="K945" s="7"/>
      <c r="L945" s="1" t="s">
        <v>336</v>
      </c>
      <c r="M945" s="7" t="s">
        <v>337</v>
      </c>
      <c r="N945" s="7" t="s">
        <v>8220</v>
      </c>
      <c r="O945" s="7" t="s">
        <v>8221</v>
      </c>
      <c r="P945" s="8">
        <v>773411215883</v>
      </c>
      <c r="Q945" s="7" t="s">
        <v>340</v>
      </c>
      <c r="R945" s="7" t="s">
        <v>8222</v>
      </c>
      <c r="S945" s="7" t="s">
        <v>8223</v>
      </c>
      <c r="T945" s="7"/>
      <c r="U945" s="7" t="s">
        <v>8224</v>
      </c>
      <c r="V945" s="1">
        <v>10000</v>
      </c>
      <c r="W945" s="1">
        <v>71610000</v>
      </c>
      <c r="X945" s="1">
        <v>0</v>
      </c>
      <c r="Y945" s="1">
        <v>16443000</v>
      </c>
      <c r="Z945" s="1">
        <v>26617000</v>
      </c>
      <c r="AA945" s="1">
        <v>34057000</v>
      </c>
      <c r="AB945" s="1">
        <v>19785000</v>
      </c>
      <c r="AC945" s="1">
        <v>18896000</v>
      </c>
      <c r="AD945" s="1">
        <v>19785000</v>
      </c>
      <c r="AE945" s="7" t="s">
        <v>317</v>
      </c>
      <c r="AF945" s="7" t="s">
        <v>461</v>
      </c>
      <c r="AG945" s="7" t="s">
        <v>319</v>
      </c>
    </row>
    <row r="946" spans="1:33" ht="15.75" x14ac:dyDescent="0.25">
      <c r="A946" s="3">
        <v>1107746127180</v>
      </c>
      <c r="B946" s="9">
        <v>7704747472</v>
      </c>
      <c r="C946" s="10" t="s">
        <v>8225</v>
      </c>
      <c r="D946" s="10" t="s">
        <v>8226</v>
      </c>
      <c r="E946" s="9">
        <v>65258229</v>
      </c>
      <c r="F946" s="9">
        <v>45286590000</v>
      </c>
      <c r="G946" s="9">
        <v>16</v>
      </c>
      <c r="H946" s="9">
        <v>12300</v>
      </c>
      <c r="I946" s="9">
        <v>770401001</v>
      </c>
      <c r="J946" s="10" t="s">
        <v>4824</v>
      </c>
      <c r="K946" s="10"/>
      <c r="L946" s="3" t="s">
        <v>1286</v>
      </c>
      <c r="M946" s="10" t="s">
        <v>1287</v>
      </c>
      <c r="N946" s="10" t="s">
        <v>8227</v>
      </c>
      <c r="O946" s="10" t="s">
        <v>8228</v>
      </c>
      <c r="P946" s="11">
        <v>771303650959</v>
      </c>
      <c r="Q946" s="10" t="s">
        <v>41</v>
      </c>
      <c r="R946" s="10" t="s">
        <v>8229</v>
      </c>
      <c r="S946" s="10" t="s">
        <v>8230</v>
      </c>
      <c r="T946" s="10"/>
      <c r="U946" s="10"/>
      <c r="V946" s="3">
        <v>10000</v>
      </c>
      <c r="W946" s="3">
        <v>97200000</v>
      </c>
      <c r="X946" s="3">
        <v>0</v>
      </c>
      <c r="Y946" s="3">
        <v>0</v>
      </c>
      <c r="Z946" s="3">
        <v>44720000</v>
      </c>
      <c r="AA946" s="3">
        <v>49816000</v>
      </c>
      <c r="AB946" s="3">
        <v>-6408000</v>
      </c>
      <c r="AC946" s="3">
        <v>0</v>
      </c>
      <c r="AD946" s="3">
        <v>0</v>
      </c>
      <c r="AE946" s="10" t="s">
        <v>331</v>
      </c>
      <c r="AF946" s="10" t="s">
        <v>1896</v>
      </c>
      <c r="AG946" s="10" t="s">
        <v>319</v>
      </c>
    </row>
    <row r="947" spans="1:33" ht="15.75" x14ac:dyDescent="0.25">
      <c r="A947" s="1">
        <v>1107746070453</v>
      </c>
      <c r="B947" s="6">
        <v>7723746989</v>
      </c>
      <c r="C947" s="7" t="s">
        <v>8231</v>
      </c>
      <c r="D947" s="7" t="s">
        <v>8232</v>
      </c>
      <c r="E947" s="6">
        <v>65198384</v>
      </c>
      <c r="F947" s="6">
        <v>45277556000</v>
      </c>
      <c r="G947" s="6">
        <v>16</v>
      </c>
      <c r="H947" s="6">
        <v>12300</v>
      </c>
      <c r="I947" s="6">
        <v>771401001</v>
      </c>
      <c r="J947" s="7" t="s">
        <v>8233</v>
      </c>
      <c r="K947" s="7"/>
      <c r="L947" s="1" t="s">
        <v>8160</v>
      </c>
      <c r="M947" s="7" t="s">
        <v>8161</v>
      </c>
      <c r="N947" s="7" t="s">
        <v>8234</v>
      </c>
      <c r="O947" s="7" t="s">
        <v>8235</v>
      </c>
      <c r="P947" s="8">
        <v>503701880842</v>
      </c>
      <c r="Q947" s="7" t="s">
        <v>41</v>
      </c>
      <c r="R947" s="7" t="s">
        <v>8236</v>
      </c>
      <c r="S947" s="7" t="s">
        <v>8237</v>
      </c>
      <c r="T947" s="7"/>
      <c r="U947" s="7" t="s">
        <v>8238</v>
      </c>
      <c r="V947" s="1">
        <v>10000</v>
      </c>
      <c r="W947" s="1">
        <v>99383000</v>
      </c>
      <c r="X947" s="1">
        <v>1584000</v>
      </c>
      <c r="Y947" s="1">
        <v>341000</v>
      </c>
      <c r="Z947" s="1">
        <v>19734000</v>
      </c>
      <c r="AA947" s="1">
        <v>9902000</v>
      </c>
      <c r="AB947" s="1">
        <v>49667000</v>
      </c>
      <c r="AC947" s="1">
        <v>0</v>
      </c>
      <c r="AD947" s="1">
        <v>0</v>
      </c>
      <c r="AE947" s="7" t="s">
        <v>317</v>
      </c>
      <c r="AF947" s="7" t="s">
        <v>530</v>
      </c>
      <c r="AG947" s="7" t="s">
        <v>319</v>
      </c>
    </row>
    <row r="948" spans="1:33" ht="15.75" x14ac:dyDescent="0.25">
      <c r="A948" s="3">
        <v>1157746733011</v>
      </c>
      <c r="B948" s="9">
        <v>7751008895</v>
      </c>
      <c r="C948" s="10" t="s">
        <v>8239</v>
      </c>
      <c r="D948" s="10" t="s">
        <v>8240</v>
      </c>
      <c r="E948" s="9">
        <v>47344059</v>
      </c>
      <c r="F948" s="9">
        <v>45280572000</v>
      </c>
      <c r="G948" s="9">
        <v>16</v>
      </c>
      <c r="H948" s="9">
        <v>12300</v>
      </c>
      <c r="I948" s="9">
        <v>771701001</v>
      </c>
      <c r="J948" s="10" t="s">
        <v>8096</v>
      </c>
      <c r="K948" s="10"/>
      <c r="L948" s="3" t="s">
        <v>7014</v>
      </c>
      <c r="M948" s="10" t="s">
        <v>7015</v>
      </c>
      <c r="N948" s="10" t="s">
        <v>8241</v>
      </c>
      <c r="O948" s="10" t="s">
        <v>8242</v>
      </c>
      <c r="P948" s="11">
        <v>610801273524</v>
      </c>
      <c r="Q948" s="10" t="s">
        <v>41</v>
      </c>
      <c r="R948" s="10" t="s">
        <v>8243</v>
      </c>
      <c r="S948" s="10" t="s">
        <v>8244</v>
      </c>
      <c r="T948" s="10"/>
      <c r="U948" s="10" t="s">
        <v>8245</v>
      </c>
      <c r="V948" s="3">
        <v>10000</v>
      </c>
      <c r="W948" s="3">
        <v>30102000</v>
      </c>
      <c r="X948" s="3">
        <v>0</v>
      </c>
      <c r="Y948" s="3">
        <v>1910000</v>
      </c>
      <c r="Z948" s="3">
        <v>15929000</v>
      </c>
      <c r="AA948" s="3">
        <v>4695000</v>
      </c>
      <c r="AB948" s="3">
        <v>7288000</v>
      </c>
      <c r="AC948" s="3">
        <v>0</v>
      </c>
      <c r="AD948" s="3">
        <v>0</v>
      </c>
      <c r="AE948" s="10" t="s">
        <v>317</v>
      </c>
      <c r="AF948" s="10" t="s">
        <v>1023</v>
      </c>
      <c r="AG948" s="10" t="s">
        <v>319</v>
      </c>
    </row>
    <row r="949" spans="1:33" ht="15.75" x14ac:dyDescent="0.25">
      <c r="A949" s="1">
        <v>1157746720812</v>
      </c>
      <c r="B949" s="6">
        <v>7717297284</v>
      </c>
      <c r="C949" s="7" t="s">
        <v>8246</v>
      </c>
      <c r="D949" s="7" t="s">
        <v>8247</v>
      </c>
      <c r="E949" s="6">
        <v>49924046</v>
      </c>
      <c r="F949" s="6">
        <v>45280572000</v>
      </c>
      <c r="G949" s="6">
        <v>16</v>
      </c>
      <c r="H949" s="6">
        <v>12300</v>
      </c>
      <c r="I949" s="6">
        <v>771701001</v>
      </c>
      <c r="J949" s="7" t="s">
        <v>7488</v>
      </c>
      <c r="K949" s="7"/>
      <c r="L949" s="1" t="s">
        <v>8248</v>
      </c>
      <c r="M949" s="7" t="s">
        <v>8249</v>
      </c>
      <c r="N949" s="7"/>
      <c r="O949" s="7" t="s">
        <v>8250</v>
      </c>
      <c r="P949" s="8">
        <v>770402954850</v>
      </c>
      <c r="Q949" s="7" t="s">
        <v>41</v>
      </c>
      <c r="R949" s="7" t="s">
        <v>8251</v>
      </c>
      <c r="S949" s="7" t="s">
        <v>8252</v>
      </c>
      <c r="T949" s="7" t="s">
        <v>8253</v>
      </c>
      <c r="U949" s="7" t="s">
        <v>8254</v>
      </c>
      <c r="V949" s="1">
        <v>10000</v>
      </c>
      <c r="W949" s="1">
        <v>49558000</v>
      </c>
      <c r="X949" s="1">
        <v>162000</v>
      </c>
      <c r="Y949" s="1">
        <v>0</v>
      </c>
      <c r="Z949" s="1">
        <v>12217000</v>
      </c>
      <c r="AA949" s="1">
        <v>7413000</v>
      </c>
      <c r="AB949" s="1">
        <v>9885000</v>
      </c>
      <c r="AC949" s="1">
        <v>0</v>
      </c>
      <c r="AD949" s="1">
        <v>0</v>
      </c>
      <c r="AE949" s="7" t="s">
        <v>331</v>
      </c>
      <c r="AF949" s="7" t="s">
        <v>821</v>
      </c>
      <c r="AG949" s="7" t="s">
        <v>319</v>
      </c>
    </row>
    <row r="950" spans="1:33" ht="15.75" x14ac:dyDescent="0.25">
      <c r="A950" s="3">
        <v>1107746096248</v>
      </c>
      <c r="B950" s="9">
        <v>7701866217</v>
      </c>
      <c r="C950" s="10" t="s">
        <v>8255</v>
      </c>
      <c r="D950" s="10" t="s">
        <v>8256</v>
      </c>
      <c r="E950" s="9">
        <v>65188836</v>
      </c>
      <c r="F950" s="9">
        <v>45268584000</v>
      </c>
      <c r="G950" s="9">
        <v>16</v>
      </c>
      <c r="H950" s="9">
        <v>12300</v>
      </c>
      <c r="I950" s="9">
        <v>772901001</v>
      </c>
      <c r="J950" s="10" t="s">
        <v>8257</v>
      </c>
      <c r="K950" s="10"/>
      <c r="L950" s="3" t="s">
        <v>8258</v>
      </c>
      <c r="M950" s="10" t="s">
        <v>8259</v>
      </c>
      <c r="N950" s="10" t="s">
        <v>8260</v>
      </c>
      <c r="O950" s="10" t="s">
        <v>8261</v>
      </c>
      <c r="P950" s="11">
        <v>360205544706</v>
      </c>
      <c r="Q950" s="10" t="s">
        <v>41</v>
      </c>
      <c r="R950" s="10" t="s">
        <v>8262</v>
      </c>
      <c r="S950" s="10" t="s">
        <v>8263</v>
      </c>
      <c r="T950" s="10"/>
      <c r="U950" s="10"/>
      <c r="V950" s="3">
        <v>10000</v>
      </c>
      <c r="W950" s="3">
        <v>53262000</v>
      </c>
      <c r="X950" s="3">
        <v>1140000</v>
      </c>
      <c r="Y950" s="3">
        <v>7159000</v>
      </c>
      <c r="Z950" s="3">
        <v>9885000</v>
      </c>
      <c r="AA950" s="3">
        <v>2451000</v>
      </c>
      <c r="AB950" s="3">
        <v>3555000</v>
      </c>
      <c r="AC950" s="3">
        <v>0</v>
      </c>
      <c r="AD950" s="3">
        <v>0</v>
      </c>
      <c r="AE950" s="10" t="s">
        <v>317</v>
      </c>
      <c r="AF950" s="10" t="s">
        <v>1534</v>
      </c>
      <c r="AG950" s="10" t="s">
        <v>319</v>
      </c>
    </row>
    <row r="951" spans="1:33" ht="15.75" x14ac:dyDescent="0.25">
      <c r="A951" s="1">
        <v>1157746745287</v>
      </c>
      <c r="B951" s="6">
        <v>7714351374</v>
      </c>
      <c r="C951" s="7" t="s">
        <v>8264</v>
      </c>
      <c r="D951" s="7" t="s">
        <v>8265</v>
      </c>
      <c r="E951" s="6">
        <v>47353042</v>
      </c>
      <c r="F951" s="6">
        <v>45277598000</v>
      </c>
      <c r="G951" s="6">
        <v>16</v>
      </c>
      <c r="H951" s="6">
        <v>12300</v>
      </c>
      <c r="I951" s="6">
        <v>771401001</v>
      </c>
      <c r="J951" s="7" t="s">
        <v>8169</v>
      </c>
      <c r="K951" s="7"/>
      <c r="L951" s="1" t="s">
        <v>1055</v>
      </c>
      <c r="M951" s="7" t="s">
        <v>1056</v>
      </c>
      <c r="N951" s="7" t="s">
        <v>8266</v>
      </c>
      <c r="O951" s="7" t="s">
        <v>8267</v>
      </c>
      <c r="P951" s="8">
        <v>771475995280</v>
      </c>
      <c r="Q951" s="7" t="s">
        <v>41</v>
      </c>
      <c r="R951" s="7" t="s">
        <v>8268</v>
      </c>
      <c r="S951" s="7" t="s">
        <v>8269</v>
      </c>
      <c r="T951" s="7"/>
      <c r="U951" s="7" t="s">
        <v>8270</v>
      </c>
      <c r="V951" s="1">
        <v>10000</v>
      </c>
      <c r="W951" s="1">
        <v>60148000</v>
      </c>
      <c r="X951" s="1">
        <v>0</v>
      </c>
      <c r="Y951" s="1">
        <v>0</v>
      </c>
      <c r="Z951" s="1">
        <v>46487000</v>
      </c>
      <c r="AA951" s="1">
        <v>5605000</v>
      </c>
      <c r="AB951" s="1">
        <v>3987000</v>
      </c>
      <c r="AC951" s="1">
        <v>0</v>
      </c>
      <c r="AD951" s="1">
        <v>0</v>
      </c>
      <c r="AE951" s="7" t="s">
        <v>317</v>
      </c>
      <c r="AF951" s="7" t="s">
        <v>530</v>
      </c>
      <c r="AG951" s="7" t="s">
        <v>319</v>
      </c>
    </row>
    <row r="952" spans="1:33" ht="15.75" x14ac:dyDescent="0.25">
      <c r="A952" s="1">
        <v>1157746576360</v>
      </c>
      <c r="B952" s="6">
        <v>7716797615</v>
      </c>
      <c r="C952" s="7" t="s">
        <v>8271</v>
      </c>
      <c r="D952" s="7" t="s">
        <v>8272</v>
      </c>
      <c r="E952" s="6">
        <v>46855310</v>
      </c>
      <c r="F952" s="6">
        <v>45296559000</v>
      </c>
      <c r="G952" s="6">
        <v>16</v>
      </c>
      <c r="H952" s="6">
        <v>12300</v>
      </c>
      <c r="I952" s="6">
        <v>772501001</v>
      </c>
      <c r="J952" s="7" t="s">
        <v>7727</v>
      </c>
      <c r="K952" s="7"/>
      <c r="L952" s="1" t="s">
        <v>445</v>
      </c>
      <c r="M952" s="7" t="s">
        <v>446</v>
      </c>
      <c r="N952" s="7" t="s">
        <v>8273</v>
      </c>
      <c r="O952" s="7" t="s">
        <v>8274</v>
      </c>
      <c r="P952" s="8">
        <v>500800072199</v>
      </c>
      <c r="Q952" s="7" t="s">
        <v>41</v>
      </c>
      <c r="R952" s="7" t="s">
        <v>8275</v>
      </c>
      <c r="S952" s="7" t="s">
        <v>8276</v>
      </c>
      <c r="T952" s="7"/>
      <c r="U952" s="7"/>
      <c r="V952" s="1">
        <v>10000</v>
      </c>
      <c r="W952" s="1">
        <v>34318000</v>
      </c>
      <c r="X952" s="1">
        <v>556072000</v>
      </c>
      <c r="Y952" s="1">
        <v>0</v>
      </c>
      <c r="Z952" s="1">
        <v>102211000</v>
      </c>
      <c r="AA952" s="1">
        <v>193140000</v>
      </c>
      <c r="AB952" s="1">
        <v>-13123000</v>
      </c>
      <c r="AC952" s="1">
        <v>0</v>
      </c>
      <c r="AD952" s="1">
        <v>0</v>
      </c>
      <c r="AE952" s="7" t="s">
        <v>331</v>
      </c>
      <c r="AF952" s="7" t="s">
        <v>512</v>
      </c>
      <c r="AG952" s="7" t="s">
        <v>319</v>
      </c>
    </row>
    <row r="953" spans="1:33" ht="15.75" x14ac:dyDescent="0.25">
      <c r="A953" s="3">
        <v>1107746048244</v>
      </c>
      <c r="B953" s="9">
        <v>7724734721</v>
      </c>
      <c r="C953" s="10" t="s">
        <v>8277</v>
      </c>
      <c r="D953" s="10" t="s">
        <v>8278</v>
      </c>
      <c r="E953" s="9">
        <v>65176371</v>
      </c>
      <c r="F953" s="9">
        <v>45296590000</v>
      </c>
      <c r="G953" s="9">
        <v>16</v>
      </c>
      <c r="H953" s="9">
        <v>12300</v>
      </c>
      <c r="I953" s="9">
        <v>772401001</v>
      </c>
      <c r="J953" s="10" t="s">
        <v>8279</v>
      </c>
      <c r="K953" s="10"/>
      <c r="L953" s="3" t="s">
        <v>8280</v>
      </c>
      <c r="M953" s="10" t="s">
        <v>8281</v>
      </c>
      <c r="N953" s="10" t="s">
        <v>8282</v>
      </c>
      <c r="O953" s="10" t="s">
        <v>8283</v>
      </c>
      <c r="P953" s="11">
        <v>772737711444</v>
      </c>
      <c r="Q953" s="10" t="s">
        <v>41</v>
      </c>
      <c r="R953" s="10" t="s">
        <v>8284</v>
      </c>
      <c r="S953" s="10" t="s">
        <v>8285</v>
      </c>
      <c r="T953" s="10"/>
      <c r="U953" s="10" t="s">
        <v>8286</v>
      </c>
      <c r="V953" s="3">
        <v>10000</v>
      </c>
      <c r="W953" s="3">
        <v>40824000</v>
      </c>
      <c r="X953" s="3">
        <v>663000</v>
      </c>
      <c r="Y953" s="3">
        <v>0</v>
      </c>
      <c r="Z953" s="3">
        <v>25418000</v>
      </c>
      <c r="AA953" s="3">
        <v>3413000</v>
      </c>
      <c r="AB953" s="3">
        <v>3529000</v>
      </c>
      <c r="AC953" s="3">
        <v>0</v>
      </c>
      <c r="AD953" s="3">
        <v>0</v>
      </c>
      <c r="AE953" s="10" t="s">
        <v>317</v>
      </c>
      <c r="AF953" s="10" t="s">
        <v>512</v>
      </c>
      <c r="AG953" s="10" t="s">
        <v>319</v>
      </c>
    </row>
    <row r="954" spans="1:33" ht="15.75" x14ac:dyDescent="0.25">
      <c r="A954" s="1">
        <v>1107746165636</v>
      </c>
      <c r="B954" s="6">
        <v>7727712444</v>
      </c>
      <c r="C954" s="7" t="s">
        <v>8287</v>
      </c>
      <c r="D954" s="7" t="s">
        <v>8288</v>
      </c>
      <c r="E954" s="6">
        <v>65315045</v>
      </c>
      <c r="F954" s="6">
        <v>45286590000</v>
      </c>
      <c r="G954" s="6">
        <v>16</v>
      </c>
      <c r="H954" s="6">
        <v>12300</v>
      </c>
      <c r="I954" s="6">
        <v>770401001</v>
      </c>
      <c r="J954" s="7" t="s">
        <v>8289</v>
      </c>
      <c r="K954" s="7"/>
      <c r="L954" s="1" t="s">
        <v>1286</v>
      </c>
      <c r="M954" s="7" t="s">
        <v>1287</v>
      </c>
      <c r="N954" s="7" t="s">
        <v>8290</v>
      </c>
      <c r="O954" s="7" t="s">
        <v>8291</v>
      </c>
      <c r="P954" s="8">
        <v>504106383812</v>
      </c>
      <c r="Q954" s="7" t="s">
        <v>41</v>
      </c>
      <c r="R954" s="7" t="s">
        <v>8292</v>
      </c>
      <c r="S954" s="7" t="s">
        <v>8293</v>
      </c>
      <c r="T954" s="7"/>
      <c r="U954" s="7"/>
      <c r="V954" s="1">
        <v>10000</v>
      </c>
      <c r="W954" s="1">
        <v>122849000</v>
      </c>
      <c r="X954" s="1">
        <v>517000</v>
      </c>
      <c r="Y954" s="1">
        <v>0</v>
      </c>
      <c r="Z954" s="1">
        <v>22436000</v>
      </c>
      <c r="AA954" s="1">
        <v>21798000</v>
      </c>
      <c r="AB954" s="1">
        <v>-5487000</v>
      </c>
      <c r="AC954" s="1">
        <v>-3048000</v>
      </c>
      <c r="AD954" s="1">
        <v>-4332000</v>
      </c>
      <c r="AE954" s="7" t="s">
        <v>331</v>
      </c>
      <c r="AF954" s="7" t="s">
        <v>132</v>
      </c>
      <c r="AG954" s="7" t="s">
        <v>319</v>
      </c>
    </row>
    <row r="955" spans="1:33" ht="15.75" x14ac:dyDescent="0.25">
      <c r="A955" s="3">
        <v>1175029026160</v>
      </c>
      <c r="B955" s="9">
        <v>5047204665</v>
      </c>
      <c r="C955" s="10" t="s">
        <v>8294</v>
      </c>
      <c r="D955" s="10" t="s">
        <v>8295</v>
      </c>
      <c r="E955" s="9">
        <v>20047682</v>
      </c>
      <c r="F955" s="9">
        <v>46483000000</v>
      </c>
      <c r="G955" s="9">
        <v>16</v>
      </c>
      <c r="H955" s="9">
        <v>12300</v>
      </c>
      <c r="I955" s="9">
        <v>504701001</v>
      </c>
      <c r="J955" s="10" t="s">
        <v>8296</v>
      </c>
      <c r="K955" s="10"/>
      <c r="L955" s="3" t="s">
        <v>6552</v>
      </c>
      <c r="M955" s="10" t="s">
        <v>6553</v>
      </c>
      <c r="N955" s="10" t="s">
        <v>8297</v>
      </c>
      <c r="O955" s="10" t="s">
        <v>8298</v>
      </c>
      <c r="P955" s="11">
        <v>504701404179</v>
      </c>
      <c r="Q955" s="10" t="s">
        <v>41</v>
      </c>
      <c r="R955" s="10" t="s">
        <v>8299</v>
      </c>
      <c r="S955" s="10" t="s">
        <v>8300</v>
      </c>
      <c r="T955" s="10"/>
      <c r="U955" s="10"/>
      <c r="V955" s="3">
        <v>10000</v>
      </c>
      <c r="W955" s="3">
        <v>57973000</v>
      </c>
      <c r="X955" s="3">
        <v>7099000</v>
      </c>
      <c r="Y955" s="3">
        <v>3054000</v>
      </c>
      <c r="Z955" s="3">
        <v>2877000</v>
      </c>
      <c r="AA955" s="3">
        <v>4910000</v>
      </c>
      <c r="AB955" s="3">
        <v>3654000</v>
      </c>
      <c r="AC955" s="3">
        <v>0</v>
      </c>
      <c r="AD955" s="3">
        <v>0</v>
      </c>
      <c r="AE955" s="10" t="s">
        <v>317</v>
      </c>
      <c r="AF955" s="10" t="s">
        <v>493</v>
      </c>
      <c r="AG955" s="10" t="s">
        <v>319</v>
      </c>
    </row>
    <row r="956" spans="1:33" ht="15.75" x14ac:dyDescent="0.25">
      <c r="A956" s="1">
        <v>1107746054020</v>
      </c>
      <c r="B956" s="6">
        <v>7709847294</v>
      </c>
      <c r="C956" s="7" t="s">
        <v>8301</v>
      </c>
      <c r="D956" s="7" t="s">
        <v>8302</v>
      </c>
      <c r="E956" s="6">
        <v>65196161</v>
      </c>
      <c r="F956" s="6">
        <v>45268595000</v>
      </c>
      <c r="G956" s="6">
        <v>16</v>
      </c>
      <c r="H956" s="6">
        <v>12300</v>
      </c>
      <c r="I956" s="6">
        <v>773001001</v>
      </c>
      <c r="J956" s="7" t="s">
        <v>8041</v>
      </c>
      <c r="K956" s="7"/>
      <c r="L956" s="1" t="s">
        <v>5888</v>
      </c>
      <c r="M956" s="7" t="s">
        <v>5889</v>
      </c>
      <c r="N956" s="7" t="s">
        <v>8303</v>
      </c>
      <c r="O956" s="7" t="s">
        <v>8304</v>
      </c>
      <c r="P956" s="8">
        <v>231214222134</v>
      </c>
      <c r="Q956" s="7" t="s">
        <v>41</v>
      </c>
      <c r="R956" s="7" t="s">
        <v>8305</v>
      </c>
      <c r="S956" s="7" t="s">
        <v>8306</v>
      </c>
      <c r="T956" s="7"/>
      <c r="U956" s="7" t="s">
        <v>8307</v>
      </c>
      <c r="V956" s="1">
        <v>10000</v>
      </c>
      <c r="W956" s="1">
        <v>55134000</v>
      </c>
      <c r="X956" s="1">
        <v>245000</v>
      </c>
      <c r="Y956" s="1">
        <v>2596000</v>
      </c>
      <c r="Z956" s="1">
        <v>2368000</v>
      </c>
      <c r="AA956" s="1">
        <v>774000</v>
      </c>
      <c r="AB956" s="1">
        <v>7302000</v>
      </c>
      <c r="AC956" s="1">
        <v>0</v>
      </c>
      <c r="AD956" s="1">
        <v>0</v>
      </c>
      <c r="AE956" s="7" t="s">
        <v>317</v>
      </c>
      <c r="AF956" s="7" t="s">
        <v>1727</v>
      </c>
      <c r="AG956" s="7" t="s">
        <v>319</v>
      </c>
    </row>
    <row r="957" spans="1:33" ht="15.75" x14ac:dyDescent="0.25">
      <c r="A957" s="3">
        <v>1107746077900</v>
      </c>
      <c r="B957" s="9">
        <v>7714800206</v>
      </c>
      <c r="C957" s="10" t="s">
        <v>8308</v>
      </c>
      <c r="D957" s="10" t="s">
        <v>8309</v>
      </c>
      <c r="E957" s="9">
        <v>65201100</v>
      </c>
      <c r="F957" s="9">
        <v>45277553000</v>
      </c>
      <c r="G957" s="9">
        <v>16</v>
      </c>
      <c r="H957" s="9">
        <v>12300</v>
      </c>
      <c r="I957" s="9">
        <v>771401001</v>
      </c>
      <c r="J957" s="10" t="s">
        <v>7843</v>
      </c>
      <c r="K957" s="10"/>
      <c r="L957" s="3" t="s">
        <v>1661</v>
      </c>
      <c r="M957" s="10" t="s">
        <v>1662</v>
      </c>
      <c r="N957" s="10" t="s">
        <v>8310</v>
      </c>
      <c r="O957" s="10" t="s">
        <v>8311</v>
      </c>
      <c r="P957" s="11">
        <v>773365073078</v>
      </c>
      <c r="Q957" s="10" t="s">
        <v>150</v>
      </c>
      <c r="R957" s="10" t="s">
        <v>8312</v>
      </c>
      <c r="S957" s="10" t="s">
        <v>8313</v>
      </c>
      <c r="T957" s="10" t="s">
        <v>8314</v>
      </c>
      <c r="U957" s="10" t="s">
        <v>8315</v>
      </c>
      <c r="V957" s="3">
        <v>10000</v>
      </c>
      <c r="W957" s="3">
        <v>88751000</v>
      </c>
      <c r="X957" s="3">
        <v>0</v>
      </c>
      <c r="Y957" s="3">
        <v>26752000</v>
      </c>
      <c r="Z957" s="3">
        <v>47346000</v>
      </c>
      <c r="AA957" s="3">
        <v>56286000</v>
      </c>
      <c r="AB957" s="3">
        <v>3254000</v>
      </c>
      <c r="AC957" s="3">
        <v>0</v>
      </c>
      <c r="AD957" s="3">
        <v>0</v>
      </c>
      <c r="AE957" s="10" t="s">
        <v>317</v>
      </c>
      <c r="AF957" s="10" t="s">
        <v>669</v>
      </c>
      <c r="AG957" s="10" t="s">
        <v>319</v>
      </c>
    </row>
    <row r="958" spans="1:33" ht="15.75" x14ac:dyDescent="0.25">
      <c r="A958" s="1">
        <v>1107746115212</v>
      </c>
      <c r="B958" s="6">
        <v>7704747088</v>
      </c>
      <c r="C958" s="7" t="s">
        <v>8316</v>
      </c>
      <c r="D958" s="7" t="s">
        <v>8317</v>
      </c>
      <c r="E958" s="6">
        <v>65256242</v>
      </c>
      <c r="F958" s="6">
        <v>45286590000</v>
      </c>
      <c r="G958" s="6">
        <v>16</v>
      </c>
      <c r="H958" s="6">
        <v>12300</v>
      </c>
      <c r="I958" s="6">
        <v>770401001</v>
      </c>
      <c r="J958" s="7" t="s">
        <v>8318</v>
      </c>
      <c r="K958" s="7"/>
      <c r="L958" s="1" t="s">
        <v>8319</v>
      </c>
      <c r="M958" s="7" t="s">
        <v>8320</v>
      </c>
      <c r="N958" s="7" t="s">
        <v>8321</v>
      </c>
      <c r="O958" s="7" t="s">
        <v>8322</v>
      </c>
      <c r="P958" s="8">
        <v>504012409007</v>
      </c>
      <c r="Q958" s="7" t="s">
        <v>41</v>
      </c>
      <c r="R958" s="7" t="s">
        <v>8323</v>
      </c>
      <c r="S958" s="7" t="s">
        <v>8324</v>
      </c>
      <c r="T958" s="7" t="s">
        <v>8325</v>
      </c>
      <c r="U958" s="7"/>
      <c r="V958" s="1">
        <v>10000</v>
      </c>
      <c r="W958" s="1">
        <v>116496000</v>
      </c>
      <c r="X958" s="1">
        <v>1681000</v>
      </c>
      <c r="Y958" s="1">
        <v>4000</v>
      </c>
      <c r="Z958" s="1">
        <v>21687000</v>
      </c>
      <c r="AA958" s="1">
        <v>3714000</v>
      </c>
      <c r="AB958" s="1">
        <v>27084000</v>
      </c>
      <c r="AC958" s="1">
        <v>0</v>
      </c>
      <c r="AD958" s="1">
        <v>0</v>
      </c>
      <c r="AE958" s="7" t="s">
        <v>331</v>
      </c>
      <c r="AF958" s="7" t="s">
        <v>1624</v>
      </c>
      <c r="AG958" s="7" t="s">
        <v>319</v>
      </c>
    </row>
    <row r="959" spans="1:33" ht="15.75" x14ac:dyDescent="0.25">
      <c r="A959" s="3">
        <v>1107746184622</v>
      </c>
      <c r="B959" s="9">
        <v>7713702950</v>
      </c>
      <c r="C959" s="10" t="s">
        <v>8326</v>
      </c>
      <c r="D959" s="10" t="s">
        <v>8327</v>
      </c>
      <c r="E959" s="9">
        <v>65294662</v>
      </c>
      <c r="F959" s="9">
        <v>45277574000</v>
      </c>
      <c r="G959" s="9">
        <v>16</v>
      </c>
      <c r="H959" s="9">
        <v>12300</v>
      </c>
      <c r="I959" s="9">
        <v>771301001</v>
      </c>
      <c r="J959" s="10" t="s">
        <v>8196</v>
      </c>
      <c r="K959" s="10"/>
      <c r="L959" s="3" t="s">
        <v>8328</v>
      </c>
      <c r="M959" s="10" t="s">
        <v>8329</v>
      </c>
      <c r="N959" s="10" t="s">
        <v>8330</v>
      </c>
      <c r="O959" s="10" t="s">
        <v>8331</v>
      </c>
      <c r="P959" s="11">
        <v>773116102071</v>
      </c>
      <c r="Q959" s="10" t="s">
        <v>41</v>
      </c>
      <c r="R959" s="10" t="s">
        <v>8332</v>
      </c>
      <c r="S959" s="10" t="s">
        <v>8333</v>
      </c>
      <c r="T959" s="10"/>
      <c r="U959" s="10" t="s">
        <v>8334</v>
      </c>
      <c r="V959" s="3">
        <v>10000</v>
      </c>
      <c r="W959" s="3">
        <v>67048000</v>
      </c>
      <c r="X959" s="3">
        <v>6214000</v>
      </c>
      <c r="Y959" s="3">
        <v>31146000</v>
      </c>
      <c r="Z959" s="3">
        <v>33657000</v>
      </c>
      <c r="AA959" s="3">
        <v>49192000</v>
      </c>
      <c r="AB959" s="3">
        <v>1027000</v>
      </c>
      <c r="AC959" s="3">
        <v>0</v>
      </c>
      <c r="AD959" s="3">
        <v>0</v>
      </c>
      <c r="AE959" s="10" t="s">
        <v>317</v>
      </c>
      <c r="AF959" s="10" t="s">
        <v>1023</v>
      </c>
      <c r="AG959" s="10" t="s">
        <v>319</v>
      </c>
    </row>
    <row r="960" spans="1:33" ht="15.75" x14ac:dyDescent="0.25">
      <c r="A960" s="1">
        <v>1157746881236</v>
      </c>
      <c r="B960" s="6">
        <v>7704330343</v>
      </c>
      <c r="C960" s="7" t="s">
        <v>8335</v>
      </c>
      <c r="D960" s="7" t="s">
        <v>8336</v>
      </c>
      <c r="E960" s="6">
        <v>49907591</v>
      </c>
      <c r="F960" s="6">
        <v>45286590000</v>
      </c>
      <c r="G960" s="6">
        <v>16</v>
      </c>
      <c r="H960" s="6">
        <v>12300</v>
      </c>
      <c r="I960" s="6">
        <v>770401001</v>
      </c>
      <c r="J960" s="7" t="s">
        <v>8337</v>
      </c>
      <c r="K960" s="7"/>
      <c r="L960" s="1" t="s">
        <v>8338</v>
      </c>
      <c r="M960" s="7" t="s">
        <v>8339</v>
      </c>
      <c r="N960" s="7" t="s">
        <v>8340</v>
      </c>
      <c r="O960" s="7" t="s">
        <v>8341</v>
      </c>
      <c r="P960" s="8">
        <v>463246419950</v>
      </c>
      <c r="Q960" s="7" t="s">
        <v>41</v>
      </c>
      <c r="R960" s="7" t="s">
        <v>8342</v>
      </c>
      <c r="S960" s="7" t="s">
        <v>8343</v>
      </c>
      <c r="T960" s="7"/>
      <c r="U960" s="7"/>
      <c r="V960" s="1">
        <v>10000</v>
      </c>
      <c r="W960" s="1">
        <v>58205000</v>
      </c>
      <c r="X960" s="1">
        <v>250000</v>
      </c>
      <c r="Y960" s="1">
        <v>13279000</v>
      </c>
      <c r="Z960" s="1">
        <v>10303000</v>
      </c>
      <c r="AA960" s="1">
        <v>21162000</v>
      </c>
      <c r="AB960" s="1">
        <v>-458000</v>
      </c>
      <c r="AC960" s="1">
        <v>0</v>
      </c>
      <c r="AD960" s="1">
        <v>0</v>
      </c>
      <c r="AE960" s="7" t="s">
        <v>317</v>
      </c>
      <c r="AF960" s="7" t="s">
        <v>512</v>
      </c>
      <c r="AG960" s="7" t="s">
        <v>319</v>
      </c>
    </row>
    <row r="961" spans="1:33" ht="15.75" x14ac:dyDescent="0.25">
      <c r="A961" s="3">
        <v>1157746921254</v>
      </c>
      <c r="B961" s="9">
        <v>7702391421</v>
      </c>
      <c r="C961" s="10" t="s">
        <v>8344</v>
      </c>
      <c r="D961" s="10" t="s">
        <v>8345</v>
      </c>
      <c r="E961" s="9">
        <v>49954886</v>
      </c>
      <c r="F961" s="9">
        <v>45296561000</v>
      </c>
      <c r="G961" s="9">
        <v>16</v>
      </c>
      <c r="H961" s="9">
        <v>12300</v>
      </c>
      <c r="I961" s="9">
        <v>772501001</v>
      </c>
      <c r="J961" s="10" t="s">
        <v>8346</v>
      </c>
      <c r="K961" s="10"/>
      <c r="L961" s="3" t="s">
        <v>8347</v>
      </c>
      <c r="M961" s="10" t="s">
        <v>8348</v>
      </c>
      <c r="N961" s="10" t="s">
        <v>8349</v>
      </c>
      <c r="O961" s="10" t="s">
        <v>8350</v>
      </c>
      <c r="P961" s="11">
        <v>503613702664</v>
      </c>
      <c r="Q961" s="10" t="s">
        <v>41</v>
      </c>
      <c r="R961" s="10" t="s">
        <v>8351</v>
      </c>
      <c r="S961" s="10" t="s">
        <v>8352</v>
      </c>
      <c r="T961" s="10"/>
      <c r="U961" s="10"/>
      <c r="V961" s="3">
        <v>10000</v>
      </c>
      <c r="W961" s="3">
        <v>76555000</v>
      </c>
      <c r="X961" s="3">
        <v>57000</v>
      </c>
      <c r="Y961" s="3">
        <v>13136000</v>
      </c>
      <c r="Z961" s="3">
        <v>4476000</v>
      </c>
      <c r="AA961" s="3">
        <v>9780000</v>
      </c>
      <c r="AB961" s="3">
        <v>-1187000</v>
      </c>
      <c r="AC961" s="3">
        <v>0</v>
      </c>
      <c r="AD961" s="3">
        <v>0</v>
      </c>
      <c r="AE961" s="10" t="s">
        <v>331</v>
      </c>
      <c r="AF961" s="10" t="s">
        <v>930</v>
      </c>
      <c r="AG961" s="10" t="s">
        <v>319</v>
      </c>
    </row>
    <row r="962" spans="1:33" ht="15.75" x14ac:dyDescent="0.25">
      <c r="A962" s="1">
        <v>1157746858026</v>
      </c>
      <c r="B962" s="6">
        <v>7730186417</v>
      </c>
      <c r="C962" s="7" t="s">
        <v>8353</v>
      </c>
      <c r="D962" s="7" t="s">
        <v>8354</v>
      </c>
      <c r="E962" s="6">
        <v>49365991</v>
      </c>
      <c r="F962" s="6">
        <v>45268595000</v>
      </c>
      <c r="G962" s="6">
        <v>16</v>
      </c>
      <c r="H962" s="6">
        <v>12300</v>
      </c>
      <c r="I962" s="6">
        <v>773001001</v>
      </c>
      <c r="J962" s="7" t="s">
        <v>2943</v>
      </c>
      <c r="K962" s="7"/>
      <c r="L962" s="1" t="s">
        <v>8355</v>
      </c>
      <c r="M962" s="7" t="s">
        <v>8356</v>
      </c>
      <c r="N962" s="7" t="s">
        <v>8357</v>
      </c>
      <c r="O962" s="7" t="s">
        <v>8358</v>
      </c>
      <c r="P962" s="8">
        <v>691501683674</v>
      </c>
      <c r="Q962" s="7" t="s">
        <v>41</v>
      </c>
      <c r="R962" s="7" t="s">
        <v>8359</v>
      </c>
      <c r="S962" s="7" t="s">
        <v>8360</v>
      </c>
      <c r="T962" s="7"/>
      <c r="U962" s="7" t="s">
        <v>8361</v>
      </c>
      <c r="V962" s="1">
        <v>10000</v>
      </c>
      <c r="W962" s="1">
        <v>126345000</v>
      </c>
      <c r="X962" s="1">
        <v>4917000</v>
      </c>
      <c r="Y962" s="1">
        <v>1778000</v>
      </c>
      <c r="Z962" s="1">
        <v>84540000</v>
      </c>
      <c r="AA962" s="1">
        <v>6723000</v>
      </c>
      <c r="AB962" s="1">
        <v>940000</v>
      </c>
      <c r="AC962" s="1">
        <v>0</v>
      </c>
      <c r="AD962" s="1">
        <v>0</v>
      </c>
      <c r="AE962" s="7" t="s">
        <v>317</v>
      </c>
      <c r="AF962" s="7" t="s">
        <v>530</v>
      </c>
      <c r="AG962" s="7" t="s">
        <v>319</v>
      </c>
    </row>
    <row r="963" spans="1:33" ht="15.75" x14ac:dyDescent="0.25">
      <c r="A963" s="3">
        <v>1107746182312</v>
      </c>
      <c r="B963" s="9">
        <v>7743772320</v>
      </c>
      <c r="C963" s="10" t="s">
        <v>8362</v>
      </c>
      <c r="D963" s="10" t="s">
        <v>8363</v>
      </c>
      <c r="E963" s="9">
        <v>65297436</v>
      </c>
      <c r="F963" s="9">
        <v>45277589000</v>
      </c>
      <c r="G963" s="9">
        <v>16</v>
      </c>
      <c r="H963" s="9">
        <v>12300</v>
      </c>
      <c r="I963" s="9">
        <v>774301001</v>
      </c>
      <c r="J963" s="10" t="s">
        <v>8196</v>
      </c>
      <c r="K963" s="10"/>
      <c r="L963" s="3" t="s">
        <v>7554</v>
      </c>
      <c r="M963" s="10" t="s">
        <v>7555</v>
      </c>
      <c r="N963" s="10" t="s">
        <v>8364</v>
      </c>
      <c r="O963" s="10" t="s">
        <v>8365</v>
      </c>
      <c r="P963" s="11">
        <v>504809958380</v>
      </c>
      <c r="Q963" s="10" t="s">
        <v>41</v>
      </c>
      <c r="R963" s="10" t="s">
        <v>8366</v>
      </c>
      <c r="S963" s="10" t="s">
        <v>8367</v>
      </c>
      <c r="T963" s="10"/>
      <c r="U963" s="10"/>
      <c r="V963" s="3">
        <v>10000</v>
      </c>
      <c r="W963" s="3">
        <v>191792000</v>
      </c>
      <c r="X963" s="3">
        <v>1386000</v>
      </c>
      <c r="Y963" s="3">
        <v>5708000</v>
      </c>
      <c r="Z963" s="3">
        <v>42061000</v>
      </c>
      <c r="AA963" s="3">
        <v>28899000</v>
      </c>
      <c r="AB963" s="3">
        <v>31437000</v>
      </c>
      <c r="AC963" s="3">
        <v>0</v>
      </c>
      <c r="AD963" s="3">
        <v>0</v>
      </c>
      <c r="AE963" s="10" t="s">
        <v>317</v>
      </c>
      <c r="AF963" s="10" t="s">
        <v>318</v>
      </c>
      <c r="AG963" s="10" t="s">
        <v>319</v>
      </c>
    </row>
    <row r="964" spans="1:33" ht="15.75" x14ac:dyDescent="0.25">
      <c r="A964" s="1">
        <v>1107746014331</v>
      </c>
      <c r="B964" s="6">
        <v>7708711847</v>
      </c>
      <c r="C964" s="7" t="s">
        <v>8368</v>
      </c>
      <c r="D964" s="7" t="s">
        <v>8369</v>
      </c>
      <c r="E964" s="6">
        <v>64543028</v>
      </c>
      <c r="F964" s="6">
        <v>45283582000</v>
      </c>
      <c r="G964" s="6">
        <v>16</v>
      </c>
      <c r="H964" s="6">
        <v>12300</v>
      </c>
      <c r="I964" s="6">
        <v>773401001</v>
      </c>
      <c r="J964" s="7" t="s">
        <v>8079</v>
      </c>
      <c r="K964" s="7"/>
      <c r="L964" s="1" t="s">
        <v>50</v>
      </c>
      <c r="M964" s="7" t="s">
        <v>51</v>
      </c>
      <c r="N964" s="7" t="s">
        <v>8370</v>
      </c>
      <c r="O964" s="7" t="s">
        <v>8371</v>
      </c>
      <c r="P964" s="8">
        <v>772145789033</v>
      </c>
      <c r="Q964" s="7" t="s">
        <v>41</v>
      </c>
      <c r="R964" s="7" t="s">
        <v>8372</v>
      </c>
      <c r="S964" s="7" t="s">
        <v>8373</v>
      </c>
      <c r="T964" s="7"/>
      <c r="U964" s="7"/>
      <c r="V964" s="1">
        <v>10000</v>
      </c>
      <c r="W964" s="1">
        <v>84605000</v>
      </c>
      <c r="X964" s="1">
        <v>23000</v>
      </c>
      <c r="Y964" s="1">
        <v>0</v>
      </c>
      <c r="Z964" s="1">
        <v>21273000</v>
      </c>
      <c r="AA964" s="1">
        <v>4761000</v>
      </c>
      <c r="AB964" s="1">
        <v>8713000</v>
      </c>
      <c r="AC964" s="1">
        <v>0</v>
      </c>
      <c r="AD964" s="1">
        <v>0</v>
      </c>
      <c r="AE964" s="7" t="s">
        <v>317</v>
      </c>
      <c r="AF964" s="7" t="s">
        <v>410</v>
      </c>
      <c r="AG964" s="7" t="s">
        <v>319</v>
      </c>
    </row>
    <row r="965" spans="1:33" ht="15.75" x14ac:dyDescent="0.25">
      <c r="A965" s="1">
        <v>1107746009249</v>
      </c>
      <c r="B965" s="6">
        <v>7743766782</v>
      </c>
      <c r="C965" s="7" t="s">
        <v>8374</v>
      </c>
      <c r="D965" s="7" t="s">
        <v>8375</v>
      </c>
      <c r="E965" s="6">
        <v>64541845</v>
      </c>
      <c r="F965" s="6">
        <v>45277583000</v>
      </c>
      <c r="G965" s="6">
        <v>16</v>
      </c>
      <c r="H965" s="6">
        <v>12300</v>
      </c>
      <c r="I965" s="6">
        <v>774301001</v>
      </c>
      <c r="J965" s="7" t="s">
        <v>2744</v>
      </c>
      <c r="K965" s="7"/>
      <c r="L965" s="1" t="s">
        <v>7554</v>
      </c>
      <c r="M965" s="7" t="s">
        <v>7555</v>
      </c>
      <c r="N965" s="7" t="s">
        <v>8376</v>
      </c>
      <c r="O965" s="7" t="s">
        <v>8377</v>
      </c>
      <c r="P965" s="8">
        <v>504703438014</v>
      </c>
      <c r="Q965" s="7" t="s">
        <v>41</v>
      </c>
      <c r="R965" s="7" t="s">
        <v>8378</v>
      </c>
      <c r="S965" s="7" t="s">
        <v>8379</v>
      </c>
      <c r="T965" s="7"/>
      <c r="U965" s="7"/>
      <c r="V965" s="1">
        <v>10000</v>
      </c>
      <c r="W965" s="1">
        <v>50091000</v>
      </c>
      <c r="X965" s="1">
        <v>0</v>
      </c>
      <c r="Y965" s="1">
        <v>0</v>
      </c>
      <c r="Z965" s="1">
        <v>9850000</v>
      </c>
      <c r="AA965" s="1">
        <v>12192000</v>
      </c>
      <c r="AB965" s="1">
        <v>1716000</v>
      </c>
      <c r="AC965" s="1">
        <v>1372000</v>
      </c>
      <c r="AD965" s="1">
        <v>2754000</v>
      </c>
      <c r="AE965" s="7" t="s">
        <v>317</v>
      </c>
      <c r="AF965" s="7" t="s">
        <v>410</v>
      </c>
      <c r="AG965" s="7" t="s">
        <v>319</v>
      </c>
    </row>
    <row r="966" spans="1:33" ht="15.75" x14ac:dyDescent="0.25">
      <c r="A966" s="3">
        <v>1237700145000</v>
      </c>
      <c r="B966" s="9">
        <v>9704201447</v>
      </c>
      <c r="C966" s="10" t="s">
        <v>8380</v>
      </c>
      <c r="D966" s="10" t="s">
        <v>8381</v>
      </c>
      <c r="E966" s="9">
        <v>51610272</v>
      </c>
      <c r="F966" s="9">
        <v>45286552000</v>
      </c>
      <c r="G966" s="9">
        <v>16</v>
      </c>
      <c r="H966" s="9">
        <v>12300</v>
      </c>
      <c r="I966" s="9">
        <v>770401001</v>
      </c>
      <c r="J966" s="10" t="s">
        <v>8382</v>
      </c>
      <c r="K966" s="10"/>
      <c r="L966" s="3" t="s">
        <v>1800</v>
      </c>
      <c r="M966" s="10" t="s">
        <v>1801</v>
      </c>
      <c r="N966" s="10" t="s">
        <v>8383</v>
      </c>
      <c r="O966" s="10" t="s">
        <v>8384</v>
      </c>
      <c r="P966" s="11">
        <v>164514424895</v>
      </c>
      <c r="Q966" s="10" t="s">
        <v>41</v>
      </c>
      <c r="R966" s="10" t="s">
        <v>8385</v>
      </c>
      <c r="S966" s="10" t="s">
        <v>8386</v>
      </c>
      <c r="T966" s="10"/>
      <c r="U966" s="10" t="s">
        <v>8387</v>
      </c>
      <c r="V966" s="3">
        <v>10000</v>
      </c>
      <c r="W966" s="3">
        <v>47933000</v>
      </c>
      <c r="X966" s="3">
        <v>0</v>
      </c>
      <c r="Y966" s="3">
        <v>20520000</v>
      </c>
      <c r="Z966" s="3">
        <v>2278000</v>
      </c>
      <c r="AA966" s="3">
        <v>529000</v>
      </c>
      <c r="AB966" s="3">
        <v>3802000</v>
      </c>
      <c r="AC966" s="3">
        <v>0</v>
      </c>
      <c r="AD966" s="3">
        <v>0</v>
      </c>
      <c r="AE966" s="10" t="s">
        <v>317</v>
      </c>
      <c r="AF966" s="10" t="s">
        <v>318</v>
      </c>
      <c r="AG966" s="10" t="s">
        <v>319</v>
      </c>
    </row>
    <row r="967" spans="1:33" ht="15.75" x14ac:dyDescent="0.25">
      <c r="A967" s="1">
        <v>1157746921496</v>
      </c>
      <c r="B967" s="6">
        <v>7707352578</v>
      </c>
      <c r="C967" s="7" t="s">
        <v>8388</v>
      </c>
      <c r="D967" s="7" t="s">
        <v>8389</v>
      </c>
      <c r="E967" s="6">
        <v>51050531</v>
      </c>
      <c r="F967" s="6">
        <v>45263581000</v>
      </c>
      <c r="G967" s="6">
        <v>16</v>
      </c>
      <c r="H967" s="6">
        <v>12300</v>
      </c>
      <c r="I967" s="6">
        <v>771801001</v>
      </c>
      <c r="J967" s="7" t="s">
        <v>8346</v>
      </c>
      <c r="K967" s="7"/>
      <c r="L967" s="1" t="s">
        <v>8390</v>
      </c>
      <c r="M967" s="7" t="s">
        <v>8391</v>
      </c>
      <c r="N967" s="7" t="s">
        <v>8392</v>
      </c>
      <c r="O967" s="7" t="s">
        <v>8393</v>
      </c>
      <c r="P967" s="8">
        <v>262500424485</v>
      </c>
      <c r="Q967" s="7" t="s">
        <v>41</v>
      </c>
      <c r="R967" s="7" t="s">
        <v>8394</v>
      </c>
      <c r="S967" s="7" t="s">
        <v>8395</v>
      </c>
      <c r="T967" s="7"/>
      <c r="U967" s="7" t="s">
        <v>8396</v>
      </c>
      <c r="V967" s="1">
        <v>10000</v>
      </c>
      <c r="W967" s="1">
        <v>81583000</v>
      </c>
      <c r="X967" s="1">
        <v>827000</v>
      </c>
      <c r="Y967" s="1">
        <v>20826000</v>
      </c>
      <c r="Z967" s="1">
        <v>11687000</v>
      </c>
      <c r="AA967" s="1">
        <v>27974000</v>
      </c>
      <c r="AB967" s="1">
        <v>4792000</v>
      </c>
      <c r="AC967" s="1">
        <v>5638000</v>
      </c>
      <c r="AD967" s="1">
        <v>5638000</v>
      </c>
      <c r="AE967" s="7" t="s">
        <v>317</v>
      </c>
      <c r="AF967" s="7" t="s">
        <v>669</v>
      </c>
      <c r="AG967" s="7" t="s">
        <v>319</v>
      </c>
    </row>
    <row r="968" spans="1:33" ht="15.75" x14ac:dyDescent="0.25">
      <c r="A968" s="3">
        <v>1157746905942</v>
      </c>
      <c r="B968" s="9">
        <v>7743122001</v>
      </c>
      <c r="C968" s="10" t="s">
        <v>8397</v>
      </c>
      <c r="D968" s="10" t="s">
        <v>8398</v>
      </c>
      <c r="E968" s="9">
        <v>49302132</v>
      </c>
      <c r="F968" s="9">
        <v>45277565000</v>
      </c>
      <c r="G968" s="9">
        <v>16</v>
      </c>
      <c r="H968" s="9">
        <v>12300</v>
      </c>
      <c r="I968" s="9">
        <v>774301001</v>
      </c>
      <c r="J968" s="10" t="s">
        <v>8399</v>
      </c>
      <c r="K968" s="10"/>
      <c r="L968" s="3" t="s">
        <v>2296</v>
      </c>
      <c r="M968" s="10" t="s">
        <v>2297</v>
      </c>
      <c r="N968" s="10" t="s">
        <v>8400</v>
      </c>
      <c r="O968" s="10" t="s">
        <v>8401</v>
      </c>
      <c r="P968" s="11">
        <v>920155756767</v>
      </c>
      <c r="Q968" s="10" t="s">
        <v>41</v>
      </c>
      <c r="R968" s="10" t="s">
        <v>8402</v>
      </c>
      <c r="S968" s="10" t="s">
        <v>8403</v>
      </c>
      <c r="T968" s="10"/>
      <c r="U968" s="10"/>
      <c r="V968" s="3">
        <v>10000</v>
      </c>
      <c r="W968" s="3">
        <v>60629000</v>
      </c>
      <c r="X968" s="3">
        <v>0</v>
      </c>
      <c r="Y968" s="3">
        <v>3000</v>
      </c>
      <c r="Z968" s="3">
        <v>-163665000</v>
      </c>
      <c r="AA968" s="3">
        <v>19974000</v>
      </c>
      <c r="AB968" s="3">
        <v>51133000</v>
      </c>
      <c r="AC968" s="3">
        <v>0</v>
      </c>
      <c r="AD968" s="3">
        <v>0</v>
      </c>
      <c r="AE968" s="10" t="s">
        <v>317</v>
      </c>
      <c r="AF968" s="10" t="s">
        <v>493</v>
      </c>
      <c r="AG968" s="10" t="s">
        <v>319</v>
      </c>
    </row>
    <row r="969" spans="1:33" ht="15.75" x14ac:dyDescent="0.25">
      <c r="A969" s="1">
        <v>1157746814994</v>
      </c>
      <c r="B969" s="6">
        <v>7707350436</v>
      </c>
      <c r="C969" s="7" t="s">
        <v>8404</v>
      </c>
      <c r="D969" s="7" t="s">
        <v>8405</v>
      </c>
      <c r="E969" s="6">
        <v>47626238</v>
      </c>
      <c r="F969" s="6">
        <v>45286585000</v>
      </c>
      <c r="G969" s="6">
        <v>34</v>
      </c>
      <c r="H969" s="6">
        <v>12300</v>
      </c>
      <c r="I969" s="6">
        <v>770701001</v>
      </c>
      <c r="J969" s="7" t="s">
        <v>8406</v>
      </c>
      <c r="K969" s="7"/>
      <c r="L969" s="1" t="s">
        <v>1800</v>
      </c>
      <c r="M969" s="7" t="s">
        <v>1801</v>
      </c>
      <c r="N969" s="7" t="s">
        <v>8407</v>
      </c>
      <c r="O969" s="7" t="s">
        <v>8408</v>
      </c>
      <c r="P969" s="8">
        <v>772507830239</v>
      </c>
      <c r="Q969" s="7" t="s">
        <v>41</v>
      </c>
      <c r="R969" s="7" t="s">
        <v>8409</v>
      </c>
      <c r="S969" s="7" t="s">
        <v>8410</v>
      </c>
      <c r="T969" s="7"/>
      <c r="U969" s="7"/>
      <c r="V969" s="1">
        <v>10000</v>
      </c>
      <c r="W969" s="1">
        <v>30139000</v>
      </c>
      <c r="X969" s="1">
        <v>68000</v>
      </c>
      <c r="Y969" s="1">
        <v>7000</v>
      </c>
      <c r="Z969" s="1">
        <v>5354000</v>
      </c>
      <c r="AA969" s="1">
        <v>448000</v>
      </c>
      <c r="AB969" s="1">
        <v>-2169000</v>
      </c>
      <c r="AC969" s="1">
        <v>0</v>
      </c>
      <c r="AD969" s="1">
        <v>0</v>
      </c>
      <c r="AE969" s="7" t="s">
        <v>317</v>
      </c>
      <c r="AF969" s="7" t="s">
        <v>1023</v>
      </c>
      <c r="AG969" s="7" t="s">
        <v>319</v>
      </c>
    </row>
    <row r="970" spans="1:33" ht="15.75" x14ac:dyDescent="0.25">
      <c r="A970" s="3">
        <v>1217700390050</v>
      </c>
      <c r="B970" s="9">
        <v>7734445408</v>
      </c>
      <c r="C970" s="10" t="s">
        <v>8411</v>
      </c>
      <c r="D970" s="10" t="s">
        <v>8412</v>
      </c>
      <c r="E970" s="9">
        <v>57844628</v>
      </c>
      <c r="F970" s="9">
        <v>45283569000</v>
      </c>
      <c r="G970" s="9">
        <v>16</v>
      </c>
      <c r="H970" s="9">
        <v>12300</v>
      </c>
      <c r="I970" s="9">
        <v>773301001</v>
      </c>
      <c r="J970" s="10" t="s">
        <v>8413</v>
      </c>
      <c r="K970" s="10"/>
      <c r="L970" s="3" t="s">
        <v>7049</v>
      </c>
      <c r="M970" s="10" t="s">
        <v>3082</v>
      </c>
      <c r="N970" s="10" t="s">
        <v>8414</v>
      </c>
      <c r="O970" s="10" t="s">
        <v>8415</v>
      </c>
      <c r="P970" s="11">
        <v>510803079054</v>
      </c>
      <c r="Q970" s="10" t="s">
        <v>41</v>
      </c>
      <c r="R970" s="10" t="s">
        <v>8416</v>
      </c>
      <c r="S970" s="10" t="s">
        <v>8417</v>
      </c>
      <c r="T970" s="10"/>
      <c r="U970" s="10" t="s">
        <v>8418</v>
      </c>
      <c r="V970" s="3">
        <v>10000</v>
      </c>
      <c r="W970" s="3">
        <v>160974000</v>
      </c>
      <c r="X970" s="3">
        <v>94639000</v>
      </c>
      <c r="Y970" s="3">
        <v>895000</v>
      </c>
      <c r="Z970" s="3">
        <v>103489000</v>
      </c>
      <c r="AA970" s="3">
        <v>117890000</v>
      </c>
      <c r="AB970" s="3">
        <v>35069000</v>
      </c>
      <c r="AC970" s="3">
        <v>0</v>
      </c>
      <c r="AD970" s="3">
        <v>0</v>
      </c>
      <c r="AE970" s="10" t="s">
        <v>317</v>
      </c>
      <c r="AF970" s="10" t="s">
        <v>410</v>
      </c>
      <c r="AG970" s="10" t="s">
        <v>319</v>
      </c>
    </row>
    <row r="971" spans="1:33" ht="15.75" x14ac:dyDescent="0.25">
      <c r="A971" s="1">
        <v>1107746043668</v>
      </c>
      <c r="B971" s="6">
        <v>7704744760</v>
      </c>
      <c r="C971" s="7" t="s">
        <v>8419</v>
      </c>
      <c r="D971" s="7" t="s">
        <v>8420</v>
      </c>
      <c r="E971" s="6">
        <v>65171221</v>
      </c>
      <c r="F971" s="6">
        <v>45296597000</v>
      </c>
      <c r="G971" s="6">
        <v>16</v>
      </c>
      <c r="H971" s="6">
        <v>12300</v>
      </c>
      <c r="I971" s="6">
        <v>772601001</v>
      </c>
      <c r="J971" s="7" t="s">
        <v>8421</v>
      </c>
      <c r="K971" s="7"/>
      <c r="L971" s="1" t="s">
        <v>1800</v>
      </c>
      <c r="M971" s="7" t="s">
        <v>1801</v>
      </c>
      <c r="N971" s="7" t="s">
        <v>8422</v>
      </c>
      <c r="O971" s="7" t="s">
        <v>7791</v>
      </c>
      <c r="P971" s="8">
        <v>501210935870</v>
      </c>
      <c r="Q971" s="7" t="s">
        <v>41</v>
      </c>
      <c r="R971" s="7" t="s">
        <v>8423</v>
      </c>
      <c r="S971" s="7" t="s">
        <v>8424</v>
      </c>
      <c r="T971" s="7"/>
      <c r="U971" s="7"/>
      <c r="V971" s="1">
        <v>10000</v>
      </c>
      <c r="W971" s="1">
        <v>62935000</v>
      </c>
      <c r="X971" s="1">
        <v>0</v>
      </c>
      <c r="Y971" s="1">
        <v>792000</v>
      </c>
      <c r="Z971" s="1">
        <v>3602000</v>
      </c>
      <c r="AA971" s="1">
        <v>3262000</v>
      </c>
      <c r="AB971" s="1">
        <v>9216000</v>
      </c>
      <c r="AC971" s="1">
        <v>0</v>
      </c>
      <c r="AD971" s="1">
        <v>0</v>
      </c>
      <c r="AE971" s="7" t="s">
        <v>317</v>
      </c>
      <c r="AF971" s="7" t="s">
        <v>740</v>
      </c>
      <c r="AG971" s="7" t="s">
        <v>319</v>
      </c>
    </row>
    <row r="972" spans="1:33" ht="15.75" x14ac:dyDescent="0.25">
      <c r="A972" s="3">
        <v>1157746923498</v>
      </c>
      <c r="B972" s="9">
        <v>9710002680</v>
      </c>
      <c r="C972" s="10" t="s">
        <v>8425</v>
      </c>
      <c r="D972" s="10" t="s">
        <v>8426</v>
      </c>
      <c r="E972" s="9">
        <v>51055646</v>
      </c>
      <c r="F972" s="9">
        <v>45286585000</v>
      </c>
      <c r="G972" s="9">
        <v>16</v>
      </c>
      <c r="H972" s="9">
        <v>12300</v>
      </c>
      <c r="I972" s="9">
        <v>771001001</v>
      </c>
      <c r="J972" s="10" t="s">
        <v>8346</v>
      </c>
      <c r="K972" s="10"/>
      <c r="L972" s="3" t="s">
        <v>8427</v>
      </c>
      <c r="M972" s="10" t="s">
        <v>8428</v>
      </c>
      <c r="N972" s="10" t="s">
        <v>8429</v>
      </c>
      <c r="O972" s="10" t="s">
        <v>8430</v>
      </c>
      <c r="P972" s="11">
        <v>210701465126</v>
      </c>
      <c r="Q972" s="10" t="s">
        <v>41</v>
      </c>
      <c r="R972" s="10" t="s">
        <v>8431</v>
      </c>
      <c r="S972" s="10" t="s">
        <v>8432</v>
      </c>
      <c r="T972" s="10"/>
      <c r="U972" s="10"/>
      <c r="V972" s="3">
        <v>10000</v>
      </c>
      <c r="W972" s="3">
        <v>55389000</v>
      </c>
      <c r="X972" s="3">
        <v>0</v>
      </c>
      <c r="Y972" s="3">
        <v>0</v>
      </c>
      <c r="Z972" s="3">
        <v>89000</v>
      </c>
      <c r="AA972" s="3">
        <v>2206000</v>
      </c>
      <c r="AB972" s="3">
        <v>-15741000</v>
      </c>
      <c r="AC972" s="3">
        <v>0</v>
      </c>
      <c r="AD972" s="3">
        <v>0</v>
      </c>
      <c r="AE972" s="10" t="s">
        <v>331</v>
      </c>
      <c r="AF972" s="10" t="s">
        <v>669</v>
      </c>
      <c r="AG972" s="10" t="s">
        <v>319</v>
      </c>
    </row>
    <row r="973" spans="1:33" ht="15.75" x14ac:dyDescent="0.25">
      <c r="A973" s="1">
        <v>1157746917900</v>
      </c>
      <c r="B973" s="6">
        <v>7719426464</v>
      </c>
      <c r="C973" s="7" t="s">
        <v>8433</v>
      </c>
      <c r="D973" s="7" t="s">
        <v>8434</v>
      </c>
      <c r="E973" s="6">
        <v>51061670</v>
      </c>
      <c r="F973" s="6">
        <v>45263588000</v>
      </c>
      <c r="G973" s="6">
        <v>16</v>
      </c>
      <c r="H973" s="6">
        <v>12300</v>
      </c>
      <c r="I973" s="6">
        <v>771901001</v>
      </c>
      <c r="J973" s="7" t="s">
        <v>8435</v>
      </c>
      <c r="K973" s="7"/>
      <c r="L973" s="1" t="s">
        <v>5965</v>
      </c>
      <c r="M973" s="7" t="s">
        <v>5966</v>
      </c>
      <c r="N973" s="7" t="s">
        <v>8436</v>
      </c>
      <c r="O973" s="7" t="s">
        <v>8437</v>
      </c>
      <c r="P973" s="8">
        <v>771905205560</v>
      </c>
      <c r="Q973" s="7" t="s">
        <v>41</v>
      </c>
      <c r="R973" s="7" t="s">
        <v>8438</v>
      </c>
      <c r="S973" s="7" t="s">
        <v>8439</v>
      </c>
      <c r="T973" s="7"/>
      <c r="U973" s="7"/>
      <c r="V973" s="1">
        <v>10000</v>
      </c>
      <c r="W973" s="1">
        <v>80086000</v>
      </c>
      <c r="X973" s="1">
        <v>42687000</v>
      </c>
      <c r="Y973" s="1">
        <v>3139000</v>
      </c>
      <c r="Z973" s="1">
        <v>2210000</v>
      </c>
      <c r="AA973" s="1">
        <v>28183000</v>
      </c>
      <c r="AB973" s="1">
        <v>-1658000</v>
      </c>
      <c r="AC973" s="1">
        <v>0</v>
      </c>
      <c r="AD973" s="1">
        <v>0</v>
      </c>
      <c r="AE973" s="7" t="s">
        <v>317</v>
      </c>
      <c r="AF973" s="7" t="s">
        <v>740</v>
      </c>
      <c r="AG973" s="7" t="s">
        <v>319</v>
      </c>
    </row>
    <row r="974" spans="1:33" ht="15.75" x14ac:dyDescent="0.25">
      <c r="A974" s="3">
        <v>1157746881775</v>
      </c>
      <c r="B974" s="9">
        <v>7707351856</v>
      </c>
      <c r="C974" s="10" t="s">
        <v>8440</v>
      </c>
      <c r="D974" s="10" t="s">
        <v>8441</v>
      </c>
      <c r="E974" s="9">
        <v>49892441</v>
      </c>
      <c r="F974" s="9">
        <v>45286585000</v>
      </c>
      <c r="G974" s="9">
        <v>16</v>
      </c>
      <c r="H974" s="9">
        <v>12300</v>
      </c>
      <c r="I974" s="9">
        <v>770701001</v>
      </c>
      <c r="J974" s="10" t="s">
        <v>8337</v>
      </c>
      <c r="K974" s="10"/>
      <c r="L974" s="3" t="s">
        <v>1800</v>
      </c>
      <c r="M974" s="10" t="s">
        <v>1801</v>
      </c>
      <c r="N974" s="10" t="s">
        <v>8442</v>
      </c>
      <c r="O974" s="10" t="s">
        <v>8443</v>
      </c>
      <c r="P974" s="11">
        <v>771375875704</v>
      </c>
      <c r="Q974" s="10" t="s">
        <v>41</v>
      </c>
      <c r="R974" s="10" t="s">
        <v>8444</v>
      </c>
      <c r="S974" s="10" t="s">
        <v>8445</v>
      </c>
      <c r="T974" s="10"/>
      <c r="U974" s="10"/>
      <c r="V974" s="3">
        <v>10000</v>
      </c>
      <c r="W974" s="3">
        <v>49197000</v>
      </c>
      <c r="X974" s="3">
        <v>0</v>
      </c>
      <c r="Y974" s="3">
        <v>4383000</v>
      </c>
      <c r="Z974" s="3">
        <v>8295000</v>
      </c>
      <c r="AA974" s="3">
        <v>1499000</v>
      </c>
      <c r="AB974" s="3">
        <v>8713000</v>
      </c>
      <c r="AC974" s="3">
        <v>0</v>
      </c>
      <c r="AD974" s="3">
        <v>0</v>
      </c>
      <c r="AE974" s="10" t="s">
        <v>317</v>
      </c>
      <c r="AF974" s="10" t="s">
        <v>461</v>
      </c>
      <c r="AG974" s="10" t="s">
        <v>319</v>
      </c>
    </row>
    <row r="975" spans="1:33" ht="15.75" x14ac:dyDescent="0.25">
      <c r="A975" s="1">
        <v>1107746027290</v>
      </c>
      <c r="B975" s="6">
        <v>7717666982</v>
      </c>
      <c r="C975" s="7" t="s">
        <v>8446</v>
      </c>
      <c r="D975" s="7" t="s">
        <v>8447</v>
      </c>
      <c r="E975" s="6">
        <v>64578506</v>
      </c>
      <c r="F975" s="6">
        <v>45280572000</v>
      </c>
      <c r="G975" s="6">
        <v>16</v>
      </c>
      <c r="H975" s="6">
        <v>12300</v>
      </c>
      <c r="I975" s="6">
        <v>771701001</v>
      </c>
      <c r="J975" s="7" t="s">
        <v>8448</v>
      </c>
      <c r="K975" s="7"/>
      <c r="L975" s="1" t="s">
        <v>8449</v>
      </c>
      <c r="M975" s="7" t="s">
        <v>8450</v>
      </c>
      <c r="N975" s="7" t="s">
        <v>8451</v>
      </c>
      <c r="O975" s="7" t="s">
        <v>8452</v>
      </c>
      <c r="P975" s="8">
        <v>771600021625</v>
      </c>
      <c r="Q975" s="7" t="s">
        <v>8453</v>
      </c>
      <c r="R975" s="7" t="s">
        <v>8454</v>
      </c>
      <c r="S975" s="7" t="s">
        <v>8455</v>
      </c>
      <c r="T975" s="7"/>
      <c r="U975" s="7"/>
      <c r="V975" s="1">
        <v>10000</v>
      </c>
      <c r="W975" s="1">
        <v>78460000</v>
      </c>
      <c r="X975" s="1">
        <v>0</v>
      </c>
      <c r="Y975" s="1">
        <v>27249000</v>
      </c>
      <c r="Z975" s="1">
        <v>21100000</v>
      </c>
      <c r="AA975" s="1">
        <v>38935000</v>
      </c>
      <c r="AB975" s="1">
        <v>-8338000</v>
      </c>
      <c r="AC975" s="1">
        <v>0</v>
      </c>
      <c r="AD975" s="1">
        <v>0</v>
      </c>
      <c r="AE975" s="7" t="s">
        <v>317</v>
      </c>
      <c r="AF975" s="7" t="s">
        <v>1329</v>
      </c>
      <c r="AG975" s="7" t="s">
        <v>319</v>
      </c>
    </row>
    <row r="976" spans="1:33" ht="15.75" x14ac:dyDescent="0.25">
      <c r="A976" s="3">
        <v>1157746820868</v>
      </c>
      <c r="B976" s="9">
        <v>7736252352</v>
      </c>
      <c r="C976" s="10" t="s">
        <v>8456</v>
      </c>
      <c r="D976" s="10" t="s">
        <v>8457</v>
      </c>
      <c r="E976" s="9">
        <v>48477349</v>
      </c>
      <c r="F976" s="9">
        <v>45293574000</v>
      </c>
      <c r="G976" s="9">
        <v>16</v>
      </c>
      <c r="H976" s="9">
        <v>12300</v>
      </c>
      <c r="I976" s="9">
        <v>773601001</v>
      </c>
      <c r="J976" s="10" t="s">
        <v>8458</v>
      </c>
      <c r="K976" s="10"/>
      <c r="L976" s="3" t="s">
        <v>3081</v>
      </c>
      <c r="M976" s="10" t="s">
        <v>3082</v>
      </c>
      <c r="N976" s="10" t="s">
        <v>8459</v>
      </c>
      <c r="O976" s="10" t="s">
        <v>8460</v>
      </c>
      <c r="P976" s="11">
        <v>503218371524</v>
      </c>
      <c r="Q976" s="10" t="s">
        <v>41</v>
      </c>
      <c r="R976" s="10" t="s">
        <v>8461</v>
      </c>
      <c r="S976" s="10" t="s">
        <v>8462</v>
      </c>
      <c r="T976" s="10"/>
      <c r="U976" s="10" t="s">
        <v>8463</v>
      </c>
      <c r="V976" s="3">
        <v>10000</v>
      </c>
      <c r="W976" s="3">
        <v>45128000</v>
      </c>
      <c r="X976" s="3">
        <v>179000</v>
      </c>
      <c r="Y976" s="3">
        <v>461000</v>
      </c>
      <c r="Z976" s="3">
        <v>76463000</v>
      </c>
      <c r="AA976" s="3">
        <v>76596000</v>
      </c>
      <c r="AB976" s="3">
        <v>4723000</v>
      </c>
      <c r="AC976" s="3">
        <v>0</v>
      </c>
      <c r="AD976" s="3">
        <v>0</v>
      </c>
      <c r="AE976" s="10" t="s">
        <v>317</v>
      </c>
      <c r="AF976" s="10" t="s">
        <v>421</v>
      </c>
      <c r="AG976" s="10" t="s">
        <v>319</v>
      </c>
    </row>
    <row r="977" spans="1:33" ht="15.75" x14ac:dyDescent="0.25">
      <c r="A977" s="1">
        <v>1157746836763</v>
      </c>
      <c r="B977" s="6">
        <v>9710001647</v>
      </c>
      <c r="C977" s="7" t="s">
        <v>8464</v>
      </c>
      <c r="D977" s="7" t="s">
        <v>8465</v>
      </c>
      <c r="E977" s="6">
        <v>42795870</v>
      </c>
      <c r="F977" s="6">
        <v>45296559000</v>
      </c>
      <c r="G977" s="6">
        <v>16</v>
      </c>
      <c r="H977" s="6">
        <v>12300</v>
      </c>
      <c r="I977" s="6">
        <v>772501001</v>
      </c>
      <c r="J977" s="7" t="s">
        <v>2865</v>
      </c>
      <c r="K977" s="7"/>
      <c r="L977" s="1" t="s">
        <v>2106</v>
      </c>
      <c r="M977" s="7" t="s">
        <v>2107</v>
      </c>
      <c r="N977" s="7" t="s">
        <v>8466</v>
      </c>
      <c r="O977" s="7" t="s">
        <v>8467</v>
      </c>
      <c r="P977" s="8">
        <v>772204445206</v>
      </c>
      <c r="Q977" s="7" t="s">
        <v>41</v>
      </c>
      <c r="R977" s="7" t="s">
        <v>8468</v>
      </c>
      <c r="S977" s="7" t="s">
        <v>8469</v>
      </c>
      <c r="T977" s="7"/>
      <c r="U977" s="7" t="s">
        <v>8470</v>
      </c>
      <c r="V977" s="1">
        <v>10000</v>
      </c>
      <c r="W977" s="1">
        <v>75627000</v>
      </c>
      <c r="X977" s="1">
        <v>0</v>
      </c>
      <c r="Y977" s="1">
        <v>0</v>
      </c>
      <c r="Z977" s="1">
        <v>808000</v>
      </c>
      <c r="AA977" s="1">
        <v>0</v>
      </c>
      <c r="AB977" s="1">
        <v>5631000</v>
      </c>
      <c r="AC977" s="1">
        <v>0</v>
      </c>
      <c r="AD977" s="1">
        <v>0</v>
      </c>
      <c r="AE977" s="7" t="s">
        <v>331</v>
      </c>
      <c r="AF977" s="7" t="s">
        <v>1226</v>
      </c>
      <c r="AG977" s="7" t="s">
        <v>319</v>
      </c>
    </row>
    <row r="978" spans="1:33" ht="15.75" x14ac:dyDescent="0.25">
      <c r="A978" s="3">
        <v>1107746082696</v>
      </c>
      <c r="B978" s="9">
        <v>7701865679</v>
      </c>
      <c r="C978" s="10" t="s">
        <v>8471</v>
      </c>
      <c r="D978" s="10" t="s">
        <v>8472</v>
      </c>
      <c r="E978" s="9">
        <v>65211736</v>
      </c>
      <c r="F978" s="9">
        <v>45280577000</v>
      </c>
      <c r="G978" s="9">
        <v>16</v>
      </c>
      <c r="H978" s="9">
        <v>12300</v>
      </c>
      <c r="I978" s="9">
        <v>771701001</v>
      </c>
      <c r="J978" s="10" t="s">
        <v>8473</v>
      </c>
      <c r="K978" s="10"/>
      <c r="L978" s="3" t="s">
        <v>7554</v>
      </c>
      <c r="M978" s="10" t="s">
        <v>7555</v>
      </c>
      <c r="N978" s="10" t="s">
        <v>8474</v>
      </c>
      <c r="O978" s="10" t="s">
        <v>8475</v>
      </c>
      <c r="P978" s="11">
        <v>781006653294</v>
      </c>
      <c r="Q978" s="10" t="s">
        <v>41</v>
      </c>
      <c r="R978" s="10" t="s">
        <v>8476</v>
      </c>
      <c r="S978" s="10" t="s">
        <v>8477</v>
      </c>
      <c r="T978" s="10"/>
      <c r="U978" s="10" t="s">
        <v>8478</v>
      </c>
      <c r="V978" s="3">
        <v>10000</v>
      </c>
      <c r="W978" s="3">
        <v>33111000</v>
      </c>
      <c r="X978" s="3">
        <v>0</v>
      </c>
      <c r="Y978" s="3">
        <v>0</v>
      </c>
      <c r="Z978" s="3">
        <v>12382000</v>
      </c>
      <c r="AA978" s="3">
        <v>7478000</v>
      </c>
      <c r="AB978" s="3">
        <v>-709000</v>
      </c>
      <c r="AC978" s="3">
        <v>0</v>
      </c>
      <c r="AD978" s="3">
        <v>0</v>
      </c>
      <c r="AE978" s="10" t="s">
        <v>317</v>
      </c>
      <c r="AF978" s="10" t="s">
        <v>530</v>
      </c>
      <c r="AG978" s="10" t="s">
        <v>319</v>
      </c>
    </row>
    <row r="979" spans="1:33" ht="15.75" x14ac:dyDescent="0.25">
      <c r="A979" s="3">
        <v>1157746918218</v>
      </c>
      <c r="B979" s="9">
        <v>7731293997</v>
      </c>
      <c r="C979" s="10" t="s">
        <v>8479</v>
      </c>
      <c r="D979" s="10" t="s">
        <v>8480</v>
      </c>
      <c r="E979" s="9">
        <v>49953881</v>
      </c>
      <c r="F979" s="9">
        <v>45268569000</v>
      </c>
      <c r="G979" s="9">
        <v>16</v>
      </c>
      <c r="H979" s="9">
        <v>12300</v>
      </c>
      <c r="I979" s="9">
        <v>773101001</v>
      </c>
      <c r="J979" s="10" t="s">
        <v>8435</v>
      </c>
      <c r="K979" s="10"/>
      <c r="L979" s="3" t="s">
        <v>1072</v>
      </c>
      <c r="M979" s="10" t="s">
        <v>1073</v>
      </c>
      <c r="N979" s="10" t="s">
        <v>1918</v>
      </c>
      <c r="O979" s="10" t="s">
        <v>8481</v>
      </c>
      <c r="P979" s="11">
        <v>773103304793</v>
      </c>
      <c r="Q979" s="10" t="s">
        <v>41</v>
      </c>
      <c r="R979" s="10" t="s">
        <v>8482</v>
      </c>
      <c r="S979" s="10" t="s">
        <v>8483</v>
      </c>
      <c r="T979" s="10"/>
      <c r="U979" s="10"/>
      <c r="V979" s="3">
        <v>10000</v>
      </c>
      <c r="W979" s="3">
        <v>59387000</v>
      </c>
      <c r="X979" s="3">
        <v>0</v>
      </c>
      <c r="Y979" s="3">
        <v>0</v>
      </c>
      <c r="Z979" s="3">
        <v>83629000</v>
      </c>
      <c r="AA979" s="3">
        <v>1962000</v>
      </c>
      <c r="AB979" s="3">
        <v>-37887000</v>
      </c>
      <c r="AC979" s="3">
        <v>0</v>
      </c>
      <c r="AD979" s="3">
        <v>0</v>
      </c>
      <c r="AE979" s="10" t="s">
        <v>317</v>
      </c>
      <c r="AF979" s="10" t="s">
        <v>8484</v>
      </c>
      <c r="AG979" s="10" t="s">
        <v>319</v>
      </c>
    </row>
    <row r="980" spans="1:33" ht="15.75" x14ac:dyDescent="0.25">
      <c r="A980" s="1">
        <v>1157746929218</v>
      </c>
      <c r="B980" s="6">
        <v>7703399374</v>
      </c>
      <c r="C980" s="7" t="s">
        <v>8485</v>
      </c>
      <c r="D980" s="7" t="s">
        <v>8486</v>
      </c>
      <c r="E980" s="6">
        <v>51060357</v>
      </c>
      <c r="F980" s="6">
        <v>45286575000</v>
      </c>
      <c r="G980" s="6">
        <v>16</v>
      </c>
      <c r="H980" s="6">
        <v>12300</v>
      </c>
      <c r="I980" s="6">
        <v>770301001</v>
      </c>
      <c r="J980" s="7" t="s">
        <v>982</v>
      </c>
      <c r="K980" s="7"/>
      <c r="L980" s="1" t="s">
        <v>1045</v>
      </c>
      <c r="M980" s="7" t="s">
        <v>1046</v>
      </c>
      <c r="N980" s="7" t="s">
        <v>8487</v>
      </c>
      <c r="O980" s="7" t="s">
        <v>8488</v>
      </c>
      <c r="P980" s="8">
        <v>773463903697</v>
      </c>
      <c r="Q980" s="7" t="s">
        <v>41</v>
      </c>
      <c r="R980" s="7" t="s">
        <v>8489</v>
      </c>
      <c r="S980" s="7" t="s">
        <v>8490</v>
      </c>
      <c r="T980" s="7"/>
      <c r="U980" s="7" t="s">
        <v>8491</v>
      </c>
      <c r="V980" s="1">
        <v>10000</v>
      </c>
      <c r="W980" s="1">
        <v>51595000</v>
      </c>
      <c r="X980" s="1">
        <v>0</v>
      </c>
      <c r="Y980" s="1">
        <v>43955000</v>
      </c>
      <c r="Z980" s="1">
        <v>6119000</v>
      </c>
      <c r="AA980" s="1">
        <v>1916000</v>
      </c>
      <c r="AB980" s="1">
        <v>10409000</v>
      </c>
      <c r="AC980" s="1">
        <v>0</v>
      </c>
      <c r="AD980" s="1">
        <v>0</v>
      </c>
      <c r="AE980" s="7" t="s">
        <v>317</v>
      </c>
      <c r="AF980" s="7" t="s">
        <v>318</v>
      </c>
      <c r="AG980" s="7" t="s">
        <v>319</v>
      </c>
    </row>
    <row r="981" spans="1:33" ht="15.75" x14ac:dyDescent="0.25">
      <c r="A981" s="3">
        <v>1107746031260</v>
      </c>
      <c r="B981" s="9">
        <v>7704744457</v>
      </c>
      <c r="C981" s="10" t="s">
        <v>8492</v>
      </c>
      <c r="D981" s="10" t="s">
        <v>8493</v>
      </c>
      <c r="E981" s="9">
        <v>64596881</v>
      </c>
      <c r="F981" s="9">
        <v>45286590000</v>
      </c>
      <c r="G981" s="9">
        <v>16</v>
      </c>
      <c r="H981" s="9">
        <v>12300</v>
      </c>
      <c r="I981" s="9">
        <v>770401001</v>
      </c>
      <c r="J981" s="10" t="s">
        <v>8494</v>
      </c>
      <c r="K981" s="10"/>
      <c r="L981" s="3" t="s">
        <v>2885</v>
      </c>
      <c r="M981" s="10" t="s">
        <v>2886</v>
      </c>
      <c r="N981" s="10" t="s">
        <v>8495</v>
      </c>
      <c r="O981" s="10" t="s">
        <v>8496</v>
      </c>
      <c r="P981" s="11">
        <v>773100234851</v>
      </c>
      <c r="Q981" s="10" t="s">
        <v>41</v>
      </c>
      <c r="R981" s="10" t="s">
        <v>8497</v>
      </c>
      <c r="S981" s="10" t="s">
        <v>8498</v>
      </c>
      <c r="T981" s="10"/>
      <c r="U981" s="10" t="s">
        <v>8499</v>
      </c>
      <c r="V981" s="3">
        <v>10000</v>
      </c>
      <c r="W981" s="3">
        <v>177864000</v>
      </c>
      <c r="X981" s="3">
        <v>3175000</v>
      </c>
      <c r="Y981" s="3">
        <v>1481000</v>
      </c>
      <c r="Z981" s="3">
        <v>65448000</v>
      </c>
      <c r="AA981" s="3">
        <v>31661000</v>
      </c>
      <c r="AB981" s="3">
        <v>151158000</v>
      </c>
      <c r="AC981" s="3">
        <v>0</v>
      </c>
      <c r="AD981" s="3">
        <v>0</v>
      </c>
      <c r="AE981" s="10" t="s">
        <v>317</v>
      </c>
      <c r="AF981" s="10" t="s">
        <v>493</v>
      </c>
      <c r="AG981" s="10" t="s">
        <v>319</v>
      </c>
    </row>
    <row r="982" spans="1:33" ht="15.75" x14ac:dyDescent="0.25">
      <c r="A982" s="1">
        <v>1157746858752</v>
      </c>
      <c r="B982" s="6">
        <v>9710001950</v>
      </c>
      <c r="C982" s="7" t="s">
        <v>8500</v>
      </c>
      <c r="D982" s="7" t="s">
        <v>8501</v>
      </c>
      <c r="E982" s="6">
        <v>49369544</v>
      </c>
      <c r="F982" s="6">
        <v>45286585000</v>
      </c>
      <c r="G982" s="6">
        <v>16</v>
      </c>
      <c r="H982" s="6">
        <v>12300</v>
      </c>
      <c r="I982" s="6">
        <v>771001001</v>
      </c>
      <c r="J982" s="7" t="s">
        <v>2943</v>
      </c>
      <c r="K982" s="7"/>
      <c r="L982" s="1" t="s">
        <v>1800</v>
      </c>
      <c r="M982" s="7" t="s">
        <v>1801</v>
      </c>
      <c r="N982" s="7" t="s">
        <v>8502</v>
      </c>
      <c r="O982" s="7" t="s">
        <v>8503</v>
      </c>
      <c r="P982" s="8">
        <v>772918011050</v>
      </c>
      <c r="Q982" s="7" t="s">
        <v>41</v>
      </c>
      <c r="R982" s="7" t="s">
        <v>8504</v>
      </c>
      <c r="S982" s="7" t="s">
        <v>8505</v>
      </c>
      <c r="T982" s="7"/>
      <c r="U982" s="7"/>
      <c r="V982" s="1">
        <v>10000</v>
      </c>
      <c r="W982" s="1">
        <v>88262000</v>
      </c>
      <c r="X982" s="1">
        <v>145000</v>
      </c>
      <c r="Y982" s="1">
        <v>61000</v>
      </c>
      <c r="Z982" s="1">
        <v>30188000</v>
      </c>
      <c r="AA982" s="1">
        <v>15633000</v>
      </c>
      <c r="AB982" s="1">
        <v>-4164000</v>
      </c>
      <c r="AC982" s="1">
        <v>3646000</v>
      </c>
      <c r="AD982" s="1">
        <v>-3276000</v>
      </c>
      <c r="AE982" s="7" t="s">
        <v>317</v>
      </c>
      <c r="AF982" s="7" t="s">
        <v>512</v>
      </c>
      <c r="AG982" s="7" t="s">
        <v>319</v>
      </c>
    </row>
    <row r="983" spans="1:33" ht="15.75" x14ac:dyDescent="0.25">
      <c r="A983" s="3">
        <v>1107746096061</v>
      </c>
      <c r="B983" s="9">
        <v>7701866182</v>
      </c>
      <c r="C983" s="10" t="s">
        <v>8506</v>
      </c>
      <c r="D983" s="10" t="s">
        <v>8507</v>
      </c>
      <c r="E983" s="9">
        <v>65202950</v>
      </c>
      <c r="F983" s="9">
        <v>46470000000</v>
      </c>
      <c r="G983" s="9">
        <v>16</v>
      </c>
      <c r="H983" s="9">
        <v>12300</v>
      </c>
      <c r="I983" s="9">
        <v>504301001</v>
      </c>
      <c r="J983" s="10" t="s">
        <v>8508</v>
      </c>
      <c r="K983" s="10"/>
      <c r="L983" s="3" t="s">
        <v>385</v>
      </c>
      <c r="M983" s="10" t="s">
        <v>386</v>
      </c>
      <c r="N983" s="10" t="s">
        <v>8509</v>
      </c>
      <c r="O983" s="10" t="s">
        <v>8510</v>
      </c>
      <c r="P983" s="11">
        <v>504308561306</v>
      </c>
      <c r="Q983" s="10" t="s">
        <v>41</v>
      </c>
      <c r="R983" s="10" t="s">
        <v>8511</v>
      </c>
      <c r="S983" s="10" t="s">
        <v>8512</v>
      </c>
      <c r="T983" s="10"/>
      <c r="U983" s="10"/>
      <c r="V983" s="3">
        <v>10000</v>
      </c>
      <c r="W983" s="3">
        <v>51532000</v>
      </c>
      <c r="X983" s="3">
        <v>0</v>
      </c>
      <c r="Y983" s="3">
        <v>0</v>
      </c>
      <c r="Z983" s="3">
        <v>3472000</v>
      </c>
      <c r="AA983" s="3">
        <v>4027000</v>
      </c>
      <c r="AB983" s="3">
        <v>4397000</v>
      </c>
      <c r="AC983" s="3">
        <v>0</v>
      </c>
      <c r="AD983" s="3">
        <v>0</v>
      </c>
      <c r="AE983" s="10" t="s">
        <v>317</v>
      </c>
      <c r="AF983" s="10" t="s">
        <v>410</v>
      </c>
      <c r="AG983" s="10" t="s">
        <v>319</v>
      </c>
    </row>
    <row r="984" spans="1:33" ht="15.75" x14ac:dyDescent="0.25">
      <c r="A984" s="1">
        <v>1107746073291</v>
      </c>
      <c r="B984" s="6">
        <v>7728725735</v>
      </c>
      <c r="C984" s="7" t="s">
        <v>8513</v>
      </c>
      <c r="D984" s="7" t="s">
        <v>8514</v>
      </c>
      <c r="E984" s="6">
        <v>65186197</v>
      </c>
      <c r="F984" s="6">
        <v>45286590000</v>
      </c>
      <c r="G984" s="6">
        <v>16</v>
      </c>
      <c r="H984" s="6">
        <v>12300</v>
      </c>
      <c r="I984" s="6">
        <v>770401001</v>
      </c>
      <c r="J984" s="7" t="s">
        <v>7915</v>
      </c>
      <c r="K984" s="7"/>
      <c r="L984" s="1" t="s">
        <v>1800</v>
      </c>
      <c r="M984" s="7" t="s">
        <v>1801</v>
      </c>
      <c r="N984" s="7" t="s">
        <v>8515</v>
      </c>
      <c r="O984" s="7" t="s">
        <v>8516</v>
      </c>
      <c r="P984" s="8">
        <v>772998309402</v>
      </c>
      <c r="Q984" s="7" t="s">
        <v>41</v>
      </c>
      <c r="R984" s="7" t="s">
        <v>8517</v>
      </c>
      <c r="S984" s="7" t="s">
        <v>8518</v>
      </c>
      <c r="T984" s="7"/>
      <c r="U984" s="7" t="s">
        <v>8519</v>
      </c>
      <c r="V984" s="1">
        <v>10000</v>
      </c>
      <c r="W984" s="1">
        <v>53317000</v>
      </c>
      <c r="X984" s="1">
        <v>0</v>
      </c>
      <c r="Y984" s="1">
        <v>4107000</v>
      </c>
      <c r="Z984" s="1">
        <v>118000</v>
      </c>
      <c r="AA984" s="1">
        <v>430000</v>
      </c>
      <c r="AB984" s="1">
        <v>56000</v>
      </c>
      <c r="AC984" s="1">
        <v>0</v>
      </c>
      <c r="AD984" s="1">
        <v>0</v>
      </c>
      <c r="AE984" s="7" t="s">
        <v>317</v>
      </c>
      <c r="AF984" s="7" t="s">
        <v>318</v>
      </c>
      <c r="AG984" s="7" t="s">
        <v>319</v>
      </c>
    </row>
    <row r="985" spans="1:33" ht="15.75" x14ac:dyDescent="0.25">
      <c r="A985" s="3">
        <v>1107746153459</v>
      </c>
      <c r="B985" s="9">
        <v>7717669599</v>
      </c>
      <c r="C985" s="10" t="s">
        <v>8520</v>
      </c>
      <c r="D985" s="10" t="s">
        <v>8521</v>
      </c>
      <c r="E985" s="9">
        <v>65283078</v>
      </c>
      <c r="F985" s="9">
        <v>45286590000</v>
      </c>
      <c r="G985" s="9">
        <v>16</v>
      </c>
      <c r="H985" s="9">
        <v>12300</v>
      </c>
      <c r="I985" s="9">
        <v>770401001</v>
      </c>
      <c r="J985" s="10" t="s">
        <v>6739</v>
      </c>
      <c r="K985" s="10"/>
      <c r="L985" s="3" t="s">
        <v>2798</v>
      </c>
      <c r="M985" s="10" t="s">
        <v>8522</v>
      </c>
      <c r="N985" s="10" t="s">
        <v>8523</v>
      </c>
      <c r="O985" s="10" t="s">
        <v>8524</v>
      </c>
      <c r="P985" s="11">
        <v>781312595500</v>
      </c>
      <c r="Q985" s="10" t="s">
        <v>41</v>
      </c>
      <c r="R985" s="10" t="s">
        <v>8525</v>
      </c>
      <c r="S985" s="10" t="s">
        <v>8526</v>
      </c>
      <c r="T985" s="10"/>
      <c r="U985" s="10" t="s">
        <v>8527</v>
      </c>
      <c r="V985" s="3">
        <v>10000</v>
      </c>
      <c r="W985" s="3">
        <v>71320000</v>
      </c>
      <c r="X985" s="3">
        <v>385000</v>
      </c>
      <c r="Y985" s="3">
        <v>0</v>
      </c>
      <c r="Z985" s="3">
        <v>37425000</v>
      </c>
      <c r="AA985" s="3">
        <v>3384000</v>
      </c>
      <c r="AB985" s="3">
        <v>29977000</v>
      </c>
      <c r="AC985" s="3">
        <v>0</v>
      </c>
      <c r="AD985" s="3">
        <v>0</v>
      </c>
      <c r="AE985" s="10" t="s">
        <v>317</v>
      </c>
      <c r="AF985" s="10" t="s">
        <v>352</v>
      </c>
      <c r="AG985" s="10" t="s">
        <v>319</v>
      </c>
    </row>
    <row r="986" spans="1:33" ht="15.75" x14ac:dyDescent="0.25">
      <c r="A986" s="1">
        <v>1217700371404</v>
      </c>
      <c r="B986" s="6">
        <v>9728043334</v>
      </c>
      <c r="C986" s="7" t="s">
        <v>8528</v>
      </c>
      <c r="D986" s="7" t="s">
        <v>8529</v>
      </c>
      <c r="E986" s="6">
        <v>57290970</v>
      </c>
      <c r="F986" s="6">
        <v>45293578000</v>
      </c>
      <c r="G986" s="6">
        <v>16</v>
      </c>
      <c r="H986" s="6">
        <v>12300</v>
      </c>
      <c r="I986" s="6">
        <v>772801001</v>
      </c>
      <c r="J986" s="7" t="s">
        <v>8530</v>
      </c>
      <c r="K986" s="7"/>
      <c r="L986" s="1" t="s">
        <v>3081</v>
      </c>
      <c r="M986" s="7" t="s">
        <v>3082</v>
      </c>
      <c r="N986" s="7" t="s">
        <v>8531</v>
      </c>
      <c r="O986" s="7" t="s">
        <v>8532</v>
      </c>
      <c r="P986" s="8">
        <v>505015163025</v>
      </c>
      <c r="Q986" s="7" t="s">
        <v>41</v>
      </c>
      <c r="R986" s="7" t="s">
        <v>8533</v>
      </c>
      <c r="S986" s="7" t="s">
        <v>8534</v>
      </c>
      <c r="T986" s="7"/>
      <c r="U986" s="7"/>
      <c r="V986" s="1">
        <v>10000</v>
      </c>
      <c r="W986" s="1">
        <v>46368000</v>
      </c>
      <c r="X986" s="1">
        <v>0</v>
      </c>
      <c r="Y986" s="1">
        <v>26538000</v>
      </c>
      <c r="Z986" s="1">
        <v>3072000</v>
      </c>
      <c r="AA986" s="1">
        <v>10742000</v>
      </c>
      <c r="AB986" s="1">
        <v>897000</v>
      </c>
      <c r="AC986" s="1">
        <v>0</v>
      </c>
      <c r="AD986" s="1">
        <v>0</v>
      </c>
      <c r="AE986" s="7" t="s">
        <v>317</v>
      </c>
      <c r="AF986" s="7" t="s">
        <v>410</v>
      </c>
      <c r="AG986" s="7" t="s">
        <v>319</v>
      </c>
    </row>
    <row r="987" spans="1:33" ht="15.75" x14ac:dyDescent="0.25">
      <c r="A987" s="3">
        <v>1157746842241</v>
      </c>
      <c r="B987" s="9">
        <v>7733249680</v>
      </c>
      <c r="C987" s="10" t="s">
        <v>8535</v>
      </c>
      <c r="D987" s="10" t="s">
        <v>8536</v>
      </c>
      <c r="E987" s="9">
        <v>48547140</v>
      </c>
      <c r="F987" s="9">
        <v>45283569000</v>
      </c>
      <c r="G987" s="9">
        <v>16</v>
      </c>
      <c r="H987" s="9">
        <v>12300</v>
      </c>
      <c r="I987" s="9">
        <v>773301001</v>
      </c>
      <c r="J987" s="10" t="s">
        <v>8537</v>
      </c>
      <c r="K987" s="10"/>
      <c r="L987" s="3" t="s">
        <v>8538</v>
      </c>
      <c r="M987" s="10" t="s">
        <v>8539</v>
      </c>
      <c r="N987" s="10" t="s">
        <v>8540</v>
      </c>
      <c r="O987" s="10" t="s">
        <v>8541</v>
      </c>
      <c r="P987" s="11">
        <v>503000871631</v>
      </c>
      <c r="Q987" s="10" t="s">
        <v>41</v>
      </c>
      <c r="R987" s="10" t="s">
        <v>8542</v>
      </c>
      <c r="S987" s="10" t="s">
        <v>8543</v>
      </c>
      <c r="T987" s="10"/>
      <c r="U987" s="10"/>
      <c r="V987" s="3">
        <v>10000</v>
      </c>
      <c r="W987" s="3">
        <v>55204000</v>
      </c>
      <c r="X987" s="3">
        <v>173000</v>
      </c>
      <c r="Y987" s="3">
        <v>6826000</v>
      </c>
      <c r="Z987" s="3">
        <v>10715000</v>
      </c>
      <c r="AA987" s="3">
        <v>12058000</v>
      </c>
      <c r="AB987" s="3">
        <v>12844000</v>
      </c>
      <c r="AC987" s="3">
        <v>0</v>
      </c>
      <c r="AD987" s="3">
        <v>0</v>
      </c>
      <c r="AE987" s="10" t="s">
        <v>317</v>
      </c>
      <c r="AF987" s="10" t="s">
        <v>318</v>
      </c>
      <c r="AG987" s="10" t="s">
        <v>319</v>
      </c>
    </row>
    <row r="988" spans="1:33" ht="15.75" x14ac:dyDescent="0.25">
      <c r="A988" s="1">
        <v>1157746852922</v>
      </c>
      <c r="B988" s="6">
        <v>9715216879</v>
      </c>
      <c r="C988" s="7" t="s">
        <v>8544</v>
      </c>
      <c r="D988" s="7" t="s">
        <v>8545</v>
      </c>
      <c r="E988" s="6">
        <v>49325400</v>
      </c>
      <c r="F988" s="6">
        <v>45286585000</v>
      </c>
      <c r="G988" s="6">
        <v>16</v>
      </c>
      <c r="H988" s="6">
        <v>12300</v>
      </c>
      <c r="I988" s="6">
        <v>770701001</v>
      </c>
      <c r="J988" s="7" t="s">
        <v>8546</v>
      </c>
      <c r="K988" s="7"/>
      <c r="L988" s="1" t="s">
        <v>5363</v>
      </c>
      <c r="M988" s="7" t="s">
        <v>5364</v>
      </c>
      <c r="N988" s="7" t="s">
        <v>8547</v>
      </c>
      <c r="O988" s="7" t="s">
        <v>8548</v>
      </c>
      <c r="P988" s="8">
        <v>503811970270</v>
      </c>
      <c r="Q988" s="7" t="s">
        <v>41</v>
      </c>
      <c r="R988" s="7" t="s">
        <v>8549</v>
      </c>
      <c r="S988" s="7" t="s">
        <v>8550</v>
      </c>
      <c r="T988" s="7"/>
      <c r="U988" s="7"/>
      <c r="V988" s="1">
        <v>10000</v>
      </c>
      <c r="W988" s="1">
        <v>35137000</v>
      </c>
      <c r="X988" s="1">
        <v>2525000</v>
      </c>
      <c r="Y988" s="1">
        <v>22633000</v>
      </c>
      <c r="Z988" s="1">
        <v>93103000</v>
      </c>
      <c r="AA988" s="1">
        <v>65975000</v>
      </c>
      <c r="AB988" s="1">
        <v>-8607000</v>
      </c>
      <c r="AC988" s="1">
        <v>0</v>
      </c>
      <c r="AD988" s="1">
        <v>0</v>
      </c>
      <c r="AE988" s="7" t="s">
        <v>317</v>
      </c>
      <c r="AF988" s="7" t="s">
        <v>669</v>
      </c>
      <c r="AG988" s="7" t="s">
        <v>319</v>
      </c>
    </row>
    <row r="989" spans="1:33" ht="15.75" x14ac:dyDescent="0.25">
      <c r="A989" s="3">
        <v>1107746096864</v>
      </c>
      <c r="B989" s="9">
        <v>7726647094</v>
      </c>
      <c r="C989" s="10" t="s">
        <v>8551</v>
      </c>
      <c r="D989" s="10" t="s">
        <v>8552</v>
      </c>
      <c r="E989" s="9">
        <v>65220296</v>
      </c>
      <c r="F989" s="9">
        <v>45296575000</v>
      </c>
      <c r="G989" s="9">
        <v>16</v>
      </c>
      <c r="H989" s="9">
        <v>12300</v>
      </c>
      <c r="I989" s="9">
        <v>772601001</v>
      </c>
      <c r="J989" s="10" t="s">
        <v>8257</v>
      </c>
      <c r="K989" s="10"/>
      <c r="L989" s="3" t="s">
        <v>385</v>
      </c>
      <c r="M989" s="10" t="s">
        <v>386</v>
      </c>
      <c r="N989" s="10" t="s">
        <v>8553</v>
      </c>
      <c r="O989" s="10" t="s">
        <v>8554</v>
      </c>
      <c r="P989" s="11">
        <v>772152312604</v>
      </c>
      <c r="Q989" s="10" t="s">
        <v>340</v>
      </c>
      <c r="R989" s="10" t="s">
        <v>8555</v>
      </c>
      <c r="S989" s="10" t="s">
        <v>8556</v>
      </c>
      <c r="T989" s="10"/>
      <c r="U989" s="10"/>
      <c r="V989" s="3">
        <v>10000</v>
      </c>
      <c r="W989" s="3">
        <v>37663000</v>
      </c>
      <c r="X989" s="3">
        <v>0</v>
      </c>
      <c r="Y989" s="3">
        <v>7065000</v>
      </c>
      <c r="Z989" s="3">
        <v>7226000</v>
      </c>
      <c r="AA989" s="3">
        <v>18097000</v>
      </c>
      <c r="AB989" s="3">
        <v>1054000</v>
      </c>
      <c r="AC989" s="3">
        <v>0</v>
      </c>
      <c r="AD989" s="3">
        <v>0</v>
      </c>
      <c r="AE989" s="10" t="s">
        <v>317</v>
      </c>
      <c r="AF989" s="10" t="s">
        <v>1534</v>
      </c>
      <c r="AG989" s="10" t="s">
        <v>319</v>
      </c>
    </row>
    <row r="990" spans="1:33" ht="15.75" x14ac:dyDescent="0.25">
      <c r="A990" s="1">
        <v>1157746924323</v>
      </c>
      <c r="B990" s="6">
        <v>9715221050</v>
      </c>
      <c r="C990" s="7" t="s">
        <v>8557</v>
      </c>
      <c r="D990" s="7" t="s">
        <v>8558</v>
      </c>
      <c r="E990" s="6">
        <v>51051855</v>
      </c>
      <c r="F990" s="6">
        <v>45280554000</v>
      </c>
      <c r="G990" s="6">
        <v>16</v>
      </c>
      <c r="H990" s="6">
        <v>12300</v>
      </c>
      <c r="I990" s="6">
        <v>771501001</v>
      </c>
      <c r="J990" s="7" t="s">
        <v>8346</v>
      </c>
      <c r="K990" s="7"/>
      <c r="L990" s="1" t="s">
        <v>523</v>
      </c>
      <c r="M990" s="7" t="s">
        <v>524</v>
      </c>
      <c r="N990" s="7" t="s">
        <v>8559</v>
      </c>
      <c r="O990" s="7" t="s">
        <v>8560</v>
      </c>
      <c r="P990" s="8">
        <v>672704523202</v>
      </c>
      <c r="Q990" s="7" t="s">
        <v>41</v>
      </c>
      <c r="R990" s="7" t="s">
        <v>8561</v>
      </c>
      <c r="S990" s="7" t="s">
        <v>8562</v>
      </c>
      <c r="T990" s="7"/>
      <c r="U990" s="7"/>
      <c r="V990" s="1">
        <v>10000</v>
      </c>
      <c r="W990" s="1">
        <v>56346000</v>
      </c>
      <c r="X990" s="1">
        <v>0</v>
      </c>
      <c r="Y990" s="1">
        <v>778000</v>
      </c>
      <c r="Z990" s="1">
        <v>2760000</v>
      </c>
      <c r="AA990" s="1">
        <v>1381000</v>
      </c>
      <c r="AB990" s="1">
        <v>3718000</v>
      </c>
      <c r="AC990" s="1">
        <v>0</v>
      </c>
      <c r="AD990" s="1">
        <v>0</v>
      </c>
      <c r="AE990" s="7" t="s">
        <v>317</v>
      </c>
      <c r="AF990" s="7" t="s">
        <v>318</v>
      </c>
      <c r="AG990" s="7" t="s">
        <v>319</v>
      </c>
    </row>
    <row r="991" spans="1:33" ht="15.75" x14ac:dyDescent="0.25">
      <c r="A991" s="3">
        <v>1157746913939</v>
      </c>
      <c r="B991" s="9">
        <v>7724336311</v>
      </c>
      <c r="C991" s="10" t="s">
        <v>8563</v>
      </c>
      <c r="D991" s="10" t="s">
        <v>8564</v>
      </c>
      <c r="E991" s="9">
        <v>50956330</v>
      </c>
      <c r="F991" s="9">
        <v>45296571000</v>
      </c>
      <c r="G991" s="9">
        <v>16</v>
      </c>
      <c r="H991" s="9">
        <v>12300</v>
      </c>
      <c r="I991" s="9">
        <v>772401001</v>
      </c>
      <c r="J991" s="10" t="s">
        <v>8565</v>
      </c>
      <c r="K991" s="10"/>
      <c r="L991" s="3" t="s">
        <v>7290</v>
      </c>
      <c r="M991" s="10" t="s">
        <v>7291</v>
      </c>
      <c r="N991" s="10" t="s">
        <v>8566</v>
      </c>
      <c r="O991" s="10" t="s">
        <v>8567</v>
      </c>
      <c r="P991" s="11">
        <v>772131039217</v>
      </c>
      <c r="Q991" s="10" t="s">
        <v>41</v>
      </c>
      <c r="R991" s="10" t="s">
        <v>8568</v>
      </c>
      <c r="S991" s="10" t="s">
        <v>8569</v>
      </c>
      <c r="T991" s="10"/>
      <c r="U991" s="10" t="s">
        <v>8570</v>
      </c>
      <c r="V991" s="3">
        <v>10000</v>
      </c>
      <c r="W991" s="3">
        <v>124581000</v>
      </c>
      <c r="X991" s="3">
        <v>23000</v>
      </c>
      <c r="Y991" s="3">
        <v>1979000</v>
      </c>
      <c r="Z991" s="3">
        <v>1153000</v>
      </c>
      <c r="AA991" s="3">
        <v>1726000</v>
      </c>
      <c r="AB991" s="3">
        <v>13369000</v>
      </c>
      <c r="AC991" s="3">
        <v>0</v>
      </c>
      <c r="AD991" s="3">
        <v>0</v>
      </c>
      <c r="AE991" s="10" t="s">
        <v>317</v>
      </c>
      <c r="AF991" s="10" t="s">
        <v>318</v>
      </c>
      <c r="AG991" s="10" t="s">
        <v>319</v>
      </c>
    </row>
    <row r="992" spans="1:33" ht="15.75" x14ac:dyDescent="0.25">
      <c r="A992" s="1">
        <v>1157746786119</v>
      </c>
      <c r="B992" s="6">
        <v>7725286247</v>
      </c>
      <c r="C992" s="7" t="s">
        <v>8571</v>
      </c>
      <c r="D992" s="7" t="s">
        <v>8572</v>
      </c>
      <c r="E992" s="6">
        <v>47605986</v>
      </c>
      <c r="F992" s="6">
        <v>45296559000</v>
      </c>
      <c r="G992" s="6">
        <v>16</v>
      </c>
      <c r="H992" s="6">
        <v>12300</v>
      </c>
      <c r="I992" s="6">
        <v>772501001</v>
      </c>
      <c r="J992" s="7" t="s">
        <v>8573</v>
      </c>
      <c r="K992" s="7"/>
      <c r="L992" s="1" t="s">
        <v>5805</v>
      </c>
      <c r="M992" s="7" t="s">
        <v>5806</v>
      </c>
      <c r="N992" s="7" t="s">
        <v>8574</v>
      </c>
      <c r="O992" s="7" t="s">
        <v>8575</v>
      </c>
      <c r="P992" s="8">
        <v>772744110959</v>
      </c>
      <c r="Q992" s="7" t="s">
        <v>41</v>
      </c>
      <c r="R992" s="7" t="s">
        <v>8576</v>
      </c>
      <c r="S992" s="7" t="s">
        <v>8577</v>
      </c>
      <c r="T992" s="7"/>
      <c r="U992" s="7"/>
      <c r="V992" s="1">
        <v>10000</v>
      </c>
      <c r="W992" s="1">
        <v>64609000</v>
      </c>
      <c r="X992" s="1">
        <v>0</v>
      </c>
      <c r="Y992" s="1">
        <v>0</v>
      </c>
      <c r="Z992" s="1">
        <v>5223000</v>
      </c>
      <c r="AA992" s="1">
        <v>4124000</v>
      </c>
      <c r="AB992" s="1">
        <v>18083000</v>
      </c>
      <c r="AC992" s="1">
        <v>0</v>
      </c>
      <c r="AD992" s="1">
        <v>0</v>
      </c>
      <c r="AE992" s="7" t="s">
        <v>317</v>
      </c>
      <c r="AF992" s="7" t="s">
        <v>352</v>
      </c>
      <c r="AG992" s="7" t="s">
        <v>319</v>
      </c>
    </row>
    <row r="993" spans="1:33" ht="15.75" x14ac:dyDescent="0.25">
      <c r="A993" s="3">
        <v>1157746930604</v>
      </c>
      <c r="B993" s="9">
        <v>7720318223</v>
      </c>
      <c r="C993" s="10" t="s">
        <v>8578</v>
      </c>
      <c r="D993" s="10" t="s">
        <v>8579</v>
      </c>
      <c r="E993" s="9">
        <v>51089651</v>
      </c>
      <c r="F993" s="9">
        <v>45263583000</v>
      </c>
      <c r="G993" s="9">
        <v>16</v>
      </c>
      <c r="H993" s="9">
        <v>12300</v>
      </c>
      <c r="I993" s="9">
        <v>772001001</v>
      </c>
      <c r="J993" s="10" t="s">
        <v>982</v>
      </c>
      <c r="K993" s="10"/>
      <c r="L993" s="3" t="s">
        <v>6552</v>
      </c>
      <c r="M993" s="10" t="s">
        <v>6553</v>
      </c>
      <c r="N993" s="10" t="s">
        <v>8580</v>
      </c>
      <c r="O993" s="10" t="s">
        <v>8581</v>
      </c>
      <c r="P993" s="11">
        <v>500112197800</v>
      </c>
      <c r="Q993" s="10" t="s">
        <v>41</v>
      </c>
      <c r="R993" s="10" t="s">
        <v>8582</v>
      </c>
      <c r="S993" s="10" t="s">
        <v>8583</v>
      </c>
      <c r="T993" s="10"/>
      <c r="U993" s="10" t="s">
        <v>8584</v>
      </c>
      <c r="V993" s="3">
        <v>10000</v>
      </c>
      <c r="W993" s="3">
        <v>104521000</v>
      </c>
      <c r="X993" s="3">
        <v>0</v>
      </c>
      <c r="Y993" s="3">
        <v>6885000</v>
      </c>
      <c r="Z993" s="3">
        <v>5279000</v>
      </c>
      <c r="AA993" s="3">
        <v>9803000</v>
      </c>
      <c r="AB993" s="3">
        <v>4731000</v>
      </c>
      <c r="AC993" s="3">
        <v>0</v>
      </c>
      <c r="AD993" s="3">
        <v>0</v>
      </c>
      <c r="AE993" s="10" t="s">
        <v>331</v>
      </c>
      <c r="AF993" s="10" t="s">
        <v>84</v>
      </c>
      <c r="AG993" s="10" t="s">
        <v>319</v>
      </c>
    </row>
    <row r="994" spans="1:33" ht="15.75" x14ac:dyDescent="0.25">
      <c r="A994" s="1">
        <v>1107746181553</v>
      </c>
      <c r="B994" s="6">
        <v>7714802676</v>
      </c>
      <c r="C994" s="7" t="s">
        <v>8585</v>
      </c>
      <c r="D994" s="7" t="s">
        <v>8586</v>
      </c>
      <c r="E994" s="6">
        <v>65285545</v>
      </c>
      <c r="F994" s="6">
        <v>45277598000</v>
      </c>
      <c r="G994" s="6">
        <v>16</v>
      </c>
      <c r="H994" s="6">
        <v>12300</v>
      </c>
      <c r="I994" s="6">
        <v>771401001</v>
      </c>
      <c r="J994" s="7" t="s">
        <v>8196</v>
      </c>
      <c r="K994" s="7"/>
      <c r="L994" s="1" t="s">
        <v>1163</v>
      </c>
      <c r="M994" s="7" t="s">
        <v>1164</v>
      </c>
      <c r="N994" s="7" t="s">
        <v>8587</v>
      </c>
      <c r="O994" s="7" t="s">
        <v>8588</v>
      </c>
      <c r="P994" s="8">
        <v>550516940444</v>
      </c>
      <c r="Q994" s="7" t="s">
        <v>41</v>
      </c>
      <c r="R994" s="7" t="s">
        <v>8589</v>
      </c>
      <c r="S994" s="7" t="s">
        <v>8590</v>
      </c>
      <c r="T994" s="7"/>
      <c r="U994" s="7" t="s">
        <v>8591</v>
      </c>
      <c r="V994" s="1">
        <v>10000</v>
      </c>
      <c r="W994" s="1">
        <v>51616000</v>
      </c>
      <c r="X994" s="1">
        <v>1123000</v>
      </c>
      <c r="Y994" s="1">
        <v>1682000</v>
      </c>
      <c r="Z994" s="1">
        <v>0</v>
      </c>
      <c r="AA994" s="1">
        <v>1252000</v>
      </c>
      <c r="AB994" s="1">
        <v>473000</v>
      </c>
      <c r="AC994" s="1">
        <v>0</v>
      </c>
      <c r="AD994" s="1">
        <v>0</v>
      </c>
      <c r="AE994" s="7" t="s">
        <v>317</v>
      </c>
      <c r="AF994" s="7" t="s">
        <v>530</v>
      </c>
      <c r="AG994" s="7" t="s">
        <v>319</v>
      </c>
    </row>
    <row r="995" spans="1:33" ht="15.75" x14ac:dyDescent="0.25">
      <c r="A995" s="3">
        <v>1157746787582</v>
      </c>
      <c r="B995" s="9">
        <v>7730181722</v>
      </c>
      <c r="C995" s="10" t="s">
        <v>8592</v>
      </c>
      <c r="D995" s="10" t="s">
        <v>8593</v>
      </c>
      <c r="E995" s="9">
        <v>47600753</v>
      </c>
      <c r="F995" s="9">
        <v>45268554000</v>
      </c>
      <c r="G995" s="9">
        <v>16</v>
      </c>
      <c r="H995" s="9">
        <v>12300</v>
      </c>
      <c r="I995" s="9">
        <v>773001001</v>
      </c>
      <c r="J995" s="10" t="s">
        <v>8594</v>
      </c>
      <c r="K995" s="10"/>
      <c r="L995" s="3" t="s">
        <v>1045</v>
      </c>
      <c r="M995" s="10" t="s">
        <v>1046</v>
      </c>
      <c r="N995" s="10" t="s">
        <v>8595</v>
      </c>
      <c r="O995" s="10" t="s">
        <v>8596</v>
      </c>
      <c r="P995" s="11">
        <v>503702674271</v>
      </c>
      <c r="Q995" s="10" t="s">
        <v>41</v>
      </c>
      <c r="R995" s="10" t="s">
        <v>8597</v>
      </c>
      <c r="S995" s="10" t="s">
        <v>8598</v>
      </c>
      <c r="T995" s="10"/>
      <c r="U995" s="10" t="s">
        <v>8599</v>
      </c>
      <c r="V995" s="3">
        <v>10000</v>
      </c>
      <c r="W995" s="3">
        <v>46060000</v>
      </c>
      <c r="X995" s="3">
        <v>0</v>
      </c>
      <c r="Y995" s="3">
        <v>0</v>
      </c>
      <c r="Z995" s="3">
        <v>44000</v>
      </c>
      <c r="AA995" s="3">
        <v>1548000</v>
      </c>
      <c r="AB995" s="3">
        <v>-587000</v>
      </c>
      <c r="AC995" s="3">
        <v>0</v>
      </c>
      <c r="AD995" s="3">
        <v>0</v>
      </c>
      <c r="AE995" s="10" t="s">
        <v>317</v>
      </c>
      <c r="AF995" s="10" t="s">
        <v>318</v>
      </c>
      <c r="AG995" s="10" t="s">
        <v>319</v>
      </c>
    </row>
    <row r="996" spans="1:33" ht="15.75" x14ac:dyDescent="0.25">
      <c r="A996" s="1">
        <v>1126174001942</v>
      </c>
      <c r="B996" s="6">
        <v>6143078510</v>
      </c>
      <c r="C996" s="7" t="s">
        <v>8600</v>
      </c>
      <c r="D996" s="7" t="s">
        <v>8601</v>
      </c>
      <c r="E996" s="6">
        <v>92189494</v>
      </c>
      <c r="F996" s="6">
        <v>45296579000</v>
      </c>
      <c r="G996" s="6">
        <v>16</v>
      </c>
      <c r="H996" s="6">
        <v>12300</v>
      </c>
      <c r="I996" s="6">
        <v>772401001</v>
      </c>
      <c r="J996" s="7" t="s">
        <v>8602</v>
      </c>
      <c r="K996" s="7"/>
      <c r="L996" s="1" t="s">
        <v>6015</v>
      </c>
      <c r="M996" s="7" t="s">
        <v>6016</v>
      </c>
      <c r="N996" s="7" t="s">
        <v>8603</v>
      </c>
      <c r="O996" s="7" t="s">
        <v>8604</v>
      </c>
      <c r="P996" s="8">
        <v>614305485293</v>
      </c>
      <c r="Q996" s="7" t="s">
        <v>41</v>
      </c>
      <c r="R996" s="7" t="s">
        <v>8605</v>
      </c>
      <c r="S996" s="7" t="s">
        <v>8606</v>
      </c>
      <c r="T996" s="7"/>
      <c r="U996" s="7"/>
      <c r="V996" s="1">
        <v>10000</v>
      </c>
      <c r="W996" s="1">
        <v>50526000</v>
      </c>
      <c r="X996" s="1">
        <v>30215000</v>
      </c>
      <c r="Y996" s="1">
        <v>0</v>
      </c>
      <c r="Z996" s="1">
        <v>2220000</v>
      </c>
      <c r="AA996" s="1">
        <v>7527000</v>
      </c>
      <c r="AB996" s="1">
        <v>-3782000</v>
      </c>
      <c r="AC996" s="1">
        <v>0</v>
      </c>
      <c r="AD996" s="1">
        <v>0</v>
      </c>
      <c r="AE996" s="7" t="s">
        <v>317</v>
      </c>
      <c r="AF996" s="7" t="s">
        <v>352</v>
      </c>
      <c r="AG996" s="7" t="s">
        <v>319</v>
      </c>
    </row>
    <row r="997" spans="1:33" ht="15.75" x14ac:dyDescent="0.25">
      <c r="A997" s="1">
        <v>1107746074886</v>
      </c>
      <c r="B997" s="6">
        <v>7703714876</v>
      </c>
      <c r="C997" s="7" t="s">
        <v>8607</v>
      </c>
      <c r="D997" s="7" t="s">
        <v>8608</v>
      </c>
      <c r="E997" s="6">
        <v>65210234</v>
      </c>
      <c r="F997" s="6">
        <v>45293554000</v>
      </c>
      <c r="G997" s="6">
        <v>16</v>
      </c>
      <c r="H997" s="6">
        <v>12300</v>
      </c>
      <c r="I997" s="6">
        <v>772701001</v>
      </c>
      <c r="J997" s="7" t="s">
        <v>7915</v>
      </c>
      <c r="K997" s="7"/>
      <c r="L997" s="1" t="s">
        <v>5774</v>
      </c>
      <c r="M997" s="7" t="s">
        <v>5775</v>
      </c>
      <c r="N997" s="7" t="s">
        <v>8609</v>
      </c>
      <c r="O997" s="7" t="s">
        <v>8610</v>
      </c>
      <c r="P997" s="8">
        <v>772851201304</v>
      </c>
      <c r="Q997" s="7" t="s">
        <v>41</v>
      </c>
      <c r="R997" s="7" t="s">
        <v>8611</v>
      </c>
      <c r="S997" s="7" t="s">
        <v>8612</v>
      </c>
      <c r="T997" s="7"/>
      <c r="U997" s="7" t="s">
        <v>8613</v>
      </c>
      <c r="V997" s="1">
        <v>10000</v>
      </c>
      <c r="W997" s="1">
        <v>42012000</v>
      </c>
      <c r="X997" s="1">
        <v>26970000</v>
      </c>
      <c r="Y997" s="1">
        <v>0</v>
      </c>
      <c r="Z997" s="1">
        <v>19500000</v>
      </c>
      <c r="AA997" s="1">
        <v>0</v>
      </c>
      <c r="AB997" s="1">
        <v>19506000</v>
      </c>
      <c r="AC997" s="1">
        <v>0</v>
      </c>
      <c r="AD997" s="1">
        <v>0</v>
      </c>
      <c r="AE997" s="7" t="s">
        <v>317</v>
      </c>
      <c r="AF997" s="7" t="s">
        <v>1023</v>
      </c>
      <c r="AG997" s="7" t="s">
        <v>319</v>
      </c>
    </row>
    <row r="998" spans="1:33" ht="15.75" x14ac:dyDescent="0.25">
      <c r="A998" s="3">
        <v>1107746084291</v>
      </c>
      <c r="B998" s="9">
        <v>7724736341</v>
      </c>
      <c r="C998" s="10" t="s">
        <v>8614</v>
      </c>
      <c r="D998" s="10" t="s">
        <v>8615</v>
      </c>
      <c r="E998" s="9">
        <v>65227306</v>
      </c>
      <c r="F998" s="9">
        <v>45296571000</v>
      </c>
      <c r="G998" s="9">
        <v>16</v>
      </c>
      <c r="H998" s="9">
        <v>12300</v>
      </c>
      <c r="I998" s="9">
        <v>772401001</v>
      </c>
      <c r="J998" s="10" t="s">
        <v>8473</v>
      </c>
      <c r="K998" s="10"/>
      <c r="L998" s="3" t="s">
        <v>1072</v>
      </c>
      <c r="M998" s="10" t="s">
        <v>1073</v>
      </c>
      <c r="N998" s="10" t="s">
        <v>8616</v>
      </c>
      <c r="O998" s="10" t="s">
        <v>8617</v>
      </c>
      <c r="P998" s="11">
        <v>504603138546</v>
      </c>
      <c r="Q998" s="10" t="s">
        <v>41</v>
      </c>
      <c r="R998" s="10" t="s">
        <v>8618</v>
      </c>
      <c r="S998" s="10" t="s">
        <v>8619</v>
      </c>
      <c r="T998" s="10"/>
      <c r="U998" s="10" t="s">
        <v>8620</v>
      </c>
      <c r="V998" s="3">
        <v>10000</v>
      </c>
      <c r="W998" s="3">
        <v>56643000</v>
      </c>
      <c r="X998" s="3">
        <v>34000</v>
      </c>
      <c r="Y998" s="3">
        <v>0</v>
      </c>
      <c r="Z998" s="3">
        <v>11588000</v>
      </c>
      <c r="AA998" s="3">
        <v>1976000</v>
      </c>
      <c r="AB998" s="3">
        <v>2962000</v>
      </c>
      <c r="AC998" s="3">
        <v>0</v>
      </c>
      <c r="AD998" s="3">
        <v>0</v>
      </c>
      <c r="AE998" s="10" t="s">
        <v>317</v>
      </c>
      <c r="AF998" s="10" t="s">
        <v>318</v>
      </c>
      <c r="AG998" s="10" t="s">
        <v>319</v>
      </c>
    </row>
    <row r="999" spans="1:33" ht="15.75" x14ac:dyDescent="0.25">
      <c r="A999" s="1">
        <v>1157746852890</v>
      </c>
      <c r="B999" s="6">
        <v>9701010356</v>
      </c>
      <c r="C999" s="7" t="s">
        <v>8621</v>
      </c>
      <c r="D999" s="7" t="s">
        <v>8622</v>
      </c>
      <c r="E999" s="6">
        <v>49299476</v>
      </c>
      <c r="F999" s="6">
        <v>45286555000</v>
      </c>
      <c r="G999" s="6">
        <v>16</v>
      </c>
      <c r="H999" s="6">
        <v>12300</v>
      </c>
      <c r="I999" s="6">
        <v>770101001</v>
      </c>
      <c r="J999" s="7" t="s">
        <v>8546</v>
      </c>
      <c r="K999" s="7"/>
      <c r="L999" s="1" t="s">
        <v>1800</v>
      </c>
      <c r="M999" s="7" t="s">
        <v>1801</v>
      </c>
      <c r="N999" s="7" t="s">
        <v>8623</v>
      </c>
      <c r="O999" s="7" t="s">
        <v>8624</v>
      </c>
      <c r="P999" s="8">
        <v>772029765088</v>
      </c>
      <c r="Q999" s="7" t="s">
        <v>41</v>
      </c>
      <c r="R999" s="7" t="s">
        <v>8625</v>
      </c>
      <c r="S999" s="7" t="s">
        <v>8626</v>
      </c>
      <c r="T999" s="7"/>
      <c r="U999" s="7"/>
      <c r="V999" s="1">
        <v>10000</v>
      </c>
      <c r="W999" s="1">
        <v>40335000</v>
      </c>
      <c r="X999" s="1">
        <v>0</v>
      </c>
      <c r="Y999" s="1">
        <v>1948000</v>
      </c>
      <c r="Z999" s="1">
        <v>855000</v>
      </c>
      <c r="AA999" s="1">
        <v>1439000</v>
      </c>
      <c r="AB999" s="1">
        <v>9017000</v>
      </c>
      <c r="AC999" s="1">
        <v>0</v>
      </c>
      <c r="AD999" s="1">
        <v>0</v>
      </c>
      <c r="AE999" s="7" t="s">
        <v>317</v>
      </c>
      <c r="AF999" s="7" t="s">
        <v>286</v>
      </c>
      <c r="AG999" s="7" t="s">
        <v>319</v>
      </c>
    </row>
    <row r="1000" spans="1:33" ht="15.75" x14ac:dyDescent="0.25">
      <c r="A1000" s="3">
        <v>1157746924125</v>
      </c>
      <c r="B1000" s="9">
        <v>7709470104</v>
      </c>
      <c r="C1000" s="10" t="s">
        <v>8627</v>
      </c>
      <c r="D1000" s="10" t="s">
        <v>8628</v>
      </c>
      <c r="E1000" s="9">
        <v>51062706</v>
      </c>
      <c r="F1000" s="9">
        <v>46415000000</v>
      </c>
      <c r="G1000" s="9">
        <v>16</v>
      </c>
      <c r="H1000" s="9">
        <v>12300</v>
      </c>
      <c r="I1000" s="9">
        <v>500701001</v>
      </c>
      <c r="J1000" s="10" t="s">
        <v>8346</v>
      </c>
      <c r="K1000" s="10"/>
      <c r="L1000" s="3" t="s">
        <v>404</v>
      </c>
      <c r="M1000" s="10" t="s">
        <v>405</v>
      </c>
      <c r="N1000" s="10" t="s">
        <v>934</v>
      </c>
      <c r="O1000" s="10" t="s">
        <v>8629</v>
      </c>
      <c r="P1000" s="11">
        <v>500708354145</v>
      </c>
      <c r="Q1000" s="10" t="s">
        <v>41</v>
      </c>
      <c r="R1000" s="10" t="s">
        <v>8630</v>
      </c>
      <c r="S1000" s="10" t="s">
        <v>8631</v>
      </c>
      <c r="T1000" s="10" t="s">
        <v>8632</v>
      </c>
      <c r="U1000" s="10"/>
      <c r="V1000" s="3">
        <v>10000</v>
      </c>
      <c r="W1000" s="3">
        <v>74376000</v>
      </c>
      <c r="X1000" s="3">
        <v>2000000</v>
      </c>
      <c r="Y1000" s="3">
        <v>490000</v>
      </c>
      <c r="Z1000" s="3">
        <v>7650000</v>
      </c>
      <c r="AA1000" s="3">
        <v>11757000</v>
      </c>
      <c r="AB1000" s="3">
        <v>36156000</v>
      </c>
      <c r="AC1000" s="3">
        <v>0</v>
      </c>
      <c r="AD1000" s="3">
        <v>0</v>
      </c>
      <c r="AE1000" s="10" t="s">
        <v>317</v>
      </c>
      <c r="AF1000" s="10" t="s">
        <v>530</v>
      </c>
      <c r="AG1000" s="10" t="s">
        <v>319</v>
      </c>
    </row>
    <row r="1001" spans="1:33" ht="15.75" x14ac:dyDescent="0.25">
      <c r="A1001" s="1">
        <v>1107746101495</v>
      </c>
      <c r="B1001" s="6">
        <v>7720678138</v>
      </c>
      <c r="C1001" s="7" t="s">
        <v>8633</v>
      </c>
      <c r="D1001" s="7" t="s">
        <v>8634</v>
      </c>
      <c r="E1001" s="6">
        <v>65203932</v>
      </c>
      <c r="F1001" s="6">
        <v>45263567000</v>
      </c>
      <c r="G1001" s="6">
        <v>16</v>
      </c>
      <c r="H1001" s="6">
        <v>12300</v>
      </c>
      <c r="I1001" s="6">
        <v>772001001</v>
      </c>
      <c r="J1001" s="7" t="s">
        <v>8635</v>
      </c>
      <c r="K1001" s="7"/>
      <c r="L1001" s="1" t="s">
        <v>5774</v>
      </c>
      <c r="M1001" s="7" t="s">
        <v>5775</v>
      </c>
      <c r="N1001" s="7" t="s">
        <v>8636</v>
      </c>
      <c r="O1001" s="7" t="s">
        <v>8637</v>
      </c>
      <c r="P1001" s="8">
        <v>772445077301</v>
      </c>
      <c r="Q1001" s="7" t="s">
        <v>41</v>
      </c>
      <c r="R1001" s="7" t="s">
        <v>8638</v>
      </c>
      <c r="S1001" s="7" t="s">
        <v>8639</v>
      </c>
      <c r="T1001" s="7"/>
      <c r="U1001" s="7"/>
      <c r="V1001" s="1">
        <v>10000</v>
      </c>
      <c r="W1001" s="1">
        <v>31412000</v>
      </c>
      <c r="X1001" s="1">
        <v>1104000</v>
      </c>
      <c r="Y1001" s="1">
        <v>0</v>
      </c>
      <c r="Z1001" s="1">
        <v>1136000</v>
      </c>
      <c r="AA1001" s="1">
        <v>487000</v>
      </c>
      <c r="AB1001" s="1">
        <v>5299000</v>
      </c>
      <c r="AC1001" s="1">
        <v>0</v>
      </c>
      <c r="AD1001" s="1">
        <v>0</v>
      </c>
      <c r="AE1001" s="7" t="s">
        <v>317</v>
      </c>
      <c r="AF1001" s="7" t="s">
        <v>410</v>
      </c>
      <c r="AG1001" s="7" t="s">
        <v>319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3A5F5-8C7E-4D0B-B217-C4854D983F81}">
  <dimension ref="A1:M1013"/>
  <sheetViews>
    <sheetView tabSelected="1" workbookViewId="0">
      <selection activeCell="S10" sqref="S10"/>
    </sheetView>
  </sheetViews>
  <sheetFormatPr defaultRowHeight="15" x14ac:dyDescent="0.25"/>
  <cols>
    <col min="1" max="1" width="14" style="5" customWidth="1"/>
    <col min="2" max="2" width="11.42578125" customWidth="1"/>
    <col min="3" max="3" width="24.28515625" style="25" customWidth="1"/>
    <col min="4" max="4" width="23.7109375" customWidth="1"/>
    <col min="5" max="5" width="12.5703125" customWidth="1"/>
    <col min="6" max="6" width="16.7109375" customWidth="1"/>
    <col min="7" max="7" width="18.42578125" customWidth="1"/>
    <col min="8" max="8" width="14.7109375" style="55" customWidth="1"/>
    <col min="9" max="9" width="13.28515625" style="30" customWidth="1"/>
    <col min="10" max="10" width="16.85546875" style="30" customWidth="1"/>
    <col min="11" max="11" width="9.140625" style="30"/>
    <col min="12" max="12" width="14.140625" style="45" customWidth="1"/>
    <col min="13" max="13" width="12.7109375" style="47" customWidth="1"/>
  </cols>
  <sheetData>
    <row r="1" spans="1:13" s="28" customFormat="1" ht="15.75" x14ac:dyDescent="0.25">
      <c r="A1" s="2" t="s">
        <v>0</v>
      </c>
      <c r="B1" s="2" t="s">
        <v>1</v>
      </c>
      <c r="C1" s="2" t="s">
        <v>2</v>
      </c>
      <c r="D1" s="2" t="s">
        <v>12</v>
      </c>
      <c r="E1" s="40" t="str">
        <f>ЛИК_дляСкорингаДП!L1</f>
        <v>ОКВЭД</v>
      </c>
      <c r="F1" s="41" t="str">
        <f>ЛИК_дляСкорингаДП!N1</f>
        <v>Доп. ОКВЭД</v>
      </c>
      <c r="G1" s="43" t="str">
        <f>ЛИК_дляСкорингаДП!AG1</f>
        <v>Налоговый режим</v>
      </c>
      <c r="H1" s="42" t="s">
        <v>8660</v>
      </c>
      <c r="I1" s="29" t="s">
        <v>8643</v>
      </c>
      <c r="J1" s="29" t="s">
        <v>8645</v>
      </c>
      <c r="K1" s="29" t="s">
        <v>8644</v>
      </c>
      <c r="L1" s="44" t="s">
        <v>8646</v>
      </c>
      <c r="M1" s="46" t="s">
        <v>8745</v>
      </c>
    </row>
    <row r="2" spans="1:13" x14ac:dyDescent="0.25">
      <c r="A2" s="4">
        <f>ЛИК_дляСкорингаДП!A2</f>
        <v>1027700092661</v>
      </c>
      <c r="B2" s="4">
        <f>ЛИК_дляСкорингаДП!B2</f>
        <v>7712040126</v>
      </c>
      <c r="C2" s="4" t="str">
        <f>ЛИК_дляСкорингаДП!C2</f>
        <v>ПАО "АЭРОФЛОТ"</v>
      </c>
      <c r="D2" s="5" t="str">
        <f>ЛИК_дляСкорингаДП!M2</f>
        <v>Перевозка воздушным пассажирским транспортом, подчиняющимся расписанию</v>
      </c>
      <c r="E2" s="4" t="str">
        <f>ЛИК_дляСкорингаДП!L2</f>
        <v>51.10.1</v>
      </c>
      <c r="F2" t="str">
        <f>ЛИК_дляСкорингаДП!N2</f>
        <v>49.39.39,51.21.1,52.23.19,52.29,61.90.9,68.20.29,85.42.9,86.21,18.12,33.16,41.20,46.14,51.10.1,51.21.3,52.29,55.10,56.10.1,58.19,62.01,62.02,62.09,64.99,68.32.2,70.22,73.20,79.11,85.22,85.42.9,86.21</v>
      </c>
      <c r="G2" s="25" t="str">
        <f>ЛИК_дляСкорингаДП!AG2</f>
        <v>ОСН</v>
      </c>
      <c r="H2" s="55" t="str">
        <f>IF(ISNUMBER(E2),E2,
IFERROR(LEFT(E2,FIND(".",E2)-1),E2))</f>
        <v>51</v>
      </c>
      <c r="I2" s="30">
        <f>IF(COUNTIF(Справочник_ОКВЭД_НР!$A$3:$A$62,H2)&gt;0,Справочник_ОКВЭД_НР!$L$8,
 IF(COUNTIF(Справочник_ОКВЭД_НР!$C$3:$C$62,H2)&gt;0,Справочник_ОКВЭД_НР!$L$9,
  IF(COUNTIF(Справочник_ОКВЭД_НР!$E$3:$E$62,H2)&gt;0,Справочник_ОКВЭД_НР!$L$10,
   IF(COUNTIF(Справочник_ОКВЭД_НР!$G$3:$G$62,H2)&gt;0,Справочник_ОКВЭД_НР!$L$11,50))))</f>
        <v>60</v>
      </c>
      <c r="J2" s="30" cm="1">
        <f t="array" ref="J2">IFERROR(
 (SUMPRODUCT(ISNUMBER(SEARCH(","&amp;Справочник_ОКВЭД_НР!$A$3:$A$62&amp;".",","&amp;SUBSTITUTE(F2," ","")&amp;",")))*Справочник_ОКВЭД_НР!$L$9 +
  SUMPRODUCT(ISNUMBER(SEARCH(","&amp;Справочник_ОКВЭД_НР!$C$3:$C$62&amp;".",","&amp;SUBSTITUTE(F2," ","")&amp;",")))*Справочник_ОКВЭД_НР!$L$10 +
  SUMPRODUCT(ISNUMBER(SEARCH(","&amp;Справочник_ОКВЭД_НР!$E$3:$E$62&amp;".",","&amp;SUBSTITUTE(F2," ","")&amp;",")))*Справочник_ОКВЭД_НР!$L$11 +
  SUMPRODUCT(ISNUMBER(SEARCH(","&amp;Справочник_ОКВЭД_НР!$G$3:$G$62&amp;".",","&amp;SUBSTITUTE(F2," ","")&amp;",")))*Справочник_ОКВЭД_НР!$L$12) /
 (SUMPRODUCT(ISNUMBER(SEARCH(","&amp;Справочник_ОКВЭД_НР!$A$3:$A$62&amp;".",","&amp;SUBSTITUTE(F2," ","")&amp;","))) +
  SUMPRODUCT(ISNUMBER(SEARCH(","&amp;Справочник_ОКВЭД_НР!$C$3:$C$62&amp;".",","&amp;SUBSTITUTE(F2," ","")&amp;","))) +
  SUMPRODUCT(ISNUMBER(SEARCH(","&amp;Справочник_ОКВЭД_НР!$E$3:$E$62&amp;".",","&amp;SUBSTITUTE(F2," ","")&amp;","))) +
  SUMPRODUCT(ISNUMBER(SEARCH(","&amp;Справочник_ОКВЭД_НР!$G$3:$G$62&amp;".",","&amp;SUBSTITUTE(F2," ","")&amp;",")))),
50)</f>
        <v>50</v>
      </c>
      <c r="K2" s="30">
        <f>IFERROR(VLOOKUP(G2,Справочник_ОКВЭД_НР!$O:$P,2,FALSE()),50)</f>
        <v>100</v>
      </c>
      <c r="L2" s="45">
        <f>(I2*Справочник_ОКВЭД_НР!$L$2+J2*Справочник_ОКВЭД_НР!$L$3+K2*Справочник_ОКВЭД_НР!$L$4)*M2</f>
        <v>63.5</v>
      </c>
      <c r="M2" s="47">
        <f>IF(COUNTIF(Справочник_ОКВЭД_НР!$G$3:$G$62,H2)&gt;0,0,1)</f>
        <v>1</v>
      </c>
    </row>
    <row r="3" spans="1:13" x14ac:dyDescent="0.25">
      <c r="A3" s="4">
        <f>ЛИК_дляСкорингаДП!A3</f>
        <v>1067746341024</v>
      </c>
      <c r="B3" s="4">
        <f>ЛИК_дляСкорингаДП!B3</f>
        <v>7708591995</v>
      </c>
      <c r="C3" s="4" t="str">
        <f>ЛИК_дляСкорингаДП!C3</f>
        <v>ПАО "ТРАНСКОНТЕЙНЕР"</v>
      </c>
      <c r="D3" s="5" t="str">
        <f>ЛИК_дляСкорингаДП!M3</f>
        <v>Деятельность вспомогательная прочая, связанная с перевозками</v>
      </c>
      <c r="E3" s="54">
        <f>ЛИК_дляСкорингаДП!L3</f>
        <v>52.29</v>
      </c>
      <c r="F3" t="str">
        <f>ЛИК_дляСкорингаДП!N3</f>
        <v>35.30.14,46.90,49.41.1,52.24.2,68.20.29,16.23,29.20,30.2,33.11,33.12,33.17,35.30,41.2,43.11,43.12,45.11,45.19,45.20,46.69,46.77,46.90,47.99,49.20,49.41,52.10,52.2,52.21,52.24,52.29,68.1,68.2,69.20,69.20.2,70.22,73.20.1,77.12,77.3,77.39,82.20</v>
      </c>
      <c r="G3" s="25" t="str">
        <f>ЛИК_дляСкорингаДП!AG3</f>
        <v>ОСН</v>
      </c>
      <c r="H3" s="55">
        <f>IF(ISNUMBER(E3),E3,
IFERROR(LEFT(E3,FIND(".",E3)-1),E3))</f>
        <v>52.29</v>
      </c>
      <c r="I3" s="30">
        <f>IF(COUNTIF(Справочник_ОКВЭД_НР!$A$3:$A$62,H3)&gt;0,Справочник_ОКВЭД_НР!$L$8,
 IF(COUNTIF(Справочник_ОКВЭД_НР!$C$3:$C$62,H3)&gt;0,Справочник_ОКВЭД_НР!$L$9,
  IF(COUNTIF(Справочник_ОКВЭД_НР!$E$3:$E$62,H3)&gt;0,Справочник_ОКВЭД_НР!$L$10,
   IF(COUNTIF(Справочник_ОКВЭД_НР!$G$3:$G$62,H3)&gt;0,Справочник_ОКВЭД_НР!$L$11,50))))</f>
        <v>50</v>
      </c>
      <c r="J3" s="30" cm="1">
        <f t="array" ref="J3">IFERROR(
 (SUMPRODUCT(ISNUMBER(SEARCH(","&amp;Справочник_ОКВЭД_НР!$A$3:$A$62&amp;".",","&amp;SUBSTITUTE(F3," ","")&amp;",")))*Справочник_ОКВЭД_НР!$L$9 +
  SUMPRODUCT(ISNUMBER(SEARCH(","&amp;Справочник_ОКВЭД_НР!$C$3:$C$62&amp;".",","&amp;SUBSTITUTE(F3," ","")&amp;",")))*Справочник_ОКВЭД_НР!$L$10 +
  SUMPRODUCT(ISNUMBER(SEARCH(","&amp;Справочник_ОКВЭД_НР!$E$3:$E$62&amp;".",","&amp;SUBSTITUTE(F3," ","")&amp;",")))*Справочник_ОКВЭД_НР!$L$11 +
  SUMPRODUCT(ISNUMBER(SEARCH(","&amp;Справочник_ОКВЭД_НР!$G$3:$G$62&amp;".",","&amp;SUBSTITUTE(F3," ","")&amp;",")))*Справочник_ОКВЭД_НР!$L$12) /
 (SUMPRODUCT(ISNUMBER(SEARCH(","&amp;Справочник_ОКВЭД_НР!$A$3:$A$62&amp;".",","&amp;SUBSTITUTE(F3," ","")&amp;","))) +
  SUMPRODUCT(ISNUMBER(SEARCH(","&amp;Справочник_ОКВЭД_НР!$C$3:$C$62&amp;".",","&amp;SUBSTITUTE(F3," ","")&amp;","))) +
  SUMPRODUCT(ISNUMBER(SEARCH(","&amp;Справочник_ОКВЭД_НР!$E$3:$E$62&amp;".",","&amp;SUBSTITUTE(F3," ","")&amp;","))) +
  SUMPRODUCT(ISNUMBER(SEARCH(","&amp;Справочник_ОКВЭД_НР!$G$3:$G$62&amp;".",","&amp;SUBSTITUTE(F3," ","")&amp;",")))),
50)</f>
        <v>50</v>
      </c>
      <c r="K3" s="30">
        <f>IFERROR(VLOOKUP(G3,Справочник_ОКВЭД_НР!$O:$P,2,FALSE()),50)</f>
        <v>100</v>
      </c>
      <c r="L3" s="45">
        <f>(I3*Справочник_ОКВЭД_НР!$L$2+J3*Справочник_ОКВЭД_НР!$L$3+K3*Справочник_ОКВЭД_НР!$L$4)*M3</f>
        <v>57.5</v>
      </c>
      <c r="M3" s="47">
        <f>IF(COUNTIF(Справочник_ОКВЭД_НР!$G$3:$G$62,H3)&gt;0,0,1)</f>
        <v>1</v>
      </c>
    </row>
    <row r="4" spans="1:13" x14ac:dyDescent="0.25">
      <c r="A4" s="4">
        <f>ЛИК_дляСкорингаДП!A4</f>
        <v>1097746772738</v>
      </c>
      <c r="B4" s="4">
        <f>ЛИК_дляСкорингаДП!B4</f>
        <v>7708709686</v>
      </c>
      <c r="C4" s="4" t="str">
        <f>ЛИК_дляСкорингаДП!C4</f>
        <v>АО "ФПК"</v>
      </c>
      <c r="D4" s="5" t="str">
        <f>ЛИК_дляСкорингаДП!M4</f>
        <v>Перевозка пассажиров железнодорожным транспортом в междугородном сообщении</v>
      </c>
      <c r="E4" s="4" t="str">
        <f>ЛИК_дляСкорингаДП!L4</f>
        <v>49.10.1</v>
      </c>
      <c r="F4" t="str">
        <f>ЛИК_дляСкорингаДП!N4</f>
        <v>26.5,35.30.14,36.00,45.20,47.11,47.19,47.73,47.74,47.75,47.9,49.10,49.20,49.20,49.3,49.4,52.10,52.21,52.24,52.29,55.90,56.10,56.10.1,56.10.3,56.29,58,59.1,63.11.1,68.20,73.11,74.90.31,77.2,77.3,77.39,79.11,85.30,85.42,85.42.9,90.04,91.01,91.02,91.03,93.11,93.19,96.04</v>
      </c>
      <c r="G4" s="25" t="str">
        <f>ЛИК_дляСкорингаДП!AG4</f>
        <v>ОСН</v>
      </c>
      <c r="H4" s="55" t="str">
        <f>IF(ISNUMBER(E4),E4,
IFERROR(LEFT(E4,FIND(".",E4)-1),E4))</f>
        <v>49</v>
      </c>
      <c r="I4" s="30">
        <f>IF(COUNTIF(Справочник_ОКВЭД_НР!$A$3:$A$62,H4)&gt;0,Справочник_ОКВЭД_НР!$L$8,
 IF(COUNTIF(Справочник_ОКВЭД_НР!$C$3:$C$62,H4)&gt;0,Справочник_ОКВЭД_НР!$L$9,
  IF(COUNTIF(Справочник_ОКВЭД_НР!$E$3:$E$62,H4)&gt;0,Справочник_ОКВЭД_НР!$L$10,
   IF(COUNTIF(Справочник_ОКВЭД_НР!$G$3:$G$62,H4)&gt;0,Справочник_ОКВЭД_НР!$L$11,50))))</f>
        <v>60</v>
      </c>
      <c r="J4" s="30" cm="1">
        <f t="array" ref="J4">IFERROR(
 (SUMPRODUCT(ISNUMBER(SEARCH(","&amp;Справочник_ОКВЭД_НР!$A$3:$A$62&amp;".",","&amp;SUBSTITUTE(F4," ","")&amp;",")))*Справочник_ОКВЭД_НР!$L$9 +
  SUMPRODUCT(ISNUMBER(SEARCH(","&amp;Справочник_ОКВЭД_НР!$C$3:$C$62&amp;".",","&amp;SUBSTITUTE(F4," ","")&amp;",")))*Справочник_ОКВЭД_НР!$L$10 +
  SUMPRODUCT(ISNUMBER(SEARCH(","&amp;Справочник_ОКВЭД_НР!$E$3:$E$62&amp;".",","&amp;SUBSTITUTE(F4," ","")&amp;",")))*Справочник_ОКВЭД_НР!$L$11 +
  SUMPRODUCT(ISNUMBER(SEARCH(","&amp;Справочник_ОКВЭД_НР!$G$3:$G$62&amp;".",","&amp;SUBSTITUTE(F4," ","")&amp;",")))*Справочник_ОКВЭД_НР!$L$12) /
 (SUMPRODUCT(ISNUMBER(SEARCH(","&amp;Справочник_ОКВЭД_НР!$A$3:$A$62&amp;".",","&amp;SUBSTITUTE(F4," ","")&amp;","))) +
  SUMPRODUCT(ISNUMBER(SEARCH(","&amp;Справочник_ОКВЭД_НР!$C$3:$C$62&amp;".",","&amp;SUBSTITUTE(F4," ","")&amp;","))) +
  SUMPRODUCT(ISNUMBER(SEARCH(","&amp;Справочник_ОКВЭД_НР!$E$3:$E$62&amp;".",","&amp;SUBSTITUTE(F4," ","")&amp;","))) +
  SUMPRODUCT(ISNUMBER(SEARCH(","&amp;Справочник_ОКВЭД_НР!$G$3:$G$62&amp;".",","&amp;SUBSTITUTE(F4," ","")&amp;",")))),
50)</f>
        <v>50</v>
      </c>
      <c r="K4" s="30">
        <f>IFERROR(VLOOKUP(G4,Справочник_ОКВЭД_НР!$O:$P,2,FALSE()),50)</f>
        <v>100</v>
      </c>
      <c r="L4" s="45">
        <f>(I4*Справочник_ОКВЭД_НР!$L$2+J4*Справочник_ОКВЭД_НР!$L$3+K4*Справочник_ОКВЭД_НР!$L$4)*M4</f>
        <v>63.5</v>
      </c>
      <c r="M4" s="47">
        <f>IF(COUNTIF(Справочник_ОКВЭД_НР!$G$3:$G$62,H4)&gt;0,0,1)</f>
        <v>1</v>
      </c>
    </row>
    <row r="5" spans="1:13" x14ac:dyDescent="0.25">
      <c r="A5" s="4">
        <f>ЛИК_дляСкорингаДП!A5</f>
        <v>1067746082546</v>
      </c>
      <c r="B5" s="4">
        <f>ЛИК_дляСкорингаДП!B5</f>
        <v>7708587205</v>
      </c>
      <c r="C5" s="4" t="str">
        <f>ЛИК_дляСкорингаДП!C5</f>
        <v>АО "РЖДСТРОЙ"</v>
      </c>
      <c r="D5" s="5" t="str">
        <f>ЛИК_дляСкорингаДП!M5</f>
        <v>Подготовка строительной площадки</v>
      </c>
      <c r="E5" s="4" t="str">
        <f>ЛИК_дляСкорингаДП!L5</f>
        <v>43.12</v>
      </c>
      <c r="F5" t="str">
        <f>ЛИК_дляСкорингаДП!N5</f>
        <v>23.32,23.51,23.61,25.11,37.00,41.10,41.2,41.20,42.11,42.12,42.13,42.91,42.99,43.11,43.12.3,43.2,43.21,43.22,43.29,43.3,43.39,43.91,43.99,43.99.1,46.73,47.52.7,49.20,68.20,71.12.1,71.12.2,71.12.45,77.32</v>
      </c>
      <c r="G5" s="25" t="str">
        <f>ЛИК_дляСкорингаДП!AG5</f>
        <v>ОСН</v>
      </c>
      <c r="H5" s="55" t="str">
        <f>IF(ISNUMBER(E5),E5,
IFERROR(LEFT(E5,FIND(".",E5)-1),E5))</f>
        <v>43</v>
      </c>
      <c r="I5" s="30">
        <f>IF(COUNTIF(Справочник_ОКВЭД_НР!$A$3:$A$62,H5)&gt;0,Справочник_ОКВЭД_НР!$L$8,
 IF(COUNTIF(Справочник_ОКВЭД_НР!$C$3:$C$62,H5)&gt;0,Справочник_ОКВЭД_НР!$L$9,
  IF(COUNTIF(Справочник_ОКВЭД_НР!$E$3:$E$62,H5)&gt;0,Справочник_ОКВЭД_НР!$L$10,
   IF(COUNTIF(Справочник_ОКВЭД_НР!$G$3:$G$62,H5)&gt;0,Справочник_ОКВЭД_НР!$L$11,50))))</f>
        <v>100</v>
      </c>
      <c r="J5" s="30" cm="1">
        <f t="array" ref="J5">IFERROR(
 (SUMPRODUCT(ISNUMBER(SEARCH(","&amp;Справочник_ОКВЭД_НР!$A$3:$A$62&amp;".",","&amp;SUBSTITUTE(F5," ","")&amp;",")))*Справочник_ОКВЭД_НР!$L$9 +
  SUMPRODUCT(ISNUMBER(SEARCH(","&amp;Справочник_ОКВЭД_НР!$C$3:$C$62&amp;".",","&amp;SUBSTITUTE(F5," ","")&amp;",")))*Справочник_ОКВЭД_НР!$L$10 +
  SUMPRODUCT(ISNUMBER(SEARCH(","&amp;Справочник_ОКВЭД_НР!$E$3:$E$62&amp;".",","&amp;SUBSTITUTE(F5," ","")&amp;",")))*Справочник_ОКВЭД_НР!$L$11 +
  SUMPRODUCT(ISNUMBER(SEARCH(","&amp;Справочник_ОКВЭД_НР!$G$3:$G$62&amp;".",","&amp;SUBSTITUTE(F5," ","")&amp;",")))*Справочник_ОКВЭД_НР!$L$12) /
 (SUMPRODUCT(ISNUMBER(SEARCH(","&amp;Справочник_ОКВЭД_НР!$A$3:$A$62&amp;".",","&amp;SUBSTITUTE(F5," ","")&amp;","))) +
  SUMPRODUCT(ISNUMBER(SEARCH(","&amp;Справочник_ОКВЭД_НР!$C$3:$C$62&amp;".",","&amp;SUBSTITUTE(F5," ","")&amp;","))) +
  SUMPRODUCT(ISNUMBER(SEARCH(","&amp;Справочник_ОКВЭД_НР!$E$3:$E$62&amp;".",","&amp;SUBSTITUTE(F5," ","")&amp;","))) +
  SUMPRODUCT(ISNUMBER(SEARCH(","&amp;Справочник_ОКВЭД_НР!$G$3:$G$62&amp;".",","&amp;SUBSTITUTE(F5," ","")&amp;",")))),
50)</f>
        <v>50</v>
      </c>
      <c r="K5" s="30">
        <f>IFERROR(VLOOKUP(G5,Справочник_ОКВЭД_НР!$O:$P,2,FALSE()),50)</f>
        <v>100</v>
      </c>
      <c r="L5" s="45">
        <f>(I5*Справочник_ОКВЭД_НР!$L$2+J5*Справочник_ОКВЭД_НР!$L$3+K5*Справочник_ОКВЭД_НР!$L$4)*M5</f>
        <v>87.5</v>
      </c>
      <c r="M5" s="47">
        <f>IF(COUNTIF(Справочник_ОКВЭД_НР!$G$3:$G$62,H5)&gt;0,0,1)</f>
        <v>1</v>
      </c>
    </row>
    <row r="6" spans="1:13" x14ac:dyDescent="0.25">
      <c r="A6" s="4">
        <f>ЛИК_дляСкорингаДП!A6</f>
        <v>1117746460358</v>
      </c>
      <c r="B6" s="4">
        <f>ЛИК_дляСкорингаДП!B6</f>
        <v>7704784450</v>
      </c>
      <c r="C6" s="4" t="str">
        <f>ЛИК_дляСкорингаДП!C6</f>
        <v>АО "ИНТЕР РАО-ЭЛЕКТРОГЕНЕРАЦИЯ"</v>
      </c>
      <c r="D6" s="5" t="str">
        <f>ЛИК_дляСкорингаДП!M6</f>
        <v>Производство электроэнергии тепловыми электростанциями, в том числе деятельность по обеспечению работоспособности электростанций</v>
      </c>
      <c r="E6" s="4" t="str">
        <f>ЛИК_дляСкорингаДП!L6</f>
        <v>35.11.1</v>
      </c>
      <c r="F6" t="str">
        <f>ЛИК_дляСкорингаДП!N6</f>
        <v>25.62,33.12,33.14,35.11.2,35.14,35.23,35.30.11,35.30.14,35.30.4,36.00.1,36.00.2,37.00,46.90,49.42,49.50.21,52.10.21,52.10.9,52.21.11,61.10.1,68.20.1,68.20.29,69.20.2,71.20.4,77.39.11,77.39.23,77.39.29,82.99,93.11,96.09.9,03.21.4,03.22.5,20.11,23.61,33.13,33.14,33.14,33.20,35.11,35.11.1,35.11.1,35.11.2,35.11.2,35.12,35.12,35.13,35.14,35.14,35.22,35.30.1,35.30.11,35.30.14,35.30.2,35.30.3,35.30.4,35.30.5,36.00.1,36.00.2,37.00,37.00,41.2,41.20,42.21,42.22.1,42.22.3,43.21,46.71,46.90,49.20,49.3,49.4,49.41.1,49.41.2,49.50.21,49.50.22,52.10,52.10.21,52.10.23,52.21.1,52.21.2,52.24,56.29,61.10.1,68.10,68.20,68.20.1,68.20.2,68.32,70.10.1,70.10.2,70.22,71.12.1,71.12.6,71.12.62,71.20.1,72.19,73.20,77.39,85.23,85.42,86.21,86.23,86.90.4,91.01,93.11,96.09</v>
      </c>
      <c r="G6" s="25" t="str">
        <f>ЛИК_дляСкорингаДП!AG6</f>
        <v>ОСН</v>
      </c>
      <c r="H6" s="55" t="str">
        <f>IF(ISNUMBER(E6),E6,
IFERROR(LEFT(E6,FIND(".",E6)-1),E6))</f>
        <v>35</v>
      </c>
      <c r="I6" s="30">
        <f>IF(COUNTIF(Справочник_ОКВЭД_НР!$A$3:$A$62,H6)&gt;0,Справочник_ОКВЭД_НР!$L$8,
 IF(COUNTIF(Справочник_ОКВЭД_НР!$C$3:$C$62,H6)&gt;0,Справочник_ОКВЭД_НР!$L$9,
  IF(COUNTIF(Справочник_ОКВЭД_НР!$E$3:$E$62,H6)&gt;0,Справочник_ОКВЭД_НР!$L$10,
   IF(COUNTIF(Справочник_ОКВЭД_НР!$G$3:$G$62,H6)&gt;0,Справочник_ОКВЭД_НР!$L$11,50))))</f>
        <v>60</v>
      </c>
      <c r="J6" s="30" cm="1">
        <f t="array" ref="J6">IFERROR(
 (SUMPRODUCT(ISNUMBER(SEARCH(","&amp;Справочник_ОКВЭД_НР!$A$3:$A$62&amp;".",","&amp;SUBSTITUTE(F6," ","")&amp;",")))*Справочник_ОКВЭД_НР!$L$9 +
  SUMPRODUCT(ISNUMBER(SEARCH(","&amp;Справочник_ОКВЭД_НР!$C$3:$C$62&amp;".",","&amp;SUBSTITUTE(F6," ","")&amp;",")))*Справочник_ОКВЭД_НР!$L$10 +
  SUMPRODUCT(ISNUMBER(SEARCH(","&amp;Справочник_ОКВЭД_НР!$E$3:$E$62&amp;".",","&amp;SUBSTITUTE(F6," ","")&amp;",")))*Справочник_ОКВЭД_НР!$L$11 +
  SUMPRODUCT(ISNUMBER(SEARCH(","&amp;Справочник_ОКВЭД_НР!$G$3:$G$62&amp;".",","&amp;SUBSTITUTE(F6," ","")&amp;",")))*Справочник_ОКВЭД_НР!$L$12) /
 (SUMPRODUCT(ISNUMBER(SEARCH(","&amp;Справочник_ОКВЭД_НР!$A$3:$A$62&amp;".",","&amp;SUBSTITUTE(F6," ","")&amp;","))) +
  SUMPRODUCT(ISNUMBER(SEARCH(","&amp;Справочник_ОКВЭД_НР!$C$3:$C$62&amp;".",","&amp;SUBSTITUTE(F6," ","")&amp;","))) +
  SUMPRODUCT(ISNUMBER(SEARCH(","&amp;Справочник_ОКВЭД_НР!$E$3:$E$62&amp;".",","&amp;SUBSTITUTE(F6," ","")&amp;","))) +
  SUMPRODUCT(ISNUMBER(SEARCH(","&amp;Справочник_ОКВЭД_НР!$G$3:$G$62&amp;".",","&amp;SUBSTITUTE(F6," ","")&amp;",")))),
50)</f>
        <v>50</v>
      </c>
      <c r="K6" s="30">
        <f>IFERROR(VLOOKUP(G6,Справочник_ОКВЭД_НР!$O:$P,2,FALSE()),50)</f>
        <v>100</v>
      </c>
      <c r="L6" s="45">
        <f>(I6*Справочник_ОКВЭД_НР!$L$2+J6*Справочник_ОКВЭД_НР!$L$3+K6*Справочник_ОКВЭД_НР!$L$4)*M6</f>
        <v>63.5</v>
      </c>
      <c r="M6" s="47">
        <f>IF(COUNTIF(Справочник_ОКВЭД_НР!$G$3:$G$62,H6)&gt;0,0,1)</f>
        <v>1</v>
      </c>
    </row>
    <row r="7" spans="1:13" x14ac:dyDescent="0.25">
      <c r="A7" s="4">
        <f>ЛИК_дляСкорингаДП!A7</f>
        <v>5087746119951</v>
      </c>
      <c r="B7" s="4">
        <f>ЛИК_дляСкорингаДП!B7</f>
        <v>7721632827</v>
      </c>
      <c r="C7" s="4" t="str">
        <f>ЛИК_дляСкорингаДП!C7</f>
        <v>АО "КОНЦЕРН РОСЭНЕРГОАТОМ"</v>
      </c>
      <c r="D7" s="5" t="str">
        <f>ЛИК_дляСкорингаДП!M7</f>
        <v>Производство электроэнергии атомными электростанциями, в том числе деятельность по обеспечению работоспособности электростанций</v>
      </c>
      <c r="E7" s="4" t="str">
        <f>ЛИК_дляСкорингаДП!L7</f>
        <v>35.11.3</v>
      </c>
      <c r="F7" t="str">
        <f>ЛИК_дляСкорингаДП!N7</f>
        <v>35.11.3,35.12,35.12,35.13,35.30.12,35.30.2,35.30.3,35.30.5,36.00.1,37.00,38.1,38.2,42.22.3,42.99,43.21,51.10,55.10,55.90,61.10,63.11,70.22,71.11.1,71.12,71.12.1,71.12.45,71.20,72.19,84.24,85.30,85.42,86.90.4</v>
      </c>
      <c r="G7" s="25" t="str">
        <f>ЛИК_дляСкорингаДП!AG7</f>
        <v>ОСН</v>
      </c>
      <c r="H7" s="55" t="str">
        <f>IF(ISNUMBER(E7),E7,
IFERROR(LEFT(E7,FIND(".",E7)-1),E7))</f>
        <v>35</v>
      </c>
      <c r="I7" s="30">
        <f>IF(COUNTIF(Справочник_ОКВЭД_НР!$A$3:$A$62,H7)&gt;0,Справочник_ОКВЭД_НР!$L$8,
 IF(COUNTIF(Справочник_ОКВЭД_НР!$C$3:$C$62,H7)&gt;0,Справочник_ОКВЭД_НР!$L$9,
  IF(COUNTIF(Справочник_ОКВЭД_НР!$E$3:$E$62,H7)&gt;0,Справочник_ОКВЭД_НР!$L$10,
   IF(COUNTIF(Справочник_ОКВЭД_НР!$G$3:$G$62,H7)&gt;0,Справочник_ОКВЭД_НР!$L$11,50))))</f>
        <v>60</v>
      </c>
      <c r="J7" s="30" cm="1">
        <f t="array" ref="J7">IFERROR(
 (SUMPRODUCT(ISNUMBER(SEARCH(","&amp;Справочник_ОКВЭД_НР!$A$3:$A$62&amp;".",","&amp;SUBSTITUTE(F7," ","")&amp;",")))*Справочник_ОКВЭД_НР!$L$9 +
  SUMPRODUCT(ISNUMBER(SEARCH(","&amp;Справочник_ОКВЭД_НР!$C$3:$C$62&amp;".",","&amp;SUBSTITUTE(F7," ","")&amp;",")))*Справочник_ОКВЭД_НР!$L$10 +
  SUMPRODUCT(ISNUMBER(SEARCH(","&amp;Справочник_ОКВЭД_НР!$E$3:$E$62&amp;".",","&amp;SUBSTITUTE(F7," ","")&amp;",")))*Справочник_ОКВЭД_НР!$L$11 +
  SUMPRODUCT(ISNUMBER(SEARCH(","&amp;Справочник_ОКВЭД_НР!$G$3:$G$62&amp;".",","&amp;SUBSTITUTE(F7," ","")&amp;",")))*Справочник_ОКВЭД_НР!$L$12) /
 (SUMPRODUCT(ISNUMBER(SEARCH(","&amp;Справочник_ОКВЭД_НР!$A$3:$A$62&amp;".",","&amp;SUBSTITUTE(F7," ","")&amp;","))) +
  SUMPRODUCT(ISNUMBER(SEARCH(","&amp;Справочник_ОКВЭД_НР!$C$3:$C$62&amp;".",","&amp;SUBSTITUTE(F7," ","")&amp;","))) +
  SUMPRODUCT(ISNUMBER(SEARCH(","&amp;Справочник_ОКВЭД_НР!$E$3:$E$62&amp;".",","&amp;SUBSTITUTE(F7," ","")&amp;","))) +
  SUMPRODUCT(ISNUMBER(SEARCH(","&amp;Справочник_ОКВЭД_НР!$G$3:$G$62&amp;".",","&amp;SUBSTITUTE(F7," ","")&amp;",")))),
50)</f>
        <v>50</v>
      </c>
      <c r="K7" s="30">
        <f>IFERROR(VLOOKUP(G7,Справочник_ОКВЭД_НР!$O:$P,2,FALSE()),50)</f>
        <v>100</v>
      </c>
      <c r="L7" s="45">
        <f>(I7*Справочник_ОКВЭД_НР!$L$2+J7*Справочник_ОКВЭД_НР!$L$3+K7*Справочник_ОКВЭД_НР!$L$4)*M7</f>
        <v>63.5</v>
      </c>
      <c r="M7" s="47">
        <f>IF(COUNTIF(Справочник_ОКВЭД_НР!$G$3:$G$62,H7)&gt;0,0,1)</f>
        <v>1</v>
      </c>
    </row>
    <row r="8" spans="1:13" x14ac:dyDescent="0.25">
      <c r="A8" s="4">
        <f>ЛИК_дляСкорингаДП!A8</f>
        <v>5087746570830</v>
      </c>
      <c r="B8" s="4">
        <f>ЛИК_дляСкорингаДП!B8</f>
        <v>7715729877</v>
      </c>
      <c r="C8" s="4" t="str">
        <f>ЛИК_дляСкорингаДП!C8</f>
        <v>АО "ЖЕЛДОРРЕММАШ"</v>
      </c>
      <c r="D8" s="5" t="str">
        <f>ЛИК_дляСкорингаДП!M8</f>
        <v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v>
      </c>
      <c r="E8" s="4" t="str">
        <f>ЛИК_дляСкорингаДП!L8</f>
        <v>30.20.9</v>
      </c>
      <c r="F8" t="str">
        <f>ЛИК_дляСкорингаДП!N8</f>
        <v>16.24,16.29.11,18.12,22.19.7,23.61,25.50.1,25.61,25.62,25.73,28.15.2,30.20.1,30.20.4,33.12,33.14,33.17,33.20,35.12,35.13,35.22,35.30.14,35.30.2,35.30.3,35.30.4,36.00.2,38.32.5,41.20,43.11,43.12.1,43.12.3,43.29,46.69.1,46.69.2,46.77,46.90,47.9,49.10,49.20,49.3,49.31,49.4,49.41.2,52.21.1,55.10,55.90,56.10,56.10.1,56.10.3,56.29,61.10.1,62.01,62.02,62.09,63.11.1,68.20.1,68.20.2,68.32.1,71.1,71.11,71.11.1,71.12.12,71.12.45,71.12.5,71.12.6,71.20,72.1,72.19,73.20.1,74.20,74.30,82.92,82.99,85.42,85.42.9,86.21,91.01</v>
      </c>
      <c r="G8" s="25" t="str">
        <f>ЛИК_дляСкорингаДП!AG8</f>
        <v>ОСН</v>
      </c>
      <c r="H8" s="55" t="str">
        <f>IF(ISNUMBER(E8),E8,
IFERROR(LEFT(E8,FIND(".",E8)-1),E8))</f>
        <v>30</v>
      </c>
      <c r="I8" s="30">
        <f>IF(COUNTIF(Справочник_ОКВЭД_НР!$A$3:$A$62,H8)&gt;0,Справочник_ОКВЭД_НР!$L$8,
 IF(COUNTIF(Справочник_ОКВЭД_НР!$C$3:$C$62,H8)&gt;0,Справочник_ОКВЭД_НР!$L$9,
  IF(COUNTIF(Справочник_ОКВЭД_НР!$E$3:$E$62,H8)&gt;0,Справочник_ОКВЭД_НР!$L$10,
   IF(COUNTIF(Справочник_ОКВЭД_НР!$G$3:$G$62,H8)&gt;0,Справочник_ОКВЭД_НР!$L$11,50))))</f>
        <v>60</v>
      </c>
      <c r="J8" s="30" cm="1">
        <f t="array" ref="J8">IFERROR(
 (SUMPRODUCT(ISNUMBER(SEARCH(","&amp;Справочник_ОКВЭД_НР!$A$3:$A$62&amp;".",","&amp;SUBSTITUTE(F8," ","")&amp;",")))*Справочник_ОКВЭД_НР!$L$9 +
  SUMPRODUCT(ISNUMBER(SEARCH(","&amp;Справочник_ОКВЭД_НР!$C$3:$C$62&amp;".",","&amp;SUBSTITUTE(F8," ","")&amp;",")))*Справочник_ОКВЭД_НР!$L$10 +
  SUMPRODUCT(ISNUMBER(SEARCH(","&amp;Справочник_ОКВЭД_НР!$E$3:$E$62&amp;".",","&amp;SUBSTITUTE(F8," ","")&amp;",")))*Справочник_ОКВЭД_НР!$L$11 +
  SUMPRODUCT(ISNUMBER(SEARCH(","&amp;Справочник_ОКВЭД_НР!$G$3:$G$62&amp;".",","&amp;SUBSTITUTE(F8," ","")&amp;",")))*Справочник_ОКВЭД_НР!$L$12) /
 (SUMPRODUCT(ISNUMBER(SEARCH(","&amp;Справочник_ОКВЭД_НР!$A$3:$A$62&amp;".",","&amp;SUBSTITUTE(F8," ","")&amp;","))) +
  SUMPRODUCT(ISNUMBER(SEARCH(","&amp;Справочник_ОКВЭД_НР!$C$3:$C$62&amp;".",","&amp;SUBSTITUTE(F8," ","")&amp;","))) +
  SUMPRODUCT(ISNUMBER(SEARCH(","&amp;Справочник_ОКВЭД_НР!$E$3:$E$62&amp;".",","&amp;SUBSTITUTE(F8," ","")&amp;","))) +
  SUMPRODUCT(ISNUMBER(SEARCH(","&amp;Справочник_ОКВЭД_НР!$G$3:$G$62&amp;".",","&amp;SUBSTITUTE(F8," ","")&amp;",")))),
50)</f>
        <v>50</v>
      </c>
      <c r="K8" s="30">
        <f>IFERROR(VLOOKUP(G8,Справочник_ОКВЭД_НР!$O:$P,2,FALSE()),50)</f>
        <v>100</v>
      </c>
      <c r="L8" s="45">
        <f>(I8*Справочник_ОКВЭД_НР!$L$2+J8*Справочник_ОКВЭД_НР!$L$3+K8*Справочник_ОКВЭД_НР!$L$4)*M8</f>
        <v>63.5</v>
      </c>
      <c r="M8" s="47">
        <f>IF(COUNTIF(Справочник_ОКВЭД_НР!$G$3:$G$62,H8)&gt;0,0,1)</f>
        <v>1</v>
      </c>
    </row>
    <row r="9" spans="1:13" x14ac:dyDescent="0.25">
      <c r="A9" s="4">
        <f>ЛИК_дляСкорингаДП!A9</f>
        <v>1057747320278</v>
      </c>
      <c r="B9" s="4">
        <f>ЛИК_дляСкорингаДП!B9</f>
        <v>7728551528</v>
      </c>
      <c r="C9" s="4" t="str">
        <f>ЛИК_дляСкорингаДП!C9</f>
        <v>ООО "СПОРТМАСТЕР"</v>
      </c>
      <c r="D9" s="5" t="str">
        <f>ЛИК_дляСкорингаДП!M9</f>
        <v>Торговля розничная одеждой в специализированных магазинах</v>
      </c>
      <c r="E9" s="4" t="str">
        <f>ЛИК_дляСкорингаДП!L9</f>
        <v>47.71</v>
      </c>
      <c r="F9" t="str">
        <f>ЛИК_дляСкорингаДП!N9</f>
        <v>46.49,47.91,53.20.39,95.29,37.00,46.42.11,46.42.12,46.42.13,46.42.14,46.42.2,47.25,47.64,47.71.1,47.71.2,47.71.3,47.71.4,47.71.5,47.71.6,47.71.7,47.71.8,47.72.1,47.72.2,47.74,47.78,47.91.2,52.10,53.20.3,62.01,62.02,68.31.12,73.11,85.42,85.42.9,95.11,95.29</v>
      </c>
      <c r="G9" s="25" t="str">
        <f>ЛИК_дляСкорингаДП!AG9</f>
        <v>ОСН</v>
      </c>
      <c r="H9" s="55" t="str">
        <f>IF(ISNUMBER(E9),E9,
IFERROR(LEFT(E9,FIND(".",E9)-1),E9))</f>
        <v>47</v>
      </c>
      <c r="I9" s="30">
        <f>IF(COUNTIF(Справочник_ОКВЭД_НР!$A$3:$A$62,H9)&gt;0,Справочник_ОКВЭД_НР!$L$8,
 IF(COUNTIF(Справочник_ОКВЭД_НР!$C$3:$C$62,H9)&gt;0,Справочник_ОКВЭД_НР!$L$9,
  IF(COUNTIF(Справочник_ОКВЭД_НР!$E$3:$E$62,H9)&gt;0,Справочник_ОКВЭД_НР!$L$10,
   IF(COUNTIF(Справочник_ОКВЭД_НР!$G$3:$G$62,H9)&gt;0,Справочник_ОКВЭД_НР!$L$11,50))))</f>
        <v>60</v>
      </c>
      <c r="J9" s="30" cm="1">
        <f t="array" ref="J9">IFERROR(
 (SUMPRODUCT(ISNUMBER(SEARCH(","&amp;Справочник_ОКВЭД_НР!$A$3:$A$62&amp;".",","&amp;SUBSTITUTE(F9," ","")&amp;",")))*Справочник_ОКВЭД_НР!$L$9 +
  SUMPRODUCT(ISNUMBER(SEARCH(","&amp;Справочник_ОКВЭД_НР!$C$3:$C$62&amp;".",","&amp;SUBSTITUTE(F9," ","")&amp;",")))*Справочник_ОКВЭД_НР!$L$10 +
  SUMPRODUCT(ISNUMBER(SEARCH(","&amp;Справочник_ОКВЭД_НР!$E$3:$E$62&amp;".",","&amp;SUBSTITUTE(F9," ","")&amp;",")))*Справочник_ОКВЭД_НР!$L$11 +
  SUMPRODUCT(ISNUMBER(SEARCH(","&amp;Справочник_ОКВЭД_НР!$G$3:$G$62&amp;".",","&amp;SUBSTITUTE(F9," ","")&amp;",")))*Справочник_ОКВЭД_НР!$L$12) /
 (SUMPRODUCT(ISNUMBER(SEARCH(","&amp;Справочник_ОКВЭД_НР!$A$3:$A$62&amp;".",","&amp;SUBSTITUTE(F9," ","")&amp;","))) +
  SUMPRODUCT(ISNUMBER(SEARCH(","&amp;Справочник_ОКВЭД_НР!$C$3:$C$62&amp;".",","&amp;SUBSTITUTE(F9," ","")&amp;","))) +
  SUMPRODUCT(ISNUMBER(SEARCH(","&amp;Справочник_ОКВЭД_НР!$E$3:$E$62&amp;".",","&amp;SUBSTITUTE(F9," ","")&amp;","))) +
  SUMPRODUCT(ISNUMBER(SEARCH(","&amp;Справочник_ОКВЭД_НР!$G$3:$G$62&amp;".",","&amp;SUBSTITUTE(F9," ","")&amp;",")))),
50)</f>
        <v>50</v>
      </c>
      <c r="K9" s="30">
        <f>IFERROR(VLOOKUP(G9,Справочник_ОКВЭД_НР!$O:$P,2,FALSE()),50)</f>
        <v>100</v>
      </c>
      <c r="L9" s="45">
        <f>(I9*Справочник_ОКВЭД_НР!$L$2+J9*Справочник_ОКВЭД_НР!$L$3+K9*Справочник_ОКВЭД_НР!$L$4)*M9</f>
        <v>63.5</v>
      </c>
      <c r="M9" s="47">
        <f>IF(COUNTIF(Справочник_ОКВЭД_НР!$G$3:$G$62,H9)&gt;0,0,1)</f>
        <v>1</v>
      </c>
    </row>
    <row r="10" spans="1:13" x14ac:dyDescent="0.25">
      <c r="A10" s="4">
        <f>ЛИК_дляСкорингаДП!A10</f>
        <v>1027717003467</v>
      </c>
      <c r="B10" s="4">
        <f>ЛИК_дляСкорингаДП!B10</f>
        <v>7717133960</v>
      </c>
      <c r="C10" s="4" t="str">
        <f>ЛИК_дляСкорингаДП!C10</f>
        <v>ПАО НК "РУССНЕФТЬ"</v>
      </c>
      <c r="D10" s="5" t="str">
        <f>ЛИК_дляСкорингаДП!M10</f>
        <v>Добыча нефти</v>
      </c>
      <c r="E10" s="4" t="str">
        <f>ЛИК_дляСкорингаДП!L10</f>
        <v>06.10.1</v>
      </c>
      <c r="F10" t="str">
        <f>ЛИК_дляСкорингаДП!N10</f>
        <v>06.10,08.12.1,09.10.1,09.10.9,23.51,28.13,33.20,35.11,35.12,35.13,35.22,35.30.14,46.71,46.71.2,46.71.3,49.41,49.41.1,49.50.11,49.50.21,52.10,52.10.22,52.21.2,52.29,64.20,64.99,69.10,69.20,70.10,70.10.1,70.10.2,71.12,71.12.1,71.20,82.11,84.13</v>
      </c>
      <c r="G10" s="25" t="str">
        <f>ЛИК_дляСкорингаДП!AG10</f>
        <v>ОСН</v>
      </c>
      <c r="H10" s="55" t="str">
        <f>IF(ISNUMBER(E10),E10,
IFERROR(LEFT(E10,FIND(".",E10)-1),E10))</f>
        <v>06</v>
      </c>
      <c r="I10" s="30">
        <f>IF(COUNTIF(Справочник_ОКВЭД_НР!$A$3:$A$62,H10)&gt;0,Справочник_ОКВЭД_НР!$L$8,
 IF(COUNTIF(Справочник_ОКВЭД_НР!$C$3:$C$62,H10)&gt;0,Справочник_ОКВЭД_НР!$L$9,
  IF(COUNTIF(Справочник_ОКВЭД_НР!$E$3:$E$62,H10)&gt;0,Справочник_ОКВЭД_НР!$L$10,
   IF(COUNTIF(Справочник_ОКВЭД_НР!$G$3:$G$62,H10)&gt;0,Справочник_ОКВЭД_НР!$L$11,50))))</f>
        <v>60</v>
      </c>
      <c r="J10" s="30" cm="1">
        <f t="array" ref="J10">IFERROR(
 (SUMPRODUCT(ISNUMBER(SEARCH(","&amp;Справочник_ОКВЭД_НР!$A$3:$A$62&amp;".",","&amp;SUBSTITUTE(F10," ","")&amp;",")))*Справочник_ОКВЭД_НР!$L$9 +
  SUMPRODUCT(ISNUMBER(SEARCH(","&amp;Справочник_ОКВЭД_НР!$C$3:$C$62&amp;".",","&amp;SUBSTITUTE(F10," ","")&amp;",")))*Справочник_ОКВЭД_НР!$L$10 +
  SUMPRODUCT(ISNUMBER(SEARCH(","&amp;Справочник_ОКВЭД_НР!$E$3:$E$62&amp;".",","&amp;SUBSTITUTE(F10," ","")&amp;",")))*Справочник_ОКВЭД_НР!$L$11 +
  SUMPRODUCT(ISNUMBER(SEARCH(","&amp;Справочник_ОКВЭД_НР!$G$3:$G$62&amp;".",","&amp;SUBSTITUTE(F10," ","")&amp;",")))*Справочник_ОКВЭД_НР!$L$12) /
 (SUMPRODUCT(ISNUMBER(SEARCH(","&amp;Справочник_ОКВЭД_НР!$A$3:$A$62&amp;".",","&amp;SUBSTITUTE(F10," ","")&amp;","))) +
  SUMPRODUCT(ISNUMBER(SEARCH(","&amp;Справочник_ОКВЭД_НР!$C$3:$C$62&amp;".",","&amp;SUBSTITUTE(F10," ","")&amp;","))) +
  SUMPRODUCT(ISNUMBER(SEARCH(","&amp;Справочник_ОКВЭД_НР!$E$3:$E$62&amp;".",","&amp;SUBSTITUTE(F10," ","")&amp;","))) +
  SUMPRODUCT(ISNUMBER(SEARCH(","&amp;Справочник_ОКВЭД_НР!$G$3:$G$62&amp;".",","&amp;SUBSTITUTE(F10," ","")&amp;",")))),
50)</f>
        <v>50</v>
      </c>
      <c r="K10" s="30">
        <f>IFERROR(VLOOKUP(G10,Справочник_ОКВЭД_НР!$O:$P,2,FALSE()),50)</f>
        <v>100</v>
      </c>
      <c r="L10" s="45">
        <f>(I10*Справочник_ОКВЭД_НР!$L$2+J10*Справочник_ОКВЭД_НР!$L$3+K10*Справочник_ОКВЭД_НР!$L$4)*M10</f>
        <v>63.5</v>
      </c>
      <c r="M10" s="47">
        <f>IF(COUNTIF(Справочник_ОКВЭД_НР!$G$3:$G$62,H10)&gt;0,0,1)</f>
        <v>1</v>
      </c>
    </row>
    <row r="11" spans="1:13" x14ac:dyDescent="0.25">
      <c r="A11" s="4">
        <f>ЛИК_дляСкорингаДП!A11</f>
        <v>1065009017920</v>
      </c>
      <c r="B11" s="4">
        <f>ЛИК_дляСкорингаДП!B11</f>
        <v>5009053687</v>
      </c>
      <c r="C11" s="4" t="str">
        <f>ЛИК_дляСкорингаДП!C11</f>
        <v>ООО "ТАТНЕФТЬ-АЗС-ЗАПАД"</v>
      </c>
      <c r="D11" s="5" t="str">
        <f>ЛИК_дляСкорингаДП!M11</f>
        <v>Торговля розничная моторным топливом в специализированных магазинах</v>
      </c>
      <c r="E11" s="4" t="str">
        <f>ЛИК_дляСкорингаДП!L11</f>
        <v>47.30</v>
      </c>
      <c r="F11" t="str">
        <f>ЛИК_дляСкорингаДП!N11</f>
        <v>10.71.1,10.85,68.20.21,10.13.4,10.32,10.71,10.72,10.72.4,10.82,10.82.2,10.85,10.89,11.07.2,19.20,42.21,45.2,45.20.5,46.12.1,46.71,46.71.1,46.71.2,46.90,47.11,47.2,47.24,47.25,47.26,47.30,47.30.2,47.73,47.74,47.75,47.78.9,47.91,47.91.1,47.91.2,47.91.29,49.31,49.50.1,52.10.21,52.29,56.10,56.10.21,56.10.22,56.10.24,56.29,56.30,66.19,73.11,74.20,74.30,77.40,82.92,85.30,85.42.9</v>
      </c>
      <c r="G11" s="25" t="str">
        <f>ЛИК_дляСкорингаДП!AG11</f>
        <v>ОСН</v>
      </c>
      <c r="H11" s="55" t="str">
        <f>IF(ISNUMBER(E11),E11,
IFERROR(LEFT(E11,FIND(".",E11)-1),E11))</f>
        <v>47</v>
      </c>
      <c r="I11" s="30">
        <f>IF(COUNTIF(Справочник_ОКВЭД_НР!$A$3:$A$62,H11)&gt;0,Справочник_ОКВЭД_НР!$L$8,
 IF(COUNTIF(Справочник_ОКВЭД_НР!$C$3:$C$62,H11)&gt;0,Справочник_ОКВЭД_НР!$L$9,
  IF(COUNTIF(Справочник_ОКВЭД_НР!$E$3:$E$62,H11)&gt;0,Справочник_ОКВЭД_НР!$L$10,
   IF(COUNTIF(Справочник_ОКВЭД_НР!$G$3:$G$62,H11)&gt;0,Справочник_ОКВЭД_НР!$L$11,50))))</f>
        <v>60</v>
      </c>
      <c r="J11" s="30" cm="1">
        <f t="array" ref="J11">IFERROR(
 (SUMPRODUCT(ISNUMBER(SEARCH(","&amp;Справочник_ОКВЭД_НР!$A$3:$A$62&amp;".",","&amp;SUBSTITUTE(F11," ","")&amp;",")))*Справочник_ОКВЭД_НР!$L$9 +
  SUMPRODUCT(ISNUMBER(SEARCH(","&amp;Справочник_ОКВЭД_НР!$C$3:$C$62&amp;".",","&amp;SUBSTITUTE(F11," ","")&amp;",")))*Справочник_ОКВЭД_НР!$L$10 +
  SUMPRODUCT(ISNUMBER(SEARCH(","&amp;Справочник_ОКВЭД_НР!$E$3:$E$62&amp;".",","&amp;SUBSTITUTE(F11," ","")&amp;",")))*Справочник_ОКВЭД_НР!$L$11 +
  SUMPRODUCT(ISNUMBER(SEARCH(","&amp;Справочник_ОКВЭД_НР!$G$3:$G$62&amp;".",","&amp;SUBSTITUTE(F11," ","")&amp;",")))*Справочник_ОКВЭД_НР!$L$12) /
 (SUMPRODUCT(ISNUMBER(SEARCH(","&amp;Справочник_ОКВЭД_НР!$A$3:$A$62&amp;".",","&amp;SUBSTITUTE(F11," ","")&amp;","))) +
  SUMPRODUCT(ISNUMBER(SEARCH(","&amp;Справочник_ОКВЭД_НР!$C$3:$C$62&amp;".",","&amp;SUBSTITUTE(F11," ","")&amp;","))) +
  SUMPRODUCT(ISNUMBER(SEARCH(","&amp;Справочник_ОКВЭД_НР!$E$3:$E$62&amp;".",","&amp;SUBSTITUTE(F11," ","")&amp;","))) +
  SUMPRODUCT(ISNUMBER(SEARCH(","&amp;Справочник_ОКВЭД_НР!$G$3:$G$62&amp;".",","&amp;SUBSTITUTE(F11," ","")&amp;",")))),
50)</f>
        <v>50</v>
      </c>
      <c r="K11" s="30">
        <f>IFERROR(VLOOKUP(G11,Справочник_ОКВЭД_НР!$O:$P,2,FALSE()),50)</f>
        <v>100</v>
      </c>
      <c r="L11" s="45">
        <f>(I11*Справочник_ОКВЭД_НР!$L$2+J11*Справочник_ОКВЭД_НР!$L$3+K11*Справочник_ОКВЭД_НР!$L$4)*M11</f>
        <v>63.5</v>
      </c>
      <c r="M11" s="47">
        <f>IF(COUNTIF(Справочник_ОКВЭД_НР!$G$3:$G$62,H11)&gt;0,0,1)</f>
        <v>1</v>
      </c>
    </row>
    <row r="12" spans="1:13" x14ac:dyDescent="0.25">
      <c r="A12" s="4">
        <f>ЛИК_дляСкорингаДП!A12</f>
        <v>1077763638578</v>
      </c>
      <c r="B12" s="4">
        <f>ЛИК_дляСкорингаДП!B12</f>
        <v>7704670879</v>
      </c>
      <c r="C12" s="4" t="str">
        <f>ЛИК_дляСкорингаДП!C12</f>
        <v>АО "ИКАО"</v>
      </c>
      <c r="D12" s="5" t="str">
        <f>ЛИК_дляСкорингаДП!M12</f>
        <v>Деятельность заказчика-застройщика, генерального подрядчика</v>
      </c>
      <c r="E12" s="4" t="str">
        <f>ЛИК_дляСкорингаДП!L12</f>
        <v>71.12.2</v>
      </c>
      <c r="F12" t="str">
        <f>ЛИК_дляСкорингаДП!N12</f>
        <v>41.2,55.90,64.92.3,68.1,68.2,68.3,70.22,71.11.1</v>
      </c>
      <c r="G12" s="25" t="str">
        <f>ЛИК_дляСкорингаДП!AG12</f>
        <v>ОСН</v>
      </c>
      <c r="H12" s="55" t="str">
        <f>IF(ISNUMBER(E12),E12,
IFERROR(LEFT(E12,FIND(".",E12)-1),E12))</f>
        <v>71</v>
      </c>
      <c r="I12" s="30">
        <f>IF(COUNTIF(Справочник_ОКВЭД_НР!$A$3:$A$62,H12)&gt;0,Справочник_ОКВЭД_НР!$L$8,
 IF(COUNTIF(Справочник_ОКВЭД_НР!$C$3:$C$62,H12)&gt;0,Справочник_ОКВЭД_НР!$L$9,
  IF(COUNTIF(Справочник_ОКВЭД_НР!$E$3:$E$62,H12)&gt;0,Справочник_ОКВЭД_НР!$L$10,
   IF(COUNTIF(Справочник_ОКВЭД_НР!$G$3:$G$62,H12)&gt;0,Справочник_ОКВЭД_НР!$L$11,50))))</f>
        <v>100</v>
      </c>
      <c r="J12" s="30" cm="1">
        <f t="array" ref="J12">IFERROR(
 (SUMPRODUCT(ISNUMBER(SEARCH(","&amp;Справочник_ОКВЭД_НР!$A$3:$A$62&amp;".",","&amp;SUBSTITUTE(F12," ","")&amp;",")))*Справочник_ОКВЭД_НР!$L$9 +
  SUMPRODUCT(ISNUMBER(SEARCH(","&amp;Справочник_ОКВЭД_НР!$C$3:$C$62&amp;".",","&amp;SUBSTITUTE(F12," ","")&amp;",")))*Справочник_ОКВЭД_НР!$L$10 +
  SUMPRODUCT(ISNUMBER(SEARCH(","&amp;Справочник_ОКВЭД_НР!$E$3:$E$62&amp;".",","&amp;SUBSTITUTE(F12," ","")&amp;",")))*Справочник_ОКВЭД_НР!$L$11 +
  SUMPRODUCT(ISNUMBER(SEARCH(","&amp;Справочник_ОКВЭД_НР!$G$3:$G$62&amp;".",","&amp;SUBSTITUTE(F12," ","")&amp;",")))*Справочник_ОКВЭД_НР!$L$12) /
 (SUMPRODUCT(ISNUMBER(SEARCH(","&amp;Справочник_ОКВЭД_НР!$A$3:$A$62&amp;".",","&amp;SUBSTITUTE(F12," ","")&amp;","))) +
  SUMPRODUCT(ISNUMBER(SEARCH(","&amp;Справочник_ОКВЭД_НР!$C$3:$C$62&amp;".",","&amp;SUBSTITUTE(F12," ","")&amp;","))) +
  SUMPRODUCT(ISNUMBER(SEARCH(","&amp;Справочник_ОКВЭД_НР!$E$3:$E$62&amp;".",","&amp;SUBSTITUTE(F12," ","")&amp;","))) +
  SUMPRODUCT(ISNUMBER(SEARCH(","&amp;Справочник_ОКВЭД_НР!$G$3:$G$62&amp;".",","&amp;SUBSTITUTE(F12," ","")&amp;",")))),
50)</f>
        <v>50</v>
      </c>
      <c r="K12" s="30">
        <f>IFERROR(VLOOKUP(G12,Справочник_ОКВЭД_НР!$O:$P,2,FALSE()),50)</f>
        <v>100</v>
      </c>
      <c r="L12" s="45">
        <f>(I12*Справочник_ОКВЭД_НР!$L$2+J12*Справочник_ОКВЭД_НР!$L$3+K12*Справочник_ОКВЭД_НР!$L$4)*M12</f>
        <v>87.5</v>
      </c>
      <c r="M12" s="47">
        <f>IF(COUNTIF(Справочник_ОКВЭД_НР!$G$3:$G$62,H12)&gt;0,0,1)</f>
        <v>1</v>
      </c>
    </row>
    <row r="13" spans="1:13" x14ac:dyDescent="0.25">
      <c r="A13" s="4">
        <f>ЛИК_дляСкорингаДП!A13</f>
        <v>1117746491500</v>
      </c>
      <c r="B13" s="4">
        <f>ЛИК_дляСкорингаДП!B13</f>
        <v>7702764909</v>
      </c>
      <c r="C13" s="4" t="str">
        <f>ЛИК_дляСкорингаДП!C13</f>
        <v>ООО "КАРИ"</v>
      </c>
      <c r="D13" s="5" t="str">
        <f>ЛИК_дляСкорингаДП!M13</f>
        <v>Торговля розничная обувью и изделиями из кожи в специализированных магазинах</v>
      </c>
      <c r="E13" s="4" t="str">
        <f>ЛИК_дляСкорингаДП!L13</f>
        <v>47.72</v>
      </c>
      <c r="F13" t="str">
        <f>ЛИК_дляСкорингаДП!N13</f>
        <v>46.42,16.29.13,23.19.9,24.10.2,32.12.1,32.12.2,32.12.3,32.12.4,32.12.5,32.13,38.32.2,38.32.59,46.12.22,46.18.2,46.18.2,46.41,46.41.2,46.42,46.43,46.44,46.45,46.46,46.48.2,46.49,46.72.23,46.76.4,47.19,47.43,47.51,47.54,47.7,47.71,47.72,47.75,47.77.2,47.91,47.91.1,47.91.2,47.91.4,63.99.1,66.19.5,69.10,69.20,70.22,78.10,95.25</v>
      </c>
      <c r="G13" s="25" t="str">
        <f>ЛИК_дляСкорингаДП!AG13</f>
        <v>ОСН</v>
      </c>
      <c r="H13" s="55" t="str">
        <f>IF(ISNUMBER(E13),E13,
IFERROR(LEFT(E13,FIND(".",E13)-1),E13))</f>
        <v>47</v>
      </c>
      <c r="I13" s="30">
        <f>IF(COUNTIF(Справочник_ОКВЭД_НР!$A$3:$A$62,H13)&gt;0,Справочник_ОКВЭД_НР!$L$8,
 IF(COUNTIF(Справочник_ОКВЭД_НР!$C$3:$C$62,H13)&gt;0,Справочник_ОКВЭД_НР!$L$9,
  IF(COUNTIF(Справочник_ОКВЭД_НР!$E$3:$E$62,H13)&gt;0,Справочник_ОКВЭД_НР!$L$10,
   IF(COUNTIF(Справочник_ОКВЭД_НР!$G$3:$G$62,H13)&gt;0,Справочник_ОКВЭД_НР!$L$11,50))))</f>
        <v>60</v>
      </c>
      <c r="J13" s="30" cm="1">
        <f t="array" ref="J13">IFERROR(
 (SUMPRODUCT(ISNUMBER(SEARCH(","&amp;Справочник_ОКВЭД_НР!$A$3:$A$62&amp;".",","&amp;SUBSTITUTE(F13," ","")&amp;",")))*Справочник_ОКВЭД_НР!$L$9 +
  SUMPRODUCT(ISNUMBER(SEARCH(","&amp;Справочник_ОКВЭД_НР!$C$3:$C$62&amp;".",","&amp;SUBSTITUTE(F13," ","")&amp;",")))*Справочник_ОКВЭД_НР!$L$10 +
  SUMPRODUCT(ISNUMBER(SEARCH(","&amp;Справочник_ОКВЭД_НР!$E$3:$E$62&amp;".",","&amp;SUBSTITUTE(F13," ","")&amp;",")))*Справочник_ОКВЭД_НР!$L$11 +
  SUMPRODUCT(ISNUMBER(SEARCH(","&amp;Справочник_ОКВЭД_НР!$G$3:$G$62&amp;".",","&amp;SUBSTITUTE(F13," ","")&amp;",")))*Справочник_ОКВЭД_НР!$L$12) /
 (SUMPRODUCT(ISNUMBER(SEARCH(","&amp;Справочник_ОКВЭД_НР!$A$3:$A$62&amp;".",","&amp;SUBSTITUTE(F13," ","")&amp;","))) +
  SUMPRODUCT(ISNUMBER(SEARCH(","&amp;Справочник_ОКВЭД_НР!$C$3:$C$62&amp;".",","&amp;SUBSTITUTE(F13," ","")&amp;","))) +
  SUMPRODUCT(ISNUMBER(SEARCH(","&amp;Справочник_ОКВЭД_НР!$E$3:$E$62&amp;".",","&amp;SUBSTITUTE(F13," ","")&amp;","))) +
  SUMPRODUCT(ISNUMBER(SEARCH(","&amp;Справочник_ОКВЭД_НР!$G$3:$G$62&amp;".",","&amp;SUBSTITUTE(F13," ","")&amp;",")))),
50)</f>
        <v>50</v>
      </c>
      <c r="K13" s="30">
        <f>IFERROR(VLOOKUP(G13,Справочник_ОКВЭД_НР!$O:$P,2,FALSE()),50)</f>
        <v>100</v>
      </c>
      <c r="L13" s="45">
        <f>(I13*Справочник_ОКВЭД_НР!$L$2+J13*Справочник_ОКВЭД_НР!$L$3+K13*Справочник_ОКВЭД_НР!$L$4)*M13</f>
        <v>63.5</v>
      </c>
      <c r="M13" s="47">
        <f>IF(COUNTIF(Справочник_ОКВЭД_НР!$G$3:$G$62,H13)&gt;0,0,1)</f>
        <v>1</v>
      </c>
    </row>
    <row r="14" spans="1:13" x14ac:dyDescent="0.25">
      <c r="A14" s="4">
        <f>ЛИК_дляСкорингаДП!A14</f>
        <v>1037702027670</v>
      </c>
      <c r="B14" s="4">
        <f>ЛИК_дляСкорингаДП!B14</f>
        <v>7702354081</v>
      </c>
      <c r="C14" s="4" t="str">
        <f>ЛИК_дляСкорингаДП!C14</f>
        <v>ООО "ЛАР"</v>
      </c>
      <c r="D14" s="5" t="str">
        <f>ЛИК_дляСкорингаДП!M14</f>
        <v>Торговля оптовая моторным топливом, включая авиационный бензин</v>
      </c>
      <c r="E14" s="4" t="str">
        <f>ЛИК_дляСкорингаДП!L14</f>
        <v>46.71.2</v>
      </c>
      <c r="F14" t="str">
        <f>ЛИК_дляСкорингаДП!N14</f>
        <v>46.18,70.10,77.39.11,46.71,46.75.2,49.41.1,52.10.21,52.23.1,52.23.12,52.23.19,68.20.2,77.39</v>
      </c>
      <c r="G14" s="25" t="str">
        <f>ЛИК_дляСкорингаДП!AG14</f>
        <v>ОСН</v>
      </c>
      <c r="H14" s="55" t="str">
        <f>IF(ISNUMBER(E14),E14,
IFERROR(LEFT(E14,FIND(".",E14)-1),E14))</f>
        <v>46</v>
      </c>
      <c r="I14" s="30">
        <f>IF(COUNTIF(Справочник_ОКВЭД_НР!$A$3:$A$62,H14)&gt;0,Справочник_ОКВЭД_НР!$L$8,
 IF(COUNTIF(Справочник_ОКВЭД_НР!$C$3:$C$62,H14)&gt;0,Справочник_ОКВЭД_НР!$L$9,
  IF(COUNTIF(Справочник_ОКВЭД_НР!$E$3:$E$62,H14)&gt;0,Справочник_ОКВЭД_НР!$L$10,
   IF(COUNTIF(Справочник_ОКВЭД_НР!$G$3:$G$62,H14)&gt;0,Справочник_ОКВЭД_НР!$L$11,50))))</f>
        <v>60</v>
      </c>
      <c r="J14" s="30" cm="1">
        <f t="array" ref="J14">IFERROR(
 (SUMPRODUCT(ISNUMBER(SEARCH(","&amp;Справочник_ОКВЭД_НР!$A$3:$A$62&amp;".",","&amp;SUBSTITUTE(F14," ","")&amp;",")))*Справочник_ОКВЭД_НР!$L$9 +
  SUMPRODUCT(ISNUMBER(SEARCH(","&amp;Справочник_ОКВЭД_НР!$C$3:$C$62&amp;".",","&amp;SUBSTITUTE(F14," ","")&amp;",")))*Справочник_ОКВЭД_НР!$L$10 +
  SUMPRODUCT(ISNUMBER(SEARCH(","&amp;Справочник_ОКВЭД_НР!$E$3:$E$62&amp;".",","&amp;SUBSTITUTE(F14," ","")&amp;",")))*Справочник_ОКВЭД_НР!$L$11 +
  SUMPRODUCT(ISNUMBER(SEARCH(","&amp;Справочник_ОКВЭД_НР!$G$3:$G$62&amp;".",","&amp;SUBSTITUTE(F14," ","")&amp;",")))*Справочник_ОКВЭД_НР!$L$12) /
 (SUMPRODUCT(ISNUMBER(SEARCH(","&amp;Справочник_ОКВЭД_НР!$A$3:$A$62&amp;".",","&amp;SUBSTITUTE(F14," ","")&amp;","))) +
  SUMPRODUCT(ISNUMBER(SEARCH(","&amp;Справочник_ОКВЭД_НР!$C$3:$C$62&amp;".",","&amp;SUBSTITUTE(F14," ","")&amp;","))) +
  SUMPRODUCT(ISNUMBER(SEARCH(","&amp;Справочник_ОКВЭД_НР!$E$3:$E$62&amp;".",","&amp;SUBSTITUTE(F14," ","")&amp;","))) +
  SUMPRODUCT(ISNUMBER(SEARCH(","&amp;Справочник_ОКВЭД_НР!$G$3:$G$62&amp;".",","&amp;SUBSTITUTE(F14," ","")&amp;",")))),
50)</f>
        <v>50</v>
      </c>
      <c r="K14" s="30">
        <f>IFERROR(VLOOKUP(G14,Справочник_ОКВЭД_НР!$O:$P,2,FALSE()),50)</f>
        <v>100</v>
      </c>
      <c r="L14" s="45">
        <f>(I14*Справочник_ОКВЭД_НР!$L$2+J14*Справочник_ОКВЭД_НР!$L$3+K14*Справочник_ОКВЭД_НР!$L$4)*M14</f>
        <v>63.5</v>
      </c>
      <c r="M14" s="47">
        <f>IF(COUNTIF(Справочник_ОКВЭД_НР!$G$3:$G$62,H14)&gt;0,0,1)</f>
        <v>1</v>
      </c>
    </row>
    <row r="15" spans="1:13" x14ac:dyDescent="0.25">
      <c r="A15" s="4">
        <f>ЛИК_дляСкорингаДП!A15</f>
        <v>1027700050278</v>
      </c>
      <c r="B15" s="4">
        <f>ЛИК_дляСкорингаДП!B15</f>
        <v>7704228075</v>
      </c>
      <c r="C15" s="4" t="str">
        <f>ЛИК_дляСкорингаДП!C15</f>
        <v>АО "РОСАТОМ ЭНЕРГОСБЫТ"</v>
      </c>
      <c r="D15" s="5" t="str">
        <f>ЛИК_дляСкорингаДП!M15</f>
        <v>Торговля электроэнергией</v>
      </c>
      <c r="E15" s="4" t="str">
        <f>ЛИК_дляСкорингаДП!L15</f>
        <v>35.14</v>
      </c>
      <c r="F15" t="str">
        <f>ЛИК_дляСкорингаДП!N15</f>
        <v>47.19,82.99,33.12,35.11,35.13,35.14,45.20.1,47.19,47.91.2,47.91.3,47.91.4,49.39,62.01,62.02,62.02.1,62.02.4,62.03.13,62.09,63.11,63.11.1,66.2,66.22,73.11,74.90.31,77.29,80.10,80.20,80.30,82.99,84.21</v>
      </c>
      <c r="G15" s="25" t="str">
        <f>ЛИК_дляСкорингаДП!AG15</f>
        <v>ОСН</v>
      </c>
      <c r="H15" s="55" t="str">
        <f>IF(ISNUMBER(E15),E15,
IFERROR(LEFT(E15,FIND(".",E15)-1),E15))</f>
        <v>35</v>
      </c>
      <c r="I15" s="30">
        <f>IF(COUNTIF(Справочник_ОКВЭД_НР!$A$3:$A$62,H15)&gt;0,Справочник_ОКВЭД_НР!$L$8,
 IF(COUNTIF(Справочник_ОКВЭД_НР!$C$3:$C$62,H15)&gt;0,Справочник_ОКВЭД_НР!$L$9,
  IF(COUNTIF(Справочник_ОКВЭД_НР!$E$3:$E$62,H15)&gt;0,Справочник_ОКВЭД_НР!$L$10,
   IF(COUNTIF(Справочник_ОКВЭД_НР!$G$3:$G$62,H15)&gt;0,Справочник_ОКВЭД_НР!$L$11,50))))</f>
        <v>60</v>
      </c>
      <c r="J15" s="30" cm="1">
        <f t="array" ref="J15">IFERROR(
 (SUMPRODUCT(ISNUMBER(SEARCH(","&amp;Справочник_ОКВЭД_НР!$A$3:$A$62&amp;".",","&amp;SUBSTITUTE(F15," ","")&amp;",")))*Справочник_ОКВЭД_НР!$L$9 +
  SUMPRODUCT(ISNUMBER(SEARCH(","&amp;Справочник_ОКВЭД_НР!$C$3:$C$62&amp;".",","&amp;SUBSTITUTE(F15," ","")&amp;",")))*Справочник_ОКВЭД_НР!$L$10 +
  SUMPRODUCT(ISNUMBER(SEARCH(","&amp;Справочник_ОКВЭД_НР!$E$3:$E$62&amp;".",","&amp;SUBSTITUTE(F15," ","")&amp;",")))*Справочник_ОКВЭД_НР!$L$11 +
  SUMPRODUCT(ISNUMBER(SEARCH(","&amp;Справочник_ОКВЭД_НР!$G$3:$G$62&amp;".",","&amp;SUBSTITUTE(F15," ","")&amp;",")))*Справочник_ОКВЭД_НР!$L$12) /
 (SUMPRODUCT(ISNUMBER(SEARCH(","&amp;Справочник_ОКВЭД_НР!$A$3:$A$62&amp;".",","&amp;SUBSTITUTE(F15," ","")&amp;","))) +
  SUMPRODUCT(ISNUMBER(SEARCH(","&amp;Справочник_ОКВЭД_НР!$C$3:$C$62&amp;".",","&amp;SUBSTITUTE(F15," ","")&amp;","))) +
  SUMPRODUCT(ISNUMBER(SEARCH(","&amp;Справочник_ОКВЭД_НР!$E$3:$E$62&amp;".",","&amp;SUBSTITUTE(F15," ","")&amp;","))) +
  SUMPRODUCT(ISNUMBER(SEARCH(","&amp;Справочник_ОКВЭД_НР!$G$3:$G$62&amp;".",","&amp;SUBSTITUTE(F15," ","")&amp;",")))),
50)</f>
        <v>50</v>
      </c>
      <c r="K15" s="30">
        <f>IFERROR(VLOOKUP(G15,Справочник_ОКВЭД_НР!$O:$P,2,FALSE()),50)</f>
        <v>100</v>
      </c>
      <c r="L15" s="45">
        <f>(I15*Справочник_ОКВЭД_НР!$L$2+J15*Справочник_ОКВЭД_НР!$L$3+K15*Справочник_ОКВЭД_НР!$L$4)*M15</f>
        <v>63.5</v>
      </c>
      <c r="M15" s="47">
        <f>IF(COUNTIF(Справочник_ОКВЭД_НР!$G$3:$G$62,H15)&gt;0,0,1)</f>
        <v>1</v>
      </c>
    </row>
    <row r="16" spans="1:13" x14ac:dyDescent="0.25">
      <c r="A16" s="4">
        <f>ЛИК_дляСкорингаДП!A16</f>
        <v>1057746557329</v>
      </c>
      <c r="B16" s="4">
        <f>ЛИК_дляСкорингаДП!B16</f>
        <v>7736520080</v>
      </c>
      <c r="C16" s="4" t="str">
        <f>ЛИК_дляСкорингаДП!C16</f>
        <v>АО "МОСЭНЕРГОСБЫТ"</v>
      </c>
      <c r="D16" s="5" t="str">
        <f>ЛИК_дляСкорингаДП!M16</f>
        <v>Торговля электроэнергией</v>
      </c>
      <c r="E16" s="4" t="str">
        <f>ЛИК_дляСкорингаДП!L16</f>
        <v>35.14</v>
      </c>
      <c r="F16" t="str">
        <f>ЛИК_дляСкорингаДП!N16</f>
        <v>26.51,33.13,35.13,35.30.3,36.00.2,37.00,46.18.2,47.11,52.10.21,56.29,64.19,66.22,70.22,73.20.1,81.21,81.22,81.29,81.29.1,82.99,84.24,85.23,86.21,95.11,95.12,95.22</v>
      </c>
      <c r="G16" s="25" t="str">
        <f>ЛИК_дляСкорингаДП!AG16</f>
        <v>ОСН</v>
      </c>
      <c r="H16" s="55" t="str">
        <f>IF(ISNUMBER(E16),E16,
IFERROR(LEFT(E16,FIND(".",E16)-1),E16))</f>
        <v>35</v>
      </c>
      <c r="I16" s="30">
        <f>IF(COUNTIF(Справочник_ОКВЭД_НР!$A$3:$A$62,H16)&gt;0,Справочник_ОКВЭД_НР!$L$8,
 IF(COUNTIF(Справочник_ОКВЭД_НР!$C$3:$C$62,H16)&gt;0,Справочник_ОКВЭД_НР!$L$9,
  IF(COUNTIF(Справочник_ОКВЭД_НР!$E$3:$E$62,H16)&gt;0,Справочник_ОКВЭД_НР!$L$10,
   IF(COUNTIF(Справочник_ОКВЭД_НР!$G$3:$G$62,H16)&gt;0,Справочник_ОКВЭД_НР!$L$11,50))))</f>
        <v>60</v>
      </c>
      <c r="J16" s="30" cm="1">
        <f t="array" ref="J16">IFERROR(
 (SUMPRODUCT(ISNUMBER(SEARCH(","&amp;Справочник_ОКВЭД_НР!$A$3:$A$62&amp;".",","&amp;SUBSTITUTE(F16," ","")&amp;",")))*Справочник_ОКВЭД_НР!$L$9 +
  SUMPRODUCT(ISNUMBER(SEARCH(","&amp;Справочник_ОКВЭД_НР!$C$3:$C$62&amp;".",","&amp;SUBSTITUTE(F16," ","")&amp;",")))*Справочник_ОКВЭД_НР!$L$10 +
  SUMPRODUCT(ISNUMBER(SEARCH(","&amp;Справочник_ОКВЭД_НР!$E$3:$E$62&amp;".",","&amp;SUBSTITUTE(F16," ","")&amp;",")))*Справочник_ОКВЭД_НР!$L$11 +
  SUMPRODUCT(ISNUMBER(SEARCH(","&amp;Справочник_ОКВЭД_НР!$G$3:$G$62&amp;".",","&amp;SUBSTITUTE(F16," ","")&amp;",")))*Справочник_ОКВЭД_НР!$L$12) /
 (SUMPRODUCT(ISNUMBER(SEARCH(","&amp;Справочник_ОКВЭД_НР!$A$3:$A$62&amp;".",","&amp;SUBSTITUTE(F16," ","")&amp;","))) +
  SUMPRODUCT(ISNUMBER(SEARCH(","&amp;Справочник_ОКВЭД_НР!$C$3:$C$62&amp;".",","&amp;SUBSTITUTE(F16," ","")&amp;","))) +
  SUMPRODUCT(ISNUMBER(SEARCH(","&amp;Справочник_ОКВЭД_НР!$E$3:$E$62&amp;".",","&amp;SUBSTITUTE(F16," ","")&amp;","))) +
  SUMPRODUCT(ISNUMBER(SEARCH(","&amp;Справочник_ОКВЭД_НР!$G$3:$G$62&amp;".",","&amp;SUBSTITUTE(F16," ","")&amp;",")))),
50)</f>
        <v>50</v>
      </c>
      <c r="K16" s="30">
        <f>IFERROR(VLOOKUP(G16,Справочник_ОКВЭД_НР!$O:$P,2,FALSE()),50)</f>
        <v>100</v>
      </c>
      <c r="L16" s="45">
        <f>(I16*Справочник_ОКВЭД_НР!$L$2+J16*Справочник_ОКВЭД_НР!$L$3+K16*Справочник_ОКВЭД_НР!$L$4)*M16</f>
        <v>63.5</v>
      </c>
      <c r="M16" s="47">
        <f>IF(COUNTIF(Справочник_ОКВЭД_НР!$G$3:$G$62,H16)&gt;0,0,1)</f>
        <v>1</v>
      </c>
    </row>
    <row r="17" spans="1:13" x14ac:dyDescent="0.25">
      <c r="A17" s="4">
        <f>ЛИК_дляСкорингаДП!A17</f>
        <v>1123444007070</v>
      </c>
      <c r="B17" s="4">
        <f>ЛИК_дляСкорингаДП!B17</f>
        <v>3444197347</v>
      </c>
      <c r="C17" s="4" t="str">
        <f>ЛИК_дляСкорингаДП!C17</f>
        <v>ООО "ЛИКАРД"</v>
      </c>
      <c r="D17" s="5" t="str">
        <f>ЛИК_дляСкорингаДП!M17</f>
        <v>Торговля оптовая твердым, жидким и газообразным топливом и подобными продуктами</v>
      </c>
      <c r="E17" s="4" t="str">
        <f>ЛИК_дляСкорингаДП!L17</f>
        <v>46.71</v>
      </c>
      <c r="F17" t="str">
        <f>ЛИК_дляСкорингаДП!N17</f>
        <v>22.29.2,33.12,46.12.1,46.90,47.19,47.21,47.22,47.23,47.24,47.25,47.26,47.29,47.30,47.78,47.99.2,56.10,62.09,63.11,63.11.1,66.11.2,66.19,66.19.6,68.10.22,70.22,73.11,73.20.1</v>
      </c>
      <c r="G17" s="25" t="str">
        <f>ЛИК_дляСкорингаДП!AG17</f>
        <v>ОСН</v>
      </c>
      <c r="H17" s="55" t="str">
        <f>IF(ISNUMBER(E17),E17,
IFERROR(LEFT(E17,FIND(".",E17)-1),E17))</f>
        <v>46</v>
      </c>
      <c r="I17" s="30">
        <f>IF(COUNTIF(Справочник_ОКВЭД_НР!$A$3:$A$62,H17)&gt;0,Справочник_ОКВЭД_НР!$L$8,
 IF(COUNTIF(Справочник_ОКВЭД_НР!$C$3:$C$62,H17)&gt;0,Справочник_ОКВЭД_НР!$L$9,
  IF(COUNTIF(Справочник_ОКВЭД_НР!$E$3:$E$62,H17)&gt;0,Справочник_ОКВЭД_НР!$L$10,
   IF(COUNTIF(Справочник_ОКВЭД_НР!$G$3:$G$62,H17)&gt;0,Справочник_ОКВЭД_НР!$L$11,50))))</f>
        <v>60</v>
      </c>
      <c r="J17" s="30" cm="1">
        <f t="array" ref="J17">IFERROR(
 (SUMPRODUCT(ISNUMBER(SEARCH(","&amp;Справочник_ОКВЭД_НР!$A$3:$A$62&amp;".",","&amp;SUBSTITUTE(F17," ","")&amp;",")))*Справочник_ОКВЭД_НР!$L$9 +
  SUMPRODUCT(ISNUMBER(SEARCH(","&amp;Справочник_ОКВЭД_НР!$C$3:$C$62&amp;".",","&amp;SUBSTITUTE(F17," ","")&amp;",")))*Справочник_ОКВЭД_НР!$L$10 +
  SUMPRODUCT(ISNUMBER(SEARCH(","&amp;Справочник_ОКВЭД_НР!$E$3:$E$62&amp;".",","&amp;SUBSTITUTE(F17," ","")&amp;",")))*Справочник_ОКВЭД_НР!$L$11 +
  SUMPRODUCT(ISNUMBER(SEARCH(","&amp;Справочник_ОКВЭД_НР!$G$3:$G$62&amp;".",","&amp;SUBSTITUTE(F17," ","")&amp;",")))*Справочник_ОКВЭД_НР!$L$12) /
 (SUMPRODUCT(ISNUMBER(SEARCH(","&amp;Справочник_ОКВЭД_НР!$A$3:$A$62&amp;".",","&amp;SUBSTITUTE(F17," ","")&amp;","))) +
  SUMPRODUCT(ISNUMBER(SEARCH(","&amp;Справочник_ОКВЭД_НР!$C$3:$C$62&amp;".",","&amp;SUBSTITUTE(F17," ","")&amp;","))) +
  SUMPRODUCT(ISNUMBER(SEARCH(","&amp;Справочник_ОКВЭД_НР!$E$3:$E$62&amp;".",","&amp;SUBSTITUTE(F17," ","")&amp;","))) +
  SUMPRODUCT(ISNUMBER(SEARCH(","&amp;Справочник_ОКВЭД_НР!$G$3:$G$62&amp;".",","&amp;SUBSTITUTE(F17," ","")&amp;",")))),
50)</f>
        <v>50</v>
      </c>
      <c r="K17" s="30">
        <f>IFERROR(VLOOKUP(G17,Справочник_ОКВЭД_НР!$O:$P,2,FALSE()),50)</f>
        <v>100</v>
      </c>
      <c r="L17" s="45">
        <f>(I17*Справочник_ОКВЭД_НР!$L$2+J17*Справочник_ОКВЭД_НР!$L$3+K17*Справочник_ОКВЭД_НР!$L$4)*M17</f>
        <v>63.5</v>
      </c>
      <c r="M17" s="47">
        <f>IF(COUNTIF(Справочник_ОКВЭД_НР!$G$3:$G$62,H17)&gt;0,0,1)</f>
        <v>1</v>
      </c>
    </row>
    <row r="18" spans="1:13" x14ac:dyDescent="0.25">
      <c r="A18" s="4">
        <f>ЛИК_дляСкорингаДП!A18</f>
        <v>1027700000679</v>
      </c>
      <c r="B18" s="4">
        <f>ЛИК_дляСкорингаДП!B18</f>
        <v>7701285928</v>
      </c>
      <c r="C18" s="4" t="str">
        <f>ЛИК_дляСкорингаДП!C18</f>
        <v>ООО "ЛУКОЙЛ-ЦЕНТРНЕФТЕПРОДУКТ"</v>
      </c>
      <c r="D18" s="5" t="str">
        <f>ЛИК_дляСкорингаДП!M18</f>
        <v>Торговля розничная моторным топливом в специализированных магазинах</v>
      </c>
      <c r="E18" s="4" t="str">
        <f>ЛИК_дляСкорингаДП!L18</f>
        <v>47.30</v>
      </c>
      <c r="F18" t="str">
        <f>ЛИК_дляСкорингаДП!N18</f>
        <v>56.10.1,41.20,45.1,45.20,46.12,46.71,46.90,47.11,47.25,47.30,47.73,47.74,47.75,47.8,52.10.21,66.19,68.20.21,68.20.29,70.22,71.11,71.12.2,71.20,85.30</v>
      </c>
      <c r="G18" s="25" t="str">
        <f>ЛИК_дляСкорингаДП!AG18</f>
        <v>ОСН</v>
      </c>
      <c r="H18" s="55" t="str">
        <f>IF(ISNUMBER(E18),E18,
IFERROR(LEFT(E18,FIND(".",E18)-1),E18))</f>
        <v>47</v>
      </c>
      <c r="I18" s="30">
        <f>IF(COUNTIF(Справочник_ОКВЭД_НР!$A$3:$A$62,H18)&gt;0,Справочник_ОКВЭД_НР!$L$8,
 IF(COUNTIF(Справочник_ОКВЭД_НР!$C$3:$C$62,H18)&gt;0,Справочник_ОКВЭД_НР!$L$9,
  IF(COUNTIF(Справочник_ОКВЭД_НР!$E$3:$E$62,H18)&gt;0,Справочник_ОКВЭД_НР!$L$10,
   IF(COUNTIF(Справочник_ОКВЭД_НР!$G$3:$G$62,H18)&gt;0,Справочник_ОКВЭД_НР!$L$11,50))))</f>
        <v>60</v>
      </c>
      <c r="J18" s="30" cm="1">
        <f t="array" ref="J18">IFERROR(
 (SUMPRODUCT(ISNUMBER(SEARCH(","&amp;Справочник_ОКВЭД_НР!$A$3:$A$62&amp;".",","&amp;SUBSTITUTE(F18," ","")&amp;",")))*Справочник_ОКВЭД_НР!$L$9 +
  SUMPRODUCT(ISNUMBER(SEARCH(","&amp;Справочник_ОКВЭД_НР!$C$3:$C$62&amp;".",","&amp;SUBSTITUTE(F18," ","")&amp;",")))*Справочник_ОКВЭД_НР!$L$10 +
  SUMPRODUCT(ISNUMBER(SEARCH(","&amp;Справочник_ОКВЭД_НР!$E$3:$E$62&amp;".",","&amp;SUBSTITUTE(F18," ","")&amp;",")))*Справочник_ОКВЭД_НР!$L$11 +
  SUMPRODUCT(ISNUMBER(SEARCH(","&amp;Справочник_ОКВЭД_НР!$G$3:$G$62&amp;".",","&amp;SUBSTITUTE(F18," ","")&amp;",")))*Справочник_ОКВЭД_НР!$L$12) /
 (SUMPRODUCT(ISNUMBER(SEARCH(","&amp;Справочник_ОКВЭД_НР!$A$3:$A$62&amp;".",","&amp;SUBSTITUTE(F18," ","")&amp;","))) +
  SUMPRODUCT(ISNUMBER(SEARCH(","&amp;Справочник_ОКВЭД_НР!$C$3:$C$62&amp;".",","&amp;SUBSTITUTE(F18," ","")&amp;","))) +
  SUMPRODUCT(ISNUMBER(SEARCH(","&amp;Справочник_ОКВЭД_НР!$E$3:$E$62&amp;".",","&amp;SUBSTITUTE(F18," ","")&amp;","))) +
  SUMPRODUCT(ISNUMBER(SEARCH(","&amp;Справочник_ОКВЭД_НР!$G$3:$G$62&amp;".",","&amp;SUBSTITUTE(F18," ","")&amp;",")))),
50)</f>
        <v>50</v>
      </c>
      <c r="K18" s="30">
        <f>IFERROR(VLOOKUP(G18,Справочник_ОКВЭД_НР!$O:$P,2,FALSE()),50)</f>
        <v>100</v>
      </c>
      <c r="L18" s="45">
        <f>(I18*Справочник_ОКВЭД_НР!$L$2+J18*Справочник_ОКВЭД_НР!$L$3+K18*Справочник_ОКВЭД_НР!$L$4)*M18</f>
        <v>63.5</v>
      </c>
      <c r="M18" s="47">
        <f>IF(COUNTIF(Справочник_ОКВЭД_НР!$G$3:$G$62,H18)&gt;0,0,1)</f>
        <v>1</v>
      </c>
    </row>
    <row r="19" spans="1:13" x14ac:dyDescent="0.25">
      <c r="A19" s="4">
        <f>ЛИК_дляСкорингаДП!A19</f>
        <v>1107746744038</v>
      </c>
      <c r="B19" s="4">
        <f>ЛИК_дляСкорингаДП!B19</f>
        <v>7743792870</v>
      </c>
      <c r="C19" s="4" t="str">
        <f>ЛИК_дляСкорингаДП!C19</f>
        <v>ООО "ТЕБОЙЛ РУС"</v>
      </c>
      <c r="D19" s="5" t="str">
        <f>ЛИК_дляСкорингаДП!M19</f>
        <v>Торговля розничная моторным топливом в специализированных магазинах</v>
      </c>
      <c r="E19" s="4" t="str">
        <f>ЛИК_дляСкорингаДП!L19</f>
        <v>47.30</v>
      </c>
      <c r="F19" t="str">
        <f>ЛИК_дляСкорингаДП!N19</f>
        <v>19.20,43.99,46.71,47.11,52.10.21,56.10.2,56.10.21,62.09,63.11,68.10,68.20,71.12,77.39</v>
      </c>
      <c r="G19" s="25" t="str">
        <f>ЛИК_дляСкорингаДП!AG19</f>
        <v>ОСН</v>
      </c>
      <c r="H19" s="55" t="str">
        <f>IF(ISNUMBER(E19),E19,
IFERROR(LEFT(E19,FIND(".",E19)-1),E19))</f>
        <v>47</v>
      </c>
      <c r="I19" s="30">
        <f>IF(COUNTIF(Справочник_ОКВЭД_НР!$A$3:$A$62,H19)&gt;0,Справочник_ОКВЭД_НР!$L$8,
 IF(COUNTIF(Справочник_ОКВЭД_НР!$C$3:$C$62,H19)&gt;0,Справочник_ОКВЭД_НР!$L$9,
  IF(COUNTIF(Справочник_ОКВЭД_НР!$E$3:$E$62,H19)&gt;0,Справочник_ОКВЭД_НР!$L$10,
   IF(COUNTIF(Справочник_ОКВЭД_НР!$G$3:$G$62,H19)&gt;0,Справочник_ОКВЭД_НР!$L$11,50))))</f>
        <v>60</v>
      </c>
      <c r="J19" s="30" cm="1">
        <f t="array" ref="J19">IFERROR(
 (SUMPRODUCT(ISNUMBER(SEARCH(","&amp;Справочник_ОКВЭД_НР!$A$3:$A$62&amp;".",","&amp;SUBSTITUTE(F19," ","")&amp;",")))*Справочник_ОКВЭД_НР!$L$9 +
  SUMPRODUCT(ISNUMBER(SEARCH(","&amp;Справочник_ОКВЭД_НР!$C$3:$C$62&amp;".",","&amp;SUBSTITUTE(F19," ","")&amp;",")))*Справочник_ОКВЭД_НР!$L$10 +
  SUMPRODUCT(ISNUMBER(SEARCH(","&amp;Справочник_ОКВЭД_НР!$E$3:$E$62&amp;".",","&amp;SUBSTITUTE(F19," ","")&amp;",")))*Справочник_ОКВЭД_НР!$L$11 +
  SUMPRODUCT(ISNUMBER(SEARCH(","&amp;Справочник_ОКВЭД_НР!$G$3:$G$62&amp;".",","&amp;SUBSTITUTE(F19," ","")&amp;",")))*Справочник_ОКВЭД_НР!$L$12) /
 (SUMPRODUCT(ISNUMBER(SEARCH(","&amp;Справочник_ОКВЭД_НР!$A$3:$A$62&amp;".",","&amp;SUBSTITUTE(F19," ","")&amp;","))) +
  SUMPRODUCT(ISNUMBER(SEARCH(","&amp;Справочник_ОКВЭД_НР!$C$3:$C$62&amp;".",","&amp;SUBSTITUTE(F19," ","")&amp;","))) +
  SUMPRODUCT(ISNUMBER(SEARCH(","&amp;Справочник_ОКВЭД_НР!$E$3:$E$62&amp;".",","&amp;SUBSTITUTE(F19," ","")&amp;","))) +
  SUMPRODUCT(ISNUMBER(SEARCH(","&amp;Справочник_ОКВЭД_НР!$G$3:$G$62&amp;".",","&amp;SUBSTITUTE(F19," ","")&amp;",")))),
50)</f>
        <v>50</v>
      </c>
      <c r="K19" s="30">
        <f>IFERROR(VLOOKUP(G19,Справочник_ОКВЭД_НР!$O:$P,2,FALSE()),50)</f>
        <v>100</v>
      </c>
      <c r="L19" s="45">
        <f>(I19*Справочник_ОКВЭД_НР!$L$2+J19*Справочник_ОКВЭД_НР!$L$3+K19*Справочник_ОКВЭД_НР!$L$4)*M19</f>
        <v>63.5</v>
      </c>
      <c r="M19" s="47">
        <f>IF(COUNTIF(Справочник_ОКВЭД_НР!$G$3:$G$62,H19)&gt;0,0,1)</f>
        <v>1</v>
      </c>
    </row>
    <row r="20" spans="1:13" x14ac:dyDescent="0.25">
      <c r="A20" s="4">
        <f>ЛИК_дляСкорингаДП!A20</f>
        <v>1047796118182</v>
      </c>
      <c r="B20" s="4">
        <f>ЛИК_дляСкорингаДП!B20</f>
        <v>7706525041</v>
      </c>
      <c r="C20" s="4" t="str">
        <f>ЛИК_дляСкорингаДП!C20</f>
        <v>ООО "РН-ЭНЕРГО"</v>
      </c>
      <c r="D20" s="5" t="str">
        <f>ЛИК_дляСкорингаДП!M20</f>
        <v>Торговля электроэнергией</v>
      </c>
      <c r="E20" s="4" t="str">
        <f>ЛИК_дляСкорингаДП!L20</f>
        <v>35.14</v>
      </c>
      <c r="F20" t="str">
        <f>ЛИК_дляСкорингаДП!N20</f>
        <v>33.13,33.14,33.20,35.11,35.14,43.21,43.29,45.20.5</v>
      </c>
      <c r="G20" s="25" t="str">
        <f>ЛИК_дляСкорингаДП!AG20</f>
        <v>ОСН</v>
      </c>
      <c r="H20" s="55" t="str">
        <f>IF(ISNUMBER(E20),E20,
IFERROR(LEFT(E20,FIND(".",E20)-1),E20))</f>
        <v>35</v>
      </c>
      <c r="I20" s="30">
        <f>IF(COUNTIF(Справочник_ОКВЭД_НР!$A$3:$A$62,H20)&gt;0,Справочник_ОКВЭД_НР!$L$8,
 IF(COUNTIF(Справочник_ОКВЭД_НР!$C$3:$C$62,H20)&gt;0,Справочник_ОКВЭД_НР!$L$9,
  IF(COUNTIF(Справочник_ОКВЭД_НР!$E$3:$E$62,H20)&gt;0,Справочник_ОКВЭД_НР!$L$10,
   IF(COUNTIF(Справочник_ОКВЭД_НР!$G$3:$G$62,H20)&gt;0,Справочник_ОКВЭД_НР!$L$11,50))))</f>
        <v>60</v>
      </c>
      <c r="J20" s="30" cm="1">
        <f t="array" ref="J20">IFERROR(
 (SUMPRODUCT(ISNUMBER(SEARCH(","&amp;Справочник_ОКВЭД_НР!$A$3:$A$62&amp;".",","&amp;SUBSTITUTE(F20," ","")&amp;",")))*Справочник_ОКВЭД_НР!$L$9 +
  SUMPRODUCT(ISNUMBER(SEARCH(","&amp;Справочник_ОКВЭД_НР!$C$3:$C$62&amp;".",","&amp;SUBSTITUTE(F20," ","")&amp;",")))*Справочник_ОКВЭД_НР!$L$10 +
  SUMPRODUCT(ISNUMBER(SEARCH(","&amp;Справочник_ОКВЭД_НР!$E$3:$E$62&amp;".",","&amp;SUBSTITUTE(F20," ","")&amp;",")))*Справочник_ОКВЭД_НР!$L$11 +
  SUMPRODUCT(ISNUMBER(SEARCH(","&amp;Справочник_ОКВЭД_НР!$G$3:$G$62&amp;".",","&amp;SUBSTITUTE(F20," ","")&amp;",")))*Справочник_ОКВЭД_НР!$L$12) /
 (SUMPRODUCT(ISNUMBER(SEARCH(","&amp;Справочник_ОКВЭД_НР!$A$3:$A$62&amp;".",","&amp;SUBSTITUTE(F20," ","")&amp;","))) +
  SUMPRODUCT(ISNUMBER(SEARCH(","&amp;Справочник_ОКВЭД_НР!$C$3:$C$62&amp;".",","&amp;SUBSTITUTE(F20," ","")&amp;","))) +
  SUMPRODUCT(ISNUMBER(SEARCH(","&amp;Справочник_ОКВЭД_НР!$E$3:$E$62&amp;".",","&amp;SUBSTITUTE(F20," ","")&amp;","))) +
  SUMPRODUCT(ISNUMBER(SEARCH(","&amp;Справочник_ОКВЭД_НР!$G$3:$G$62&amp;".",","&amp;SUBSTITUTE(F20," ","")&amp;",")))),
50)</f>
        <v>50</v>
      </c>
      <c r="K20" s="30">
        <f>IFERROR(VLOOKUP(G20,Справочник_ОКВЭД_НР!$O:$P,2,FALSE()),50)</f>
        <v>100</v>
      </c>
      <c r="L20" s="45">
        <f>(I20*Справочник_ОКВЭД_НР!$L$2+J20*Справочник_ОКВЭД_НР!$L$3+K20*Справочник_ОКВЭД_НР!$L$4)*M20</f>
        <v>63.5</v>
      </c>
      <c r="M20" s="47">
        <f>IF(COUNTIF(Справочник_ОКВЭД_НР!$G$3:$G$62,H20)&gt;0,0,1)</f>
        <v>1</v>
      </c>
    </row>
    <row r="21" spans="1:13" x14ac:dyDescent="0.25">
      <c r="A21" s="4">
        <f>ЛИК_дляСкорингаДП!A21</f>
        <v>1117746105400</v>
      </c>
      <c r="B21" s="4">
        <f>ЛИК_дляСкорингаДП!B21</f>
        <v>7707743204</v>
      </c>
      <c r="C21" s="4" t="str">
        <f>ЛИК_дляСкорингаДП!C21</f>
        <v>АО "ФОРТЕИНВЕСТ"</v>
      </c>
      <c r="D21" s="5" t="str">
        <f>ЛИК_дляСкорингаДП!M21</f>
        <v>Торговля оптовая моторным топливом, включая авиационный бензин</v>
      </c>
      <c r="E21" s="4" t="str">
        <f>ЛИК_дляСкорингаДП!L21</f>
        <v>46.71.2</v>
      </c>
      <c r="F21" t="str">
        <f>ЛИК_дляСкорингаДП!N21</f>
        <v>06.10,06.10.1,06.20,19.20,46.12.1,52.29,64.99,66.19.4,70.22,84.11.4</v>
      </c>
      <c r="G21" s="25" t="str">
        <f>ЛИК_дляСкорингаДП!AG21</f>
        <v>ОСН</v>
      </c>
      <c r="H21" s="55" t="str">
        <f>IF(ISNUMBER(E21),E21,
IFERROR(LEFT(E21,FIND(".",E21)-1),E21))</f>
        <v>46</v>
      </c>
      <c r="I21" s="30">
        <f>IF(COUNTIF(Справочник_ОКВЭД_НР!$A$3:$A$62,H21)&gt;0,Справочник_ОКВЭД_НР!$L$8,
 IF(COUNTIF(Справочник_ОКВЭД_НР!$C$3:$C$62,H21)&gt;0,Справочник_ОКВЭД_НР!$L$9,
  IF(COUNTIF(Справочник_ОКВЭД_НР!$E$3:$E$62,H21)&gt;0,Справочник_ОКВЭД_НР!$L$10,
   IF(COUNTIF(Справочник_ОКВЭД_НР!$G$3:$G$62,H21)&gt;0,Справочник_ОКВЭД_НР!$L$11,50))))</f>
        <v>60</v>
      </c>
      <c r="J21" s="30" cm="1">
        <f t="array" ref="J21">IFERROR(
 (SUMPRODUCT(ISNUMBER(SEARCH(","&amp;Справочник_ОКВЭД_НР!$A$3:$A$62&amp;".",","&amp;SUBSTITUTE(F21," ","")&amp;",")))*Справочник_ОКВЭД_НР!$L$9 +
  SUMPRODUCT(ISNUMBER(SEARCH(","&amp;Справочник_ОКВЭД_НР!$C$3:$C$62&amp;".",","&amp;SUBSTITUTE(F21," ","")&amp;",")))*Справочник_ОКВЭД_НР!$L$10 +
  SUMPRODUCT(ISNUMBER(SEARCH(","&amp;Справочник_ОКВЭД_НР!$E$3:$E$62&amp;".",","&amp;SUBSTITUTE(F21," ","")&amp;",")))*Справочник_ОКВЭД_НР!$L$11 +
  SUMPRODUCT(ISNUMBER(SEARCH(","&amp;Справочник_ОКВЭД_НР!$G$3:$G$62&amp;".",","&amp;SUBSTITUTE(F21," ","")&amp;",")))*Справочник_ОКВЭД_НР!$L$12) /
 (SUMPRODUCT(ISNUMBER(SEARCH(","&amp;Справочник_ОКВЭД_НР!$A$3:$A$62&amp;".",","&amp;SUBSTITUTE(F21," ","")&amp;","))) +
  SUMPRODUCT(ISNUMBER(SEARCH(","&amp;Справочник_ОКВЭД_НР!$C$3:$C$62&amp;".",","&amp;SUBSTITUTE(F21," ","")&amp;","))) +
  SUMPRODUCT(ISNUMBER(SEARCH(","&amp;Справочник_ОКВЭД_НР!$E$3:$E$62&amp;".",","&amp;SUBSTITUTE(F21," ","")&amp;","))) +
  SUMPRODUCT(ISNUMBER(SEARCH(","&amp;Справочник_ОКВЭД_НР!$G$3:$G$62&amp;".",","&amp;SUBSTITUTE(F21," ","")&amp;",")))),
50)</f>
        <v>50</v>
      </c>
      <c r="K21" s="30">
        <f>IFERROR(VLOOKUP(G21,Справочник_ОКВЭД_НР!$O:$P,2,FALSE()),50)</f>
        <v>100</v>
      </c>
      <c r="L21" s="45">
        <f>(I21*Справочник_ОКВЭД_НР!$L$2+J21*Справочник_ОКВЭД_НР!$L$3+K21*Справочник_ОКВЭД_НР!$L$4)*M21</f>
        <v>63.5</v>
      </c>
      <c r="M21" s="47">
        <f>IF(COUNTIF(Справочник_ОКВЭД_НР!$G$3:$G$62,H21)&gt;0,0,1)</f>
        <v>1</v>
      </c>
    </row>
    <row r="22" spans="1:13" x14ac:dyDescent="0.25">
      <c r="A22" s="4">
        <f>ЛИК_дляСкорингаДП!A22</f>
        <v>1087746480348</v>
      </c>
      <c r="B22" s="4">
        <f>ЛИК_дляСкорингаДП!B22</f>
        <v>7704685184</v>
      </c>
      <c r="C22" s="4" t="str">
        <f>ЛИК_дляСкорингаДП!C22</f>
        <v>АО "НК "НЕФТИСА"</v>
      </c>
      <c r="D22" s="5" t="str">
        <f>ЛИК_дляСкорингаДП!M22</f>
        <v>Торговля оптовая нефтью</v>
      </c>
      <c r="E22" s="4" t="str">
        <f>ЛИК_дляСкорингаДП!L22</f>
        <v>46.71.3</v>
      </c>
      <c r="F22" t="str">
        <f>ЛИК_дляСкорингаДП!N22</f>
        <v>06.10.1,06.10.3,08.12.1,09.1,09.10.9,19.20,46.12.1,46.71.2,47.30,52.10.21,52.10.22,52.29,62.02,62.02.1,62.02.2,62.02.3,62.02.4,62.02.9,62.03,62.03.1,62.03.11,62.03.12,62.03.13,62.03.19,62.09,63.11,63.11.1,63.11.9,63.12,66.12.2,69.20.2,70.22,71.12.3,72.19,73.11,73.20.1,74.90.3,74.90.9,74.90.92,74.90.93,74.90.94,74.90.99,82.99</v>
      </c>
      <c r="G22" s="25" t="str">
        <f>ЛИК_дляСкорингаДП!AG22</f>
        <v>ОСН</v>
      </c>
      <c r="H22" s="55" t="str">
        <f>IF(ISNUMBER(E22),E22,
IFERROR(LEFT(E22,FIND(".",E22)-1),E22))</f>
        <v>46</v>
      </c>
      <c r="I22" s="30">
        <f>IF(COUNTIF(Справочник_ОКВЭД_НР!$A$3:$A$62,H22)&gt;0,Справочник_ОКВЭД_НР!$L$8,
 IF(COUNTIF(Справочник_ОКВЭД_НР!$C$3:$C$62,H22)&gt;0,Справочник_ОКВЭД_НР!$L$9,
  IF(COUNTIF(Справочник_ОКВЭД_НР!$E$3:$E$62,H22)&gt;0,Справочник_ОКВЭД_НР!$L$10,
   IF(COUNTIF(Справочник_ОКВЭД_НР!$G$3:$G$62,H22)&gt;0,Справочник_ОКВЭД_НР!$L$11,50))))</f>
        <v>60</v>
      </c>
      <c r="J22" s="30" cm="1">
        <f t="array" ref="J22">IFERROR(
 (SUMPRODUCT(ISNUMBER(SEARCH(","&amp;Справочник_ОКВЭД_НР!$A$3:$A$62&amp;".",","&amp;SUBSTITUTE(F22," ","")&amp;",")))*Справочник_ОКВЭД_НР!$L$9 +
  SUMPRODUCT(ISNUMBER(SEARCH(","&amp;Справочник_ОКВЭД_НР!$C$3:$C$62&amp;".",","&amp;SUBSTITUTE(F22," ","")&amp;",")))*Справочник_ОКВЭД_НР!$L$10 +
  SUMPRODUCT(ISNUMBER(SEARCH(","&amp;Справочник_ОКВЭД_НР!$E$3:$E$62&amp;".",","&amp;SUBSTITUTE(F22," ","")&amp;",")))*Справочник_ОКВЭД_НР!$L$11 +
  SUMPRODUCT(ISNUMBER(SEARCH(","&amp;Справочник_ОКВЭД_НР!$G$3:$G$62&amp;".",","&amp;SUBSTITUTE(F22," ","")&amp;",")))*Справочник_ОКВЭД_НР!$L$12) /
 (SUMPRODUCT(ISNUMBER(SEARCH(","&amp;Справочник_ОКВЭД_НР!$A$3:$A$62&amp;".",","&amp;SUBSTITUTE(F22," ","")&amp;","))) +
  SUMPRODUCT(ISNUMBER(SEARCH(","&amp;Справочник_ОКВЭД_НР!$C$3:$C$62&amp;".",","&amp;SUBSTITUTE(F22," ","")&amp;","))) +
  SUMPRODUCT(ISNUMBER(SEARCH(","&amp;Справочник_ОКВЭД_НР!$E$3:$E$62&amp;".",","&amp;SUBSTITUTE(F22," ","")&amp;","))) +
  SUMPRODUCT(ISNUMBER(SEARCH(","&amp;Справочник_ОКВЭД_НР!$G$3:$G$62&amp;".",","&amp;SUBSTITUTE(F22," ","")&amp;",")))),
50)</f>
        <v>50</v>
      </c>
      <c r="K22" s="30">
        <f>IFERROR(VLOOKUP(G22,Справочник_ОКВЭД_НР!$O:$P,2,FALSE()),50)</f>
        <v>100</v>
      </c>
      <c r="L22" s="45">
        <f>(I22*Справочник_ОКВЭД_НР!$L$2+J22*Справочник_ОКВЭД_НР!$L$3+K22*Справочник_ОКВЭД_НР!$L$4)*M22</f>
        <v>63.5</v>
      </c>
      <c r="M22" s="47">
        <f>IF(COUNTIF(Справочник_ОКВЭД_НР!$G$3:$G$62,H22)&gt;0,0,1)</f>
        <v>1</v>
      </c>
    </row>
    <row r="23" spans="1:13" x14ac:dyDescent="0.25">
      <c r="A23" s="4">
        <f>ЛИК_дляСкорингаДП!A23</f>
        <v>1157746958830</v>
      </c>
      <c r="B23" s="4">
        <f>ЛИК_дляСкорингаДП!B23</f>
        <v>7724338125</v>
      </c>
      <c r="C23" s="4" t="str">
        <f>ЛИК_дляСкорингаДП!C23</f>
        <v>ООО "НОВЫЙ АЙ ТИ ПРОЕКТ"</v>
      </c>
      <c r="D23" s="5" t="str">
        <f>ЛИК_дляСкорингаДП!M23</f>
        <v>Торговля оптовая компьютерами, периферийными устройствами к компьютерам и программным обеспечением</v>
      </c>
      <c r="E23" s="4" t="str">
        <f>ЛИК_дляСкорингаДП!L23</f>
        <v>46.51</v>
      </c>
      <c r="F23" t="str">
        <f>ЛИК_дляСкорингаДП!N23</f>
        <v>26.20.1,26.20.2,26.20.3,26.20.4,26.20.9,43.21,43.22,43.29,46.15.3,46.15.4,46.19,46.43.1,46.43.2,46.43.3,46.49.42,46.66,46.69.7,46.90,47.91.1,47.91.2,52.10,52.10.9,52.21.2,52.24,52.24.1,52.24.2,52.29,61.10,61.10.1,61.10.4,61.10.9,61.20,61.30,61.90,62.01,62.02,62.03,62.09,63.11,63.11.1,63.12,63.91,63.99,63.99.1,73.11,73.12,73.20,73.20.1,79.90,95.11,95.12,95.21</v>
      </c>
      <c r="G23" s="25" t="str">
        <f>ЛИК_дляСкорингаДП!AG23</f>
        <v>ОСН</v>
      </c>
      <c r="H23" s="55" t="str">
        <f>IF(ISNUMBER(E23),E23,
IFERROR(LEFT(E23,FIND(".",E23)-1),E23))</f>
        <v>46</v>
      </c>
      <c r="I23" s="30">
        <f>IF(COUNTIF(Справочник_ОКВЭД_НР!$A$3:$A$62,H23)&gt;0,Справочник_ОКВЭД_НР!$L$8,
 IF(COUNTIF(Справочник_ОКВЭД_НР!$C$3:$C$62,H23)&gt;0,Справочник_ОКВЭД_НР!$L$9,
  IF(COUNTIF(Справочник_ОКВЭД_НР!$E$3:$E$62,H23)&gt;0,Справочник_ОКВЭД_НР!$L$10,
   IF(COUNTIF(Справочник_ОКВЭД_НР!$G$3:$G$62,H23)&gt;0,Справочник_ОКВЭД_НР!$L$11,50))))</f>
        <v>60</v>
      </c>
      <c r="J23" s="30" cm="1">
        <f t="array" ref="J23">IFERROR(
 (SUMPRODUCT(ISNUMBER(SEARCH(","&amp;Справочник_ОКВЭД_НР!$A$3:$A$62&amp;".",","&amp;SUBSTITUTE(F23," ","")&amp;",")))*Справочник_ОКВЭД_НР!$L$9 +
  SUMPRODUCT(ISNUMBER(SEARCH(","&amp;Справочник_ОКВЭД_НР!$C$3:$C$62&amp;".",","&amp;SUBSTITUTE(F23," ","")&amp;",")))*Справочник_ОКВЭД_НР!$L$10 +
  SUMPRODUCT(ISNUMBER(SEARCH(","&amp;Справочник_ОКВЭД_НР!$E$3:$E$62&amp;".",","&amp;SUBSTITUTE(F23," ","")&amp;",")))*Справочник_ОКВЭД_НР!$L$11 +
  SUMPRODUCT(ISNUMBER(SEARCH(","&amp;Справочник_ОКВЭД_НР!$G$3:$G$62&amp;".",","&amp;SUBSTITUTE(F23," ","")&amp;",")))*Справочник_ОКВЭД_НР!$L$12) /
 (SUMPRODUCT(ISNUMBER(SEARCH(","&amp;Справочник_ОКВЭД_НР!$A$3:$A$62&amp;".",","&amp;SUBSTITUTE(F23," ","")&amp;","))) +
  SUMPRODUCT(ISNUMBER(SEARCH(","&amp;Справочник_ОКВЭД_НР!$C$3:$C$62&amp;".",","&amp;SUBSTITUTE(F23," ","")&amp;","))) +
  SUMPRODUCT(ISNUMBER(SEARCH(","&amp;Справочник_ОКВЭД_НР!$E$3:$E$62&amp;".",","&amp;SUBSTITUTE(F23," ","")&amp;","))) +
  SUMPRODUCT(ISNUMBER(SEARCH(","&amp;Справочник_ОКВЭД_НР!$G$3:$G$62&amp;".",","&amp;SUBSTITUTE(F23," ","")&amp;",")))),
50)</f>
        <v>50</v>
      </c>
      <c r="K23" s="30">
        <f>IFERROR(VLOOKUP(G23,Справочник_ОКВЭД_НР!$O:$P,2,FALSE()),50)</f>
        <v>100</v>
      </c>
      <c r="L23" s="45">
        <f>(I23*Справочник_ОКВЭД_НР!$L$2+J23*Справочник_ОКВЭД_НР!$L$3+K23*Справочник_ОКВЭД_НР!$L$4)*M23</f>
        <v>63.5</v>
      </c>
      <c r="M23" s="47">
        <f>IF(COUNTIF(Справочник_ОКВЭД_НР!$G$3:$G$62,H23)&gt;0,0,1)</f>
        <v>1</v>
      </c>
    </row>
    <row r="24" spans="1:13" x14ac:dyDescent="0.25">
      <c r="A24" s="4">
        <f>ЛИК_дляСкорингаДП!A24</f>
        <v>1147746128694</v>
      </c>
      <c r="B24" s="4">
        <f>ЛИК_дляСкорингаДП!B24</f>
        <v>7725819008</v>
      </c>
      <c r="C24" s="4" t="str">
        <f>ЛИК_дляСкорингаДП!C24</f>
        <v>ООО "МЕДСКАН"</v>
      </c>
      <c r="D24" s="5" t="str">
        <f>ЛИК_дляСкорингаДП!M24</f>
        <v>Деятельность больничных организаций</v>
      </c>
      <c r="E24" s="4" t="str">
        <f>ЛИК_дляСкорингаДП!L24</f>
        <v>86.10</v>
      </c>
      <c r="F24" t="str">
        <f>ЛИК_дляСкорингаДП!N24</f>
        <v>33.13,46.18.1,46.46,47.73,47.74,47.75,73.11,77.39.26</v>
      </c>
      <c r="G24" s="25" t="str">
        <f>ЛИК_дляСкорингаДП!AG24</f>
        <v>ОСН</v>
      </c>
      <c r="H24" s="55" t="str">
        <f>IF(ISNUMBER(E24),E24,
IFERROR(LEFT(E24,FIND(".",E24)-1),E24))</f>
        <v>86</v>
      </c>
      <c r="I24" s="30">
        <f>IF(COUNTIF(Справочник_ОКВЭД_НР!$A$3:$A$62,H24)&gt;0,Справочник_ОКВЭД_НР!$L$8,
 IF(COUNTIF(Справочник_ОКВЭД_НР!$C$3:$C$62,H24)&gt;0,Справочник_ОКВЭД_НР!$L$9,
  IF(COUNTIF(Справочник_ОКВЭД_НР!$E$3:$E$62,H24)&gt;0,Справочник_ОКВЭД_НР!$L$10,
   IF(COUNTIF(Справочник_ОКВЭД_НР!$G$3:$G$62,H24)&gt;0,Справочник_ОКВЭД_НР!$L$11,50))))</f>
        <v>100</v>
      </c>
      <c r="J24" s="30" cm="1">
        <f t="array" ref="J24">IFERROR(
 (SUMPRODUCT(ISNUMBER(SEARCH(","&amp;Справочник_ОКВЭД_НР!$A$3:$A$62&amp;".",","&amp;SUBSTITUTE(F24," ","")&amp;",")))*Справочник_ОКВЭД_НР!$L$9 +
  SUMPRODUCT(ISNUMBER(SEARCH(","&amp;Справочник_ОКВЭД_НР!$C$3:$C$62&amp;".",","&amp;SUBSTITUTE(F24," ","")&amp;",")))*Справочник_ОКВЭД_НР!$L$10 +
  SUMPRODUCT(ISNUMBER(SEARCH(","&amp;Справочник_ОКВЭД_НР!$E$3:$E$62&amp;".",","&amp;SUBSTITUTE(F24," ","")&amp;",")))*Справочник_ОКВЭД_НР!$L$11 +
  SUMPRODUCT(ISNUMBER(SEARCH(","&amp;Справочник_ОКВЭД_НР!$G$3:$G$62&amp;".",","&amp;SUBSTITUTE(F24," ","")&amp;",")))*Справочник_ОКВЭД_НР!$L$12) /
 (SUMPRODUCT(ISNUMBER(SEARCH(","&amp;Справочник_ОКВЭД_НР!$A$3:$A$62&amp;".",","&amp;SUBSTITUTE(F24," ","")&amp;","))) +
  SUMPRODUCT(ISNUMBER(SEARCH(","&amp;Справочник_ОКВЭД_НР!$C$3:$C$62&amp;".",","&amp;SUBSTITUTE(F24," ","")&amp;","))) +
  SUMPRODUCT(ISNUMBER(SEARCH(","&amp;Справочник_ОКВЭД_НР!$E$3:$E$62&amp;".",","&amp;SUBSTITUTE(F24," ","")&amp;","))) +
  SUMPRODUCT(ISNUMBER(SEARCH(","&amp;Справочник_ОКВЭД_НР!$G$3:$G$62&amp;".",","&amp;SUBSTITUTE(F24," ","")&amp;",")))),
50)</f>
        <v>50</v>
      </c>
      <c r="K24" s="30">
        <f>IFERROR(VLOOKUP(G24,Справочник_ОКВЭД_НР!$O:$P,2,FALSE()),50)</f>
        <v>100</v>
      </c>
      <c r="L24" s="45">
        <f>(I24*Справочник_ОКВЭД_НР!$L$2+J24*Справочник_ОКВЭД_НР!$L$3+K24*Справочник_ОКВЭД_НР!$L$4)*M24</f>
        <v>87.5</v>
      </c>
      <c r="M24" s="47">
        <f>IF(COUNTIF(Справочник_ОКВЭД_НР!$G$3:$G$62,H24)&gt;0,0,1)</f>
        <v>1</v>
      </c>
    </row>
    <row r="25" spans="1:13" x14ac:dyDescent="0.25">
      <c r="A25" s="4">
        <f>ЛИК_дляСкорингаДП!A25</f>
        <v>1117746708078</v>
      </c>
      <c r="B25" s="4">
        <f>ЛИК_дляСкорингаДП!B25</f>
        <v>7705961278</v>
      </c>
      <c r="C25" s="4" t="str">
        <f>ЛИК_дляСкорингаДП!C25</f>
        <v>АО "ВО "ТЯЖПРОМЭКСПОРТ"</v>
      </c>
      <c r="D25" s="5" t="str">
        <f>ЛИК_дляСкорингаДП!M25</f>
        <v>Строительство жилых и нежилых зданий</v>
      </c>
      <c r="E25" s="4" t="str">
        <f>ЛИК_дляСкорингаДП!L25</f>
        <v>41.20</v>
      </c>
      <c r="F25" t="str">
        <f>ЛИК_дляСкорингаДП!N25</f>
        <v>41.2,46.14,46.90,68.2,71.1,71.12.5,71.12.6,73.11,73.20.1,78.1,82.99</v>
      </c>
      <c r="G25" s="25" t="str">
        <f>ЛИК_дляСкорингаДП!AG25</f>
        <v>ОСН</v>
      </c>
      <c r="H25" s="55" t="str">
        <f>IF(ISNUMBER(E25),E25,
IFERROR(LEFT(E25,FIND(".",E25)-1),E25))</f>
        <v>41</v>
      </c>
      <c r="I25" s="30">
        <f>IF(COUNTIF(Справочник_ОКВЭД_НР!$A$3:$A$62,H25)&gt;0,Справочник_ОКВЭД_НР!$L$8,
 IF(COUNTIF(Справочник_ОКВЭД_НР!$C$3:$C$62,H25)&gt;0,Справочник_ОКВЭД_НР!$L$9,
  IF(COUNTIF(Справочник_ОКВЭД_НР!$E$3:$E$62,H25)&gt;0,Справочник_ОКВЭД_НР!$L$10,
   IF(COUNTIF(Справочник_ОКВЭД_НР!$G$3:$G$62,H25)&gt;0,Справочник_ОКВЭД_НР!$L$11,50))))</f>
        <v>100</v>
      </c>
      <c r="J25" s="30" cm="1">
        <f t="array" ref="J25">IFERROR(
 (SUMPRODUCT(ISNUMBER(SEARCH(","&amp;Справочник_ОКВЭД_НР!$A$3:$A$62&amp;".",","&amp;SUBSTITUTE(F25," ","")&amp;",")))*Справочник_ОКВЭД_НР!$L$9 +
  SUMPRODUCT(ISNUMBER(SEARCH(","&amp;Справочник_ОКВЭД_НР!$C$3:$C$62&amp;".",","&amp;SUBSTITUTE(F25," ","")&amp;",")))*Справочник_ОКВЭД_НР!$L$10 +
  SUMPRODUCT(ISNUMBER(SEARCH(","&amp;Справочник_ОКВЭД_НР!$E$3:$E$62&amp;".",","&amp;SUBSTITUTE(F25," ","")&amp;",")))*Справочник_ОКВЭД_НР!$L$11 +
  SUMPRODUCT(ISNUMBER(SEARCH(","&amp;Справочник_ОКВЭД_НР!$G$3:$G$62&amp;".",","&amp;SUBSTITUTE(F25," ","")&amp;",")))*Справочник_ОКВЭД_НР!$L$12) /
 (SUMPRODUCT(ISNUMBER(SEARCH(","&amp;Справочник_ОКВЭД_НР!$A$3:$A$62&amp;".",","&amp;SUBSTITUTE(F25," ","")&amp;","))) +
  SUMPRODUCT(ISNUMBER(SEARCH(","&amp;Справочник_ОКВЭД_НР!$C$3:$C$62&amp;".",","&amp;SUBSTITUTE(F25," ","")&amp;","))) +
  SUMPRODUCT(ISNUMBER(SEARCH(","&amp;Справочник_ОКВЭД_НР!$E$3:$E$62&amp;".",","&amp;SUBSTITUTE(F25," ","")&amp;","))) +
  SUMPRODUCT(ISNUMBER(SEARCH(","&amp;Справочник_ОКВЭД_НР!$G$3:$G$62&amp;".",","&amp;SUBSTITUTE(F25," ","")&amp;",")))),
50)</f>
        <v>50</v>
      </c>
      <c r="K25" s="30">
        <f>IFERROR(VLOOKUP(G25,Справочник_ОКВЭД_НР!$O:$P,2,FALSE()),50)</f>
        <v>100</v>
      </c>
      <c r="L25" s="45">
        <f>(I25*Справочник_ОКВЭД_НР!$L$2+J25*Справочник_ОКВЭД_НР!$L$3+K25*Справочник_ОКВЭД_НР!$L$4)*M25</f>
        <v>87.5</v>
      </c>
      <c r="M25" s="47">
        <f>IF(COUNTIF(Справочник_ОКВЭД_НР!$G$3:$G$62,H25)&gt;0,0,1)</f>
        <v>1</v>
      </c>
    </row>
    <row r="26" spans="1:13" x14ac:dyDescent="0.25">
      <c r="A26" s="4">
        <f>ЛИК_дляСкорингаДП!A26</f>
        <v>1037739941227</v>
      </c>
      <c r="B26" s="4">
        <f>ЛИК_дляСкорингаДП!B26</f>
        <v>7705568878</v>
      </c>
      <c r="C26" s="4" t="str">
        <f>ЛИК_дляСкорингаДП!C26</f>
        <v>АО "СОГАЗ ТАУЭР"</v>
      </c>
      <c r="D26" s="5" t="str">
        <f>ЛИК_дляСкорингаДП!M26</f>
        <v>Аренда и управление собственным или арендованным прочим нежилым недвижимым имуществом</v>
      </c>
      <c r="E26" s="4" t="str">
        <f>ЛИК_дляСкорингаДП!L26</f>
        <v>68.20.29</v>
      </c>
      <c r="F26" t="str">
        <f>ЛИК_дляСкорингаДП!N26</f>
        <v>41.20,64.99.3,68.10,68.20,68.31,68.32,68.32.2,70.22,71.11,73.11,73.20.1</v>
      </c>
      <c r="G26" s="25" t="str">
        <f>ЛИК_дляСкорингаДП!AG26</f>
        <v>ОСН</v>
      </c>
      <c r="H26" s="55" t="str">
        <f>IF(ISNUMBER(E26),E26,
IFERROR(LEFT(E26,FIND(".",E26)-1),E26))</f>
        <v>68</v>
      </c>
      <c r="I26" s="30">
        <f>IF(COUNTIF(Справочник_ОКВЭД_НР!$A$3:$A$62,H26)&gt;0,Справочник_ОКВЭД_НР!$L$8,
 IF(COUNTIF(Справочник_ОКВЭД_НР!$C$3:$C$62,H26)&gt;0,Справочник_ОКВЭД_НР!$L$9,
  IF(COUNTIF(Справочник_ОКВЭД_НР!$E$3:$E$62,H26)&gt;0,Справочник_ОКВЭД_НР!$L$10,
   IF(COUNTIF(Справочник_ОКВЭД_НР!$G$3:$G$62,H26)&gt;0,Справочник_ОКВЭД_НР!$L$11,50))))</f>
        <v>100</v>
      </c>
      <c r="J26" s="30" cm="1">
        <f t="array" ref="J26">IFERROR(
 (SUMPRODUCT(ISNUMBER(SEARCH(","&amp;Справочник_ОКВЭД_НР!$A$3:$A$62&amp;".",","&amp;SUBSTITUTE(F26," ","")&amp;",")))*Справочник_ОКВЭД_НР!$L$9 +
  SUMPRODUCT(ISNUMBER(SEARCH(","&amp;Справочник_ОКВЭД_НР!$C$3:$C$62&amp;".",","&amp;SUBSTITUTE(F26," ","")&amp;",")))*Справочник_ОКВЭД_НР!$L$10 +
  SUMPRODUCT(ISNUMBER(SEARCH(","&amp;Справочник_ОКВЭД_НР!$E$3:$E$62&amp;".",","&amp;SUBSTITUTE(F26," ","")&amp;",")))*Справочник_ОКВЭД_НР!$L$11 +
  SUMPRODUCT(ISNUMBER(SEARCH(","&amp;Справочник_ОКВЭД_НР!$G$3:$G$62&amp;".",","&amp;SUBSTITUTE(F26," ","")&amp;",")))*Справочник_ОКВЭД_НР!$L$12) /
 (SUMPRODUCT(ISNUMBER(SEARCH(","&amp;Справочник_ОКВЭД_НР!$A$3:$A$62&amp;".",","&amp;SUBSTITUTE(F26," ","")&amp;","))) +
  SUMPRODUCT(ISNUMBER(SEARCH(","&amp;Справочник_ОКВЭД_НР!$C$3:$C$62&amp;".",","&amp;SUBSTITUTE(F26," ","")&amp;","))) +
  SUMPRODUCT(ISNUMBER(SEARCH(","&amp;Справочник_ОКВЭД_НР!$E$3:$E$62&amp;".",","&amp;SUBSTITUTE(F26," ","")&amp;","))) +
  SUMPRODUCT(ISNUMBER(SEARCH(","&amp;Справочник_ОКВЭД_НР!$G$3:$G$62&amp;".",","&amp;SUBSTITUTE(F26," ","")&amp;",")))),
50)</f>
        <v>50</v>
      </c>
      <c r="K26" s="30">
        <f>IFERROR(VLOOKUP(G26,Справочник_ОКВЭД_НР!$O:$P,2,FALSE()),50)</f>
        <v>100</v>
      </c>
      <c r="L26" s="45">
        <f>(I26*Справочник_ОКВЭД_НР!$L$2+J26*Справочник_ОКВЭД_НР!$L$3+K26*Справочник_ОКВЭД_НР!$L$4)*M26</f>
        <v>87.5</v>
      </c>
      <c r="M26" s="47">
        <f>IF(COUNTIF(Справочник_ОКВЭД_НР!$G$3:$G$62,H26)&gt;0,0,1)</f>
        <v>1</v>
      </c>
    </row>
    <row r="27" spans="1:13" x14ac:dyDescent="0.25">
      <c r="A27" s="4">
        <f>ЛИК_дляСкорингаДП!A27</f>
        <v>1035001602570</v>
      </c>
      <c r="B27" s="4">
        <f>ЛИК_дляСкорингаДП!B27</f>
        <v>5007032441</v>
      </c>
      <c r="C27" s="4" t="str">
        <f>ЛИК_дляСкорингаДП!C27</f>
        <v>АО "АГРОФИРМА "ОРУДЬЕВСКОЕ"</v>
      </c>
      <c r="D27" s="5" t="str">
        <f>ЛИК_дляСкорингаДП!M27</f>
        <v>Покупка и продажа собственного недвижимого имущества</v>
      </c>
      <c r="E27" s="4" t="str">
        <f>ЛИК_дляСкорингаДП!L27</f>
        <v>68.1</v>
      </c>
      <c r="F27" t="str">
        <f>ЛИК_дляСкорингаДП!N27</f>
        <v>01.42,52.24.2,52.29,64.92,68.2</v>
      </c>
      <c r="G27" s="25" t="str">
        <f>ЛИК_дляСкорингаДП!AG27</f>
        <v>УСН</v>
      </c>
      <c r="H27" s="55" t="str">
        <f>IF(ISNUMBER(E27),E27,
IFERROR(LEFT(E27,FIND(".",E27)-1),E27))</f>
        <v>68</v>
      </c>
      <c r="I27" s="30">
        <f>IF(COUNTIF(Справочник_ОКВЭД_НР!$A$3:$A$62,H27)&gt;0,Справочник_ОКВЭД_НР!$L$8,
 IF(COUNTIF(Справочник_ОКВЭД_НР!$C$3:$C$62,H27)&gt;0,Справочник_ОКВЭД_НР!$L$9,
  IF(COUNTIF(Справочник_ОКВЭД_НР!$E$3:$E$62,H27)&gt;0,Справочник_ОКВЭД_НР!$L$10,
   IF(COUNTIF(Справочник_ОКВЭД_НР!$G$3:$G$62,H27)&gt;0,Справочник_ОКВЭД_НР!$L$11,50))))</f>
        <v>100</v>
      </c>
      <c r="J27" s="30" cm="1">
        <f t="array" ref="J27">IFERROR(
 (SUMPRODUCT(ISNUMBER(SEARCH(","&amp;Справочник_ОКВЭД_НР!$A$3:$A$62&amp;".",","&amp;SUBSTITUTE(F27," ","")&amp;",")))*Справочник_ОКВЭД_НР!$L$9 +
  SUMPRODUCT(ISNUMBER(SEARCH(","&amp;Справочник_ОКВЭД_НР!$C$3:$C$62&amp;".",","&amp;SUBSTITUTE(F27," ","")&amp;",")))*Справочник_ОКВЭД_НР!$L$10 +
  SUMPRODUCT(ISNUMBER(SEARCH(","&amp;Справочник_ОКВЭД_НР!$E$3:$E$62&amp;".",","&amp;SUBSTITUTE(F27," ","")&amp;",")))*Справочник_ОКВЭД_НР!$L$11 +
  SUMPRODUCT(ISNUMBER(SEARCH(","&amp;Справочник_ОКВЭД_НР!$G$3:$G$62&amp;".",","&amp;SUBSTITUTE(F27," ","")&amp;",")))*Справочник_ОКВЭД_НР!$L$12) /
 (SUMPRODUCT(ISNUMBER(SEARCH(","&amp;Справочник_ОКВЭД_НР!$A$3:$A$62&amp;".",","&amp;SUBSTITUTE(F27," ","")&amp;","))) +
  SUMPRODUCT(ISNUMBER(SEARCH(","&amp;Справочник_ОКВЭД_НР!$C$3:$C$62&amp;".",","&amp;SUBSTITUTE(F27," ","")&amp;","))) +
  SUMPRODUCT(ISNUMBER(SEARCH(","&amp;Справочник_ОКВЭД_НР!$E$3:$E$62&amp;".",","&amp;SUBSTITUTE(F27," ","")&amp;","))) +
  SUMPRODUCT(ISNUMBER(SEARCH(","&amp;Справочник_ОКВЭД_НР!$G$3:$G$62&amp;".",","&amp;SUBSTITUTE(F27," ","")&amp;",")))),
50)</f>
        <v>50</v>
      </c>
      <c r="K27" s="30">
        <f>IFERROR(VLOOKUP(G27,Справочник_ОКВЭД_НР!$O:$P,2,FALSE()),50)</f>
        <v>50</v>
      </c>
      <c r="L27" s="45">
        <f>(I27*Справочник_ОКВЭД_НР!$L$2+J27*Справочник_ОКВЭД_НР!$L$3+K27*Справочник_ОКВЭД_НР!$L$4)*M27</f>
        <v>80</v>
      </c>
      <c r="M27" s="47">
        <f>IF(COUNTIF(Справочник_ОКВЭД_НР!$G$3:$G$62,H27)&gt;0,0,1)</f>
        <v>1</v>
      </c>
    </row>
    <row r="28" spans="1:13" x14ac:dyDescent="0.25">
      <c r="A28" s="4">
        <f>ЛИК_дляСкорингаДП!A28</f>
        <v>1035001610808</v>
      </c>
      <c r="B28" s="4">
        <f>ЛИК_дляСкорингаДП!B28</f>
        <v>5007041559</v>
      </c>
      <c r="C28" s="4" t="str">
        <f>ЛИК_дляСкорингаДП!C28</f>
        <v>ООО "МДК"</v>
      </c>
      <c r="D28" s="5" t="str">
        <f>ЛИК_дляСкорингаДП!M28</f>
        <v>Деятельность гостиниц и прочих мест для временного проживания</v>
      </c>
      <c r="E28" s="4" t="str">
        <f>ЛИК_дляСкорингаДП!L28</f>
        <v>55.10</v>
      </c>
      <c r="F28" t="str">
        <f>ЛИК_дляСкорингаДП!N28</f>
        <v>41.2,43.12,43.12.3,43.2,43.3,43.33,43.99.1,43.99.4,43.99.6,43.99.7,45.20.1,45.20.2,47.11.2,47.30,52.29,55.30,55.90,56.10,56.10.1,56.10.3,56.30,68.2,77.21,79.11,86.90.4,88.10,93.11,93.19,96.02,96.04</v>
      </c>
      <c r="G28" s="25" t="str">
        <f>ЛИК_дляСкорингаДП!AG28</f>
        <v>ОСН</v>
      </c>
      <c r="H28" s="55" t="str">
        <f>IF(ISNUMBER(E28),E28,
IFERROR(LEFT(E28,FIND(".",E28)-1),E28))</f>
        <v>55</v>
      </c>
      <c r="I28" s="30">
        <f>IF(COUNTIF(Справочник_ОКВЭД_НР!$A$3:$A$62,H28)&gt;0,Справочник_ОКВЭД_НР!$L$8,
 IF(COUNTIF(Справочник_ОКВЭД_НР!$C$3:$C$62,H28)&gt;0,Справочник_ОКВЭД_НР!$L$9,
  IF(COUNTIF(Справочник_ОКВЭД_НР!$E$3:$E$62,H28)&gt;0,Справочник_ОКВЭД_НР!$L$10,
   IF(COUNTIF(Справочник_ОКВЭД_НР!$G$3:$G$62,H28)&gt;0,Справочник_ОКВЭД_НР!$L$11,50))))</f>
        <v>30</v>
      </c>
      <c r="J28" s="30" cm="1">
        <f t="array" ref="J28">IFERROR(
 (SUMPRODUCT(ISNUMBER(SEARCH(","&amp;Справочник_ОКВЭД_НР!$A$3:$A$62&amp;".",","&amp;SUBSTITUTE(F28," ","")&amp;",")))*Справочник_ОКВЭД_НР!$L$9 +
  SUMPRODUCT(ISNUMBER(SEARCH(","&amp;Справочник_ОКВЭД_НР!$C$3:$C$62&amp;".",","&amp;SUBSTITUTE(F28," ","")&amp;",")))*Справочник_ОКВЭД_НР!$L$10 +
  SUMPRODUCT(ISNUMBER(SEARCH(","&amp;Справочник_ОКВЭД_НР!$E$3:$E$62&amp;".",","&amp;SUBSTITUTE(F28," ","")&amp;",")))*Справочник_ОКВЭД_НР!$L$11 +
  SUMPRODUCT(ISNUMBER(SEARCH(","&amp;Справочник_ОКВЭД_НР!$G$3:$G$62&amp;".",","&amp;SUBSTITUTE(F28," ","")&amp;",")))*Справочник_ОКВЭД_НР!$L$12) /
 (SUMPRODUCT(ISNUMBER(SEARCH(","&amp;Справочник_ОКВЭД_НР!$A$3:$A$62&amp;".",","&amp;SUBSTITUTE(F28," ","")&amp;","))) +
  SUMPRODUCT(ISNUMBER(SEARCH(","&amp;Справочник_ОКВЭД_НР!$C$3:$C$62&amp;".",","&amp;SUBSTITUTE(F28," ","")&amp;","))) +
  SUMPRODUCT(ISNUMBER(SEARCH(","&amp;Справочник_ОКВЭД_НР!$E$3:$E$62&amp;".",","&amp;SUBSTITUTE(F28," ","")&amp;","))) +
  SUMPRODUCT(ISNUMBER(SEARCH(","&amp;Справочник_ОКВЭД_НР!$G$3:$G$62&amp;".",","&amp;SUBSTITUTE(F28," ","")&amp;",")))),
50)</f>
        <v>50</v>
      </c>
      <c r="K28" s="30">
        <f>IFERROR(VLOOKUP(G28,Справочник_ОКВЭД_НР!$O:$P,2,FALSE()),50)</f>
        <v>100</v>
      </c>
      <c r="L28" s="45">
        <f>(I28*Справочник_ОКВЭД_НР!$L$2+J28*Справочник_ОКВЭД_НР!$L$3+K28*Справочник_ОКВЭД_НР!$L$4)*M28</f>
        <v>45.5</v>
      </c>
      <c r="M28" s="47">
        <f>IF(COUNTIF(Справочник_ОКВЭД_НР!$G$3:$G$62,H28)&gt;0,0,1)</f>
        <v>1</v>
      </c>
    </row>
    <row r="29" spans="1:13" x14ac:dyDescent="0.25">
      <c r="A29" s="4">
        <f>ЛИК_дляСкорингаДП!A29</f>
        <v>1037789058900</v>
      </c>
      <c r="B29" s="4">
        <f>ЛИК_дляСкорингаДП!B29</f>
        <v>7702511168</v>
      </c>
      <c r="C29" s="4" t="str">
        <f>ЛИК_дляСкорингаДП!C29</f>
        <v>АО "ЭКСР"</v>
      </c>
      <c r="D29" s="5" t="str">
        <f>ЛИК_дляСкорингаДП!M29</f>
        <v>Торговля оптовая автомобильными деталями, узлами и принадлежностями, кроме деятельности агентов</v>
      </c>
      <c r="E29" s="4" t="str">
        <f>ЛИК_дляСкорингаДП!L29</f>
        <v>45.31.1</v>
      </c>
      <c r="F29" t="str">
        <f>ЛИК_дляСкорингаДП!N29</f>
        <v>28.25.1,28.25.12,28.25.13,28.25.2,29.31,29.32,29.32.3,45.20,45.31.1,45.31.2,45.32,52.10,52.24,52.29,74.20,74.30,82.19,82.92,82.99</v>
      </c>
      <c r="G29" s="25" t="str">
        <f>ЛИК_дляСкорингаДП!AG29</f>
        <v>ОСН</v>
      </c>
      <c r="H29" s="55" t="str">
        <f>IF(ISNUMBER(E29),E29,
IFERROR(LEFT(E29,FIND(".",E29)-1),E29))</f>
        <v>45</v>
      </c>
      <c r="I29" s="30">
        <f>IF(COUNTIF(Справочник_ОКВЭД_НР!$A$3:$A$62,H29)&gt;0,Справочник_ОКВЭД_НР!$L$8,
 IF(COUNTIF(Справочник_ОКВЭД_НР!$C$3:$C$62,H29)&gt;0,Справочник_ОКВЭД_НР!$L$9,
  IF(COUNTIF(Справочник_ОКВЭД_НР!$E$3:$E$62,H29)&gt;0,Справочник_ОКВЭД_НР!$L$10,
   IF(COUNTIF(Справочник_ОКВЭД_НР!$G$3:$G$62,H29)&gt;0,Справочник_ОКВЭД_НР!$L$11,50))))</f>
        <v>60</v>
      </c>
      <c r="J29" s="30" cm="1">
        <f t="array" ref="J29">IFERROR(
 (SUMPRODUCT(ISNUMBER(SEARCH(","&amp;Справочник_ОКВЭД_НР!$A$3:$A$62&amp;".",","&amp;SUBSTITUTE(F29," ","")&amp;",")))*Справочник_ОКВЭД_НР!$L$9 +
  SUMPRODUCT(ISNUMBER(SEARCH(","&amp;Справочник_ОКВЭД_НР!$C$3:$C$62&amp;".",","&amp;SUBSTITUTE(F29," ","")&amp;",")))*Справочник_ОКВЭД_НР!$L$10 +
  SUMPRODUCT(ISNUMBER(SEARCH(","&amp;Справочник_ОКВЭД_НР!$E$3:$E$62&amp;".",","&amp;SUBSTITUTE(F29," ","")&amp;",")))*Справочник_ОКВЭД_НР!$L$11 +
  SUMPRODUCT(ISNUMBER(SEARCH(","&amp;Справочник_ОКВЭД_НР!$G$3:$G$62&amp;".",","&amp;SUBSTITUTE(F29," ","")&amp;",")))*Справочник_ОКВЭД_НР!$L$12) /
 (SUMPRODUCT(ISNUMBER(SEARCH(","&amp;Справочник_ОКВЭД_НР!$A$3:$A$62&amp;".",","&amp;SUBSTITUTE(F29," ","")&amp;","))) +
  SUMPRODUCT(ISNUMBER(SEARCH(","&amp;Справочник_ОКВЭД_НР!$C$3:$C$62&amp;".",","&amp;SUBSTITUTE(F29," ","")&amp;","))) +
  SUMPRODUCT(ISNUMBER(SEARCH(","&amp;Справочник_ОКВЭД_НР!$E$3:$E$62&amp;".",","&amp;SUBSTITUTE(F29," ","")&amp;","))) +
  SUMPRODUCT(ISNUMBER(SEARCH(","&amp;Справочник_ОКВЭД_НР!$G$3:$G$62&amp;".",","&amp;SUBSTITUTE(F29," ","")&amp;",")))),
50)</f>
        <v>50</v>
      </c>
      <c r="K29" s="30">
        <f>IFERROR(VLOOKUP(G29,Справочник_ОКВЭД_НР!$O:$P,2,FALSE()),50)</f>
        <v>100</v>
      </c>
      <c r="L29" s="45">
        <f>(I29*Справочник_ОКВЭД_НР!$L$2+J29*Справочник_ОКВЭД_НР!$L$3+K29*Справочник_ОКВЭД_НР!$L$4)*M29</f>
        <v>63.5</v>
      </c>
      <c r="M29" s="47">
        <f>IF(COUNTIF(Справочник_ОКВЭД_НР!$G$3:$G$62,H29)&gt;0,0,1)</f>
        <v>1</v>
      </c>
    </row>
    <row r="30" spans="1:13" x14ac:dyDescent="0.25">
      <c r="A30" s="4">
        <f>ЛИК_дляСкорингаДП!A30</f>
        <v>1037789057305</v>
      </c>
      <c r="B30" s="4">
        <f>ЛИК_дляСкорингаДП!B30</f>
        <v>7714528631</v>
      </c>
      <c r="C30" s="4" t="str">
        <f>ЛИК_дляСкорингаДП!C30</f>
        <v>ООО "СЕВЕРНЫЙ АВТОВОКЗАЛ"</v>
      </c>
      <c r="D30" s="5" t="str">
        <f>ЛИК_дляСкорингаДП!M30</f>
        <v>Деятельность гостиниц и прочих мест для временного проживания</v>
      </c>
      <c r="E30" s="4" t="str">
        <f>ЛИК_дляСкорингаДП!L30</f>
        <v>55.10</v>
      </c>
      <c r="F30" t="str">
        <f>ЛИК_дляСкорингаДП!N30</f>
        <v>41.20,43.11,43.12.3,43.91,43.99,43.99,55.10,56.10.1,68.10,68.10.1,68.20,68.32,70.22,71.1,71.11,71.12.5,71.12.6</v>
      </c>
      <c r="G30" s="25" t="str">
        <f>ЛИК_дляСкорингаДП!AG30</f>
        <v>ОСН</v>
      </c>
      <c r="H30" s="55" t="str">
        <f>IF(ISNUMBER(E30),E30,
IFERROR(LEFT(E30,FIND(".",E30)-1),E30))</f>
        <v>55</v>
      </c>
      <c r="I30" s="30">
        <f>IF(COUNTIF(Справочник_ОКВЭД_НР!$A$3:$A$62,H30)&gt;0,Справочник_ОКВЭД_НР!$L$8,
 IF(COUNTIF(Справочник_ОКВЭД_НР!$C$3:$C$62,H30)&gt;0,Справочник_ОКВЭД_НР!$L$9,
  IF(COUNTIF(Справочник_ОКВЭД_НР!$E$3:$E$62,H30)&gt;0,Справочник_ОКВЭД_НР!$L$10,
   IF(COUNTIF(Справочник_ОКВЭД_НР!$G$3:$G$62,H30)&gt;0,Справочник_ОКВЭД_НР!$L$11,50))))</f>
        <v>30</v>
      </c>
      <c r="J30" s="30" cm="1">
        <f t="array" ref="J30">IFERROR(
 (SUMPRODUCT(ISNUMBER(SEARCH(","&amp;Справочник_ОКВЭД_НР!$A$3:$A$62&amp;".",","&amp;SUBSTITUTE(F30," ","")&amp;",")))*Справочник_ОКВЭД_НР!$L$9 +
  SUMPRODUCT(ISNUMBER(SEARCH(","&amp;Справочник_ОКВЭД_НР!$C$3:$C$62&amp;".",","&amp;SUBSTITUTE(F30," ","")&amp;",")))*Справочник_ОКВЭД_НР!$L$10 +
  SUMPRODUCT(ISNUMBER(SEARCH(","&amp;Справочник_ОКВЭД_НР!$E$3:$E$62&amp;".",","&amp;SUBSTITUTE(F30," ","")&amp;",")))*Справочник_ОКВЭД_НР!$L$11 +
  SUMPRODUCT(ISNUMBER(SEARCH(","&amp;Справочник_ОКВЭД_НР!$G$3:$G$62&amp;".",","&amp;SUBSTITUTE(F30," ","")&amp;",")))*Справочник_ОКВЭД_НР!$L$12) /
 (SUMPRODUCT(ISNUMBER(SEARCH(","&amp;Справочник_ОКВЭД_НР!$A$3:$A$62&amp;".",","&amp;SUBSTITUTE(F30," ","")&amp;","))) +
  SUMPRODUCT(ISNUMBER(SEARCH(","&amp;Справочник_ОКВЭД_НР!$C$3:$C$62&amp;".",","&amp;SUBSTITUTE(F30," ","")&amp;","))) +
  SUMPRODUCT(ISNUMBER(SEARCH(","&amp;Справочник_ОКВЭД_НР!$E$3:$E$62&amp;".",","&amp;SUBSTITUTE(F30," ","")&amp;","))) +
  SUMPRODUCT(ISNUMBER(SEARCH(","&amp;Справочник_ОКВЭД_НР!$G$3:$G$62&amp;".",","&amp;SUBSTITUTE(F30," ","")&amp;",")))),
50)</f>
        <v>50</v>
      </c>
      <c r="K30" s="30">
        <f>IFERROR(VLOOKUP(G30,Справочник_ОКВЭД_НР!$O:$P,2,FALSE()),50)</f>
        <v>100</v>
      </c>
      <c r="L30" s="45">
        <f>(I30*Справочник_ОКВЭД_НР!$L$2+J30*Справочник_ОКВЭД_НР!$L$3+K30*Справочник_ОКВЭД_НР!$L$4)*M30</f>
        <v>45.5</v>
      </c>
      <c r="M30" s="47">
        <f>IF(COUNTIF(Справочник_ОКВЭД_НР!$G$3:$G$62,H30)&gt;0,0,1)</f>
        <v>1</v>
      </c>
    </row>
    <row r="31" spans="1:13" x14ac:dyDescent="0.25">
      <c r="A31" s="4">
        <f>ЛИК_дляСкорингаДП!A31</f>
        <v>1035005002361</v>
      </c>
      <c r="B31" s="4">
        <f>ЛИК_дляСкорингаДП!B31</f>
        <v>5027023420</v>
      </c>
      <c r="C31" s="4" t="str">
        <f>ЛИК_дляСкорингаДП!C31</f>
        <v>ООО "ЛИДЕР"</v>
      </c>
      <c r="D31" s="5" t="str">
        <f>ЛИК_дляСкорингаДП!M31</f>
        <v>Деятельность автомобильного грузового транспорта и услуги по перевозкам</v>
      </c>
      <c r="E31" s="4" t="str">
        <f>ЛИК_дляСкорингаДП!L31</f>
        <v>49.4</v>
      </c>
      <c r="F31" t="str">
        <f>ЛИК_дляСкорингаДП!N31</f>
        <v>10.32,11.07,11.07.2,29.20,29.20.5,45.20,45.20.1,46.16.2,46.17.1,52.10,68.20,68.20.1,70.10.2,77.11,77.12</v>
      </c>
      <c r="G31" s="25" t="str">
        <f>ЛИК_дляСкорингаДП!AG31</f>
        <v>ОСН</v>
      </c>
      <c r="H31" s="55" t="str">
        <f>IF(ISNUMBER(E31),E31,
IFERROR(LEFT(E31,FIND(".",E31)-1),E31))</f>
        <v>49</v>
      </c>
      <c r="I31" s="30">
        <f>IF(COUNTIF(Справочник_ОКВЭД_НР!$A$3:$A$62,H31)&gt;0,Справочник_ОКВЭД_НР!$L$8,
 IF(COUNTIF(Справочник_ОКВЭД_НР!$C$3:$C$62,H31)&gt;0,Справочник_ОКВЭД_НР!$L$9,
  IF(COUNTIF(Справочник_ОКВЭД_НР!$E$3:$E$62,H31)&gt;0,Справочник_ОКВЭД_НР!$L$10,
   IF(COUNTIF(Справочник_ОКВЭД_НР!$G$3:$G$62,H31)&gt;0,Справочник_ОКВЭД_НР!$L$11,50))))</f>
        <v>60</v>
      </c>
      <c r="J31" s="30" cm="1">
        <f t="array" ref="J31">IFERROR(
 (SUMPRODUCT(ISNUMBER(SEARCH(","&amp;Справочник_ОКВЭД_НР!$A$3:$A$62&amp;".",","&amp;SUBSTITUTE(F31," ","")&amp;",")))*Справочник_ОКВЭД_НР!$L$9 +
  SUMPRODUCT(ISNUMBER(SEARCH(","&amp;Справочник_ОКВЭД_НР!$C$3:$C$62&amp;".",","&amp;SUBSTITUTE(F31," ","")&amp;",")))*Справочник_ОКВЭД_НР!$L$10 +
  SUMPRODUCT(ISNUMBER(SEARCH(","&amp;Справочник_ОКВЭД_НР!$E$3:$E$62&amp;".",","&amp;SUBSTITUTE(F31," ","")&amp;",")))*Справочник_ОКВЭД_НР!$L$11 +
  SUMPRODUCT(ISNUMBER(SEARCH(","&amp;Справочник_ОКВЭД_НР!$G$3:$G$62&amp;".",","&amp;SUBSTITUTE(F31," ","")&amp;",")))*Справочник_ОКВЭД_НР!$L$12) /
 (SUMPRODUCT(ISNUMBER(SEARCH(","&amp;Справочник_ОКВЭД_НР!$A$3:$A$62&amp;".",","&amp;SUBSTITUTE(F31," ","")&amp;","))) +
  SUMPRODUCT(ISNUMBER(SEARCH(","&amp;Справочник_ОКВЭД_НР!$C$3:$C$62&amp;".",","&amp;SUBSTITUTE(F31," ","")&amp;","))) +
  SUMPRODUCT(ISNUMBER(SEARCH(","&amp;Справочник_ОКВЭД_НР!$E$3:$E$62&amp;".",","&amp;SUBSTITUTE(F31," ","")&amp;","))) +
  SUMPRODUCT(ISNUMBER(SEARCH(","&amp;Справочник_ОКВЭД_НР!$G$3:$G$62&amp;".",","&amp;SUBSTITUTE(F31," ","")&amp;",")))),
50)</f>
        <v>50</v>
      </c>
      <c r="K31" s="30">
        <f>IFERROR(VLOOKUP(G31,Справочник_ОКВЭД_НР!$O:$P,2,FALSE()),50)</f>
        <v>100</v>
      </c>
      <c r="L31" s="45">
        <f>(I31*Справочник_ОКВЭД_НР!$L$2+J31*Справочник_ОКВЭД_НР!$L$3+K31*Справочник_ОКВЭД_НР!$L$4)*M31</f>
        <v>63.5</v>
      </c>
      <c r="M31" s="47">
        <f>IF(COUNTIF(Справочник_ОКВЭД_НР!$G$3:$G$62,H31)&gt;0,0,1)</f>
        <v>1</v>
      </c>
    </row>
    <row r="32" spans="1:13" x14ac:dyDescent="0.25">
      <c r="A32" s="4">
        <f>ЛИК_дляСкорингаДП!A32</f>
        <v>1035006452711</v>
      </c>
      <c r="B32" s="4">
        <f>ЛИК_дляСкорингаДП!B32</f>
        <v>5032014816</v>
      </c>
      <c r="C32" s="4" t="str">
        <f>ЛИК_дляСкорингаДП!C32</f>
        <v>ООО ДСЭ " ОСЕНЬ "</v>
      </c>
      <c r="D32" s="5" t="str">
        <f>ЛИК_дляСкорингаДП!M32</f>
        <v>Управление эксплуатацией жилого фонда за вознаграждение или на договорной основе</v>
      </c>
      <c r="E32" s="4" t="str">
        <f>ЛИК_дляСкорингаДП!L32</f>
        <v>68.32.1</v>
      </c>
      <c r="F32" t="str">
        <f>ЛИК_дляСкорингаДП!N32</f>
        <v>01.61,43.99,66.12,68.2,68.32.1,73.20.1,93.19</v>
      </c>
      <c r="G32" s="25" t="str">
        <f>ЛИК_дляСкорингаДП!AG32</f>
        <v>ОСН</v>
      </c>
      <c r="H32" s="55" t="str">
        <f>IF(ISNUMBER(E32),E32,
IFERROR(LEFT(E32,FIND(".",E32)-1),E32))</f>
        <v>68</v>
      </c>
      <c r="I32" s="30">
        <f>IF(COUNTIF(Справочник_ОКВЭД_НР!$A$3:$A$62,H32)&gt;0,Справочник_ОКВЭД_НР!$L$8,
 IF(COUNTIF(Справочник_ОКВЭД_НР!$C$3:$C$62,H32)&gt;0,Справочник_ОКВЭД_НР!$L$9,
  IF(COUNTIF(Справочник_ОКВЭД_НР!$E$3:$E$62,H32)&gt;0,Справочник_ОКВЭД_НР!$L$10,
   IF(COUNTIF(Справочник_ОКВЭД_НР!$G$3:$G$62,H32)&gt;0,Справочник_ОКВЭД_НР!$L$11,50))))</f>
        <v>100</v>
      </c>
      <c r="J32" s="30" cm="1">
        <f t="array" ref="J32">IFERROR(
 (SUMPRODUCT(ISNUMBER(SEARCH(","&amp;Справочник_ОКВЭД_НР!$A$3:$A$62&amp;".",","&amp;SUBSTITUTE(F32," ","")&amp;",")))*Справочник_ОКВЭД_НР!$L$9 +
  SUMPRODUCT(ISNUMBER(SEARCH(","&amp;Справочник_ОКВЭД_НР!$C$3:$C$62&amp;".",","&amp;SUBSTITUTE(F32," ","")&amp;",")))*Справочник_ОКВЭД_НР!$L$10 +
  SUMPRODUCT(ISNUMBER(SEARCH(","&amp;Справочник_ОКВЭД_НР!$E$3:$E$62&amp;".",","&amp;SUBSTITUTE(F32," ","")&amp;",")))*Справочник_ОКВЭД_НР!$L$11 +
  SUMPRODUCT(ISNUMBER(SEARCH(","&amp;Справочник_ОКВЭД_НР!$G$3:$G$62&amp;".",","&amp;SUBSTITUTE(F32," ","")&amp;",")))*Справочник_ОКВЭД_НР!$L$12) /
 (SUMPRODUCT(ISNUMBER(SEARCH(","&amp;Справочник_ОКВЭД_НР!$A$3:$A$62&amp;".",","&amp;SUBSTITUTE(F32," ","")&amp;","))) +
  SUMPRODUCT(ISNUMBER(SEARCH(","&amp;Справочник_ОКВЭД_НР!$C$3:$C$62&amp;".",","&amp;SUBSTITUTE(F32," ","")&amp;","))) +
  SUMPRODUCT(ISNUMBER(SEARCH(","&amp;Справочник_ОКВЭД_НР!$E$3:$E$62&amp;".",","&amp;SUBSTITUTE(F32," ","")&amp;","))) +
  SUMPRODUCT(ISNUMBER(SEARCH(","&amp;Справочник_ОКВЭД_НР!$G$3:$G$62&amp;".",","&amp;SUBSTITUTE(F32," ","")&amp;",")))),
50)</f>
        <v>50</v>
      </c>
      <c r="K32" s="30">
        <f>IFERROR(VLOOKUP(G32,Справочник_ОКВЭД_НР!$O:$P,2,FALSE()),50)</f>
        <v>100</v>
      </c>
      <c r="L32" s="45">
        <f>(I32*Справочник_ОКВЭД_НР!$L$2+J32*Справочник_ОКВЭД_НР!$L$3+K32*Справочник_ОКВЭД_НР!$L$4)*M32</f>
        <v>87.5</v>
      </c>
      <c r="M32" s="47">
        <f>IF(COUNTIF(Справочник_ОКВЭД_НР!$G$3:$G$62,H32)&gt;0,0,1)</f>
        <v>1</v>
      </c>
    </row>
    <row r="33" spans="1:13" x14ac:dyDescent="0.25">
      <c r="A33" s="4">
        <f>ЛИК_дляСкорингаДП!A33</f>
        <v>1127746400759</v>
      </c>
      <c r="B33" s="4">
        <f>ЛИК_дляСкорингаДП!B33</f>
        <v>7726697521</v>
      </c>
      <c r="C33" s="4" t="str">
        <f>ЛИК_дляСкорингаДП!C33</f>
        <v>ООО "НИЦЭВТ-ЭНЕРГО"</v>
      </c>
      <c r="D33" s="5" t="str">
        <f>ЛИК_дляСкорингаДП!M33</f>
        <v>Производство электроэнергии тепловыми электростанциями, в том числе деятельность по обеспечению работоспособности электростанций</v>
      </c>
      <c r="E33" s="4" t="str">
        <f>ЛИК_дляСкорингаДП!L33</f>
        <v>35.11.1</v>
      </c>
      <c r="F33" t="str">
        <f>ЛИК_дляСкорингаДП!N33</f>
        <v>33.12,33.12,33.12,33.12,33.12,33.12,33.14,33.14,33.14,33.20,35.11,35.11.4,35.30,35.30.1,35.30.11,35.30.13,35.30.14,35.30.15,35.30.2,35.30.3,35.30.4,35.30.5,36.00,36.00.1,36.00.2,41.20,41.20,42.21,42.21,42.22.2,42.22.3,42.99,43.11,43.11,43.12.1,43.12.3,43.21,43.22,43.29,43.31,43.32,43.33,43.34,43.34.1,43.34.2,43.39,43.91,43.99,43.99,43.99.1,43.99.2,43.99.3,43.99.4,43.99.5,43.99.6,43.99.7,43.99.9,46.12.1,46.71.2,47.52.73,47.78.6,49.50,49.50.2,49.50.21,52.10,52.10.2,52.10.22,52.10.23,52.21,52.21.2,68.10,68.10.1,68.10.12,68.20,68.20.2,68.31.1,68.31.12,68.31.2,68.31.22,68.31.3,68.31.32,68.31.4,68.31.42,68.31.5,68.32,68.32,68.32.2,70.22,71.11.1,71.12,71.12.1,71.12.12,71.12.13,71.12.45,71.20.6,71.20.9,73.20,73.20.1,73.20.2,77.39.23,81.22,81.29.9</v>
      </c>
      <c r="G33" s="25" t="str">
        <f>ЛИК_дляСкорингаДП!AG33</f>
        <v>ОСН</v>
      </c>
      <c r="H33" s="55" t="str">
        <f>IF(ISNUMBER(E33),E33,
IFERROR(LEFT(E33,FIND(".",E33)-1),E33))</f>
        <v>35</v>
      </c>
      <c r="I33" s="30">
        <f>IF(COUNTIF(Справочник_ОКВЭД_НР!$A$3:$A$62,H33)&gt;0,Справочник_ОКВЭД_НР!$L$8,
 IF(COUNTIF(Справочник_ОКВЭД_НР!$C$3:$C$62,H33)&gt;0,Справочник_ОКВЭД_НР!$L$9,
  IF(COUNTIF(Справочник_ОКВЭД_НР!$E$3:$E$62,H33)&gt;0,Справочник_ОКВЭД_НР!$L$10,
   IF(COUNTIF(Справочник_ОКВЭД_НР!$G$3:$G$62,H33)&gt;0,Справочник_ОКВЭД_НР!$L$11,50))))</f>
        <v>60</v>
      </c>
      <c r="J33" s="30" cm="1">
        <f t="array" ref="J33">IFERROR(
 (SUMPRODUCT(ISNUMBER(SEARCH(","&amp;Справочник_ОКВЭД_НР!$A$3:$A$62&amp;".",","&amp;SUBSTITUTE(F33," ","")&amp;",")))*Справочник_ОКВЭД_НР!$L$9 +
  SUMPRODUCT(ISNUMBER(SEARCH(","&amp;Справочник_ОКВЭД_НР!$C$3:$C$62&amp;".",","&amp;SUBSTITUTE(F33," ","")&amp;",")))*Справочник_ОКВЭД_НР!$L$10 +
  SUMPRODUCT(ISNUMBER(SEARCH(","&amp;Справочник_ОКВЭД_НР!$E$3:$E$62&amp;".",","&amp;SUBSTITUTE(F33," ","")&amp;",")))*Справочник_ОКВЭД_НР!$L$11 +
  SUMPRODUCT(ISNUMBER(SEARCH(","&amp;Справочник_ОКВЭД_НР!$G$3:$G$62&amp;".",","&amp;SUBSTITUTE(F33," ","")&amp;",")))*Справочник_ОКВЭД_НР!$L$12) /
 (SUMPRODUCT(ISNUMBER(SEARCH(","&amp;Справочник_ОКВЭД_НР!$A$3:$A$62&amp;".",","&amp;SUBSTITUTE(F33," ","")&amp;","))) +
  SUMPRODUCT(ISNUMBER(SEARCH(","&amp;Справочник_ОКВЭД_НР!$C$3:$C$62&amp;".",","&amp;SUBSTITUTE(F33," ","")&amp;","))) +
  SUMPRODUCT(ISNUMBER(SEARCH(","&amp;Справочник_ОКВЭД_НР!$E$3:$E$62&amp;".",","&amp;SUBSTITUTE(F33," ","")&amp;","))) +
  SUMPRODUCT(ISNUMBER(SEARCH(","&amp;Справочник_ОКВЭД_НР!$G$3:$G$62&amp;".",","&amp;SUBSTITUTE(F33," ","")&amp;",")))),
50)</f>
        <v>50</v>
      </c>
      <c r="K33" s="30">
        <f>IFERROR(VLOOKUP(G33,Справочник_ОКВЭД_НР!$O:$P,2,FALSE()),50)</f>
        <v>100</v>
      </c>
      <c r="L33" s="45">
        <f>(I33*Справочник_ОКВЭД_НР!$L$2+J33*Справочник_ОКВЭД_НР!$L$3+K33*Справочник_ОКВЭД_НР!$L$4)*M33</f>
        <v>63.5</v>
      </c>
      <c r="M33" s="47">
        <f>IF(COUNTIF(Справочник_ОКВЭД_НР!$G$3:$G$62,H33)&gt;0,0,1)</f>
        <v>1</v>
      </c>
    </row>
    <row r="34" spans="1:13" x14ac:dyDescent="0.25">
      <c r="A34" s="4">
        <f>ЛИК_дляСкорингаДП!A34</f>
        <v>1127746460434</v>
      </c>
      <c r="B34" s="4">
        <f>ЛИК_дляСкорингаДП!B34</f>
        <v>7733805552</v>
      </c>
      <c r="C34" s="4" t="str">
        <f>ЛИК_дляСкорингаДП!C34</f>
        <v>ООО "МПС СОФТ"</v>
      </c>
      <c r="D34" s="5" t="str">
        <f>ЛИК_дляСкорингаДП!M34</f>
        <v>Разработка компьютерного программного обеспечения, консультационные услуги в данной области и другие сопутствующие услуги</v>
      </c>
      <c r="E34" s="4" t="str">
        <f>ЛИК_дляСкорингаДП!L34</f>
        <v>62.0</v>
      </c>
      <c r="F34" t="str">
        <f>ЛИК_дляСкорингаДП!N34</f>
        <v>18.2,18.20,26.51,26.51.7,33.20,43.2,43.21,46.43.3,46.51,46.69.5,62.02,62.09,63.11.1,71.1,71.12.5,71.12.6,95.1</v>
      </c>
      <c r="G34" s="25" t="str">
        <f>ЛИК_дляСкорингаДП!AG34</f>
        <v>ОСН</v>
      </c>
      <c r="H34" s="55" t="str">
        <f>IF(ISNUMBER(E34),E34,
IFERROR(LEFT(E34,FIND(".",E34)-1),E34))</f>
        <v>62</v>
      </c>
      <c r="I34" s="30">
        <f>IF(COUNTIF(Справочник_ОКВЭД_НР!$A$3:$A$62,H34)&gt;0,Справочник_ОКВЭД_НР!$L$8,
 IF(COUNTIF(Справочник_ОКВЭД_НР!$C$3:$C$62,H34)&gt;0,Справочник_ОКВЭД_НР!$L$9,
  IF(COUNTIF(Справочник_ОКВЭД_НР!$E$3:$E$62,H34)&gt;0,Справочник_ОКВЭД_НР!$L$10,
   IF(COUNTIF(Справочник_ОКВЭД_НР!$G$3:$G$62,H34)&gt;0,Справочник_ОКВЭД_НР!$L$11,50))))</f>
        <v>100</v>
      </c>
      <c r="J34" s="30" cm="1">
        <f t="array" ref="J34">IFERROR(
 (SUMPRODUCT(ISNUMBER(SEARCH(","&amp;Справочник_ОКВЭД_НР!$A$3:$A$62&amp;".",","&amp;SUBSTITUTE(F34," ","")&amp;",")))*Справочник_ОКВЭД_НР!$L$9 +
  SUMPRODUCT(ISNUMBER(SEARCH(","&amp;Справочник_ОКВЭД_НР!$C$3:$C$62&amp;".",","&amp;SUBSTITUTE(F34," ","")&amp;",")))*Справочник_ОКВЭД_НР!$L$10 +
  SUMPRODUCT(ISNUMBER(SEARCH(","&amp;Справочник_ОКВЭД_НР!$E$3:$E$62&amp;".",","&amp;SUBSTITUTE(F34," ","")&amp;",")))*Справочник_ОКВЭД_НР!$L$11 +
  SUMPRODUCT(ISNUMBER(SEARCH(","&amp;Справочник_ОКВЭД_НР!$G$3:$G$62&amp;".",","&amp;SUBSTITUTE(F34," ","")&amp;",")))*Справочник_ОКВЭД_НР!$L$12) /
 (SUMPRODUCT(ISNUMBER(SEARCH(","&amp;Справочник_ОКВЭД_НР!$A$3:$A$62&amp;".",","&amp;SUBSTITUTE(F34," ","")&amp;","))) +
  SUMPRODUCT(ISNUMBER(SEARCH(","&amp;Справочник_ОКВЭД_НР!$C$3:$C$62&amp;".",","&amp;SUBSTITUTE(F34," ","")&amp;","))) +
  SUMPRODUCT(ISNUMBER(SEARCH(","&amp;Справочник_ОКВЭД_НР!$E$3:$E$62&amp;".",","&amp;SUBSTITUTE(F34," ","")&amp;","))) +
  SUMPRODUCT(ISNUMBER(SEARCH(","&amp;Справочник_ОКВЭД_НР!$G$3:$G$62&amp;".",","&amp;SUBSTITUTE(F34," ","")&amp;",")))),
50)</f>
        <v>50</v>
      </c>
      <c r="K34" s="30">
        <f>IFERROR(VLOOKUP(G34,Справочник_ОКВЭД_НР!$O:$P,2,FALSE()),50)</f>
        <v>100</v>
      </c>
      <c r="L34" s="45">
        <f>(I34*Справочник_ОКВЭД_НР!$L$2+J34*Справочник_ОКВЭД_НР!$L$3+K34*Справочник_ОКВЭД_НР!$L$4)*M34</f>
        <v>87.5</v>
      </c>
      <c r="M34" s="47">
        <f>IF(COUNTIF(Справочник_ОКВЭД_НР!$G$3:$G$62,H34)&gt;0,0,1)</f>
        <v>1</v>
      </c>
    </row>
    <row r="35" spans="1:13" x14ac:dyDescent="0.25">
      <c r="A35" s="4">
        <f>ЛИК_дляСкорингаДП!A35</f>
        <v>1125001005997</v>
      </c>
      <c r="B35" s="4">
        <f>ЛИК_дляСкорингаДП!B35</f>
        <v>5001091698</v>
      </c>
      <c r="C35" s="4" t="str">
        <f>ЛИК_дляСкорингаДП!C35</f>
        <v>ООО "ТАРУСОВО-ДЕВЕЛОПМЕНТ"</v>
      </c>
      <c r="D35" s="5" t="str">
        <f>ЛИК_дляСкорингаДП!M35</f>
        <v>Деятельность гостиниц и прочих мест для временного проживания</v>
      </c>
      <c r="E35" s="4" t="str">
        <f>ЛИК_дляСкорингаДП!L35</f>
        <v>55.10</v>
      </c>
      <c r="F35" t="str">
        <f>ЛИК_дляСкорингаДП!N35</f>
        <v>56.10.1,64.99.11,64.99.3,68.1,68.2,68.3,68.31.1,68.31.2,68.31.3,68.31.4,77.32</v>
      </c>
      <c r="G35" s="25" t="str">
        <f>ЛИК_дляСкорингаДП!AG35</f>
        <v>ОСН</v>
      </c>
      <c r="H35" s="55" t="str">
        <f>IF(ISNUMBER(E35),E35,
IFERROR(LEFT(E35,FIND(".",E35)-1),E35))</f>
        <v>55</v>
      </c>
      <c r="I35" s="30">
        <f>IF(COUNTIF(Справочник_ОКВЭД_НР!$A$3:$A$62,H35)&gt;0,Справочник_ОКВЭД_НР!$L$8,
 IF(COUNTIF(Справочник_ОКВЭД_НР!$C$3:$C$62,H35)&gt;0,Справочник_ОКВЭД_НР!$L$9,
  IF(COUNTIF(Справочник_ОКВЭД_НР!$E$3:$E$62,H35)&gt;0,Справочник_ОКВЭД_НР!$L$10,
   IF(COUNTIF(Справочник_ОКВЭД_НР!$G$3:$G$62,H35)&gt;0,Справочник_ОКВЭД_НР!$L$11,50))))</f>
        <v>30</v>
      </c>
      <c r="J35" s="30" cm="1">
        <f t="array" ref="J35">IFERROR(
 (SUMPRODUCT(ISNUMBER(SEARCH(","&amp;Справочник_ОКВЭД_НР!$A$3:$A$62&amp;".",","&amp;SUBSTITUTE(F35," ","")&amp;",")))*Справочник_ОКВЭД_НР!$L$9 +
  SUMPRODUCT(ISNUMBER(SEARCH(","&amp;Справочник_ОКВЭД_НР!$C$3:$C$62&amp;".",","&amp;SUBSTITUTE(F35," ","")&amp;",")))*Справочник_ОКВЭД_НР!$L$10 +
  SUMPRODUCT(ISNUMBER(SEARCH(","&amp;Справочник_ОКВЭД_НР!$E$3:$E$62&amp;".",","&amp;SUBSTITUTE(F35," ","")&amp;",")))*Справочник_ОКВЭД_НР!$L$11 +
  SUMPRODUCT(ISNUMBER(SEARCH(","&amp;Справочник_ОКВЭД_НР!$G$3:$G$62&amp;".",","&amp;SUBSTITUTE(F35," ","")&amp;",")))*Справочник_ОКВЭД_НР!$L$12) /
 (SUMPRODUCT(ISNUMBER(SEARCH(","&amp;Справочник_ОКВЭД_НР!$A$3:$A$62&amp;".",","&amp;SUBSTITUTE(F35," ","")&amp;","))) +
  SUMPRODUCT(ISNUMBER(SEARCH(","&amp;Справочник_ОКВЭД_НР!$C$3:$C$62&amp;".",","&amp;SUBSTITUTE(F35," ","")&amp;","))) +
  SUMPRODUCT(ISNUMBER(SEARCH(","&amp;Справочник_ОКВЭД_НР!$E$3:$E$62&amp;".",","&amp;SUBSTITUTE(F35," ","")&amp;","))) +
  SUMPRODUCT(ISNUMBER(SEARCH(","&amp;Справочник_ОКВЭД_НР!$G$3:$G$62&amp;".",","&amp;SUBSTITUTE(F35," ","")&amp;",")))),
50)</f>
        <v>50</v>
      </c>
      <c r="K35" s="30">
        <f>IFERROR(VLOOKUP(G35,Справочник_ОКВЭД_НР!$O:$P,2,FALSE()),50)</f>
        <v>100</v>
      </c>
      <c r="L35" s="45">
        <f>(I35*Справочник_ОКВЭД_НР!$L$2+J35*Справочник_ОКВЭД_НР!$L$3+K35*Справочник_ОКВЭД_НР!$L$4)*M35</f>
        <v>45.5</v>
      </c>
      <c r="M35" s="47">
        <f>IF(COUNTIF(Справочник_ОКВЭД_НР!$G$3:$G$62,H35)&gt;0,0,1)</f>
        <v>1</v>
      </c>
    </row>
    <row r="36" spans="1:13" x14ac:dyDescent="0.25">
      <c r="A36" s="4">
        <f>ЛИК_дляСкорингаДП!A36</f>
        <v>1167746525726</v>
      </c>
      <c r="B36" s="4">
        <f>ЛИК_дляСкорингаДП!B36</f>
        <v>7714391183</v>
      </c>
      <c r="C36" s="4" t="str">
        <f>ЛИК_дляСкорингаДП!C36</f>
        <v>ООО "МЕДИА ЭКСТЕНШНС"</v>
      </c>
      <c r="D36" s="5" t="str">
        <f>ЛИК_дляСкорингаДП!M36</f>
        <v>Аренда и управление собственным или арендованным недвижимым имуществом</v>
      </c>
      <c r="E36" s="4" t="str">
        <f>ЛИК_дляСкорингаДП!L36</f>
        <v>68.20</v>
      </c>
      <c r="F36" t="str">
        <f>ЛИК_дляСкорингаДП!N36</f>
        <v>18.12,43.21,58.11,58.14,59.11,60.10,60.20,61.10,62.01,62.02,62.09,63.11.1,64.99,68.31.1,68.31.2,68.31.3,68.31.4,68.32,70.22,71.11.1,72.20,73.11,74.30,77.11,77.33,78.30,80.10,80.20,80.30,81.22,81.29.9,82.19,82.99,90.0,91.01,93.11,93.29,95.11</v>
      </c>
      <c r="G36" s="25" t="str">
        <f>ЛИК_дляСкорингаДП!AG36</f>
        <v>ОСН</v>
      </c>
      <c r="H36" s="55" t="str">
        <f>IF(ISNUMBER(E36),E36,
IFERROR(LEFT(E36,FIND(".",E36)-1),E36))</f>
        <v>68</v>
      </c>
      <c r="I36" s="30">
        <f>IF(COUNTIF(Справочник_ОКВЭД_НР!$A$3:$A$62,H36)&gt;0,Справочник_ОКВЭД_НР!$L$8,
 IF(COUNTIF(Справочник_ОКВЭД_НР!$C$3:$C$62,H36)&gt;0,Справочник_ОКВЭД_НР!$L$9,
  IF(COUNTIF(Справочник_ОКВЭД_НР!$E$3:$E$62,H36)&gt;0,Справочник_ОКВЭД_НР!$L$10,
   IF(COUNTIF(Справочник_ОКВЭД_НР!$G$3:$G$62,H36)&gt;0,Справочник_ОКВЭД_НР!$L$11,50))))</f>
        <v>100</v>
      </c>
      <c r="J36" s="30" cm="1">
        <f t="array" ref="J36">IFERROR(
 (SUMPRODUCT(ISNUMBER(SEARCH(","&amp;Справочник_ОКВЭД_НР!$A$3:$A$62&amp;".",","&amp;SUBSTITUTE(F36," ","")&amp;",")))*Справочник_ОКВЭД_НР!$L$9 +
  SUMPRODUCT(ISNUMBER(SEARCH(","&amp;Справочник_ОКВЭД_НР!$C$3:$C$62&amp;".",","&amp;SUBSTITUTE(F36," ","")&amp;",")))*Справочник_ОКВЭД_НР!$L$10 +
  SUMPRODUCT(ISNUMBER(SEARCH(","&amp;Справочник_ОКВЭД_НР!$E$3:$E$62&amp;".",","&amp;SUBSTITUTE(F36," ","")&amp;",")))*Справочник_ОКВЭД_НР!$L$11 +
  SUMPRODUCT(ISNUMBER(SEARCH(","&amp;Справочник_ОКВЭД_НР!$G$3:$G$62&amp;".",","&amp;SUBSTITUTE(F36," ","")&amp;",")))*Справочник_ОКВЭД_НР!$L$12) /
 (SUMPRODUCT(ISNUMBER(SEARCH(","&amp;Справочник_ОКВЭД_НР!$A$3:$A$62&amp;".",","&amp;SUBSTITUTE(F36," ","")&amp;","))) +
  SUMPRODUCT(ISNUMBER(SEARCH(","&amp;Справочник_ОКВЭД_НР!$C$3:$C$62&amp;".",","&amp;SUBSTITUTE(F36," ","")&amp;","))) +
  SUMPRODUCT(ISNUMBER(SEARCH(","&amp;Справочник_ОКВЭД_НР!$E$3:$E$62&amp;".",","&amp;SUBSTITUTE(F36," ","")&amp;","))) +
  SUMPRODUCT(ISNUMBER(SEARCH(","&amp;Справочник_ОКВЭД_НР!$G$3:$G$62&amp;".",","&amp;SUBSTITUTE(F36," ","")&amp;",")))),
50)</f>
        <v>50</v>
      </c>
      <c r="K36" s="30">
        <f>IFERROR(VLOOKUP(G36,Справочник_ОКВЭД_НР!$O:$P,2,FALSE()),50)</f>
        <v>100</v>
      </c>
      <c r="L36" s="45">
        <f>(I36*Справочник_ОКВЭД_НР!$L$2+J36*Справочник_ОКВЭД_НР!$L$3+K36*Справочник_ОКВЭД_НР!$L$4)*M36</f>
        <v>87.5</v>
      </c>
      <c r="M36" s="47">
        <f>IF(COUNTIF(Справочник_ОКВЭД_НР!$G$3:$G$62,H36)&gt;0,0,1)</f>
        <v>1</v>
      </c>
    </row>
    <row r="37" spans="1:13" x14ac:dyDescent="0.25">
      <c r="A37" s="4">
        <f>ЛИК_дляСкорингаДП!A37</f>
        <v>1127747086367</v>
      </c>
      <c r="B37" s="4">
        <f>ЛИК_дляСкорингаДП!B37</f>
        <v>7708773522</v>
      </c>
      <c r="C37" s="4" t="str">
        <f>ЛИК_дляСкорингаДП!C37</f>
        <v>ООО "ДЕЛЬТАХОЛДИНГ"</v>
      </c>
      <c r="D37" s="5" t="str">
        <f>ЛИК_дляСкорингаДП!M37</f>
        <v>Аренда и лизинг железнодорожного транспорта и оборудования</v>
      </c>
      <c r="E37" s="4" t="str">
        <f>ЛИК_дляСкорингаДП!L37</f>
        <v>77.39.12</v>
      </c>
      <c r="F37" t="str">
        <f>ЛИК_дляСкорингаДП!N37</f>
        <v>30.2,30.20.4,30.20.9,33.17,46.69.1,46.72,49.10,49.20,52.21.1,70.22</v>
      </c>
      <c r="G37" s="25" t="str">
        <f>ЛИК_дляСкорингаДП!AG37</f>
        <v>ОСН</v>
      </c>
      <c r="H37" s="55" t="str">
        <f>IF(ISNUMBER(E37),E37,
IFERROR(LEFT(E37,FIND(".",E37)-1),E37))</f>
        <v>77</v>
      </c>
      <c r="I37" s="30">
        <f>IF(COUNTIF(Справочник_ОКВЭД_НР!$A$3:$A$62,H37)&gt;0,Справочник_ОКВЭД_НР!$L$8,
 IF(COUNTIF(Справочник_ОКВЭД_НР!$C$3:$C$62,H37)&gt;0,Справочник_ОКВЭД_НР!$L$9,
  IF(COUNTIF(Справочник_ОКВЭД_НР!$E$3:$E$62,H37)&gt;0,Справочник_ОКВЭД_НР!$L$10,
   IF(COUNTIF(Справочник_ОКВЭД_НР!$G$3:$G$62,H37)&gt;0,Справочник_ОКВЭД_НР!$L$11,50))))</f>
        <v>60</v>
      </c>
      <c r="J37" s="30" cm="1">
        <f t="array" ref="J37">IFERROR(
 (SUMPRODUCT(ISNUMBER(SEARCH(","&amp;Справочник_ОКВЭД_НР!$A$3:$A$62&amp;".",","&amp;SUBSTITUTE(F37," ","")&amp;",")))*Справочник_ОКВЭД_НР!$L$9 +
  SUMPRODUCT(ISNUMBER(SEARCH(","&amp;Справочник_ОКВЭД_НР!$C$3:$C$62&amp;".",","&amp;SUBSTITUTE(F37," ","")&amp;",")))*Справочник_ОКВЭД_НР!$L$10 +
  SUMPRODUCT(ISNUMBER(SEARCH(","&amp;Справочник_ОКВЭД_НР!$E$3:$E$62&amp;".",","&amp;SUBSTITUTE(F37," ","")&amp;",")))*Справочник_ОКВЭД_НР!$L$11 +
  SUMPRODUCT(ISNUMBER(SEARCH(","&amp;Справочник_ОКВЭД_НР!$G$3:$G$62&amp;".",","&amp;SUBSTITUTE(F37," ","")&amp;",")))*Справочник_ОКВЭД_НР!$L$12) /
 (SUMPRODUCT(ISNUMBER(SEARCH(","&amp;Справочник_ОКВЭД_НР!$A$3:$A$62&amp;".",","&amp;SUBSTITUTE(F37," ","")&amp;","))) +
  SUMPRODUCT(ISNUMBER(SEARCH(","&amp;Справочник_ОКВЭД_НР!$C$3:$C$62&amp;".",","&amp;SUBSTITUTE(F37," ","")&amp;","))) +
  SUMPRODUCT(ISNUMBER(SEARCH(","&amp;Справочник_ОКВЭД_НР!$E$3:$E$62&amp;".",","&amp;SUBSTITUTE(F37," ","")&amp;","))) +
  SUMPRODUCT(ISNUMBER(SEARCH(","&amp;Справочник_ОКВЭД_НР!$G$3:$G$62&amp;".",","&amp;SUBSTITUTE(F37," ","")&amp;",")))),
50)</f>
        <v>50</v>
      </c>
      <c r="K37" s="30">
        <f>IFERROR(VLOOKUP(G37,Справочник_ОКВЭД_НР!$O:$P,2,FALSE()),50)</f>
        <v>100</v>
      </c>
      <c r="L37" s="45">
        <f>(I37*Справочник_ОКВЭД_НР!$L$2+J37*Справочник_ОКВЭД_НР!$L$3+K37*Справочник_ОКВЭД_НР!$L$4)*M37</f>
        <v>63.5</v>
      </c>
      <c r="M37" s="47">
        <f>IF(COUNTIF(Справочник_ОКВЭД_НР!$G$3:$G$62,H37)&gt;0,0,1)</f>
        <v>1</v>
      </c>
    </row>
    <row r="38" spans="1:13" x14ac:dyDescent="0.25">
      <c r="A38" s="4">
        <f>ЛИК_дляСкорингаДП!A38</f>
        <v>1135042007539</v>
      </c>
      <c r="B38" s="4">
        <f>ЛИК_дляСкорингаДП!B38</f>
        <v>5042129460</v>
      </c>
      <c r="C38" s="4" t="str">
        <f>ЛИК_дляСкорингаДП!C38</f>
        <v>ООО "ПСБ БИЗНЕС"</v>
      </c>
      <c r="D38" s="5" t="str">
        <f>ЛИК_дляСкорингаДП!M38</f>
        <v>Деятельность гостиниц и прочих мест для временного проживания</v>
      </c>
      <c r="E38" s="4" t="str">
        <f>ЛИК_дляСкорингаДП!L38</f>
        <v>55.10</v>
      </c>
      <c r="F38" t="str">
        <f>ЛИК_дляСкорингаДП!N38</f>
        <v>41.20,43.21,43.22,43.29,43.31,43.32,43.33,43.91,43.99,52.10,68.10,68.10.1,68.10.11,68.10.12,68.20,68.31,68.31.1,68.31.2,68.31.3,68.31.4,68.31.5,68.32,68.32.1,68.32.2,69.10,69.20,71.11,71.12,71.12.2,74.10,82.30,93.11,93.19</v>
      </c>
      <c r="G38" s="25" t="str">
        <f>ЛИК_дляСкорингаДП!AG38</f>
        <v>ОСН</v>
      </c>
      <c r="H38" s="55" t="str">
        <f>IF(ISNUMBER(E38),E38,
IFERROR(LEFT(E38,FIND(".",E38)-1),E38))</f>
        <v>55</v>
      </c>
      <c r="I38" s="30">
        <f>IF(COUNTIF(Справочник_ОКВЭД_НР!$A$3:$A$62,H38)&gt;0,Справочник_ОКВЭД_НР!$L$8,
 IF(COUNTIF(Справочник_ОКВЭД_НР!$C$3:$C$62,H38)&gt;0,Справочник_ОКВЭД_НР!$L$9,
  IF(COUNTIF(Справочник_ОКВЭД_НР!$E$3:$E$62,H38)&gt;0,Справочник_ОКВЭД_НР!$L$10,
   IF(COUNTIF(Справочник_ОКВЭД_НР!$G$3:$G$62,H38)&gt;0,Справочник_ОКВЭД_НР!$L$11,50))))</f>
        <v>30</v>
      </c>
      <c r="J38" s="30" cm="1">
        <f t="array" ref="J38">IFERROR(
 (SUMPRODUCT(ISNUMBER(SEARCH(","&amp;Справочник_ОКВЭД_НР!$A$3:$A$62&amp;".",","&amp;SUBSTITUTE(F38," ","")&amp;",")))*Справочник_ОКВЭД_НР!$L$9 +
  SUMPRODUCT(ISNUMBER(SEARCH(","&amp;Справочник_ОКВЭД_НР!$C$3:$C$62&amp;".",","&amp;SUBSTITUTE(F38," ","")&amp;",")))*Справочник_ОКВЭД_НР!$L$10 +
  SUMPRODUCT(ISNUMBER(SEARCH(","&amp;Справочник_ОКВЭД_НР!$E$3:$E$62&amp;".",","&amp;SUBSTITUTE(F38," ","")&amp;",")))*Справочник_ОКВЭД_НР!$L$11 +
  SUMPRODUCT(ISNUMBER(SEARCH(","&amp;Справочник_ОКВЭД_НР!$G$3:$G$62&amp;".",","&amp;SUBSTITUTE(F38," ","")&amp;",")))*Справочник_ОКВЭД_НР!$L$12) /
 (SUMPRODUCT(ISNUMBER(SEARCH(","&amp;Справочник_ОКВЭД_НР!$A$3:$A$62&amp;".",","&amp;SUBSTITUTE(F38," ","")&amp;","))) +
  SUMPRODUCT(ISNUMBER(SEARCH(","&amp;Справочник_ОКВЭД_НР!$C$3:$C$62&amp;".",","&amp;SUBSTITUTE(F38," ","")&amp;","))) +
  SUMPRODUCT(ISNUMBER(SEARCH(","&amp;Справочник_ОКВЭД_НР!$E$3:$E$62&amp;".",","&amp;SUBSTITUTE(F38," ","")&amp;","))) +
  SUMPRODUCT(ISNUMBER(SEARCH(","&amp;Справочник_ОКВЭД_НР!$G$3:$G$62&amp;".",","&amp;SUBSTITUTE(F38," ","")&amp;",")))),
50)</f>
        <v>50</v>
      </c>
      <c r="K38" s="30">
        <f>IFERROR(VLOOKUP(G38,Справочник_ОКВЭД_НР!$O:$P,2,FALSE()),50)</f>
        <v>100</v>
      </c>
      <c r="L38" s="45">
        <f>(I38*Справочник_ОКВЭД_НР!$L$2+J38*Справочник_ОКВЭД_НР!$L$3+K38*Справочник_ОКВЭД_НР!$L$4)*M38</f>
        <v>45.5</v>
      </c>
      <c r="M38" s="47">
        <f>IF(COUNTIF(Справочник_ОКВЭД_НР!$G$3:$G$62,H38)&gt;0,0,1)</f>
        <v>1</v>
      </c>
    </row>
    <row r="39" spans="1:13" x14ac:dyDescent="0.25">
      <c r="A39" s="4">
        <f>ЛИК_дляСкорингаДП!A39</f>
        <v>1024001175516</v>
      </c>
      <c r="B39" s="4">
        <f>ЛИК_дляСкорингаДП!B39</f>
        <v>4027055893</v>
      </c>
      <c r="C39" s="4" t="str">
        <f>ЛИК_дляСкорингаДП!C39</f>
        <v>ООО "ЭНЕРГОАТОМИНВЕСТ"</v>
      </c>
      <c r="D39" s="5" t="str">
        <f>ЛИК_дляСкорингаДП!M39</f>
        <v>Предоставление прочих финансовых услуг, кроме услуг по страхованию и пенсионному обеспечению, не включенных в другие группировки</v>
      </c>
      <c r="E39" s="4" t="str">
        <f>ЛИК_дляСкорингаДП!L39</f>
        <v>64.99</v>
      </c>
      <c r="F39" t="str">
        <f>ЛИК_дляСкорингаДП!N39</f>
        <v>33.20,35.11.3,41.20,42.11,42.21,42.22.2,43.11,43.12.1,43.12.3,43.21,43.22,43.29,43.31,43.32,43.33,43.34,43.91,43.99,43.99.1,43.99.5,45.1,45.11.1,45.11.2,45.11.3,45.11.4,45.19.1,45.19.2,45.19.3,45.19.4,45.20,45.3,49.39,49.4,55.10,55.90,56.10,56.10.1,56.10.3,56.29,63.99.1,64.91,66.22,68.20,68.20.2,70.22,71.12,71.12.1,71.12.12,77.39.1,79.11,79.12,79.90,85.41.9,86.90.4</v>
      </c>
      <c r="G39" s="25" t="str">
        <f>ЛИК_дляСкорингаДП!AG39</f>
        <v>ОСН</v>
      </c>
      <c r="H39" s="55" t="str">
        <f>IF(ISNUMBER(E39),E39,
IFERROR(LEFT(E39,FIND(".",E39)-1),E39))</f>
        <v>64</v>
      </c>
      <c r="I39" s="30">
        <f>IF(COUNTIF(Справочник_ОКВЭД_НР!$A$3:$A$62,H39)&gt;0,Справочник_ОКВЭД_НР!$L$8,
 IF(COUNTIF(Справочник_ОКВЭД_НР!$C$3:$C$62,H39)&gt;0,Справочник_ОКВЭД_НР!$L$9,
  IF(COUNTIF(Справочник_ОКВЭД_НР!$E$3:$E$62,H39)&gt;0,Справочник_ОКВЭД_НР!$L$10,
   IF(COUNTIF(Справочник_ОКВЭД_НР!$G$3:$G$62,H39)&gt;0,Справочник_ОКВЭД_НР!$L$11,50))))</f>
        <v>60</v>
      </c>
      <c r="J39" s="30" cm="1">
        <f t="array" ref="J39">IFERROR(
 (SUMPRODUCT(ISNUMBER(SEARCH(","&amp;Справочник_ОКВЭД_НР!$A$3:$A$62&amp;".",","&amp;SUBSTITUTE(F39," ","")&amp;",")))*Справочник_ОКВЭД_НР!$L$9 +
  SUMPRODUCT(ISNUMBER(SEARCH(","&amp;Справочник_ОКВЭД_НР!$C$3:$C$62&amp;".",","&amp;SUBSTITUTE(F39," ","")&amp;",")))*Справочник_ОКВЭД_НР!$L$10 +
  SUMPRODUCT(ISNUMBER(SEARCH(","&amp;Справочник_ОКВЭД_НР!$E$3:$E$62&amp;".",","&amp;SUBSTITUTE(F39," ","")&amp;",")))*Справочник_ОКВЭД_НР!$L$11 +
  SUMPRODUCT(ISNUMBER(SEARCH(","&amp;Справочник_ОКВЭД_НР!$G$3:$G$62&amp;".",","&amp;SUBSTITUTE(F39," ","")&amp;",")))*Справочник_ОКВЭД_НР!$L$12) /
 (SUMPRODUCT(ISNUMBER(SEARCH(","&amp;Справочник_ОКВЭД_НР!$A$3:$A$62&amp;".",","&amp;SUBSTITUTE(F39," ","")&amp;","))) +
  SUMPRODUCT(ISNUMBER(SEARCH(","&amp;Справочник_ОКВЭД_НР!$C$3:$C$62&amp;".",","&amp;SUBSTITUTE(F39," ","")&amp;","))) +
  SUMPRODUCT(ISNUMBER(SEARCH(","&amp;Справочник_ОКВЭД_НР!$E$3:$E$62&amp;".",","&amp;SUBSTITUTE(F39," ","")&amp;","))) +
  SUMPRODUCT(ISNUMBER(SEARCH(","&amp;Справочник_ОКВЭД_НР!$G$3:$G$62&amp;".",","&amp;SUBSTITUTE(F39," ","")&amp;",")))),
50)</f>
        <v>50</v>
      </c>
      <c r="K39" s="30">
        <f>IFERROR(VLOOKUP(G39,Справочник_ОКВЭД_НР!$O:$P,2,FALSE()),50)</f>
        <v>100</v>
      </c>
      <c r="L39" s="45">
        <f>(I39*Справочник_ОКВЭД_НР!$L$2+J39*Справочник_ОКВЭД_НР!$L$3+K39*Справочник_ОКВЭД_НР!$L$4)*M39</f>
        <v>63.5</v>
      </c>
      <c r="M39" s="47">
        <f>IF(COUNTIF(Справочник_ОКВЭД_НР!$G$3:$G$62,H39)&gt;0,0,1)</f>
        <v>1</v>
      </c>
    </row>
    <row r="40" spans="1:13" x14ac:dyDescent="0.25">
      <c r="A40" s="4">
        <f>ЛИК_дляСкорингаДП!A40</f>
        <v>5077746824436</v>
      </c>
      <c r="B40" s="4">
        <f>ЛИК_дляСкорингаДП!B40</f>
        <v>7703634853</v>
      </c>
      <c r="C40" s="4" t="str">
        <f>ЛИК_дляСкорингаДП!C40</f>
        <v>ООО "ТВК "ТИШИНКА"</v>
      </c>
      <c r="D40" s="5" t="str">
        <f>ЛИК_дляСкорингаДП!M40</f>
        <v>Аренда и управление собственным или арендованным нежилым недвижимым имуществом</v>
      </c>
      <c r="E40" s="4" t="str">
        <f>ЛИК_дляСкорингаДП!L40</f>
        <v>68.20.2</v>
      </c>
      <c r="F40" t="str">
        <f>ЛИК_дляСкорингаДП!N40</f>
        <v>18.1,41.2,43.2,43.3,45.11.1,45.11.2,45.11.3,45.11.4,45.19.1,45.19.2,45.19.3,45.19.4,45.20.1,45.20.2,45.3,45.40,46.1,46.2,46.3,46.6,46.7,46.9,47.1,47.2,47.5,47.73,47.74,47.75,47.9,49.32,49.4,52.10,52.21.24,52.29,55.1,55.2,56.10,56.10.1,56.10.3,56.29,56.30,68.10.11,68.10.12,68.10.21,68.10.22,68.10.23,68.20.1,68.31.11,68.31.12,68.31.21,68.31.22,68.31.31,68.31.32,68.31.41,68.31.42,68.32.2,69.10,69.20,70.22,73.11,77.11,77.33,77.39,77.39.11,82.99,86,87,88,93.1,93.2,95.2</v>
      </c>
      <c r="G40" s="25" t="str">
        <f>ЛИК_дляСкорингаДП!AG40</f>
        <v>ОСН</v>
      </c>
      <c r="H40" s="55" t="str">
        <f>IF(ISNUMBER(E40),E40,
IFERROR(LEFT(E40,FIND(".",E40)-1),E40))</f>
        <v>68</v>
      </c>
      <c r="I40" s="30">
        <f>IF(COUNTIF(Справочник_ОКВЭД_НР!$A$3:$A$62,H40)&gt;0,Справочник_ОКВЭД_НР!$L$8,
 IF(COUNTIF(Справочник_ОКВЭД_НР!$C$3:$C$62,H40)&gt;0,Справочник_ОКВЭД_НР!$L$9,
  IF(COUNTIF(Справочник_ОКВЭД_НР!$E$3:$E$62,H40)&gt;0,Справочник_ОКВЭД_НР!$L$10,
   IF(COUNTIF(Справочник_ОКВЭД_НР!$G$3:$G$62,H40)&gt;0,Справочник_ОКВЭД_НР!$L$11,50))))</f>
        <v>100</v>
      </c>
      <c r="J40" s="30" cm="1">
        <f t="array" ref="J40">IFERROR(
 (SUMPRODUCT(ISNUMBER(SEARCH(","&amp;Справочник_ОКВЭД_НР!$A$3:$A$62&amp;".",","&amp;SUBSTITUTE(F40," ","")&amp;",")))*Справочник_ОКВЭД_НР!$L$9 +
  SUMPRODUCT(ISNUMBER(SEARCH(","&amp;Справочник_ОКВЭД_НР!$C$3:$C$62&amp;".",","&amp;SUBSTITUTE(F40," ","")&amp;",")))*Справочник_ОКВЭД_НР!$L$10 +
  SUMPRODUCT(ISNUMBER(SEARCH(","&amp;Справочник_ОКВЭД_НР!$E$3:$E$62&amp;".",","&amp;SUBSTITUTE(F40," ","")&amp;",")))*Справочник_ОКВЭД_НР!$L$11 +
  SUMPRODUCT(ISNUMBER(SEARCH(","&amp;Справочник_ОКВЭД_НР!$G$3:$G$62&amp;".",","&amp;SUBSTITUTE(F40," ","")&amp;",")))*Справочник_ОКВЭД_НР!$L$12) /
 (SUMPRODUCT(ISNUMBER(SEARCH(","&amp;Справочник_ОКВЭД_НР!$A$3:$A$62&amp;".",","&amp;SUBSTITUTE(F40," ","")&amp;","))) +
  SUMPRODUCT(ISNUMBER(SEARCH(","&amp;Справочник_ОКВЭД_НР!$C$3:$C$62&amp;".",","&amp;SUBSTITUTE(F40," ","")&amp;","))) +
  SUMPRODUCT(ISNUMBER(SEARCH(","&amp;Справочник_ОКВЭД_НР!$E$3:$E$62&amp;".",","&amp;SUBSTITUTE(F40," ","")&amp;","))) +
  SUMPRODUCT(ISNUMBER(SEARCH(","&amp;Справочник_ОКВЭД_НР!$G$3:$G$62&amp;".",","&amp;SUBSTITUTE(F40," ","")&amp;",")))),
50)</f>
        <v>50</v>
      </c>
      <c r="K40" s="30">
        <f>IFERROR(VLOOKUP(G40,Справочник_ОКВЭД_НР!$O:$P,2,FALSE()),50)</f>
        <v>100</v>
      </c>
      <c r="L40" s="45">
        <f>(I40*Справочник_ОКВЭД_НР!$L$2+J40*Справочник_ОКВЭД_НР!$L$3+K40*Справочник_ОКВЭД_НР!$L$4)*M40</f>
        <v>87.5</v>
      </c>
      <c r="M40" s="47">
        <f>IF(COUNTIF(Справочник_ОКВЭД_НР!$G$3:$G$62,H40)&gt;0,0,1)</f>
        <v>1</v>
      </c>
    </row>
    <row r="41" spans="1:13" x14ac:dyDescent="0.25">
      <c r="A41" s="4">
        <f>ЛИК_дляСкорингаДП!A41</f>
        <v>1027739292954</v>
      </c>
      <c r="B41" s="4">
        <f>ЛИК_дляСкорингаДП!B41</f>
        <v>7704017726</v>
      </c>
      <c r="C41" s="4" t="str">
        <f>ЛИК_дляСкорингаДП!C41</f>
        <v>ОАО "ТВЕРСКАЯ, 16"</v>
      </c>
      <c r="D41" s="5" t="str">
        <f>ЛИК_дляСкорингаДП!M41</f>
        <v>Аренда и управление собственным или арендованным прочим нежилым недвижимым имуществом</v>
      </c>
      <c r="E41" s="4" t="str">
        <f>ЛИК_дляСкорингаДП!L41</f>
        <v>68.20.29</v>
      </c>
      <c r="F41" t="str">
        <f>ЛИК_дляСкорингаДП!N41</f>
        <v>41.20,43.2,43.3,46.90,68.20.2,71.11.1</v>
      </c>
      <c r="G41" s="25" t="str">
        <f>ЛИК_дляСкорингаДП!AG41</f>
        <v>ОСН</v>
      </c>
      <c r="H41" s="55" t="str">
        <f>IF(ISNUMBER(E41),E41,
IFERROR(LEFT(E41,FIND(".",E41)-1),E41))</f>
        <v>68</v>
      </c>
      <c r="I41" s="30">
        <f>IF(COUNTIF(Справочник_ОКВЭД_НР!$A$3:$A$62,H41)&gt;0,Справочник_ОКВЭД_НР!$L$8,
 IF(COUNTIF(Справочник_ОКВЭД_НР!$C$3:$C$62,H41)&gt;0,Справочник_ОКВЭД_НР!$L$9,
  IF(COUNTIF(Справочник_ОКВЭД_НР!$E$3:$E$62,H41)&gt;0,Справочник_ОКВЭД_НР!$L$10,
   IF(COUNTIF(Справочник_ОКВЭД_НР!$G$3:$G$62,H41)&gt;0,Справочник_ОКВЭД_НР!$L$11,50))))</f>
        <v>100</v>
      </c>
      <c r="J41" s="30" cm="1">
        <f t="array" ref="J41">IFERROR(
 (SUMPRODUCT(ISNUMBER(SEARCH(","&amp;Справочник_ОКВЭД_НР!$A$3:$A$62&amp;".",","&amp;SUBSTITUTE(F41," ","")&amp;",")))*Справочник_ОКВЭД_НР!$L$9 +
  SUMPRODUCT(ISNUMBER(SEARCH(","&amp;Справочник_ОКВЭД_НР!$C$3:$C$62&amp;".",","&amp;SUBSTITUTE(F41," ","")&amp;",")))*Справочник_ОКВЭД_НР!$L$10 +
  SUMPRODUCT(ISNUMBER(SEARCH(","&amp;Справочник_ОКВЭД_НР!$E$3:$E$62&amp;".",","&amp;SUBSTITUTE(F41," ","")&amp;",")))*Справочник_ОКВЭД_НР!$L$11 +
  SUMPRODUCT(ISNUMBER(SEARCH(","&amp;Справочник_ОКВЭД_НР!$G$3:$G$62&amp;".",","&amp;SUBSTITUTE(F41," ","")&amp;",")))*Справочник_ОКВЭД_НР!$L$12) /
 (SUMPRODUCT(ISNUMBER(SEARCH(","&amp;Справочник_ОКВЭД_НР!$A$3:$A$62&amp;".",","&amp;SUBSTITUTE(F41," ","")&amp;","))) +
  SUMPRODUCT(ISNUMBER(SEARCH(","&amp;Справочник_ОКВЭД_НР!$C$3:$C$62&amp;".",","&amp;SUBSTITUTE(F41," ","")&amp;","))) +
  SUMPRODUCT(ISNUMBER(SEARCH(","&amp;Справочник_ОКВЭД_НР!$E$3:$E$62&amp;".",","&amp;SUBSTITUTE(F41," ","")&amp;","))) +
  SUMPRODUCT(ISNUMBER(SEARCH(","&amp;Справочник_ОКВЭД_НР!$G$3:$G$62&amp;".",","&amp;SUBSTITUTE(F41," ","")&amp;",")))),
50)</f>
        <v>50</v>
      </c>
      <c r="K41" s="30">
        <f>IFERROR(VLOOKUP(G41,Справочник_ОКВЭД_НР!$O:$P,2,FALSE()),50)</f>
        <v>100</v>
      </c>
      <c r="L41" s="45">
        <f>(I41*Справочник_ОКВЭД_НР!$L$2+J41*Справочник_ОКВЭД_НР!$L$3+K41*Справочник_ОКВЭД_НР!$L$4)*M41</f>
        <v>87.5</v>
      </c>
      <c r="M41" s="47">
        <f>IF(COUNTIF(Справочник_ОКВЭД_НР!$G$3:$G$62,H41)&gt;0,0,1)</f>
        <v>1</v>
      </c>
    </row>
    <row r="42" spans="1:13" x14ac:dyDescent="0.25">
      <c r="A42" s="4">
        <f>ЛИК_дляСкорингаДП!A42</f>
        <v>1027739323248</v>
      </c>
      <c r="B42" s="4">
        <f>ЛИК_дляСкорингаДП!B42</f>
        <v>7704172866</v>
      </c>
      <c r="C42" s="4" t="str">
        <f>ЛИК_дляСкорингаДП!C42</f>
        <v>АО "ГАЗЕТА МЕТРО"</v>
      </c>
      <c r="D42" s="5" t="str">
        <f>ЛИК_дляСкорингаДП!M42</f>
        <v>Издание газет в печатном виде</v>
      </c>
      <c r="E42" s="4" t="str">
        <f>ЛИК_дляСкорингаДП!L42</f>
        <v>58.13.1</v>
      </c>
      <c r="F42" t="str">
        <f>ЛИК_дляСкорингаДП!N42</f>
        <v>18.11,18.12,58.13,58.14,58.19,58.29,59.11,59.12,62.01,62.09,63.11,63.12,63.91,73.11,73.12,73.20,74.10,74.20,82.30,90.01,93.19,93.29</v>
      </c>
      <c r="G42" s="25" t="str">
        <f>ЛИК_дляСкорингаДП!AG42</f>
        <v>ОСН</v>
      </c>
      <c r="H42" s="55" t="str">
        <f>IF(ISNUMBER(E42),E42,
IFERROR(LEFT(E42,FIND(".",E42)-1),E42))</f>
        <v>58</v>
      </c>
      <c r="I42" s="30">
        <f>IF(COUNTIF(Справочник_ОКВЭД_НР!$A$3:$A$62,H42)&gt;0,Справочник_ОКВЭД_НР!$L$8,
 IF(COUNTIF(Справочник_ОКВЭД_НР!$C$3:$C$62,H42)&gt;0,Справочник_ОКВЭД_НР!$L$9,
  IF(COUNTIF(Справочник_ОКВЭД_НР!$E$3:$E$62,H42)&gt;0,Справочник_ОКВЭД_НР!$L$10,
   IF(COUNTIF(Справочник_ОКВЭД_НР!$G$3:$G$62,H42)&gt;0,Справочник_ОКВЭД_НР!$L$11,50))))</f>
        <v>30</v>
      </c>
      <c r="J42" s="30" cm="1">
        <f t="array" ref="J42">IFERROR(
 (SUMPRODUCT(ISNUMBER(SEARCH(","&amp;Справочник_ОКВЭД_НР!$A$3:$A$62&amp;".",","&amp;SUBSTITUTE(F42," ","")&amp;",")))*Справочник_ОКВЭД_НР!$L$9 +
  SUMPRODUCT(ISNUMBER(SEARCH(","&amp;Справочник_ОКВЭД_НР!$C$3:$C$62&amp;".",","&amp;SUBSTITUTE(F42," ","")&amp;",")))*Справочник_ОКВЭД_НР!$L$10 +
  SUMPRODUCT(ISNUMBER(SEARCH(","&amp;Справочник_ОКВЭД_НР!$E$3:$E$62&amp;".",","&amp;SUBSTITUTE(F42," ","")&amp;",")))*Справочник_ОКВЭД_НР!$L$11 +
  SUMPRODUCT(ISNUMBER(SEARCH(","&amp;Справочник_ОКВЭД_НР!$G$3:$G$62&amp;".",","&amp;SUBSTITUTE(F42," ","")&amp;",")))*Справочник_ОКВЭД_НР!$L$12) /
 (SUMPRODUCT(ISNUMBER(SEARCH(","&amp;Справочник_ОКВЭД_НР!$A$3:$A$62&amp;".",","&amp;SUBSTITUTE(F42," ","")&amp;","))) +
  SUMPRODUCT(ISNUMBER(SEARCH(","&amp;Справочник_ОКВЭД_НР!$C$3:$C$62&amp;".",","&amp;SUBSTITUTE(F42," ","")&amp;","))) +
  SUMPRODUCT(ISNUMBER(SEARCH(","&amp;Справочник_ОКВЭД_НР!$E$3:$E$62&amp;".",","&amp;SUBSTITUTE(F42," ","")&amp;","))) +
  SUMPRODUCT(ISNUMBER(SEARCH(","&amp;Справочник_ОКВЭД_НР!$G$3:$G$62&amp;".",","&amp;SUBSTITUTE(F42," ","")&amp;",")))),
50)</f>
        <v>50</v>
      </c>
      <c r="K42" s="30">
        <f>IFERROR(VLOOKUP(G42,Справочник_ОКВЭД_НР!$O:$P,2,FALSE()),50)</f>
        <v>100</v>
      </c>
      <c r="L42" s="45">
        <f>(I42*Справочник_ОКВЭД_НР!$L$2+J42*Справочник_ОКВЭД_НР!$L$3+K42*Справочник_ОКВЭД_НР!$L$4)*M42</f>
        <v>45.5</v>
      </c>
      <c r="M42" s="47">
        <f>IF(COUNTIF(Справочник_ОКВЭД_НР!$G$3:$G$62,H42)&gt;0,0,1)</f>
        <v>1</v>
      </c>
    </row>
    <row r="43" spans="1:13" x14ac:dyDescent="0.25">
      <c r="A43" s="4">
        <f>ЛИК_дляСкорингаДП!A43</f>
        <v>1027739262770</v>
      </c>
      <c r="B43" s="4">
        <f>ЛИК_дляСкорингаДП!B43</f>
        <v>5024032064</v>
      </c>
      <c r="C43" s="4" t="str">
        <f>ЛИК_дляСкорингаДП!C43</f>
        <v>ООО "ДАЕВ ПЛАЗА"</v>
      </c>
      <c r="D43" s="5" t="str">
        <f>ЛИК_дляСкорингаДП!M43</f>
        <v>Аренда и управление собственным или арендованным жилым недвижимым имуществом</v>
      </c>
      <c r="E43" s="4" t="str">
        <f>ЛИК_дляСкорингаДП!L43</f>
        <v>68.20.1</v>
      </c>
      <c r="F43" t="str">
        <f>ЛИК_дляСкорингаДП!N43</f>
        <v>61.10.9,68.20.2</v>
      </c>
      <c r="G43" s="25" t="str">
        <f>ЛИК_дляСкорингаДП!AG43</f>
        <v>ОСН</v>
      </c>
      <c r="H43" s="55" t="str">
        <f>IF(ISNUMBER(E43),E43,
IFERROR(LEFT(E43,FIND(".",E43)-1),E43))</f>
        <v>68</v>
      </c>
      <c r="I43" s="30">
        <f>IF(COUNTIF(Справочник_ОКВЭД_НР!$A$3:$A$62,H43)&gt;0,Справочник_ОКВЭД_НР!$L$8,
 IF(COUNTIF(Справочник_ОКВЭД_НР!$C$3:$C$62,H43)&gt;0,Справочник_ОКВЭД_НР!$L$9,
  IF(COUNTIF(Справочник_ОКВЭД_НР!$E$3:$E$62,H43)&gt;0,Справочник_ОКВЭД_НР!$L$10,
   IF(COUNTIF(Справочник_ОКВЭД_НР!$G$3:$G$62,H43)&gt;0,Справочник_ОКВЭД_НР!$L$11,50))))</f>
        <v>100</v>
      </c>
      <c r="J43" s="30" cm="1">
        <f t="array" ref="J43">IFERROR(
 (SUMPRODUCT(ISNUMBER(SEARCH(","&amp;Справочник_ОКВЭД_НР!$A$3:$A$62&amp;".",","&amp;SUBSTITUTE(F43," ","")&amp;",")))*Справочник_ОКВЭД_НР!$L$9 +
  SUMPRODUCT(ISNUMBER(SEARCH(","&amp;Справочник_ОКВЭД_НР!$C$3:$C$62&amp;".",","&amp;SUBSTITUTE(F43," ","")&amp;",")))*Справочник_ОКВЭД_НР!$L$10 +
  SUMPRODUCT(ISNUMBER(SEARCH(","&amp;Справочник_ОКВЭД_НР!$E$3:$E$62&amp;".",","&amp;SUBSTITUTE(F43," ","")&amp;",")))*Справочник_ОКВЭД_НР!$L$11 +
  SUMPRODUCT(ISNUMBER(SEARCH(","&amp;Справочник_ОКВЭД_НР!$G$3:$G$62&amp;".",","&amp;SUBSTITUTE(F43," ","")&amp;",")))*Справочник_ОКВЭД_НР!$L$12) /
 (SUMPRODUCT(ISNUMBER(SEARCH(","&amp;Справочник_ОКВЭД_НР!$A$3:$A$62&amp;".",","&amp;SUBSTITUTE(F43," ","")&amp;","))) +
  SUMPRODUCT(ISNUMBER(SEARCH(","&amp;Справочник_ОКВЭД_НР!$C$3:$C$62&amp;".",","&amp;SUBSTITUTE(F43," ","")&amp;","))) +
  SUMPRODUCT(ISNUMBER(SEARCH(","&amp;Справочник_ОКВЭД_НР!$E$3:$E$62&amp;".",","&amp;SUBSTITUTE(F43," ","")&amp;","))) +
  SUMPRODUCT(ISNUMBER(SEARCH(","&amp;Справочник_ОКВЭД_НР!$G$3:$G$62&amp;".",","&amp;SUBSTITUTE(F43," ","")&amp;",")))),
50)</f>
        <v>50</v>
      </c>
      <c r="K43" s="30">
        <f>IFERROR(VLOOKUP(G43,Справочник_ОКВЭД_НР!$O:$P,2,FALSE()),50)</f>
        <v>100</v>
      </c>
      <c r="L43" s="45">
        <f>(I43*Справочник_ОКВЭД_НР!$L$2+J43*Справочник_ОКВЭД_НР!$L$3+K43*Справочник_ОКВЭД_НР!$L$4)*M43</f>
        <v>87.5</v>
      </c>
      <c r="M43" s="47">
        <f>IF(COUNTIF(Справочник_ОКВЭД_НР!$G$3:$G$62,H43)&gt;0,0,1)</f>
        <v>1</v>
      </c>
    </row>
    <row r="44" spans="1:13" x14ac:dyDescent="0.25">
      <c r="A44" s="4">
        <f>ЛИК_дляСкорингаДП!A44</f>
        <v>1187746267400</v>
      </c>
      <c r="B44" s="4">
        <f>ЛИК_дляСкорингаДП!B44</f>
        <v>7704452567</v>
      </c>
      <c r="C44" s="4" t="str">
        <f>ЛИК_дляСкорингаДП!C44</f>
        <v>ООО "ЭЛГАД ИНВЕСТ"</v>
      </c>
      <c r="D44" s="5" t="str">
        <f>ЛИК_дляСкорингаДП!M44</f>
        <v>Аренда и управление собственным или арендованным нежилым недвижимым имуществом</v>
      </c>
      <c r="E44" s="4" t="str">
        <f>ЛИК_дляСкорингаДП!L44</f>
        <v>68.20.2</v>
      </c>
      <c r="F44" t="str">
        <f>ЛИК_дляСкорингаДП!N44</f>
        <v>64.92,64.99,68.10,68.10.22,68.20</v>
      </c>
      <c r="G44" s="25" t="str">
        <f>ЛИК_дляСкорингаДП!AG44</f>
        <v>ОСН</v>
      </c>
      <c r="H44" s="55" t="str">
        <f>IF(ISNUMBER(E44),E44,
IFERROR(LEFT(E44,FIND(".",E44)-1),E44))</f>
        <v>68</v>
      </c>
      <c r="I44" s="30">
        <f>IF(COUNTIF(Справочник_ОКВЭД_НР!$A$3:$A$62,H44)&gt;0,Справочник_ОКВЭД_НР!$L$8,
 IF(COUNTIF(Справочник_ОКВЭД_НР!$C$3:$C$62,H44)&gt;0,Справочник_ОКВЭД_НР!$L$9,
  IF(COUNTIF(Справочник_ОКВЭД_НР!$E$3:$E$62,H44)&gt;0,Справочник_ОКВЭД_НР!$L$10,
   IF(COUNTIF(Справочник_ОКВЭД_НР!$G$3:$G$62,H44)&gt;0,Справочник_ОКВЭД_НР!$L$11,50))))</f>
        <v>100</v>
      </c>
      <c r="J44" s="30" cm="1">
        <f t="array" ref="J44">IFERROR(
 (SUMPRODUCT(ISNUMBER(SEARCH(","&amp;Справочник_ОКВЭД_НР!$A$3:$A$62&amp;".",","&amp;SUBSTITUTE(F44," ","")&amp;",")))*Справочник_ОКВЭД_НР!$L$9 +
  SUMPRODUCT(ISNUMBER(SEARCH(","&amp;Справочник_ОКВЭД_НР!$C$3:$C$62&amp;".",","&amp;SUBSTITUTE(F44," ","")&amp;",")))*Справочник_ОКВЭД_НР!$L$10 +
  SUMPRODUCT(ISNUMBER(SEARCH(","&amp;Справочник_ОКВЭД_НР!$E$3:$E$62&amp;".",","&amp;SUBSTITUTE(F44," ","")&amp;",")))*Справочник_ОКВЭД_НР!$L$11 +
  SUMPRODUCT(ISNUMBER(SEARCH(","&amp;Справочник_ОКВЭД_НР!$G$3:$G$62&amp;".",","&amp;SUBSTITUTE(F44," ","")&amp;",")))*Справочник_ОКВЭД_НР!$L$12) /
 (SUMPRODUCT(ISNUMBER(SEARCH(","&amp;Справочник_ОКВЭД_НР!$A$3:$A$62&amp;".",","&amp;SUBSTITUTE(F44," ","")&amp;","))) +
  SUMPRODUCT(ISNUMBER(SEARCH(","&amp;Справочник_ОКВЭД_НР!$C$3:$C$62&amp;".",","&amp;SUBSTITUTE(F44," ","")&amp;","))) +
  SUMPRODUCT(ISNUMBER(SEARCH(","&amp;Справочник_ОКВЭД_НР!$E$3:$E$62&amp;".",","&amp;SUBSTITUTE(F44," ","")&amp;","))) +
  SUMPRODUCT(ISNUMBER(SEARCH(","&amp;Справочник_ОКВЭД_НР!$G$3:$G$62&amp;".",","&amp;SUBSTITUTE(F44," ","")&amp;",")))),
50)</f>
        <v>50</v>
      </c>
      <c r="K44" s="30">
        <f>IFERROR(VLOOKUP(G44,Справочник_ОКВЭД_НР!$O:$P,2,FALSE()),50)</f>
        <v>100</v>
      </c>
      <c r="L44" s="45">
        <f>(I44*Справочник_ОКВЭД_НР!$L$2+J44*Справочник_ОКВЭД_НР!$L$3+K44*Справочник_ОКВЭД_НР!$L$4)*M44</f>
        <v>87.5</v>
      </c>
      <c r="M44" s="47">
        <f>IF(COUNTIF(Справочник_ОКВЭД_НР!$G$3:$G$62,H44)&gt;0,0,1)</f>
        <v>1</v>
      </c>
    </row>
    <row r="45" spans="1:13" x14ac:dyDescent="0.25">
      <c r="A45" s="4">
        <f>ЛИК_дляСкорингаДП!A45</f>
        <v>1115074015132</v>
      </c>
      <c r="B45" s="4">
        <f>ЛИК_дляСкорингаДП!B45</f>
        <v>5036118421</v>
      </c>
      <c r="C45" s="4" t="str">
        <f>ЛИК_дляСкорингаДП!C45</f>
        <v>ООО "ФОРМА"</v>
      </c>
      <c r="D45" s="5" t="str">
        <f>ЛИК_дляСкорингаДП!M45</f>
        <v>Деятельность по комплексному обслуживанию помещений</v>
      </c>
      <c r="E45" s="4" t="str">
        <f>ЛИК_дляСкорингаДП!L45</f>
        <v>81.10</v>
      </c>
      <c r="F45" t="str">
        <f>ЛИК_дляСкорингаДП!N45</f>
        <v>41.2,43.12,43.2,43.3,43.99,64.19,64.99,66.1,68.1,68.2,68.3,71.1,71.12.5,71.12.6</v>
      </c>
      <c r="G45" s="25" t="str">
        <f>ЛИК_дляСкорингаДП!AG45</f>
        <v>ОСН</v>
      </c>
      <c r="H45" s="55" t="str">
        <f>IF(ISNUMBER(E45),E45,
IFERROR(LEFT(E45,FIND(".",E45)-1),E45))</f>
        <v>81</v>
      </c>
      <c r="I45" s="30">
        <f>IF(COUNTIF(Справочник_ОКВЭД_НР!$A$3:$A$62,H45)&gt;0,Справочник_ОКВЭД_НР!$L$8,
 IF(COUNTIF(Справочник_ОКВЭД_НР!$C$3:$C$62,H45)&gt;0,Справочник_ОКВЭД_НР!$L$9,
  IF(COUNTIF(Справочник_ОКВЭД_НР!$E$3:$E$62,H45)&gt;0,Справочник_ОКВЭД_НР!$L$10,
   IF(COUNTIF(Справочник_ОКВЭД_НР!$G$3:$G$62,H45)&gt;0,Справочник_ОКВЭД_НР!$L$11,50))))</f>
        <v>30</v>
      </c>
      <c r="J45" s="30" cm="1">
        <f t="array" ref="J45">IFERROR(
 (SUMPRODUCT(ISNUMBER(SEARCH(","&amp;Справочник_ОКВЭД_НР!$A$3:$A$62&amp;".",","&amp;SUBSTITUTE(F45," ","")&amp;",")))*Справочник_ОКВЭД_НР!$L$9 +
  SUMPRODUCT(ISNUMBER(SEARCH(","&amp;Справочник_ОКВЭД_НР!$C$3:$C$62&amp;".",","&amp;SUBSTITUTE(F45," ","")&amp;",")))*Справочник_ОКВЭД_НР!$L$10 +
  SUMPRODUCT(ISNUMBER(SEARCH(","&amp;Справочник_ОКВЭД_НР!$E$3:$E$62&amp;".",","&amp;SUBSTITUTE(F45," ","")&amp;",")))*Справочник_ОКВЭД_НР!$L$11 +
  SUMPRODUCT(ISNUMBER(SEARCH(","&amp;Справочник_ОКВЭД_НР!$G$3:$G$62&amp;".",","&amp;SUBSTITUTE(F45," ","")&amp;",")))*Справочник_ОКВЭД_НР!$L$12) /
 (SUMPRODUCT(ISNUMBER(SEARCH(","&amp;Справочник_ОКВЭД_НР!$A$3:$A$62&amp;".",","&amp;SUBSTITUTE(F45," ","")&amp;","))) +
  SUMPRODUCT(ISNUMBER(SEARCH(","&amp;Справочник_ОКВЭД_НР!$C$3:$C$62&amp;".",","&amp;SUBSTITUTE(F45," ","")&amp;","))) +
  SUMPRODUCT(ISNUMBER(SEARCH(","&amp;Справочник_ОКВЭД_НР!$E$3:$E$62&amp;".",","&amp;SUBSTITUTE(F45," ","")&amp;","))) +
  SUMPRODUCT(ISNUMBER(SEARCH(","&amp;Справочник_ОКВЭД_НР!$G$3:$G$62&amp;".",","&amp;SUBSTITUTE(F45," ","")&amp;",")))),
50)</f>
        <v>50</v>
      </c>
      <c r="K45" s="30">
        <f>IFERROR(VLOOKUP(G45,Справочник_ОКВЭД_НР!$O:$P,2,FALSE()),50)</f>
        <v>100</v>
      </c>
      <c r="L45" s="45">
        <f>(I45*Справочник_ОКВЭД_НР!$L$2+J45*Справочник_ОКВЭД_НР!$L$3+K45*Справочник_ОКВЭД_НР!$L$4)*M45</f>
        <v>45.5</v>
      </c>
      <c r="M45" s="47">
        <f>IF(COUNTIF(Справочник_ОКВЭД_НР!$G$3:$G$62,H45)&gt;0,0,1)</f>
        <v>1</v>
      </c>
    </row>
    <row r="46" spans="1:13" x14ac:dyDescent="0.25">
      <c r="A46" s="4">
        <f>ЛИК_дляСкорингаДП!A46</f>
        <v>1175053010274</v>
      </c>
      <c r="B46" s="4">
        <f>ЛИК_дляСкорингаДП!B46</f>
        <v>5012094725</v>
      </c>
      <c r="C46" s="4" t="str">
        <f>ЛИК_дляСкорингаДП!C46</f>
        <v>ООО "МАСТЕР ДИСТРИБЬЮТОР"</v>
      </c>
      <c r="D46" s="5" t="str">
        <f>ЛИК_дляСкорингаДП!M46</f>
        <v>Аренда и управление собственным или арендованным нежилым недвижимым имуществом</v>
      </c>
      <c r="E46" s="4" t="str">
        <f>ЛИК_дляСкорингаДП!L46</f>
        <v>68.20.2</v>
      </c>
      <c r="F46" t="str">
        <f>ЛИК_дляСкорингаДП!N46</f>
        <v>46.36,46.36.2,46.36.3,46.38.2,46.38.29,49.41,49.41.1,49.41.2,49.41.3,49.42,52.10,52.10.9,52.21.2,52.21.29,52.24,52.24.1,52.24.2,52.29,82.99</v>
      </c>
      <c r="G46" s="25" t="str">
        <f>ЛИК_дляСкорингаДП!AG46</f>
        <v>ОСН</v>
      </c>
      <c r="H46" s="55" t="str">
        <f>IF(ISNUMBER(E46),E46,
IFERROR(LEFT(E46,FIND(".",E46)-1),E46))</f>
        <v>68</v>
      </c>
      <c r="I46" s="30">
        <f>IF(COUNTIF(Справочник_ОКВЭД_НР!$A$3:$A$62,H46)&gt;0,Справочник_ОКВЭД_НР!$L$8,
 IF(COUNTIF(Справочник_ОКВЭД_НР!$C$3:$C$62,H46)&gt;0,Справочник_ОКВЭД_НР!$L$9,
  IF(COUNTIF(Справочник_ОКВЭД_НР!$E$3:$E$62,H46)&gt;0,Справочник_ОКВЭД_НР!$L$10,
   IF(COUNTIF(Справочник_ОКВЭД_НР!$G$3:$G$62,H46)&gt;0,Справочник_ОКВЭД_НР!$L$11,50))))</f>
        <v>100</v>
      </c>
      <c r="J46" s="30" cm="1">
        <f t="array" ref="J46">IFERROR(
 (SUMPRODUCT(ISNUMBER(SEARCH(","&amp;Справочник_ОКВЭД_НР!$A$3:$A$62&amp;".",","&amp;SUBSTITUTE(F46," ","")&amp;",")))*Справочник_ОКВЭД_НР!$L$9 +
  SUMPRODUCT(ISNUMBER(SEARCH(","&amp;Справочник_ОКВЭД_НР!$C$3:$C$62&amp;".",","&amp;SUBSTITUTE(F46," ","")&amp;",")))*Справочник_ОКВЭД_НР!$L$10 +
  SUMPRODUCT(ISNUMBER(SEARCH(","&amp;Справочник_ОКВЭД_НР!$E$3:$E$62&amp;".",","&amp;SUBSTITUTE(F46," ","")&amp;",")))*Справочник_ОКВЭД_НР!$L$11 +
  SUMPRODUCT(ISNUMBER(SEARCH(","&amp;Справочник_ОКВЭД_НР!$G$3:$G$62&amp;".",","&amp;SUBSTITUTE(F46," ","")&amp;",")))*Справочник_ОКВЭД_НР!$L$12) /
 (SUMPRODUCT(ISNUMBER(SEARCH(","&amp;Справочник_ОКВЭД_НР!$A$3:$A$62&amp;".",","&amp;SUBSTITUTE(F46," ","")&amp;","))) +
  SUMPRODUCT(ISNUMBER(SEARCH(","&amp;Справочник_ОКВЭД_НР!$C$3:$C$62&amp;".",","&amp;SUBSTITUTE(F46," ","")&amp;","))) +
  SUMPRODUCT(ISNUMBER(SEARCH(","&amp;Справочник_ОКВЭД_НР!$E$3:$E$62&amp;".",","&amp;SUBSTITUTE(F46," ","")&amp;","))) +
  SUMPRODUCT(ISNUMBER(SEARCH(","&amp;Справочник_ОКВЭД_НР!$G$3:$G$62&amp;".",","&amp;SUBSTITUTE(F46," ","")&amp;",")))),
50)</f>
        <v>50</v>
      </c>
      <c r="K46" s="30">
        <f>IFERROR(VLOOKUP(G46,Справочник_ОКВЭД_НР!$O:$P,2,FALSE()),50)</f>
        <v>100</v>
      </c>
      <c r="L46" s="45">
        <f>(I46*Справочник_ОКВЭД_НР!$L$2+J46*Справочник_ОКВЭД_НР!$L$3+K46*Справочник_ОКВЭД_НР!$L$4)*M46</f>
        <v>87.5</v>
      </c>
      <c r="M46" s="47">
        <f>IF(COUNTIF(Справочник_ОКВЭД_НР!$G$3:$G$62,H46)&gt;0,0,1)</f>
        <v>1</v>
      </c>
    </row>
    <row r="47" spans="1:13" x14ac:dyDescent="0.25">
      <c r="A47" s="4">
        <f>ЛИК_дляСкорингаДП!A47</f>
        <v>1177746006437</v>
      </c>
      <c r="B47" s="4">
        <f>ЛИК_дляСкорингаДП!B47</f>
        <v>7703421968</v>
      </c>
      <c r="C47" s="4" t="str">
        <f>ЛИК_дляСкорингаДП!C47</f>
        <v>ООО "ПЛТ БЕКАСОВО"</v>
      </c>
      <c r="D47" s="5" t="str">
        <f>ЛИК_дляСкорингаДП!M47</f>
        <v>Аренда и управление собственным или арендованным прочим нежилым недвижимым имуществом</v>
      </c>
      <c r="E47" s="4" t="str">
        <f>ЛИК_дляСкорингаДП!L47</f>
        <v>68.20.29</v>
      </c>
      <c r="F47" t="str">
        <f>ЛИК_дляСкорингаДП!N47</f>
        <v>41.20,43.99,52.10,52.21,52.29,64.99.11,64.99.3,68.10,68.10.23,68.20.2</v>
      </c>
      <c r="G47" s="25" t="str">
        <f>ЛИК_дляСкорингаДП!AG47</f>
        <v>ОСН</v>
      </c>
      <c r="H47" s="55" t="str">
        <f>IF(ISNUMBER(E47),E47,
IFERROR(LEFT(E47,FIND(".",E47)-1),E47))</f>
        <v>68</v>
      </c>
      <c r="I47" s="30">
        <f>IF(COUNTIF(Справочник_ОКВЭД_НР!$A$3:$A$62,H47)&gt;0,Справочник_ОКВЭД_НР!$L$8,
 IF(COUNTIF(Справочник_ОКВЭД_НР!$C$3:$C$62,H47)&gt;0,Справочник_ОКВЭД_НР!$L$9,
  IF(COUNTIF(Справочник_ОКВЭД_НР!$E$3:$E$62,H47)&gt;0,Справочник_ОКВЭД_НР!$L$10,
   IF(COUNTIF(Справочник_ОКВЭД_НР!$G$3:$G$62,H47)&gt;0,Справочник_ОКВЭД_НР!$L$11,50))))</f>
        <v>100</v>
      </c>
      <c r="J47" s="30" cm="1">
        <f t="array" ref="J47">IFERROR(
 (SUMPRODUCT(ISNUMBER(SEARCH(","&amp;Справочник_ОКВЭД_НР!$A$3:$A$62&amp;".",","&amp;SUBSTITUTE(F47," ","")&amp;",")))*Справочник_ОКВЭД_НР!$L$9 +
  SUMPRODUCT(ISNUMBER(SEARCH(","&amp;Справочник_ОКВЭД_НР!$C$3:$C$62&amp;".",","&amp;SUBSTITUTE(F47," ","")&amp;",")))*Справочник_ОКВЭД_НР!$L$10 +
  SUMPRODUCT(ISNUMBER(SEARCH(","&amp;Справочник_ОКВЭД_НР!$E$3:$E$62&amp;".",","&amp;SUBSTITUTE(F47," ","")&amp;",")))*Справочник_ОКВЭД_НР!$L$11 +
  SUMPRODUCT(ISNUMBER(SEARCH(","&amp;Справочник_ОКВЭД_НР!$G$3:$G$62&amp;".",","&amp;SUBSTITUTE(F47," ","")&amp;",")))*Справочник_ОКВЭД_НР!$L$12) /
 (SUMPRODUCT(ISNUMBER(SEARCH(","&amp;Справочник_ОКВЭД_НР!$A$3:$A$62&amp;".",","&amp;SUBSTITUTE(F47," ","")&amp;","))) +
  SUMPRODUCT(ISNUMBER(SEARCH(","&amp;Справочник_ОКВЭД_НР!$C$3:$C$62&amp;".",","&amp;SUBSTITUTE(F47," ","")&amp;","))) +
  SUMPRODUCT(ISNUMBER(SEARCH(","&amp;Справочник_ОКВЭД_НР!$E$3:$E$62&amp;".",","&amp;SUBSTITUTE(F47," ","")&amp;","))) +
  SUMPRODUCT(ISNUMBER(SEARCH(","&amp;Справочник_ОКВЭД_НР!$G$3:$G$62&amp;".",","&amp;SUBSTITUTE(F47," ","")&amp;",")))),
50)</f>
        <v>50</v>
      </c>
      <c r="K47" s="30">
        <f>IFERROR(VLOOKUP(G47,Справочник_ОКВЭД_НР!$O:$P,2,FALSE()),50)</f>
        <v>100</v>
      </c>
      <c r="L47" s="45">
        <f>(I47*Справочник_ОКВЭД_НР!$L$2+J47*Справочник_ОКВЭД_НР!$L$3+K47*Справочник_ОКВЭД_НР!$L$4)*M47</f>
        <v>87.5</v>
      </c>
      <c r="M47" s="47">
        <f>IF(COUNTIF(Справочник_ОКВЭД_НР!$G$3:$G$62,H47)&gt;0,0,1)</f>
        <v>1</v>
      </c>
    </row>
    <row r="48" spans="1:13" x14ac:dyDescent="0.25">
      <c r="A48" s="4">
        <f>ЛИК_дляСкорингаДП!A48</f>
        <v>1217700608729</v>
      </c>
      <c r="B48" s="4">
        <f>ЛИК_дляСкорингаДП!B48</f>
        <v>9704106828</v>
      </c>
      <c r="C48" s="4" t="str">
        <f>ЛИК_дляСкорингаДП!C48</f>
        <v>ООО "СИГМА КОНСТРАКШЕН"</v>
      </c>
      <c r="D48" s="5" t="str">
        <f>ЛИК_дляСкорингаДП!M48</f>
        <v>Торговля оптовая лесоматериалами, строительными материалами и санитарно-техническим оборудованием</v>
      </c>
      <c r="E48" s="4" t="str">
        <f>ЛИК_дляСкорингаДП!L48</f>
        <v>46.73</v>
      </c>
      <c r="F48" t="str">
        <f>ЛИК_дляСкорингаДП!N48</f>
        <v>23.20,23.61,23.63,23.64,23.69,46.69,46.73.6,49.42,68.20,77.12</v>
      </c>
      <c r="G48" s="25" t="str">
        <f>ЛИК_дляСкорингаДП!AG48</f>
        <v>ОСН</v>
      </c>
      <c r="H48" s="55" t="str">
        <f>IF(ISNUMBER(E48),E48,
IFERROR(LEFT(E48,FIND(".",E48)-1),E48))</f>
        <v>46</v>
      </c>
      <c r="I48" s="30">
        <f>IF(COUNTIF(Справочник_ОКВЭД_НР!$A$3:$A$62,H48)&gt;0,Справочник_ОКВЭД_НР!$L$8,
 IF(COUNTIF(Справочник_ОКВЭД_НР!$C$3:$C$62,H48)&gt;0,Справочник_ОКВЭД_НР!$L$9,
  IF(COUNTIF(Справочник_ОКВЭД_НР!$E$3:$E$62,H48)&gt;0,Справочник_ОКВЭД_НР!$L$10,
   IF(COUNTIF(Справочник_ОКВЭД_НР!$G$3:$G$62,H48)&gt;0,Справочник_ОКВЭД_НР!$L$11,50))))</f>
        <v>60</v>
      </c>
      <c r="J48" s="30" cm="1">
        <f t="array" ref="J48">IFERROR(
 (SUMPRODUCT(ISNUMBER(SEARCH(","&amp;Справочник_ОКВЭД_НР!$A$3:$A$62&amp;".",","&amp;SUBSTITUTE(F48," ","")&amp;",")))*Справочник_ОКВЭД_НР!$L$9 +
  SUMPRODUCT(ISNUMBER(SEARCH(","&amp;Справочник_ОКВЭД_НР!$C$3:$C$62&amp;".",","&amp;SUBSTITUTE(F48," ","")&amp;",")))*Справочник_ОКВЭД_НР!$L$10 +
  SUMPRODUCT(ISNUMBER(SEARCH(","&amp;Справочник_ОКВЭД_НР!$E$3:$E$62&amp;".",","&amp;SUBSTITUTE(F48," ","")&amp;",")))*Справочник_ОКВЭД_НР!$L$11 +
  SUMPRODUCT(ISNUMBER(SEARCH(","&amp;Справочник_ОКВЭД_НР!$G$3:$G$62&amp;".",","&amp;SUBSTITUTE(F48," ","")&amp;",")))*Справочник_ОКВЭД_НР!$L$12) /
 (SUMPRODUCT(ISNUMBER(SEARCH(","&amp;Справочник_ОКВЭД_НР!$A$3:$A$62&amp;".",","&amp;SUBSTITUTE(F48," ","")&amp;","))) +
  SUMPRODUCT(ISNUMBER(SEARCH(","&amp;Справочник_ОКВЭД_НР!$C$3:$C$62&amp;".",","&amp;SUBSTITUTE(F48," ","")&amp;","))) +
  SUMPRODUCT(ISNUMBER(SEARCH(","&amp;Справочник_ОКВЭД_НР!$E$3:$E$62&amp;".",","&amp;SUBSTITUTE(F48," ","")&amp;","))) +
  SUMPRODUCT(ISNUMBER(SEARCH(","&amp;Справочник_ОКВЭД_НР!$G$3:$G$62&amp;".",","&amp;SUBSTITUTE(F48," ","")&amp;",")))),
50)</f>
        <v>50</v>
      </c>
      <c r="K48" s="30">
        <f>IFERROR(VLOOKUP(G48,Справочник_ОКВЭД_НР!$O:$P,2,FALSE()),50)</f>
        <v>100</v>
      </c>
      <c r="L48" s="45">
        <f>(I48*Справочник_ОКВЭД_НР!$L$2+J48*Справочник_ОКВЭД_НР!$L$3+K48*Справочник_ОКВЭД_НР!$L$4)*M48</f>
        <v>63.5</v>
      </c>
      <c r="M48" s="47">
        <f>IF(COUNTIF(Справочник_ОКВЭД_НР!$G$3:$G$62,H48)&gt;0,0,1)</f>
        <v>1</v>
      </c>
    </row>
    <row r="49" spans="1:13" x14ac:dyDescent="0.25">
      <c r="A49" s="4">
        <f>ЛИК_дляСкорингаДП!A49</f>
        <v>1247700304268</v>
      </c>
      <c r="B49" s="4">
        <f>ЛИК_дляСкорингаДП!B49</f>
        <v>9701284011</v>
      </c>
      <c r="C49" s="4" t="str">
        <f>ЛИК_дляСкорингаДП!C49</f>
        <v>АО "Л-КОНСАЛТ"</v>
      </c>
      <c r="D49" s="5" t="str">
        <f>ЛИК_дляСкорингаДП!M49</f>
        <v>Аренда и управление собственным или арендованным недвижимым имуществом</v>
      </c>
      <c r="E49" s="4" t="str">
        <f>ЛИК_дляСкорингаДП!L49</f>
        <v>68.20</v>
      </c>
      <c r="F49" t="str">
        <f>ЛИК_дляСкорингаДП!N49</f>
        <v>41.20,42.11,42.91,42.99,43.21,43.22,43.29,43.91,43.99,43.99.1,62.02,62.09,63.11.1,64.99.1,70.22,71.12.1,72.19,82.99,85.42.9,95.11</v>
      </c>
      <c r="G49" s="25" t="str">
        <f>ЛИК_дляСкорингаДП!AG49</f>
        <v>ОСН</v>
      </c>
      <c r="H49" s="55" t="str">
        <f>IF(ISNUMBER(E49),E49,
IFERROR(LEFT(E49,FIND(".",E49)-1),E49))</f>
        <v>68</v>
      </c>
      <c r="I49" s="30">
        <f>IF(COUNTIF(Справочник_ОКВЭД_НР!$A$3:$A$62,H49)&gt;0,Справочник_ОКВЭД_НР!$L$8,
 IF(COUNTIF(Справочник_ОКВЭД_НР!$C$3:$C$62,H49)&gt;0,Справочник_ОКВЭД_НР!$L$9,
  IF(COUNTIF(Справочник_ОКВЭД_НР!$E$3:$E$62,H49)&gt;0,Справочник_ОКВЭД_НР!$L$10,
   IF(COUNTIF(Справочник_ОКВЭД_НР!$G$3:$G$62,H49)&gt;0,Справочник_ОКВЭД_НР!$L$11,50))))</f>
        <v>100</v>
      </c>
      <c r="J49" s="30" cm="1">
        <f t="array" ref="J49">IFERROR(
 (SUMPRODUCT(ISNUMBER(SEARCH(","&amp;Справочник_ОКВЭД_НР!$A$3:$A$62&amp;".",","&amp;SUBSTITUTE(F49," ","")&amp;",")))*Справочник_ОКВЭД_НР!$L$9 +
  SUMPRODUCT(ISNUMBER(SEARCH(","&amp;Справочник_ОКВЭД_НР!$C$3:$C$62&amp;".",","&amp;SUBSTITUTE(F49," ","")&amp;",")))*Справочник_ОКВЭД_НР!$L$10 +
  SUMPRODUCT(ISNUMBER(SEARCH(","&amp;Справочник_ОКВЭД_НР!$E$3:$E$62&amp;".",","&amp;SUBSTITUTE(F49," ","")&amp;",")))*Справочник_ОКВЭД_НР!$L$11 +
  SUMPRODUCT(ISNUMBER(SEARCH(","&amp;Справочник_ОКВЭД_НР!$G$3:$G$62&amp;".",","&amp;SUBSTITUTE(F49," ","")&amp;",")))*Справочник_ОКВЭД_НР!$L$12) /
 (SUMPRODUCT(ISNUMBER(SEARCH(","&amp;Справочник_ОКВЭД_НР!$A$3:$A$62&amp;".",","&amp;SUBSTITUTE(F49," ","")&amp;","))) +
  SUMPRODUCT(ISNUMBER(SEARCH(","&amp;Справочник_ОКВЭД_НР!$C$3:$C$62&amp;".",","&amp;SUBSTITUTE(F49," ","")&amp;","))) +
  SUMPRODUCT(ISNUMBER(SEARCH(","&amp;Справочник_ОКВЭД_НР!$E$3:$E$62&amp;".",","&amp;SUBSTITUTE(F49," ","")&amp;","))) +
  SUMPRODUCT(ISNUMBER(SEARCH(","&amp;Справочник_ОКВЭД_НР!$G$3:$G$62&amp;".",","&amp;SUBSTITUTE(F49," ","")&amp;",")))),
50)</f>
        <v>50</v>
      </c>
      <c r="K49" s="30">
        <f>IFERROR(VLOOKUP(G49,Справочник_ОКВЭД_НР!$O:$P,2,FALSE()),50)</f>
        <v>100</v>
      </c>
      <c r="L49" s="45">
        <f>(I49*Справочник_ОКВЭД_НР!$L$2+J49*Справочник_ОКВЭД_НР!$L$3+K49*Справочник_ОКВЭД_НР!$L$4)*M49</f>
        <v>87.5</v>
      </c>
      <c r="M49" s="47">
        <f>IF(COUNTIF(Справочник_ОКВЭД_НР!$G$3:$G$62,H49)&gt;0,0,1)</f>
        <v>1</v>
      </c>
    </row>
    <row r="50" spans="1:13" x14ac:dyDescent="0.25">
      <c r="A50" s="4">
        <f>ЛИК_дляСкорингаДП!A50</f>
        <v>1217700481613</v>
      </c>
      <c r="B50" s="4">
        <f>ЛИК_дляСкорингаДП!B50</f>
        <v>7714477151</v>
      </c>
      <c r="C50" s="4" t="str">
        <f>ЛИК_дляСкорингаДП!C50</f>
        <v>ООО "ГАЛС-ПРОЕКТ"</v>
      </c>
      <c r="D50" s="5" t="str">
        <f>ЛИК_дляСкорингаДП!M50</f>
        <v>Аренда и управление собственным или арендованным прочим нежилым недвижимым имуществом</v>
      </c>
      <c r="E50" s="4" t="str">
        <f>ЛИК_дляСкорингаДП!L50</f>
        <v>68.20.29</v>
      </c>
      <c r="F50" t="str">
        <f>ЛИК_дляСкорингаДП!N50</f>
        <v>41.20,43.11,43.12.1,43.21,43.29,43.39,43.99.7,46.49,46.90,63.11.1,64.99,68.10,68.20,68.31.3,68.31.32,68.31.4,68.31.42,68.32.2,69.10,69.20,70.22,71.12.1,71.12.2,71.12.5,71.12.6,72.19,73.20.1</v>
      </c>
      <c r="G50" s="25" t="str">
        <f>ЛИК_дляСкорингаДП!AG50</f>
        <v>ОСН</v>
      </c>
      <c r="H50" s="55" t="str">
        <f>IF(ISNUMBER(E50),E50,
IFERROR(LEFT(E50,FIND(".",E50)-1),E50))</f>
        <v>68</v>
      </c>
      <c r="I50" s="30">
        <f>IF(COUNTIF(Справочник_ОКВЭД_НР!$A$3:$A$62,H50)&gt;0,Справочник_ОКВЭД_НР!$L$8,
 IF(COUNTIF(Справочник_ОКВЭД_НР!$C$3:$C$62,H50)&gt;0,Справочник_ОКВЭД_НР!$L$9,
  IF(COUNTIF(Справочник_ОКВЭД_НР!$E$3:$E$62,H50)&gt;0,Справочник_ОКВЭД_НР!$L$10,
   IF(COUNTIF(Справочник_ОКВЭД_НР!$G$3:$G$62,H50)&gt;0,Справочник_ОКВЭД_НР!$L$11,50))))</f>
        <v>100</v>
      </c>
      <c r="J50" s="30" cm="1">
        <f t="array" ref="J50">IFERROR(
 (SUMPRODUCT(ISNUMBER(SEARCH(","&amp;Справочник_ОКВЭД_НР!$A$3:$A$62&amp;".",","&amp;SUBSTITUTE(F50," ","")&amp;",")))*Справочник_ОКВЭД_НР!$L$9 +
  SUMPRODUCT(ISNUMBER(SEARCH(","&amp;Справочник_ОКВЭД_НР!$C$3:$C$62&amp;".",","&amp;SUBSTITUTE(F50," ","")&amp;",")))*Справочник_ОКВЭД_НР!$L$10 +
  SUMPRODUCT(ISNUMBER(SEARCH(","&amp;Справочник_ОКВЭД_НР!$E$3:$E$62&amp;".",","&amp;SUBSTITUTE(F50," ","")&amp;",")))*Справочник_ОКВЭД_НР!$L$11 +
  SUMPRODUCT(ISNUMBER(SEARCH(","&amp;Справочник_ОКВЭД_НР!$G$3:$G$62&amp;".",","&amp;SUBSTITUTE(F50," ","")&amp;",")))*Справочник_ОКВЭД_НР!$L$12) /
 (SUMPRODUCT(ISNUMBER(SEARCH(","&amp;Справочник_ОКВЭД_НР!$A$3:$A$62&amp;".",","&amp;SUBSTITUTE(F50," ","")&amp;","))) +
  SUMPRODUCT(ISNUMBER(SEARCH(","&amp;Справочник_ОКВЭД_НР!$C$3:$C$62&amp;".",","&amp;SUBSTITUTE(F50," ","")&amp;","))) +
  SUMPRODUCT(ISNUMBER(SEARCH(","&amp;Справочник_ОКВЭД_НР!$E$3:$E$62&amp;".",","&amp;SUBSTITUTE(F50," ","")&amp;","))) +
  SUMPRODUCT(ISNUMBER(SEARCH(","&amp;Справочник_ОКВЭД_НР!$G$3:$G$62&amp;".",","&amp;SUBSTITUTE(F50," ","")&amp;",")))),
50)</f>
        <v>50</v>
      </c>
      <c r="K50" s="30">
        <f>IFERROR(VLOOKUP(G50,Справочник_ОКВЭД_НР!$O:$P,2,FALSE()),50)</f>
        <v>100</v>
      </c>
      <c r="L50" s="45">
        <f>(I50*Справочник_ОКВЭД_НР!$L$2+J50*Справочник_ОКВЭД_НР!$L$3+K50*Справочник_ОКВЭД_НР!$L$4)*M50</f>
        <v>87.5</v>
      </c>
      <c r="M50" s="47">
        <f>IF(COUNTIF(Справочник_ОКВЭД_НР!$G$3:$G$62,H50)&gt;0,0,1)</f>
        <v>1</v>
      </c>
    </row>
    <row r="51" spans="1:13" x14ac:dyDescent="0.25">
      <c r="A51" s="4">
        <f>ЛИК_дляСкорингаДП!A51</f>
        <v>1257700039805</v>
      </c>
      <c r="B51" s="4">
        <f>ЛИК_дляСкорингаДП!B51</f>
        <v>7743464703</v>
      </c>
      <c r="C51" s="4" t="str">
        <f>ЛИК_дляСкорингаДП!C51</f>
        <v>ООО "СЗ "ГАЛС-СТАРОПЕТРОВСКИЙ"</v>
      </c>
      <c r="D51" s="5" t="str">
        <f>ЛИК_дляСкорингаДП!M51</f>
        <v>Аренда и управление собственным или арендованным прочим нежилым недвижимым имуществом</v>
      </c>
      <c r="E51" s="4" t="str">
        <f>ЛИК_дляСкорингаДП!L51</f>
        <v>68.20.29</v>
      </c>
      <c r="F51" t="str">
        <f>ЛИК_дляСкорингаДП!N51</f>
        <v>46.19,46.90,52.10.9,68.10.21,68.10.22,68.20.2,69.20.1,70.22,73.20.1,82.99</v>
      </c>
      <c r="G51" s="25" t="str">
        <f>ЛИК_дляСкорингаДП!AG51</f>
        <v>ОСН</v>
      </c>
      <c r="H51" s="55" t="str">
        <f>IF(ISNUMBER(E51),E51,
IFERROR(LEFT(E51,FIND(".",E51)-1),E51))</f>
        <v>68</v>
      </c>
      <c r="I51" s="30">
        <f>IF(COUNTIF(Справочник_ОКВЭД_НР!$A$3:$A$62,H51)&gt;0,Справочник_ОКВЭД_НР!$L$8,
 IF(COUNTIF(Справочник_ОКВЭД_НР!$C$3:$C$62,H51)&gt;0,Справочник_ОКВЭД_НР!$L$9,
  IF(COUNTIF(Справочник_ОКВЭД_НР!$E$3:$E$62,H51)&gt;0,Справочник_ОКВЭД_НР!$L$10,
   IF(COUNTIF(Справочник_ОКВЭД_НР!$G$3:$G$62,H51)&gt;0,Справочник_ОКВЭД_НР!$L$11,50))))</f>
        <v>100</v>
      </c>
      <c r="J51" s="30" cm="1">
        <f t="array" ref="J51">IFERROR(
 (SUMPRODUCT(ISNUMBER(SEARCH(","&amp;Справочник_ОКВЭД_НР!$A$3:$A$62&amp;".",","&amp;SUBSTITUTE(F51," ","")&amp;",")))*Справочник_ОКВЭД_НР!$L$9 +
  SUMPRODUCT(ISNUMBER(SEARCH(","&amp;Справочник_ОКВЭД_НР!$C$3:$C$62&amp;".",","&amp;SUBSTITUTE(F51," ","")&amp;",")))*Справочник_ОКВЭД_НР!$L$10 +
  SUMPRODUCT(ISNUMBER(SEARCH(","&amp;Справочник_ОКВЭД_НР!$E$3:$E$62&amp;".",","&amp;SUBSTITUTE(F51," ","")&amp;",")))*Справочник_ОКВЭД_НР!$L$11 +
  SUMPRODUCT(ISNUMBER(SEARCH(","&amp;Справочник_ОКВЭД_НР!$G$3:$G$62&amp;".",","&amp;SUBSTITUTE(F51," ","")&amp;",")))*Справочник_ОКВЭД_НР!$L$12) /
 (SUMPRODUCT(ISNUMBER(SEARCH(","&amp;Справочник_ОКВЭД_НР!$A$3:$A$62&amp;".",","&amp;SUBSTITUTE(F51," ","")&amp;","))) +
  SUMPRODUCT(ISNUMBER(SEARCH(","&amp;Справочник_ОКВЭД_НР!$C$3:$C$62&amp;".",","&amp;SUBSTITUTE(F51," ","")&amp;","))) +
  SUMPRODUCT(ISNUMBER(SEARCH(","&amp;Справочник_ОКВЭД_НР!$E$3:$E$62&amp;".",","&amp;SUBSTITUTE(F51," ","")&amp;","))) +
  SUMPRODUCT(ISNUMBER(SEARCH(","&amp;Справочник_ОКВЭД_НР!$G$3:$G$62&amp;".",","&amp;SUBSTITUTE(F51," ","")&amp;",")))),
50)</f>
        <v>50</v>
      </c>
      <c r="K51" s="30">
        <f>IFERROR(VLOOKUP(G51,Справочник_ОКВЭД_НР!$O:$P,2,FALSE()),50)</f>
        <v>100</v>
      </c>
      <c r="L51" s="45">
        <f>(I51*Справочник_ОКВЭД_НР!$L$2+J51*Справочник_ОКВЭД_НР!$L$3+K51*Справочник_ОКВЭД_НР!$L$4)*M51</f>
        <v>87.5</v>
      </c>
      <c r="M51" s="47">
        <f>IF(COUNTIF(Справочник_ОКВЭД_НР!$G$3:$G$62,H51)&gt;0,0,1)</f>
        <v>1</v>
      </c>
    </row>
    <row r="52" spans="1:13" x14ac:dyDescent="0.25">
      <c r="A52" s="4">
        <f>ЛИК_дляСкорингаДП!A52</f>
        <v>5167746180135</v>
      </c>
      <c r="B52" s="4">
        <f>ЛИК_дляСкорингаДП!B52</f>
        <v>7725335021</v>
      </c>
      <c r="C52" s="4" t="str">
        <f>ЛИК_дляСкорингаДП!C52</f>
        <v>ООО "ЛЭНДМАРК ГРУП"</v>
      </c>
      <c r="D52" s="5" t="str">
        <f>ЛИК_дляСкорингаДП!M52</f>
        <v>Аренда и управление собственным или арендованным недвижимым имуществом</v>
      </c>
      <c r="E52" s="4" t="str">
        <f>ЛИК_дляСкорингаДП!L52</f>
        <v>68.20</v>
      </c>
      <c r="F52" t="str">
        <f>ЛИК_дляСкорингаДП!N52</f>
        <v>64.20,64.99.11,64.99.12,64.99.3,64.99.4,66.19,68.10,68.31,68.32,77.29,77.33,77.39</v>
      </c>
      <c r="G52" s="25" t="str">
        <f>ЛИК_дляСкорингаДП!AG52</f>
        <v>ОСН</v>
      </c>
      <c r="H52" s="55" t="str">
        <f>IF(ISNUMBER(E52),E52,
IFERROR(LEFT(E52,FIND(".",E52)-1),E52))</f>
        <v>68</v>
      </c>
      <c r="I52" s="30">
        <f>IF(COUNTIF(Справочник_ОКВЭД_НР!$A$3:$A$62,H52)&gt;0,Справочник_ОКВЭД_НР!$L$8,
 IF(COUNTIF(Справочник_ОКВЭД_НР!$C$3:$C$62,H52)&gt;0,Справочник_ОКВЭД_НР!$L$9,
  IF(COUNTIF(Справочник_ОКВЭД_НР!$E$3:$E$62,H52)&gt;0,Справочник_ОКВЭД_НР!$L$10,
   IF(COUNTIF(Справочник_ОКВЭД_НР!$G$3:$G$62,H52)&gt;0,Справочник_ОКВЭД_НР!$L$11,50))))</f>
        <v>100</v>
      </c>
      <c r="J52" s="30" cm="1">
        <f t="array" ref="J52">IFERROR(
 (SUMPRODUCT(ISNUMBER(SEARCH(","&amp;Справочник_ОКВЭД_НР!$A$3:$A$62&amp;".",","&amp;SUBSTITUTE(F52," ","")&amp;",")))*Справочник_ОКВЭД_НР!$L$9 +
  SUMPRODUCT(ISNUMBER(SEARCH(","&amp;Справочник_ОКВЭД_НР!$C$3:$C$62&amp;".",","&amp;SUBSTITUTE(F52," ","")&amp;",")))*Справочник_ОКВЭД_НР!$L$10 +
  SUMPRODUCT(ISNUMBER(SEARCH(","&amp;Справочник_ОКВЭД_НР!$E$3:$E$62&amp;".",","&amp;SUBSTITUTE(F52," ","")&amp;",")))*Справочник_ОКВЭД_НР!$L$11 +
  SUMPRODUCT(ISNUMBER(SEARCH(","&amp;Справочник_ОКВЭД_НР!$G$3:$G$62&amp;".",","&amp;SUBSTITUTE(F52," ","")&amp;",")))*Справочник_ОКВЭД_НР!$L$12) /
 (SUMPRODUCT(ISNUMBER(SEARCH(","&amp;Справочник_ОКВЭД_НР!$A$3:$A$62&amp;".",","&amp;SUBSTITUTE(F52," ","")&amp;","))) +
  SUMPRODUCT(ISNUMBER(SEARCH(","&amp;Справочник_ОКВЭД_НР!$C$3:$C$62&amp;".",","&amp;SUBSTITUTE(F52," ","")&amp;","))) +
  SUMPRODUCT(ISNUMBER(SEARCH(","&amp;Справочник_ОКВЭД_НР!$E$3:$E$62&amp;".",","&amp;SUBSTITUTE(F52," ","")&amp;","))) +
  SUMPRODUCT(ISNUMBER(SEARCH(","&amp;Справочник_ОКВЭД_НР!$G$3:$G$62&amp;".",","&amp;SUBSTITUTE(F52," ","")&amp;",")))),
50)</f>
        <v>50</v>
      </c>
      <c r="K52" s="30">
        <f>IFERROR(VLOOKUP(G52,Справочник_ОКВЭД_НР!$O:$P,2,FALSE()),50)</f>
        <v>100</v>
      </c>
      <c r="L52" s="45">
        <f>(I52*Справочник_ОКВЭД_НР!$L$2+J52*Справочник_ОКВЭД_НР!$L$3+K52*Справочник_ОКВЭД_НР!$L$4)*M52</f>
        <v>87.5</v>
      </c>
      <c r="M52" s="47">
        <f>IF(COUNTIF(Справочник_ОКВЭД_НР!$G$3:$G$62,H52)&gt;0,0,1)</f>
        <v>1</v>
      </c>
    </row>
    <row r="53" spans="1:13" x14ac:dyDescent="0.25">
      <c r="A53" s="4">
        <f>ЛИК_дляСкорингаДП!A53</f>
        <v>1227700484076</v>
      </c>
      <c r="B53" s="4">
        <f>ЛИК_дляСкорингаДП!B53</f>
        <v>9717118570</v>
      </c>
      <c r="C53" s="4" t="str">
        <f>ЛИК_дляСкорингаДП!C53</f>
        <v>ООО "МЕДСКАН ЛАБ"</v>
      </c>
      <c r="D53" s="5" t="str">
        <f>ЛИК_дляСкорингаДП!M53</f>
        <v>Деятельность холдинговых компаний</v>
      </c>
      <c r="E53" s="4" t="str">
        <f>ЛИК_дляСкорингаДП!L53</f>
        <v>64.20</v>
      </c>
      <c r="F53" t="str">
        <f>ЛИК_дляСкорингаДП!N53</f>
        <v>70.22</v>
      </c>
      <c r="G53" s="25" t="str">
        <f>ЛИК_дляСкорингаДП!AG53</f>
        <v>ОСН</v>
      </c>
      <c r="H53" s="55" t="str">
        <f>IF(ISNUMBER(E53),E53,
IFERROR(LEFT(E53,FIND(".",E53)-1),E53))</f>
        <v>64</v>
      </c>
      <c r="I53" s="30">
        <f>IF(COUNTIF(Справочник_ОКВЭД_НР!$A$3:$A$62,H53)&gt;0,Справочник_ОКВЭД_НР!$L$8,
 IF(COUNTIF(Справочник_ОКВЭД_НР!$C$3:$C$62,H53)&gt;0,Справочник_ОКВЭД_НР!$L$9,
  IF(COUNTIF(Справочник_ОКВЭД_НР!$E$3:$E$62,H53)&gt;0,Справочник_ОКВЭД_НР!$L$10,
   IF(COUNTIF(Справочник_ОКВЭД_НР!$G$3:$G$62,H53)&gt;0,Справочник_ОКВЭД_НР!$L$11,50))))</f>
        <v>60</v>
      </c>
      <c r="J53" s="30" cm="1">
        <f t="array" ref="J53">IFERROR(
 (SUMPRODUCT(ISNUMBER(SEARCH(","&amp;Справочник_ОКВЭД_НР!$A$3:$A$62&amp;".",","&amp;SUBSTITUTE(F53," ","")&amp;",")))*Справочник_ОКВЭД_НР!$L$9 +
  SUMPRODUCT(ISNUMBER(SEARCH(","&amp;Справочник_ОКВЭД_НР!$C$3:$C$62&amp;".",","&amp;SUBSTITUTE(F53," ","")&amp;",")))*Справочник_ОКВЭД_НР!$L$10 +
  SUMPRODUCT(ISNUMBER(SEARCH(","&amp;Справочник_ОКВЭД_НР!$E$3:$E$62&amp;".",","&amp;SUBSTITUTE(F53," ","")&amp;",")))*Справочник_ОКВЭД_НР!$L$11 +
  SUMPRODUCT(ISNUMBER(SEARCH(","&amp;Справочник_ОКВЭД_НР!$G$3:$G$62&amp;".",","&amp;SUBSTITUTE(F53," ","")&amp;",")))*Справочник_ОКВЭД_НР!$L$12) /
 (SUMPRODUCT(ISNUMBER(SEARCH(","&amp;Справочник_ОКВЭД_НР!$A$3:$A$62&amp;".",","&amp;SUBSTITUTE(F53," ","")&amp;","))) +
  SUMPRODUCT(ISNUMBER(SEARCH(","&amp;Справочник_ОКВЭД_НР!$C$3:$C$62&amp;".",","&amp;SUBSTITUTE(F53," ","")&amp;","))) +
  SUMPRODUCT(ISNUMBER(SEARCH(","&amp;Справочник_ОКВЭД_НР!$E$3:$E$62&amp;".",","&amp;SUBSTITUTE(F53," ","")&amp;","))) +
  SUMPRODUCT(ISNUMBER(SEARCH(","&amp;Справочник_ОКВЭД_НР!$G$3:$G$62&amp;".",","&amp;SUBSTITUTE(F53," ","")&amp;",")))),
50)</f>
        <v>50</v>
      </c>
      <c r="K53" s="30">
        <f>IFERROR(VLOOKUP(G53,Справочник_ОКВЭД_НР!$O:$P,2,FALSE()),50)</f>
        <v>100</v>
      </c>
      <c r="L53" s="45">
        <f>(I53*Справочник_ОКВЭД_НР!$L$2+J53*Справочник_ОКВЭД_НР!$L$3+K53*Справочник_ОКВЭД_НР!$L$4)*M53</f>
        <v>63.5</v>
      </c>
      <c r="M53" s="47">
        <f>IF(COUNTIF(Справочник_ОКВЭД_НР!$G$3:$G$62,H53)&gt;0,0,1)</f>
        <v>1</v>
      </c>
    </row>
    <row r="54" spans="1:13" x14ac:dyDescent="0.25">
      <c r="A54" s="4">
        <f>ЛИК_дляСкорингаДП!A54</f>
        <v>1237700699257</v>
      </c>
      <c r="B54" s="4">
        <f>ЛИК_дляСкорингаДП!B54</f>
        <v>9725137376</v>
      </c>
      <c r="C54" s="4" t="str">
        <f>ЛИК_дляСкорингаДП!C54</f>
        <v>ООО "РТС"</v>
      </c>
      <c r="D54" s="5" t="str">
        <f>ЛИК_дляСкорингаДП!M54</f>
        <v>Деятельность головных офисов</v>
      </c>
      <c r="E54" s="4" t="str">
        <f>ЛИК_дляСкорингаДП!L54</f>
        <v>70.10</v>
      </c>
      <c r="F54" t="str">
        <f>ЛИК_дляСкорингаДП!N54</f>
        <v>28.99,33.12,33.20,46.69,66.19.4,69.10,70.10,70.22,71.12,71.12.14,73.20.1,74.90.1,74.90.6</v>
      </c>
      <c r="G54" s="25" t="str">
        <f>ЛИК_дляСкорингаДП!AG54</f>
        <v>ОСН</v>
      </c>
      <c r="H54" s="55" t="str">
        <f>IF(ISNUMBER(E54),E54,
IFERROR(LEFT(E54,FIND(".",E54)-1),E54))</f>
        <v>70</v>
      </c>
      <c r="I54" s="30">
        <f>IF(COUNTIF(Справочник_ОКВЭД_НР!$A$3:$A$62,H54)&gt;0,Справочник_ОКВЭД_НР!$L$8,
 IF(COUNTIF(Справочник_ОКВЭД_НР!$C$3:$C$62,H54)&gt;0,Справочник_ОКВЭД_НР!$L$9,
  IF(COUNTIF(Справочник_ОКВЭД_НР!$E$3:$E$62,H54)&gt;0,Справочник_ОКВЭД_НР!$L$10,
   IF(COUNTIF(Справочник_ОКВЭД_НР!$G$3:$G$62,H54)&gt;0,Справочник_ОКВЭД_НР!$L$11,50))))</f>
        <v>60</v>
      </c>
      <c r="J54" s="30" cm="1">
        <f t="array" ref="J54">IFERROR(
 (SUMPRODUCT(ISNUMBER(SEARCH(","&amp;Справочник_ОКВЭД_НР!$A$3:$A$62&amp;".",","&amp;SUBSTITUTE(F54," ","")&amp;",")))*Справочник_ОКВЭД_НР!$L$9 +
  SUMPRODUCT(ISNUMBER(SEARCH(","&amp;Справочник_ОКВЭД_НР!$C$3:$C$62&amp;".",","&amp;SUBSTITUTE(F54," ","")&amp;",")))*Справочник_ОКВЭД_НР!$L$10 +
  SUMPRODUCT(ISNUMBER(SEARCH(","&amp;Справочник_ОКВЭД_НР!$E$3:$E$62&amp;".",","&amp;SUBSTITUTE(F54," ","")&amp;",")))*Справочник_ОКВЭД_НР!$L$11 +
  SUMPRODUCT(ISNUMBER(SEARCH(","&amp;Справочник_ОКВЭД_НР!$G$3:$G$62&amp;".",","&amp;SUBSTITUTE(F54," ","")&amp;",")))*Справочник_ОКВЭД_НР!$L$12) /
 (SUMPRODUCT(ISNUMBER(SEARCH(","&amp;Справочник_ОКВЭД_НР!$A$3:$A$62&amp;".",","&amp;SUBSTITUTE(F54," ","")&amp;","))) +
  SUMPRODUCT(ISNUMBER(SEARCH(","&amp;Справочник_ОКВЭД_НР!$C$3:$C$62&amp;".",","&amp;SUBSTITUTE(F54," ","")&amp;","))) +
  SUMPRODUCT(ISNUMBER(SEARCH(","&amp;Справочник_ОКВЭД_НР!$E$3:$E$62&amp;".",","&amp;SUBSTITUTE(F54," ","")&amp;","))) +
  SUMPRODUCT(ISNUMBER(SEARCH(","&amp;Справочник_ОКВЭД_НР!$G$3:$G$62&amp;".",","&amp;SUBSTITUTE(F54," ","")&amp;",")))),
50)</f>
        <v>50</v>
      </c>
      <c r="K54" s="30">
        <f>IFERROR(VLOOKUP(G54,Справочник_ОКВЭД_НР!$O:$P,2,FALSE()),50)</f>
        <v>100</v>
      </c>
      <c r="L54" s="45">
        <f>(I54*Справочник_ОКВЭД_НР!$L$2+J54*Справочник_ОКВЭД_НР!$L$3+K54*Справочник_ОКВЭД_НР!$L$4)*M54</f>
        <v>63.5</v>
      </c>
      <c r="M54" s="47">
        <f>IF(COUNTIF(Справочник_ОКВЭД_НР!$G$3:$G$62,H54)&gt;0,0,1)</f>
        <v>1</v>
      </c>
    </row>
    <row r="55" spans="1:13" x14ac:dyDescent="0.25">
      <c r="A55" s="4">
        <f>ЛИК_дляСкорингаДП!A55</f>
        <v>1227700616626</v>
      </c>
      <c r="B55" s="4">
        <f>ЛИК_дляСкорингаДП!B55</f>
        <v>9723169975</v>
      </c>
      <c r="C55" s="4" t="str">
        <f>ЛИК_дляСкорингаДП!C55</f>
        <v>ООО "ПРОМСТРОЙ"</v>
      </c>
      <c r="D55" s="5" t="str">
        <f>ЛИК_дляСкорингаДП!M55</f>
        <v>Деятельность заказчика-застройщика, генерального подрядчика</v>
      </c>
      <c r="E55" s="4" t="str">
        <f>ЛИК_дляСкорингаДП!L55</f>
        <v>71.12.2</v>
      </c>
      <c r="F55" t="str">
        <f>ЛИК_дляСкорингаДП!N55</f>
        <v>41.10,41.20,42.22,42.99,43.11,43.12,43.21,43.22,43.29,43.31,43.32,43.33,43.34,43.39,62.02,63.11,64.99,66.19,68.10,68.20,69.10,70.22,71.12.1,71.12.2,82.99</v>
      </c>
      <c r="G55" s="25" t="str">
        <f>ЛИК_дляСкорингаДП!AG55</f>
        <v>ОСН</v>
      </c>
      <c r="H55" s="55" t="str">
        <f>IF(ISNUMBER(E55),E55,
IFERROR(LEFT(E55,FIND(".",E55)-1),E55))</f>
        <v>71</v>
      </c>
      <c r="I55" s="30">
        <f>IF(COUNTIF(Справочник_ОКВЭД_НР!$A$3:$A$62,H55)&gt;0,Справочник_ОКВЭД_НР!$L$8,
 IF(COUNTIF(Справочник_ОКВЭД_НР!$C$3:$C$62,H55)&gt;0,Справочник_ОКВЭД_НР!$L$9,
  IF(COUNTIF(Справочник_ОКВЭД_НР!$E$3:$E$62,H55)&gt;0,Справочник_ОКВЭД_НР!$L$10,
   IF(COUNTIF(Справочник_ОКВЭД_НР!$G$3:$G$62,H55)&gt;0,Справочник_ОКВЭД_НР!$L$11,50))))</f>
        <v>100</v>
      </c>
      <c r="J55" s="30" cm="1">
        <f t="array" ref="J55">IFERROR(
 (SUMPRODUCT(ISNUMBER(SEARCH(","&amp;Справочник_ОКВЭД_НР!$A$3:$A$62&amp;".",","&amp;SUBSTITUTE(F55," ","")&amp;",")))*Справочник_ОКВЭД_НР!$L$9 +
  SUMPRODUCT(ISNUMBER(SEARCH(","&amp;Справочник_ОКВЭД_НР!$C$3:$C$62&amp;".",","&amp;SUBSTITUTE(F55," ","")&amp;",")))*Справочник_ОКВЭД_НР!$L$10 +
  SUMPRODUCT(ISNUMBER(SEARCH(","&amp;Справочник_ОКВЭД_НР!$E$3:$E$62&amp;".",","&amp;SUBSTITUTE(F55," ","")&amp;",")))*Справочник_ОКВЭД_НР!$L$11 +
  SUMPRODUCT(ISNUMBER(SEARCH(","&amp;Справочник_ОКВЭД_НР!$G$3:$G$62&amp;".",","&amp;SUBSTITUTE(F55," ","")&amp;",")))*Справочник_ОКВЭД_НР!$L$12) /
 (SUMPRODUCT(ISNUMBER(SEARCH(","&amp;Справочник_ОКВЭД_НР!$A$3:$A$62&amp;".",","&amp;SUBSTITUTE(F55," ","")&amp;","))) +
  SUMPRODUCT(ISNUMBER(SEARCH(","&amp;Справочник_ОКВЭД_НР!$C$3:$C$62&amp;".",","&amp;SUBSTITUTE(F55," ","")&amp;","))) +
  SUMPRODUCT(ISNUMBER(SEARCH(","&amp;Справочник_ОКВЭД_НР!$E$3:$E$62&amp;".",","&amp;SUBSTITUTE(F55," ","")&amp;","))) +
  SUMPRODUCT(ISNUMBER(SEARCH(","&amp;Справочник_ОКВЭД_НР!$G$3:$G$62&amp;".",","&amp;SUBSTITUTE(F55," ","")&amp;",")))),
50)</f>
        <v>50</v>
      </c>
      <c r="K55" s="30">
        <f>IFERROR(VLOOKUP(G55,Справочник_ОКВЭД_НР!$O:$P,2,FALSE()),50)</f>
        <v>100</v>
      </c>
      <c r="L55" s="45">
        <f>(I55*Справочник_ОКВЭД_НР!$L$2+J55*Справочник_ОКВЭД_НР!$L$3+K55*Справочник_ОКВЭД_НР!$L$4)*M55</f>
        <v>87.5</v>
      </c>
      <c r="M55" s="47">
        <f>IF(COUNTIF(Справочник_ОКВЭД_НР!$G$3:$G$62,H55)&gt;0,0,1)</f>
        <v>1</v>
      </c>
    </row>
    <row r="56" spans="1:13" x14ac:dyDescent="0.25">
      <c r="A56" s="4">
        <f>ЛИК_дляСкорингаДП!A56</f>
        <v>1077746296550</v>
      </c>
      <c r="B56" s="4">
        <f>ЛИК_дляСкорингаДП!B56</f>
        <v>7717580421</v>
      </c>
      <c r="C56" s="4" t="str">
        <f>ЛИК_дляСкорингаДП!C56</f>
        <v>АО "МПС-ГРАНД"</v>
      </c>
      <c r="D56" s="5" t="str">
        <f>ЛИК_дляСкорингаДП!M56</f>
        <v>Аренда и управление собственным или арендованным жилым недвижимым имуществом</v>
      </c>
      <c r="E56" s="4" t="str">
        <f>ЛИК_дляСкорингаДП!L56</f>
        <v>68.20.1</v>
      </c>
      <c r="F56" t="str">
        <f>ЛИК_дляСкорингаДП!N56</f>
        <v>46.39,55.10,56.10,56.21,56.30,68.10,68.20,68.31,68.32,70.22,79.11,79.12,79.90,82.30</v>
      </c>
      <c r="G56" s="25" t="str">
        <f>ЛИК_дляСкорингаДП!AG56</f>
        <v>ОСН</v>
      </c>
      <c r="H56" s="55" t="str">
        <f>IF(ISNUMBER(E56),E56,
IFERROR(LEFT(E56,FIND(".",E56)-1),E56))</f>
        <v>68</v>
      </c>
      <c r="I56" s="30">
        <f>IF(COUNTIF(Справочник_ОКВЭД_НР!$A$3:$A$62,H56)&gt;0,Справочник_ОКВЭД_НР!$L$8,
 IF(COUNTIF(Справочник_ОКВЭД_НР!$C$3:$C$62,H56)&gt;0,Справочник_ОКВЭД_НР!$L$9,
  IF(COUNTIF(Справочник_ОКВЭД_НР!$E$3:$E$62,H56)&gt;0,Справочник_ОКВЭД_НР!$L$10,
   IF(COUNTIF(Справочник_ОКВЭД_НР!$G$3:$G$62,H56)&gt;0,Справочник_ОКВЭД_НР!$L$11,50))))</f>
        <v>100</v>
      </c>
      <c r="J56" s="30" cm="1">
        <f t="array" ref="J56">IFERROR(
 (SUMPRODUCT(ISNUMBER(SEARCH(","&amp;Справочник_ОКВЭД_НР!$A$3:$A$62&amp;".",","&amp;SUBSTITUTE(F56," ","")&amp;",")))*Справочник_ОКВЭД_НР!$L$9 +
  SUMPRODUCT(ISNUMBER(SEARCH(","&amp;Справочник_ОКВЭД_НР!$C$3:$C$62&amp;".",","&amp;SUBSTITUTE(F56," ","")&amp;",")))*Справочник_ОКВЭД_НР!$L$10 +
  SUMPRODUCT(ISNUMBER(SEARCH(","&amp;Справочник_ОКВЭД_НР!$E$3:$E$62&amp;".",","&amp;SUBSTITUTE(F56," ","")&amp;",")))*Справочник_ОКВЭД_НР!$L$11 +
  SUMPRODUCT(ISNUMBER(SEARCH(","&amp;Справочник_ОКВЭД_НР!$G$3:$G$62&amp;".",","&amp;SUBSTITUTE(F56," ","")&amp;",")))*Справочник_ОКВЭД_НР!$L$12) /
 (SUMPRODUCT(ISNUMBER(SEARCH(","&amp;Справочник_ОКВЭД_НР!$A$3:$A$62&amp;".",","&amp;SUBSTITUTE(F56," ","")&amp;","))) +
  SUMPRODUCT(ISNUMBER(SEARCH(","&amp;Справочник_ОКВЭД_НР!$C$3:$C$62&amp;".",","&amp;SUBSTITUTE(F56," ","")&amp;","))) +
  SUMPRODUCT(ISNUMBER(SEARCH(","&amp;Справочник_ОКВЭД_НР!$E$3:$E$62&amp;".",","&amp;SUBSTITUTE(F56," ","")&amp;","))) +
  SUMPRODUCT(ISNUMBER(SEARCH(","&amp;Справочник_ОКВЭД_НР!$G$3:$G$62&amp;".",","&amp;SUBSTITUTE(F56," ","")&amp;",")))),
50)</f>
        <v>50</v>
      </c>
      <c r="K56" s="30">
        <f>IFERROR(VLOOKUP(G56,Справочник_ОКВЭД_НР!$O:$P,2,FALSE()),50)</f>
        <v>100</v>
      </c>
      <c r="L56" s="45">
        <f>(I56*Справочник_ОКВЭД_НР!$L$2+J56*Справочник_ОКВЭД_НР!$L$3+K56*Справочник_ОКВЭД_НР!$L$4)*M56</f>
        <v>87.5</v>
      </c>
      <c r="M56" s="47">
        <f>IF(COUNTIF(Справочник_ОКВЭД_НР!$G$3:$G$62,H56)&gt;0,0,1)</f>
        <v>1</v>
      </c>
    </row>
    <row r="57" spans="1:13" x14ac:dyDescent="0.25">
      <c r="A57" s="4">
        <f>ЛИК_дляСкорингаДП!A57</f>
        <v>1077746381624</v>
      </c>
      <c r="B57" s="4">
        <f>ЛИК_дляСкорингаДП!B57</f>
        <v>7717582274</v>
      </c>
      <c r="C57" s="4" t="str">
        <f>ЛИК_дляСкорингаДП!C57</f>
        <v>АО "МПС-ФОРЕСТ"</v>
      </c>
      <c r="D57" s="5" t="str">
        <f>ЛИК_дляСкорингаДП!M57</f>
        <v>Аренда и управление собственным или арендованным недвижимым имуществом</v>
      </c>
      <c r="E57" s="4" t="str">
        <f>ЛИК_дляСкорингаДП!L57</f>
        <v>68.20</v>
      </c>
      <c r="F57" t="str">
        <f>ЛИК_дляСкорингаДП!N57</f>
        <v>46.39,55.10,56.10,56.21,56.30,68.10,68.31,68.32,70.22,79.11,79.12,79.90,82.30</v>
      </c>
      <c r="G57" s="25" t="str">
        <f>ЛИК_дляСкорингаДП!AG57</f>
        <v>ОСН</v>
      </c>
      <c r="H57" s="55" t="str">
        <f>IF(ISNUMBER(E57),E57,
IFERROR(LEFT(E57,FIND(".",E57)-1),E57))</f>
        <v>68</v>
      </c>
      <c r="I57" s="30">
        <f>IF(COUNTIF(Справочник_ОКВЭД_НР!$A$3:$A$62,H57)&gt;0,Справочник_ОКВЭД_НР!$L$8,
 IF(COUNTIF(Справочник_ОКВЭД_НР!$C$3:$C$62,H57)&gt;0,Справочник_ОКВЭД_НР!$L$9,
  IF(COUNTIF(Справочник_ОКВЭД_НР!$E$3:$E$62,H57)&gt;0,Справочник_ОКВЭД_НР!$L$10,
   IF(COUNTIF(Справочник_ОКВЭД_НР!$G$3:$G$62,H57)&gt;0,Справочник_ОКВЭД_НР!$L$11,50))))</f>
        <v>100</v>
      </c>
      <c r="J57" s="30" cm="1">
        <f t="array" ref="J57">IFERROR(
 (SUMPRODUCT(ISNUMBER(SEARCH(","&amp;Справочник_ОКВЭД_НР!$A$3:$A$62&amp;".",","&amp;SUBSTITUTE(F57," ","")&amp;",")))*Справочник_ОКВЭД_НР!$L$9 +
  SUMPRODUCT(ISNUMBER(SEARCH(","&amp;Справочник_ОКВЭД_НР!$C$3:$C$62&amp;".",","&amp;SUBSTITUTE(F57," ","")&amp;",")))*Справочник_ОКВЭД_НР!$L$10 +
  SUMPRODUCT(ISNUMBER(SEARCH(","&amp;Справочник_ОКВЭД_НР!$E$3:$E$62&amp;".",","&amp;SUBSTITUTE(F57," ","")&amp;",")))*Справочник_ОКВЭД_НР!$L$11 +
  SUMPRODUCT(ISNUMBER(SEARCH(","&amp;Справочник_ОКВЭД_НР!$G$3:$G$62&amp;".",","&amp;SUBSTITUTE(F57," ","")&amp;",")))*Справочник_ОКВЭД_НР!$L$12) /
 (SUMPRODUCT(ISNUMBER(SEARCH(","&amp;Справочник_ОКВЭД_НР!$A$3:$A$62&amp;".",","&amp;SUBSTITUTE(F57," ","")&amp;","))) +
  SUMPRODUCT(ISNUMBER(SEARCH(","&amp;Справочник_ОКВЭД_НР!$C$3:$C$62&amp;".",","&amp;SUBSTITUTE(F57," ","")&amp;","))) +
  SUMPRODUCT(ISNUMBER(SEARCH(","&amp;Справочник_ОКВЭД_НР!$E$3:$E$62&amp;".",","&amp;SUBSTITUTE(F57," ","")&amp;","))) +
  SUMPRODUCT(ISNUMBER(SEARCH(","&amp;Справочник_ОКВЭД_НР!$G$3:$G$62&amp;".",","&amp;SUBSTITUTE(F57," ","")&amp;",")))),
50)</f>
        <v>50</v>
      </c>
      <c r="K57" s="30">
        <f>IFERROR(VLOOKUP(G57,Справочник_ОКВЭД_НР!$O:$P,2,FALSE()),50)</f>
        <v>100</v>
      </c>
      <c r="L57" s="45">
        <f>(I57*Справочник_ОКВЭД_НР!$L$2+J57*Справочник_ОКВЭД_НР!$L$3+K57*Справочник_ОКВЭД_НР!$L$4)*M57</f>
        <v>87.5</v>
      </c>
      <c r="M57" s="47">
        <f>IF(COUNTIF(Справочник_ОКВЭД_НР!$G$3:$G$62,H57)&gt;0,0,1)</f>
        <v>1</v>
      </c>
    </row>
    <row r="58" spans="1:13" x14ac:dyDescent="0.25">
      <c r="A58" s="4">
        <f>ЛИК_дляСкорингаДП!A58</f>
        <v>1077759685717</v>
      </c>
      <c r="B58" s="4">
        <f>ЛИК_дляСкорингаДП!B58</f>
        <v>7726575587</v>
      </c>
      <c r="C58" s="4" t="str">
        <f>ЛИК_дляСкорингаДП!C58</f>
        <v>АО "ОСПОС"</v>
      </c>
      <c r="D58" s="5" t="str">
        <f>ЛИК_дляСкорингаДП!M58</f>
        <v>Деятельность вспомогательная прочая в сфере страхования, кроме обязательного социального страхования</v>
      </c>
      <c r="E58" s="4" t="str">
        <f>ЛИК_дляСкорингаДП!L58</f>
        <v>66.29.9</v>
      </c>
      <c r="F58" t="str">
        <f>ЛИК_дляСкорингаДП!N58</f>
        <v>62.01,62.02,62.09,63.11.1,63.99.1,66.2,70.22,73.20.1,82.99</v>
      </c>
      <c r="G58" s="25" t="str">
        <f>ЛИК_дляСкорингаДП!AG58</f>
        <v>ОСН</v>
      </c>
      <c r="H58" s="55" t="str">
        <f>IF(ISNUMBER(E58),E58,
IFERROR(LEFT(E58,FIND(".",E58)-1),E58))</f>
        <v>66</v>
      </c>
      <c r="I58" s="30">
        <f>IF(COUNTIF(Справочник_ОКВЭД_НР!$A$3:$A$62,H58)&gt;0,Справочник_ОКВЭД_НР!$L$8,
 IF(COUNTIF(Справочник_ОКВЭД_НР!$C$3:$C$62,H58)&gt;0,Справочник_ОКВЭД_НР!$L$9,
  IF(COUNTIF(Справочник_ОКВЭД_НР!$E$3:$E$62,H58)&gt;0,Справочник_ОКВЭД_НР!$L$10,
   IF(COUNTIF(Справочник_ОКВЭД_НР!$G$3:$G$62,H58)&gt;0,Справочник_ОКВЭД_НР!$L$11,50))))</f>
        <v>60</v>
      </c>
      <c r="J58" s="30" cm="1">
        <f t="array" ref="J58">IFERROR(
 (SUMPRODUCT(ISNUMBER(SEARCH(","&amp;Справочник_ОКВЭД_НР!$A$3:$A$62&amp;".",","&amp;SUBSTITUTE(F58," ","")&amp;",")))*Справочник_ОКВЭД_НР!$L$9 +
  SUMPRODUCT(ISNUMBER(SEARCH(","&amp;Справочник_ОКВЭД_НР!$C$3:$C$62&amp;".",","&amp;SUBSTITUTE(F58," ","")&amp;",")))*Справочник_ОКВЭД_НР!$L$10 +
  SUMPRODUCT(ISNUMBER(SEARCH(","&amp;Справочник_ОКВЭД_НР!$E$3:$E$62&amp;".",","&amp;SUBSTITUTE(F58," ","")&amp;",")))*Справочник_ОКВЭД_НР!$L$11 +
  SUMPRODUCT(ISNUMBER(SEARCH(","&amp;Справочник_ОКВЭД_НР!$G$3:$G$62&amp;".",","&amp;SUBSTITUTE(F58," ","")&amp;",")))*Справочник_ОКВЭД_НР!$L$12) /
 (SUMPRODUCT(ISNUMBER(SEARCH(","&amp;Справочник_ОКВЭД_НР!$A$3:$A$62&amp;".",","&amp;SUBSTITUTE(F58," ","")&amp;","))) +
  SUMPRODUCT(ISNUMBER(SEARCH(","&amp;Справочник_ОКВЭД_НР!$C$3:$C$62&amp;".",","&amp;SUBSTITUTE(F58," ","")&amp;","))) +
  SUMPRODUCT(ISNUMBER(SEARCH(","&amp;Справочник_ОКВЭД_НР!$E$3:$E$62&amp;".",","&amp;SUBSTITUTE(F58," ","")&amp;","))) +
  SUMPRODUCT(ISNUMBER(SEARCH(","&amp;Справочник_ОКВЭД_НР!$G$3:$G$62&amp;".",","&amp;SUBSTITUTE(F58," ","")&amp;",")))),
50)</f>
        <v>50</v>
      </c>
      <c r="K58" s="30">
        <f>IFERROR(VLOOKUP(G58,Справочник_ОКВЭД_НР!$O:$P,2,FALSE()),50)</f>
        <v>100</v>
      </c>
      <c r="L58" s="45">
        <f>(I58*Справочник_ОКВЭД_НР!$L$2+J58*Справочник_ОКВЭД_НР!$L$3+K58*Справочник_ОКВЭД_НР!$L$4)*M58</f>
        <v>63.5</v>
      </c>
      <c r="M58" s="47">
        <f>IF(COUNTIF(Справочник_ОКВЭД_НР!$G$3:$G$62,H58)&gt;0,0,1)</f>
        <v>1</v>
      </c>
    </row>
    <row r="59" spans="1:13" x14ac:dyDescent="0.25">
      <c r="A59" s="4">
        <f>ЛИК_дляСкорингаДП!A59</f>
        <v>1077760250974</v>
      </c>
      <c r="B59" s="4">
        <f>ЛИК_дляСкорингаДП!B59</f>
        <v>7708648850</v>
      </c>
      <c r="C59" s="4" t="str">
        <f>ЛИК_дляСкорингаДП!C59</f>
        <v>ООО "ИНВЕСТКОНСАЛТИНГ"</v>
      </c>
      <c r="D59" s="5" t="str">
        <f>ЛИК_дляСкорингаДП!M59</f>
        <v>Перевозка прочих грузов морскими судами каботажного плавания</v>
      </c>
      <c r="E59" s="4" t="str">
        <f>ЛИК_дляСкорингаДП!L59</f>
        <v>50.20.29</v>
      </c>
      <c r="F59" t="str">
        <f>ЛИК_дляСкорингаДП!N59</f>
        <v>50.10,50.20,50.20.3,52.22.1</v>
      </c>
      <c r="G59" s="25" t="str">
        <f>ЛИК_дляСкорингаДП!AG59</f>
        <v>ОСН</v>
      </c>
      <c r="H59" s="55" t="str">
        <f>IF(ISNUMBER(E59),E59,
IFERROR(LEFT(E59,FIND(".",E59)-1),E59))</f>
        <v>50</v>
      </c>
      <c r="I59" s="30">
        <f>IF(COUNTIF(Справочник_ОКВЭД_НР!$A$3:$A$62,H59)&gt;0,Справочник_ОКВЭД_НР!$L$8,
 IF(COUNTIF(Справочник_ОКВЭД_НР!$C$3:$C$62,H59)&gt;0,Справочник_ОКВЭД_НР!$L$9,
  IF(COUNTIF(Справочник_ОКВЭД_НР!$E$3:$E$62,H59)&gt;0,Справочник_ОКВЭД_НР!$L$10,
   IF(COUNTIF(Справочник_ОКВЭД_НР!$G$3:$G$62,H59)&gt;0,Справочник_ОКВЭД_НР!$L$11,50))))</f>
        <v>60</v>
      </c>
      <c r="J59" s="30" cm="1">
        <f t="array" ref="J59">IFERROR(
 (SUMPRODUCT(ISNUMBER(SEARCH(","&amp;Справочник_ОКВЭД_НР!$A$3:$A$62&amp;".",","&amp;SUBSTITUTE(F59," ","")&amp;",")))*Справочник_ОКВЭД_НР!$L$9 +
  SUMPRODUCT(ISNUMBER(SEARCH(","&amp;Справочник_ОКВЭД_НР!$C$3:$C$62&amp;".",","&amp;SUBSTITUTE(F59," ","")&amp;",")))*Справочник_ОКВЭД_НР!$L$10 +
  SUMPRODUCT(ISNUMBER(SEARCH(","&amp;Справочник_ОКВЭД_НР!$E$3:$E$62&amp;".",","&amp;SUBSTITUTE(F59," ","")&amp;",")))*Справочник_ОКВЭД_НР!$L$11 +
  SUMPRODUCT(ISNUMBER(SEARCH(","&amp;Справочник_ОКВЭД_НР!$G$3:$G$62&amp;".",","&amp;SUBSTITUTE(F59," ","")&amp;",")))*Справочник_ОКВЭД_НР!$L$12) /
 (SUMPRODUCT(ISNUMBER(SEARCH(","&amp;Справочник_ОКВЭД_НР!$A$3:$A$62&amp;".",","&amp;SUBSTITUTE(F59," ","")&amp;","))) +
  SUMPRODUCT(ISNUMBER(SEARCH(","&amp;Справочник_ОКВЭД_НР!$C$3:$C$62&amp;".",","&amp;SUBSTITUTE(F59," ","")&amp;","))) +
  SUMPRODUCT(ISNUMBER(SEARCH(","&amp;Справочник_ОКВЭД_НР!$E$3:$E$62&amp;".",","&amp;SUBSTITUTE(F59," ","")&amp;","))) +
  SUMPRODUCT(ISNUMBER(SEARCH(","&amp;Справочник_ОКВЭД_НР!$G$3:$G$62&amp;".",","&amp;SUBSTITUTE(F59," ","")&amp;",")))),
50)</f>
        <v>50</v>
      </c>
      <c r="K59" s="30">
        <f>IFERROR(VLOOKUP(G59,Справочник_ОКВЭД_НР!$O:$P,2,FALSE()),50)</f>
        <v>100</v>
      </c>
      <c r="L59" s="45">
        <f>(I59*Справочник_ОКВЭД_НР!$L$2+J59*Справочник_ОКВЭД_НР!$L$3+K59*Справочник_ОКВЭД_НР!$L$4)*M59</f>
        <v>63.5</v>
      </c>
      <c r="M59" s="47">
        <f>IF(COUNTIF(Справочник_ОКВЭД_НР!$G$3:$G$62,H59)&gt;0,0,1)</f>
        <v>1</v>
      </c>
    </row>
    <row r="60" spans="1:13" x14ac:dyDescent="0.25">
      <c r="A60" s="4">
        <f>ЛИК_дляСкорингаДП!A60</f>
        <v>1077764075399</v>
      </c>
      <c r="B60" s="4">
        <f>ЛИК_дляСкорингаДП!B60</f>
        <v>7721607323</v>
      </c>
      <c r="C60" s="4" t="str">
        <f>ЛИК_дляСкорингаДП!C60</f>
        <v>АО "ТРАСТИНВЕСТНЕДВИЖИМОСТЬ"</v>
      </c>
      <c r="D60" s="5" t="str">
        <f>ЛИК_дляСкорингаДП!M60</f>
        <v>Покупка и продажа собственных нежилых зданий и помещений</v>
      </c>
      <c r="E60" s="4" t="str">
        <f>ЛИК_дляСкорингаДП!L60</f>
        <v>68.10.22</v>
      </c>
      <c r="F60" t="str">
        <f>ЛИК_дляСкорингаДП!N60</f>
        <v>14.12,46.11.35,46.12.31,46.15,46.42.14,46.49,64.20,64.92.2,64.92.3,64.99.3,66.1,66.12.1,66.19,66.19.4,66.19.5,68.10.12,68.10.23,68.20.2,68.31.1,68.31.2,68.31.3,68.31.4,68.31.52,68.32,68.32.1,68.32.2,69.10,69.20,70.10.1,70.10.2,70.22,73.1,73.20</v>
      </c>
      <c r="G60" s="25" t="str">
        <f>ЛИК_дляСкорингаДП!AG60</f>
        <v>ОСН</v>
      </c>
      <c r="H60" s="55" t="str">
        <f>IF(ISNUMBER(E60),E60,
IFERROR(LEFT(E60,FIND(".",E60)-1),E60))</f>
        <v>68</v>
      </c>
      <c r="I60" s="30">
        <f>IF(COUNTIF(Справочник_ОКВЭД_НР!$A$3:$A$62,H60)&gt;0,Справочник_ОКВЭД_НР!$L$8,
 IF(COUNTIF(Справочник_ОКВЭД_НР!$C$3:$C$62,H60)&gt;0,Справочник_ОКВЭД_НР!$L$9,
  IF(COUNTIF(Справочник_ОКВЭД_НР!$E$3:$E$62,H60)&gt;0,Справочник_ОКВЭД_НР!$L$10,
   IF(COUNTIF(Справочник_ОКВЭД_НР!$G$3:$G$62,H60)&gt;0,Справочник_ОКВЭД_НР!$L$11,50))))</f>
        <v>100</v>
      </c>
      <c r="J60" s="30" cm="1">
        <f t="array" ref="J60">IFERROR(
 (SUMPRODUCT(ISNUMBER(SEARCH(","&amp;Справочник_ОКВЭД_НР!$A$3:$A$62&amp;".",","&amp;SUBSTITUTE(F60," ","")&amp;",")))*Справочник_ОКВЭД_НР!$L$9 +
  SUMPRODUCT(ISNUMBER(SEARCH(","&amp;Справочник_ОКВЭД_НР!$C$3:$C$62&amp;".",","&amp;SUBSTITUTE(F60," ","")&amp;",")))*Справочник_ОКВЭД_НР!$L$10 +
  SUMPRODUCT(ISNUMBER(SEARCH(","&amp;Справочник_ОКВЭД_НР!$E$3:$E$62&amp;".",","&amp;SUBSTITUTE(F60," ","")&amp;",")))*Справочник_ОКВЭД_НР!$L$11 +
  SUMPRODUCT(ISNUMBER(SEARCH(","&amp;Справочник_ОКВЭД_НР!$G$3:$G$62&amp;".",","&amp;SUBSTITUTE(F60," ","")&amp;",")))*Справочник_ОКВЭД_НР!$L$12) /
 (SUMPRODUCT(ISNUMBER(SEARCH(","&amp;Справочник_ОКВЭД_НР!$A$3:$A$62&amp;".",","&amp;SUBSTITUTE(F60," ","")&amp;","))) +
  SUMPRODUCT(ISNUMBER(SEARCH(","&amp;Справочник_ОКВЭД_НР!$C$3:$C$62&amp;".",","&amp;SUBSTITUTE(F60," ","")&amp;","))) +
  SUMPRODUCT(ISNUMBER(SEARCH(","&amp;Справочник_ОКВЭД_НР!$E$3:$E$62&amp;".",","&amp;SUBSTITUTE(F60," ","")&amp;","))) +
  SUMPRODUCT(ISNUMBER(SEARCH(","&amp;Справочник_ОКВЭД_НР!$G$3:$G$62&amp;".",","&amp;SUBSTITUTE(F60," ","")&amp;",")))),
50)</f>
        <v>50</v>
      </c>
      <c r="K60" s="30">
        <f>IFERROR(VLOOKUP(G60,Справочник_ОКВЭД_НР!$O:$P,2,FALSE()),50)</f>
        <v>100</v>
      </c>
      <c r="L60" s="45">
        <f>(I60*Справочник_ОКВЭД_НР!$L$2+J60*Справочник_ОКВЭД_НР!$L$3+K60*Справочник_ОКВЭД_НР!$L$4)*M60</f>
        <v>87.5</v>
      </c>
      <c r="M60" s="47">
        <f>IF(COUNTIF(Справочник_ОКВЭД_НР!$G$3:$G$62,H60)&gt;0,0,1)</f>
        <v>1</v>
      </c>
    </row>
    <row r="61" spans="1:13" x14ac:dyDescent="0.25">
      <c r="A61" s="4">
        <f>ЛИК_дляСкорингаДП!A61</f>
        <v>1077762607450</v>
      </c>
      <c r="B61" s="4">
        <f>ЛИК_дляСкорингаДП!B61</f>
        <v>7703649183</v>
      </c>
      <c r="C61" s="4" t="str">
        <f>ЛИК_дляСкорингаДП!C61</f>
        <v>ОАО "МОСКОВСКАЯ ГАЗЕТНАЯ ТИПОГРАФИЯ"</v>
      </c>
      <c r="D61" s="5" t="str">
        <f>ЛИК_дляСкорингаДП!M61</f>
        <v>Прочие виды полиграфической деятельности, не включенные в другие группировки</v>
      </c>
      <c r="E61" s="4" t="str">
        <f>ЛИК_дляСкорингаДП!L61</f>
        <v>18.12.9</v>
      </c>
      <c r="F61" t="str">
        <f>ЛИК_дляСкорингаДП!N61</f>
        <v>18.11,46.90,68.20.29,81.10,18.11,18.12,18.13,18.14,52.29,53.20.3,58.11.1,58.11.3,58.14,58.19,59.20,59.20.3,61.1,68.20.1</v>
      </c>
      <c r="G61" s="25" t="str">
        <f>ЛИК_дляСкорингаДП!AG61</f>
        <v>ОСН</v>
      </c>
      <c r="H61" s="55" t="str">
        <f>IF(ISNUMBER(E61),E61,
IFERROR(LEFT(E61,FIND(".",E61)-1),E61))</f>
        <v>18</v>
      </c>
      <c r="I61" s="30">
        <f>IF(COUNTIF(Справочник_ОКВЭД_НР!$A$3:$A$62,H61)&gt;0,Справочник_ОКВЭД_НР!$L$8,
 IF(COUNTIF(Справочник_ОКВЭД_НР!$C$3:$C$62,H61)&gt;0,Справочник_ОКВЭД_НР!$L$9,
  IF(COUNTIF(Справочник_ОКВЭД_НР!$E$3:$E$62,H61)&gt;0,Справочник_ОКВЭД_НР!$L$10,
   IF(COUNTIF(Справочник_ОКВЭД_НР!$G$3:$G$62,H61)&gt;0,Справочник_ОКВЭД_НР!$L$11,50))))</f>
        <v>30</v>
      </c>
      <c r="J61" s="30" cm="1">
        <f t="array" ref="J61">IFERROR(
 (SUMPRODUCT(ISNUMBER(SEARCH(","&amp;Справочник_ОКВЭД_НР!$A$3:$A$62&amp;".",","&amp;SUBSTITUTE(F61," ","")&amp;",")))*Справочник_ОКВЭД_НР!$L$9 +
  SUMPRODUCT(ISNUMBER(SEARCH(","&amp;Справочник_ОКВЭД_НР!$C$3:$C$62&amp;".",","&amp;SUBSTITUTE(F61," ","")&amp;",")))*Справочник_ОКВЭД_НР!$L$10 +
  SUMPRODUCT(ISNUMBER(SEARCH(","&amp;Справочник_ОКВЭД_НР!$E$3:$E$62&amp;".",","&amp;SUBSTITUTE(F61," ","")&amp;",")))*Справочник_ОКВЭД_НР!$L$11 +
  SUMPRODUCT(ISNUMBER(SEARCH(","&amp;Справочник_ОКВЭД_НР!$G$3:$G$62&amp;".",","&amp;SUBSTITUTE(F61," ","")&amp;",")))*Справочник_ОКВЭД_НР!$L$12) /
 (SUMPRODUCT(ISNUMBER(SEARCH(","&amp;Справочник_ОКВЭД_НР!$A$3:$A$62&amp;".",","&amp;SUBSTITUTE(F61," ","")&amp;","))) +
  SUMPRODUCT(ISNUMBER(SEARCH(","&amp;Справочник_ОКВЭД_НР!$C$3:$C$62&amp;".",","&amp;SUBSTITUTE(F61," ","")&amp;","))) +
  SUMPRODUCT(ISNUMBER(SEARCH(","&amp;Справочник_ОКВЭД_НР!$E$3:$E$62&amp;".",","&amp;SUBSTITUTE(F61," ","")&amp;","))) +
  SUMPRODUCT(ISNUMBER(SEARCH(","&amp;Справочник_ОКВЭД_НР!$G$3:$G$62&amp;".",","&amp;SUBSTITUTE(F61," ","")&amp;",")))),
50)</f>
        <v>50</v>
      </c>
      <c r="K61" s="30">
        <f>IFERROR(VLOOKUP(G61,Справочник_ОКВЭД_НР!$O:$P,2,FALSE()),50)</f>
        <v>100</v>
      </c>
      <c r="L61" s="45">
        <f>(I61*Справочник_ОКВЭД_НР!$L$2+J61*Справочник_ОКВЭД_НР!$L$3+K61*Справочник_ОКВЭД_НР!$L$4)*M61</f>
        <v>45.5</v>
      </c>
      <c r="M61" s="47">
        <f>IF(COUNTIF(Справочник_ОКВЭД_НР!$G$3:$G$62,H61)&gt;0,0,1)</f>
        <v>1</v>
      </c>
    </row>
    <row r="62" spans="1:13" x14ac:dyDescent="0.25">
      <c r="A62" s="4">
        <f>ЛИК_дляСкорингаДП!A62</f>
        <v>1067746734318</v>
      </c>
      <c r="B62" s="4">
        <f>ЛИК_дляСкорингаДП!B62</f>
        <v>7701666049</v>
      </c>
      <c r="C62" s="4" t="str">
        <f>ЛИК_дляСкорингаДП!C62</f>
        <v>ООО "ББ МЕДИА"</v>
      </c>
      <c r="D62" s="5" t="str">
        <f>ЛИК_дляСкорингаДП!M62</f>
        <v>Деятельность агентов по оптовой торговле универсальным ассортиментом товаров</v>
      </c>
      <c r="E62" s="4" t="str">
        <f>ЛИК_дляСкорингаДП!L62</f>
        <v>46.19</v>
      </c>
      <c r="F62" t="str">
        <f>ЛИК_дляСкорингаДП!N62</f>
        <v>46.73.6,45.11,45.19,46.12,46.13,46.14,46.63,46.69,46.72,46.73,46.74,46.75,46.90,49.10,49.20,52.10,52.21,52.24,52.29,64.92,77.11,77.12,77.32</v>
      </c>
      <c r="G62" s="25" t="str">
        <f>ЛИК_дляСкорингаДП!AG62</f>
        <v>ОСН</v>
      </c>
      <c r="H62" s="55" t="str">
        <f>IF(ISNUMBER(E62),E62,
IFERROR(LEFT(E62,FIND(".",E62)-1),E62))</f>
        <v>46</v>
      </c>
      <c r="I62" s="30">
        <f>IF(COUNTIF(Справочник_ОКВЭД_НР!$A$3:$A$62,H62)&gt;0,Справочник_ОКВЭД_НР!$L$8,
 IF(COUNTIF(Справочник_ОКВЭД_НР!$C$3:$C$62,H62)&gt;0,Справочник_ОКВЭД_НР!$L$9,
  IF(COUNTIF(Справочник_ОКВЭД_НР!$E$3:$E$62,H62)&gt;0,Справочник_ОКВЭД_НР!$L$10,
   IF(COUNTIF(Справочник_ОКВЭД_НР!$G$3:$G$62,H62)&gt;0,Справочник_ОКВЭД_НР!$L$11,50))))</f>
        <v>60</v>
      </c>
      <c r="J62" s="30" cm="1">
        <f t="array" ref="J62">IFERROR(
 (SUMPRODUCT(ISNUMBER(SEARCH(","&amp;Справочник_ОКВЭД_НР!$A$3:$A$62&amp;".",","&amp;SUBSTITUTE(F62," ","")&amp;",")))*Справочник_ОКВЭД_НР!$L$9 +
  SUMPRODUCT(ISNUMBER(SEARCH(","&amp;Справочник_ОКВЭД_НР!$C$3:$C$62&amp;".",","&amp;SUBSTITUTE(F62," ","")&amp;",")))*Справочник_ОКВЭД_НР!$L$10 +
  SUMPRODUCT(ISNUMBER(SEARCH(","&amp;Справочник_ОКВЭД_НР!$E$3:$E$62&amp;".",","&amp;SUBSTITUTE(F62," ","")&amp;",")))*Справочник_ОКВЭД_НР!$L$11 +
  SUMPRODUCT(ISNUMBER(SEARCH(","&amp;Справочник_ОКВЭД_НР!$G$3:$G$62&amp;".",","&amp;SUBSTITUTE(F62," ","")&amp;",")))*Справочник_ОКВЭД_НР!$L$12) /
 (SUMPRODUCT(ISNUMBER(SEARCH(","&amp;Справочник_ОКВЭД_НР!$A$3:$A$62&amp;".",","&amp;SUBSTITUTE(F62," ","")&amp;","))) +
  SUMPRODUCT(ISNUMBER(SEARCH(","&amp;Справочник_ОКВЭД_НР!$C$3:$C$62&amp;".",","&amp;SUBSTITUTE(F62," ","")&amp;","))) +
  SUMPRODUCT(ISNUMBER(SEARCH(","&amp;Справочник_ОКВЭД_НР!$E$3:$E$62&amp;".",","&amp;SUBSTITUTE(F62," ","")&amp;","))) +
  SUMPRODUCT(ISNUMBER(SEARCH(","&amp;Справочник_ОКВЭД_НР!$G$3:$G$62&amp;".",","&amp;SUBSTITUTE(F62," ","")&amp;",")))),
50)</f>
        <v>50</v>
      </c>
      <c r="K62" s="30">
        <f>IFERROR(VLOOKUP(G62,Справочник_ОКВЭД_НР!$O:$P,2,FALSE()),50)</f>
        <v>100</v>
      </c>
      <c r="L62" s="45">
        <f>(I62*Справочник_ОКВЭД_НР!$L$2+J62*Справочник_ОКВЭД_НР!$L$3+K62*Справочник_ОКВЭД_НР!$L$4)*M62</f>
        <v>63.5</v>
      </c>
      <c r="M62" s="47">
        <f>IF(COUNTIF(Справочник_ОКВЭД_НР!$G$3:$G$62,H62)&gt;0,0,1)</f>
        <v>1</v>
      </c>
    </row>
    <row r="63" spans="1:13" x14ac:dyDescent="0.25">
      <c r="A63" s="4">
        <f>ЛИК_дляСкорингаДП!A63</f>
        <v>1117746349324</v>
      </c>
      <c r="B63" s="4">
        <f>ЛИК_дляСкорингаДП!B63</f>
        <v>7701917479</v>
      </c>
      <c r="C63" s="4" t="str">
        <f>ЛИК_дляСкорингаДП!C63</f>
        <v>АО "ЭКОПЛАСТ"</v>
      </c>
      <c r="D63" s="5" t="str">
        <f>ЛИК_дляСкорингаДП!M63</f>
        <v>Вложения в ценные бумаги</v>
      </c>
      <c r="E63" s="4" t="str">
        <f>ЛИК_дляСкорингаДП!L63</f>
        <v>64.99.11</v>
      </c>
      <c r="F63" t="str">
        <f>ЛИК_дляСкорингаДП!N63</f>
        <v>64.20,64.92.2,64.99,64.99.3,66.19.4,70.10.1,70.10.2,70.22,73.20.1</v>
      </c>
      <c r="G63" s="25" t="str">
        <f>ЛИК_дляСкорингаДП!AG63</f>
        <v>ОСН</v>
      </c>
      <c r="H63" s="55" t="str">
        <f>IF(ISNUMBER(E63),E63,
IFERROR(LEFT(E63,FIND(".",E63)-1),E63))</f>
        <v>64</v>
      </c>
      <c r="I63" s="30">
        <f>IF(COUNTIF(Справочник_ОКВЭД_НР!$A$3:$A$62,H63)&gt;0,Справочник_ОКВЭД_НР!$L$8,
 IF(COUNTIF(Справочник_ОКВЭД_НР!$C$3:$C$62,H63)&gt;0,Справочник_ОКВЭД_НР!$L$9,
  IF(COUNTIF(Справочник_ОКВЭД_НР!$E$3:$E$62,H63)&gt;0,Справочник_ОКВЭД_НР!$L$10,
   IF(COUNTIF(Справочник_ОКВЭД_НР!$G$3:$G$62,H63)&gt;0,Справочник_ОКВЭД_НР!$L$11,50))))</f>
        <v>60</v>
      </c>
      <c r="J63" s="30" cm="1">
        <f t="array" ref="J63">IFERROR(
 (SUMPRODUCT(ISNUMBER(SEARCH(","&amp;Справочник_ОКВЭД_НР!$A$3:$A$62&amp;".",","&amp;SUBSTITUTE(F63," ","")&amp;",")))*Справочник_ОКВЭД_НР!$L$9 +
  SUMPRODUCT(ISNUMBER(SEARCH(","&amp;Справочник_ОКВЭД_НР!$C$3:$C$62&amp;".",","&amp;SUBSTITUTE(F63," ","")&amp;",")))*Справочник_ОКВЭД_НР!$L$10 +
  SUMPRODUCT(ISNUMBER(SEARCH(","&amp;Справочник_ОКВЭД_НР!$E$3:$E$62&amp;".",","&amp;SUBSTITUTE(F63," ","")&amp;",")))*Справочник_ОКВЭД_НР!$L$11 +
  SUMPRODUCT(ISNUMBER(SEARCH(","&amp;Справочник_ОКВЭД_НР!$G$3:$G$62&amp;".",","&amp;SUBSTITUTE(F63," ","")&amp;",")))*Справочник_ОКВЭД_НР!$L$12) /
 (SUMPRODUCT(ISNUMBER(SEARCH(","&amp;Справочник_ОКВЭД_НР!$A$3:$A$62&amp;".",","&amp;SUBSTITUTE(F63," ","")&amp;","))) +
  SUMPRODUCT(ISNUMBER(SEARCH(","&amp;Справочник_ОКВЭД_НР!$C$3:$C$62&amp;".",","&amp;SUBSTITUTE(F63," ","")&amp;","))) +
  SUMPRODUCT(ISNUMBER(SEARCH(","&amp;Справочник_ОКВЭД_НР!$E$3:$E$62&amp;".",","&amp;SUBSTITUTE(F63," ","")&amp;","))) +
  SUMPRODUCT(ISNUMBER(SEARCH(","&amp;Справочник_ОКВЭД_НР!$G$3:$G$62&amp;".",","&amp;SUBSTITUTE(F63," ","")&amp;",")))),
50)</f>
        <v>50</v>
      </c>
      <c r="K63" s="30">
        <f>IFERROR(VLOOKUP(G63,Справочник_ОКВЭД_НР!$O:$P,2,FALSE()),50)</f>
        <v>100</v>
      </c>
      <c r="L63" s="45">
        <f>(I63*Справочник_ОКВЭД_НР!$L$2+J63*Справочник_ОКВЭД_НР!$L$3+K63*Справочник_ОКВЭД_НР!$L$4)*M63</f>
        <v>63.5</v>
      </c>
      <c r="M63" s="47">
        <f>IF(COUNTIF(Справочник_ОКВЭД_НР!$G$3:$G$62,H63)&gt;0,0,1)</f>
        <v>1</v>
      </c>
    </row>
    <row r="64" spans="1:13" x14ac:dyDescent="0.25">
      <c r="A64" s="4">
        <f>ЛИК_дляСкорингаДП!A64</f>
        <v>1025006033040</v>
      </c>
      <c r="B64" s="4">
        <f>ЛИК_дляСкорингаДП!B64</f>
        <v>5046062009</v>
      </c>
      <c r="C64" s="4" t="str">
        <f>ЛИК_дляСкорингаДП!C64</f>
        <v>ООО "ХАУСХОЛД ЛОДЖИК"</v>
      </c>
      <c r="D64" s="5" t="str">
        <f>ЛИК_дляСкорингаДП!M64</f>
        <v>Аренда и управление собственным или арендованным недвижимым имуществом</v>
      </c>
      <c r="E64" s="4" t="str">
        <f>ЛИК_дляСкорингаДП!L64</f>
        <v>68.20</v>
      </c>
      <c r="F64" t="str">
        <f>ЛИК_дляСкорингаДП!N64</f>
        <v>41.20,52.10,52.10.9,52.24,52.29,68.10,70.22</v>
      </c>
      <c r="G64" s="25" t="str">
        <f>ЛИК_дляСкорингаДП!AG64</f>
        <v>ОСН</v>
      </c>
      <c r="H64" s="55" t="str">
        <f>IF(ISNUMBER(E64),E64,
IFERROR(LEFT(E64,FIND(".",E64)-1),E64))</f>
        <v>68</v>
      </c>
      <c r="I64" s="30">
        <f>IF(COUNTIF(Справочник_ОКВЭД_НР!$A$3:$A$62,H64)&gt;0,Справочник_ОКВЭД_НР!$L$8,
 IF(COUNTIF(Справочник_ОКВЭД_НР!$C$3:$C$62,H64)&gt;0,Справочник_ОКВЭД_НР!$L$9,
  IF(COUNTIF(Справочник_ОКВЭД_НР!$E$3:$E$62,H64)&gt;0,Справочник_ОКВЭД_НР!$L$10,
   IF(COUNTIF(Справочник_ОКВЭД_НР!$G$3:$G$62,H64)&gt;0,Справочник_ОКВЭД_НР!$L$11,50))))</f>
        <v>100</v>
      </c>
      <c r="J64" s="30" cm="1">
        <f t="array" ref="J64">IFERROR(
 (SUMPRODUCT(ISNUMBER(SEARCH(","&amp;Справочник_ОКВЭД_НР!$A$3:$A$62&amp;".",","&amp;SUBSTITUTE(F64," ","")&amp;",")))*Справочник_ОКВЭД_НР!$L$9 +
  SUMPRODUCT(ISNUMBER(SEARCH(","&amp;Справочник_ОКВЭД_НР!$C$3:$C$62&amp;".",","&amp;SUBSTITUTE(F64," ","")&amp;",")))*Справочник_ОКВЭД_НР!$L$10 +
  SUMPRODUCT(ISNUMBER(SEARCH(","&amp;Справочник_ОКВЭД_НР!$E$3:$E$62&amp;".",","&amp;SUBSTITUTE(F64," ","")&amp;",")))*Справочник_ОКВЭД_НР!$L$11 +
  SUMPRODUCT(ISNUMBER(SEARCH(","&amp;Справочник_ОКВЭД_НР!$G$3:$G$62&amp;".",","&amp;SUBSTITUTE(F64," ","")&amp;",")))*Справочник_ОКВЭД_НР!$L$12) /
 (SUMPRODUCT(ISNUMBER(SEARCH(","&amp;Справочник_ОКВЭД_НР!$A$3:$A$62&amp;".",","&amp;SUBSTITUTE(F64," ","")&amp;","))) +
  SUMPRODUCT(ISNUMBER(SEARCH(","&amp;Справочник_ОКВЭД_НР!$C$3:$C$62&amp;".",","&amp;SUBSTITUTE(F64," ","")&amp;","))) +
  SUMPRODUCT(ISNUMBER(SEARCH(","&amp;Справочник_ОКВЭД_НР!$E$3:$E$62&amp;".",","&amp;SUBSTITUTE(F64," ","")&amp;","))) +
  SUMPRODUCT(ISNUMBER(SEARCH(","&amp;Справочник_ОКВЭД_НР!$G$3:$G$62&amp;".",","&amp;SUBSTITUTE(F64," ","")&amp;",")))),
50)</f>
        <v>50</v>
      </c>
      <c r="K64" s="30">
        <f>IFERROR(VLOOKUP(G64,Справочник_ОКВЭД_НР!$O:$P,2,FALSE()),50)</f>
        <v>100</v>
      </c>
      <c r="L64" s="45">
        <f>(I64*Справочник_ОКВЭД_НР!$L$2+J64*Справочник_ОКВЭД_НР!$L$3+K64*Справочник_ОКВЭД_НР!$L$4)*M64</f>
        <v>87.5</v>
      </c>
      <c r="M64" s="47">
        <f>IF(COUNTIF(Справочник_ОКВЭД_НР!$G$3:$G$62,H64)&gt;0,0,1)</f>
        <v>1</v>
      </c>
    </row>
    <row r="65" spans="1:13" x14ac:dyDescent="0.25">
      <c r="A65" s="4">
        <f>ЛИК_дляСкорингаДП!A65</f>
        <v>1025007269583</v>
      </c>
      <c r="B65" s="4">
        <f>ЛИК_дляСкорингаДП!B65</f>
        <v>5056000964</v>
      </c>
      <c r="C65" s="4" t="str">
        <f>ЛИК_дляСкорингаДП!C65</f>
        <v>АО "ЦАБ"</v>
      </c>
      <c r="D65" s="5" t="str">
        <f>ЛИК_дляСкорингаДП!M65</f>
        <v>Аренда и управление собственным или арендованным нежилым недвижимым имуществом</v>
      </c>
      <c r="E65" s="4" t="str">
        <f>ЛИК_дляСкорингаДП!L65</f>
        <v>68.20.2</v>
      </c>
      <c r="F65" t="str">
        <f>ЛИК_дляСкорингаДП!N65</f>
        <v>43.22,46.12.22,46.47.1,46.49.49,46.49.5,46.69.5,46.69.9,46.73,46.90,49.31,49.4,52.10.9,52.24,52.29,68.31.22,68.31.32,68.31.42,77.39.29</v>
      </c>
      <c r="G65" s="25" t="str">
        <f>ЛИК_дляСкорингаДП!AG65</f>
        <v>ОСН</v>
      </c>
      <c r="H65" s="55" t="str">
        <f>IF(ISNUMBER(E65),E65,
IFERROR(LEFT(E65,FIND(".",E65)-1),E65))</f>
        <v>68</v>
      </c>
      <c r="I65" s="30">
        <f>IF(COUNTIF(Справочник_ОКВЭД_НР!$A$3:$A$62,H65)&gt;0,Справочник_ОКВЭД_НР!$L$8,
 IF(COUNTIF(Справочник_ОКВЭД_НР!$C$3:$C$62,H65)&gt;0,Справочник_ОКВЭД_НР!$L$9,
  IF(COUNTIF(Справочник_ОКВЭД_НР!$E$3:$E$62,H65)&gt;0,Справочник_ОКВЭД_НР!$L$10,
   IF(COUNTIF(Справочник_ОКВЭД_НР!$G$3:$G$62,H65)&gt;0,Справочник_ОКВЭД_НР!$L$11,50))))</f>
        <v>100</v>
      </c>
      <c r="J65" s="30" cm="1">
        <f t="array" ref="J65">IFERROR(
 (SUMPRODUCT(ISNUMBER(SEARCH(","&amp;Справочник_ОКВЭД_НР!$A$3:$A$62&amp;".",","&amp;SUBSTITUTE(F65," ","")&amp;",")))*Справочник_ОКВЭД_НР!$L$9 +
  SUMPRODUCT(ISNUMBER(SEARCH(","&amp;Справочник_ОКВЭД_НР!$C$3:$C$62&amp;".",","&amp;SUBSTITUTE(F65," ","")&amp;",")))*Справочник_ОКВЭД_НР!$L$10 +
  SUMPRODUCT(ISNUMBER(SEARCH(","&amp;Справочник_ОКВЭД_НР!$E$3:$E$62&amp;".",","&amp;SUBSTITUTE(F65," ","")&amp;",")))*Справочник_ОКВЭД_НР!$L$11 +
  SUMPRODUCT(ISNUMBER(SEARCH(","&amp;Справочник_ОКВЭД_НР!$G$3:$G$62&amp;".",","&amp;SUBSTITUTE(F65," ","")&amp;",")))*Справочник_ОКВЭД_НР!$L$12) /
 (SUMPRODUCT(ISNUMBER(SEARCH(","&amp;Справочник_ОКВЭД_НР!$A$3:$A$62&amp;".",","&amp;SUBSTITUTE(F65," ","")&amp;","))) +
  SUMPRODUCT(ISNUMBER(SEARCH(","&amp;Справочник_ОКВЭД_НР!$C$3:$C$62&amp;".",","&amp;SUBSTITUTE(F65," ","")&amp;","))) +
  SUMPRODUCT(ISNUMBER(SEARCH(","&amp;Справочник_ОКВЭД_НР!$E$3:$E$62&amp;".",","&amp;SUBSTITUTE(F65," ","")&amp;","))) +
  SUMPRODUCT(ISNUMBER(SEARCH(","&amp;Справочник_ОКВЭД_НР!$G$3:$G$62&amp;".",","&amp;SUBSTITUTE(F65," ","")&amp;",")))),
50)</f>
        <v>50</v>
      </c>
      <c r="K65" s="30">
        <f>IFERROR(VLOOKUP(G65,Справочник_ОКВЭД_НР!$O:$P,2,FALSE()),50)</f>
        <v>100</v>
      </c>
      <c r="L65" s="45">
        <f>(I65*Справочник_ОКВЭД_НР!$L$2+J65*Справочник_ОКВЭД_НР!$L$3+K65*Справочник_ОКВЭД_НР!$L$4)*M65</f>
        <v>87.5</v>
      </c>
      <c r="M65" s="47">
        <f>IF(COUNTIF(Справочник_ОКВЭД_НР!$G$3:$G$62,H65)&gt;0,0,1)</f>
        <v>1</v>
      </c>
    </row>
    <row r="66" spans="1:13" x14ac:dyDescent="0.25">
      <c r="A66" s="4">
        <f>ЛИК_дляСкорингаДП!A66</f>
        <v>1047796071344</v>
      </c>
      <c r="B66" s="4">
        <f>ЛИК_дляСкорингаДП!B66</f>
        <v>7727504170</v>
      </c>
      <c r="C66" s="4" t="str">
        <f>ЛИК_дляСкорингаДП!C66</f>
        <v>ООО "ТРАНСПОРТНАЯ ГРУППА ФЕСКО"</v>
      </c>
      <c r="D66" s="5" t="str">
        <f>ЛИК_дляСкорингаДП!M66</f>
        <v>Консультирование по вопросам коммерческой деятельности и управления</v>
      </c>
      <c r="E66" s="4" t="str">
        <f>ЛИК_дляСкорингаДП!L66</f>
        <v>70.22</v>
      </c>
      <c r="F66" t="str">
        <f>ЛИК_дляСкорингаДП!N66</f>
        <v>50.20,50.40.2,53.20.3,68.1,69.10,69.20,70.10.1,70.10.2,70.22</v>
      </c>
      <c r="G66" s="25" t="str">
        <f>ЛИК_дляСкорингаДП!AG66</f>
        <v>ОСН</v>
      </c>
      <c r="H66" s="55" t="str">
        <f>IF(ISNUMBER(E66),E66,
IFERROR(LEFT(E66,FIND(".",E66)-1),E66))</f>
        <v>70</v>
      </c>
      <c r="I66" s="30">
        <f>IF(COUNTIF(Справочник_ОКВЭД_НР!$A$3:$A$62,H66)&gt;0,Справочник_ОКВЭД_НР!$L$8,
 IF(COUNTIF(Справочник_ОКВЭД_НР!$C$3:$C$62,H66)&gt;0,Справочник_ОКВЭД_НР!$L$9,
  IF(COUNTIF(Справочник_ОКВЭД_НР!$E$3:$E$62,H66)&gt;0,Справочник_ОКВЭД_НР!$L$10,
   IF(COUNTIF(Справочник_ОКВЭД_НР!$G$3:$G$62,H66)&gt;0,Справочник_ОКВЭД_НР!$L$11,50))))</f>
        <v>60</v>
      </c>
      <c r="J66" s="30" cm="1">
        <f t="array" ref="J66">IFERROR(
 (SUMPRODUCT(ISNUMBER(SEARCH(","&amp;Справочник_ОКВЭД_НР!$A$3:$A$62&amp;".",","&amp;SUBSTITUTE(F66," ","")&amp;",")))*Справочник_ОКВЭД_НР!$L$9 +
  SUMPRODUCT(ISNUMBER(SEARCH(","&amp;Справочник_ОКВЭД_НР!$C$3:$C$62&amp;".",","&amp;SUBSTITUTE(F66," ","")&amp;",")))*Справочник_ОКВЭД_НР!$L$10 +
  SUMPRODUCT(ISNUMBER(SEARCH(","&amp;Справочник_ОКВЭД_НР!$E$3:$E$62&amp;".",","&amp;SUBSTITUTE(F66," ","")&amp;",")))*Справочник_ОКВЭД_НР!$L$11 +
  SUMPRODUCT(ISNUMBER(SEARCH(","&amp;Справочник_ОКВЭД_НР!$G$3:$G$62&amp;".",","&amp;SUBSTITUTE(F66," ","")&amp;",")))*Справочник_ОКВЭД_НР!$L$12) /
 (SUMPRODUCT(ISNUMBER(SEARCH(","&amp;Справочник_ОКВЭД_НР!$A$3:$A$62&amp;".",","&amp;SUBSTITUTE(F66," ","")&amp;","))) +
  SUMPRODUCT(ISNUMBER(SEARCH(","&amp;Справочник_ОКВЭД_НР!$C$3:$C$62&amp;".",","&amp;SUBSTITUTE(F66," ","")&amp;","))) +
  SUMPRODUCT(ISNUMBER(SEARCH(","&amp;Справочник_ОКВЭД_НР!$E$3:$E$62&amp;".",","&amp;SUBSTITUTE(F66," ","")&amp;","))) +
  SUMPRODUCT(ISNUMBER(SEARCH(","&amp;Справочник_ОКВЭД_НР!$G$3:$G$62&amp;".",","&amp;SUBSTITUTE(F66," ","")&amp;",")))),
50)</f>
        <v>50</v>
      </c>
      <c r="K66" s="30">
        <f>IFERROR(VLOOKUP(G66,Справочник_ОКВЭД_НР!$O:$P,2,FALSE()),50)</f>
        <v>100</v>
      </c>
      <c r="L66" s="45">
        <f>(I66*Справочник_ОКВЭД_НР!$L$2+J66*Справочник_ОКВЭД_НР!$L$3+K66*Справочник_ОКВЭД_НР!$L$4)*M66</f>
        <v>63.5</v>
      </c>
      <c r="M66" s="47">
        <f>IF(COUNTIF(Справочник_ОКВЭД_НР!$G$3:$G$62,H66)&gt;0,0,1)</f>
        <v>1</v>
      </c>
    </row>
    <row r="67" spans="1:13" x14ac:dyDescent="0.25">
      <c r="A67" s="4">
        <f>ЛИК_дляСкорингаДП!A67</f>
        <v>1095019001220</v>
      </c>
      <c r="B67" s="4">
        <f>ЛИК_дляСкорингаДП!B67</f>
        <v>5019021966</v>
      </c>
      <c r="C67" s="4" t="str">
        <f>ЛИК_дляСкорингаДП!C67</f>
        <v>АО "НИЦ АЭС"</v>
      </c>
      <c r="D67" s="5" t="str">
        <f>ЛИК_дляСкорингаДП!M67</f>
        <v>Деятельность по техническому контролю, испытаниям и анализу прочая</v>
      </c>
      <c r="E67" s="4" t="str">
        <f>ЛИК_дляСкорингаДП!L67</f>
        <v>71.20.9</v>
      </c>
      <c r="F67" t="str">
        <f>ЛИК_дляСкорингаДП!N67</f>
        <v>25.61,25.62,26.5,46.9,71.20,72.19</v>
      </c>
      <c r="G67" s="25" t="str">
        <f>ЛИК_дляСкорингаДП!AG67</f>
        <v>ОСН</v>
      </c>
      <c r="H67" s="55" t="str">
        <f>IF(ISNUMBER(E67),E67,
IFERROR(LEFT(E67,FIND(".",E67)-1),E67))</f>
        <v>71</v>
      </c>
      <c r="I67" s="30">
        <f>IF(COUNTIF(Справочник_ОКВЭД_НР!$A$3:$A$62,H67)&gt;0,Справочник_ОКВЭД_НР!$L$8,
 IF(COUNTIF(Справочник_ОКВЭД_НР!$C$3:$C$62,H67)&gt;0,Справочник_ОКВЭД_НР!$L$9,
  IF(COUNTIF(Справочник_ОКВЭД_НР!$E$3:$E$62,H67)&gt;0,Справочник_ОКВЭД_НР!$L$10,
   IF(COUNTIF(Справочник_ОКВЭД_НР!$G$3:$G$62,H67)&gt;0,Справочник_ОКВЭД_НР!$L$11,50))))</f>
        <v>100</v>
      </c>
      <c r="J67" s="30" cm="1">
        <f t="array" ref="J67">IFERROR(
 (SUMPRODUCT(ISNUMBER(SEARCH(","&amp;Справочник_ОКВЭД_НР!$A$3:$A$62&amp;".",","&amp;SUBSTITUTE(F67," ","")&amp;",")))*Справочник_ОКВЭД_НР!$L$9 +
  SUMPRODUCT(ISNUMBER(SEARCH(","&amp;Справочник_ОКВЭД_НР!$C$3:$C$62&amp;".",","&amp;SUBSTITUTE(F67," ","")&amp;",")))*Справочник_ОКВЭД_НР!$L$10 +
  SUMPRODUCT(ISNUMBER(SEARCH(","&amp;Справочник_ОКВЭД_НР!$E$3:$E$62&amp;".",","&amp;SUBSTITUTE(F67," ","")&amp;",")))*Справочник_ОКВЭД_НР!$L$11 +
  SUMPRODUCT(ISNUMBER(SEARCH(","&amp;Справочник_ОКВЭД_НР!$G$3:$G$62&amp;".",","&amp;SUBSTITUTE(F67," ","")&amp;",")))*Справочник_ОКВЭД_НР!$L$12) /
 (SUMPRODUCT(ISNUMBER(SEARCH(","&amp;Справочник_ОКВЭД_НР!$A$3:$A$62&amp;".",","&amp;SUBSTITUTE(F67," ","")&amp;","))) +
  SUMPRODUCT(ISNUMBER(SEARCH(","&amp;Справочник_ОКВЭД_НР!$C$3:$C$62&amp;".",","&amp;SUBSTITUTE(F67," ","")&amp;","))) +
  SUMPRODUCT(ISNUMBER(SEARCH(","&amp;Справочник_ОКВЭД_НР!$E$3:$E$62&amp;".",","&amp;SUBSTITUTE(F67," ","")&amp;","))) +
  SUMPRODUCT(ISNUMBER(SEARCH(","&amp;Справочник_ОКВЭД_НР!$G$3:$G$62&amp;".",","&amp;SUBSTITUTE(F67," ","")&amp;",")))),
50)</f>
        <v>50</v>
      </c>
      <c r="K67" s="30">
        <f>IFERROR(VLOOKUP(G67,Справочник_ОКВЭД_НР!$O:$P,2,FALSE()),50)</f>
        <v>100</v>
      </c>
      <c r="L67" s="45">
        <f>(I67*Справочник_ОКВЭД_НР!$L$2+J67*Справочник_ОКВЭД_НР!$L$3+K67*Справочник_ОКВЭД_НР!$L$4)*M67</f>
        <v>87.5</v>
      </c>
      <c r="M67" s="47">
        <f>IF(COUNTIF(Справочник_ОКВЭД_НР!$G$3:$G$62,H67)&gt;0,0,1)</f>
        <v>1</v>
      </c>
    </row>
    <row r="68" spans="1:13" x14ac:dyDescent="0.25">
      <c r="A68" s="4">
        <f>ЛИК_дляСкорингаДП!A68</f>
        <v>1087746628903</v>
      </c>
      <c r="B68" s="4">
        <f>ЛИК_дляСкорингаДП!B68</f>
        <v>7708671295</v>
      </c>
      <c r="C68" s="4" t="str">
        <f>ЛИК_дляСкорингаДП!C68</f>
        <v>ООО "АРМЗ СЕРВИС"</v>
      </c>
      <c r="D68" s="5" t="str">
        <f>ЛИК_дляСкорингаДП!M68</f>
        <v>Деятельность агентов по оптовой торговле универсальным ассортиментом товаров</v>
      </c>
      <c r="E68" s="4" t="str">
        <f>ЛИК_дляСкорингаДП!L68</f>
        <v>46.19</v>
      </c>
      <c r="F68" t="str">
        <f>ЛИК_дляСкорингаДП!N68</f>
        <v>42.99,45.1,45.20,45.3,46.1,46.42,46.71,46.72,46.72.12,46.73.1,46.73.2,46.75,46.75.2,46.90,49.4,52.10,68.32,70.22,72.19,72.19.3,72.19.9,73.20</v>
      </c>
      <c r="G68" s="25" t="str">
        <f>ЛИК_дляСкорингаДП!AG68</f>
        <v>ОСН</v>
      </c>
      <c r="H68" s="55" t="str">
        <f>IF(ISNUMBER(E68),E68,
IFERROR(LEFT(E68,FIND(".",E68)-1),E68))</f>
        <v>46</v>
      </c>
      <c r="I68" s="30">
        <f>IF(COUNTIF(Справочник_ОКВЭД_НР!$A$3:$A$62,H68)&gt;0,Справочник_ОКВЭД_НР!$L$8,
 IF(COUNTIF(Справочник_ОКВЭД_НР!$C$3:$C$62,H68)&gt;0,Справочник_ОКВЭД_НР!$L$9,
  IF(COUNTIF(Справочник_ОКВЭД_НР!$E$3:$E$62,H68)&gt;0,Справочник_ОКВЭД_НР!$L$10,
   IF(COUNTIF(Справочник_ОКВЭД_НР!$G$3:$G$62,H68)&gt;0,Справочник_ОКВЭД_НР!$L$11,50))))</f>
        <v>60</v>
      </c>
      <c r="J68" s="30" cm="1">
        <f t="array" ref="J68">IFERROR(
 (SUMPRODUCT(ISNUMBER(SEARCH(","&amp;Справочник_ОКВЭД_НР!$A$3:$A$62&amp;".",","&amp;SUBSTITUTE(F68," ","")&amp;",")))*Справочник_ОКВЭД_НР!$L$9 +
  SUMPRODUCT(ISNUMBER(SEARCH(","&amp;Справочник_ОКВЭД_НР!$C$3:$C$62&amp;".",","&amp;SUBSTITUTE(F68," ","")&amp;",")))*Справочник_ОКВЭД_НР!$L$10 +
  SUMPRODUCT(ISNUMBER(SEARCH(","&amp;Справочник_ОКВЭД_НР!$E$3:$E$62&amp;".",","&amp;SUBSTITUTE(F68," ","")&amp;",")))*Справочник_ОКВЭД_НР!$L$11 +
  SUMPRODUCT(ISNUMBER(SEARCH(","&amp;Справочник_ОКВЭД_НР!$G$3:$G$62&amp;".",","&amp;SUBSTITUTE(F68," ","")&amp;",")))*Справочник_ОКВЭД_НР!$L$12) /
 (SUMPRODUCT(ISNUMBER(SEARCH(","&amp;Справочник_ОКВЭД_НР!$A$3:$A$62&amp;".",","&amp;SUBSTITUTE(F68," ","")&amp;","))) +
  SUMPRODUCT(ISNUMBER(SEARCH(","&amp;Справочник_ОКВЭД_НР!$C$3:$C$62&amp;".",","&amp;SUBSTITUTE(F68," ","")&amp;","))) +
  SUMPRODUCT(ISNUMBER(SEARCH(","&amp;Справочник_ОКВЭД_НР!$E$3:$E$62&amp;".",","&amp;SUBSTITUTE(F68," ","")&amp;","))) +
  SUMPRODUCT(ISNUMBER(SEARCH(","&amp;Справочник_ОКВЭД_НР!$G$3:$G$62&amp;".",","&amp;SUBSTITUTE(F68," ","")&amp;",")))),
50)</f>
        <v>50</v>
      </c>
      <c r="K68" s="30">
        <f>IFERROR(VLOOKUP(G68,Справочник_ОКВЭД_НР!$O:$P,2,FALSE()),50)</f>
        <v>100</v>
      </c>
      <c r="L68" s="45">
        <f>(I68*Справочник_ОКВЭД_НР!$L$2+J68*Справочник_ОКВЭД_НР!$L$3+K68*Справочник_ОКВЭД_НР!$L$4)*M68</f>
        <v>63.5</v>
      </c>
      <c r="M68" s="47">
        <f>IF(COUNTIF(Справочник_ОКВЭД_НР!$G$3:$G$62,H68)&gt;0,0,1)</f>
        <v>1</v>
      </c>
    </row>
    <row r="69" spans="1:13" x14ac:dyDescent="0.25">
      <c r="A69" s="4">
        <f>ЛИК_дляСкорингаДП!A69</f>
        <v>1057748725352</v>
      </c>
      <c r="B69" s="4">
        <f>ЛИК_дляСкорингаДП!B69</f>
        <v>7724558466</v>
      </c>
      <c r="C69" s="4" t="str">
        <f>ЛИК_дляСкорингаДП!C69</f>
        <v>АО "МЗП"</v>
      </c>
      <c r="D69" s="5" t="str">
        <f>ЛИК_дляСкорингаДП!M69</f>
        <v>Аренда и управление собственным или арендованным торговым объектом недвижимого имущества</v>
      </c>
      <c r="E69" s="4" t="str">
        <f>ЛИК_дляСкорингаДП!L69</f>
        <v>68.20.21</v>
      </c>
      <c r="F69" t="str">
        <f>ЛИК_дляСкорингаДП!N69</f>
        <v>25.30.2,25.40,25.61,25.62,25.99.29,26.30,26.51.7,28.29.12,35.11.3,35.30.2,35.30.3,35.30.4,68.20.2,68.32.2,72.19</v>
      </c>
      <c r="G69" s="25" t="str">
        <f>ЛИК_дляСкорингаДП!AG69</f>
        <v>ОСН</v>
      </c>
      <c r="H69" s="55" t="str">
        <f>IF(ISNUMBER(E69),E69,
IFERROR(LEFT(E69,FIND(".",E69)-1),E69))</f>
        <v>68</v>
      </c>
      <c r="I69" s="30">
        <f>IF(COUNTIF(Справочник_ОКВЭД_НР!$A$3:$A$62,H69)&gt;0,Справочник_ОКВЭД_НР!$L$8,
 IF(COUNTIF(Справочник_ОКВЭД_НР!$C$3:$C$62,H69)&gt;0,Справочник_ОКВЭД_НР!$L$9,
  IF(COUNTIF(Справочник_ОКВЭД_НР!$E$3:$E$62,H69)&gt;0,Справочник_ОКВЭД_НР!$L$10,
   IF(COUNTIF(Справочник_ОКВЭД_НР!$G$3:$G$62,H69)&gt;0,Справочник_ОКВЭД_НР!$L$11,50))))</f>
        <v>100</v>
      </c>
      <c r="J69" s="30" cm="1">
        <f t="array" ref="J69">IFERROR(
 (SUMPRODUCT(ISNUMBER(SEARCH(","&amp;Справочник_ОКВЭД_НР!$A$3:$A$62&amp;".",","&amp;SUBSTITUTE(F69," ","")&amp;",")))*Справочник_ОКВЭД_НР!$L$9 +
  SUMPRODUCT(ISNUMBER(SEARCH(","&amp;Справочник_ОКВЭД_НР!$C$3:$C$62&amp;".",","&amp;SUBSTITUTE(F69," ","")&amp;",")))*Справочник_ОКВЭД_НР!$L$10 +
  SUMPRODUCT(ISNUMBER(SEARCH(","&amp;Справочник_ОКВЭД_НР!$E$3:$E$62&amp;".",","&amp;SUBSTITUTE(F69," ","")&amp;",")))*Справочник_ОКВЭД_НР!$L$11 +
  SUMPRODUCT(ISNUMBER(SEARCH(","&amp;Справочник_ОКВЭД_НР!$G$3:$G$62&amp;".",","&amp;SUBSTITUTE(F69," ","")&amp;",")))*Справочник_ОКВЭД_НР!$L$12) /
 (SUMPRODUCT(ISNUMBER(SEARCH(","&amp;Справочник_ОКВЭД_НР!$A$3:$A$62&amp;".",","&amp;SUBSTITUTE(F69," ","")&amp;","))) +
  SUMPRODUCT(ISNUMBER(SEARCH(","&amp;Справочник_ОКВЭД_НР!$C$3:$C$62&amp;".",","&amp;SUBSTITUTE(F69," ","")&amp;","))) +
  SUMPRODUCT(ISNUMBER(SEARCH(","&amp;Справочник_ОКВЭД_НР!$E$3:$E$62&amp;".",","&amp;SUBSTITUTE(F69," ","")&amp;","))) +
  SUMPRODUCT(ISNUMBER(SEARCH(","&amp;Справочник_ОКВЭД_НР!$G$3:$G$62&amp;".",","&amp;SUBSTITUTE(F69," ","")&amp;",")))),
50)</f>
        <v>50</v>
      </c>
      <c r="K69" s="30">
        <f>IFERROR(VLOOKUP(G69,Справочник_ОКВЭД_НР!$O:$P,2,FALSE()),50)</f>
        <v>100</v>
      </c>
      <c r="L69" s="45">
        <f>(I69*Справочник_ОКВЭД_НР!$L$2+J69*Справочник_ОКВЭД_НР!$L$3+K69*Справочник_ОКВЭД_НР!$L$4)*M69</f>
        <v>87.5</v>
      </c>
      <c r="M69" s="47">
        <f>IF(COUNTIF(Справочник_ОКВЭД_НР!$G$3:$G$62,H69)&gt;0,0,1)</f>
        <v>1</v>
      </c>
    </row>
    <row r="70" spans="1:13" x14ac:dyDescent="0.25">
      <c r="A70" s="4">
        <f>ЛИК_дляСкорингаДП!A70</f>
        <v>1125031002634</v>
      </c>
      <c r="B70" s="4">
        <f>ЛИК_дляСкорингаДП!B70</f>
        <v>5031101696</v>
      </c>
      <c r="C70" s="4" t="str">
        <f>ЛИК_дляСкорингаДП!C70</f>
        <v>АО "ДЭП №19"</v>
      </c>
      <c r="D70" s="5" t="str">
        <f>ЛИК_дляСкорингаДП!M70</f>
        <v>Деятельность по эксплуатации автомобильных дорог и автомагистралей</v>
      </c>
      <c r="E70" s="4" t="str">
        <f>ЛИК_дляСкорингаДП!L70</f>
        <v>52.21.22</v>
      </c>
      <c r="F70">
        <f>ЛИК_дляСкорингаДП!N70</f>
        <v>0</v>
      </c>
      <c r="G70" s="25" t="str">
        <f>ЛИК_дляСкорингаДП!AG70</f>
        <v>ОСН</v>
      </c>
      <c r="H70" s="55" t="str">
        <f>IF(ISNUMBER(E70),E70,
IFERROR(LEFT(E70,FIND(".",E70)-1),E70))</f>
        <v>52</v>
      </c>
      <c r="I70" s="30">
        <f>IF(COUNTIF(Справочник_ОКВЭД_НР!$A$3:$A$62,H70)&gt;0,Справочник_ОКВЭД_НР!$L$8,
 IF(COUNTIF(Справочник_ОКВЭД_НР!$C$3:$C$62,H70)&gt;0,Справочник_ОКВЭД_НР!$L$9,
  IF(COUNTIF(Справочник_ОКВЭД_НР!$E$3:$E$62,H70)&gt;0,Справочник_ОКВЭД_НР!$L$10,
   IF(COUNTIF(Справочник_ОКВЭД_НР!$G$3:$G$62,H70)&gt;0,Справочник_ОКВЭД_НР!$L$11,50))))</f>
        <v>60</v>
      </c>
      <c r="J70" s="30" cm="1">
        <f t="array" ref="J70">IFERROR(
 (SUMPRODUCT(ISNUMBER(SEARCH(","&amp;Справочник_ОКВЭД_НР!$A$3:$A$62&amp;".",","&amp;SUBSTITUTE(F70," ","")&amp;",")))*Справочник_ОКВЭД_НР!$L$9 +
  SUMPRODUCT(ISNUMBER(SEARCH(","&amp;Справочник_ОКВЭД_НР!$C$3:$C$62&amp;".",","&amp;SUBSTITUTE(F70," ","")&amp;",")))*Справочник_ОКВЭД_НР!$L$10 +
  SUMPRODUCT(ISNUMBER(SEARCH(","&amp;Справочник_ОКВЭД_НР!$E$3:$E$62&amp;".",","&amp;SUBSTITUTE(F70," ","")&amp;",")))*Справочник_ОКВЭД_НР!$L$11 +
  SUMPRODUCT(ISNUMBER(SEARCH(","&amp;Справочник_ОКВЭД_НР!$G$3:$G$62&amp;".",","&amp;SUBSTITUTE(F70," ","")&amp;",")))*Справочник_ОКВЭД_НР!$L$12) /
 (SUMPRODUCT(ISNUMBER(SEARCH(","&amp;Справочник_ОКВЭД_НР!$A$3:$A$62&amp;".",","&amp;SUBSTITUTE(F70," ","")&amp;","))) +
  SUMPRODUCT(ISNUMBER(SEARCH(","&amp;Справочник_ОКВЭД_НР!$C$3:$C$62&amp;".",","&amp;SUBSTITUTE(F70," ","")&amp;","))) +
  SUMPRODUCT(ISNUMBER(SEARCH(","&amp;Справочник_ОКВЭД_НР!$E$3:$E$62&amp;".",","&amp;SUBSTITUTE(F70," ","")&amp;","))) +
  SUMPRODUCT(ISNUMBER(SEARCH(","&amp;Справочник_ОКВЭД_НР!$G$3:$G$62&amp;".",","&amp;SUBSTITUTE(F70," ","")&amp;",")))),
50)</f>
        <v>50</v>
      </c>
      <c r="K70" s="30">
        <f>IFERROR(VLOOKUP(G70,Справочник_ОКВЭД_НР!$O:$P,2,FALSE()),50)</f>
        <v>100</v>
      </c>
      <c r="L70" s="45">
        <f>(I70*Справочник_ОКВЭД_НР!$L$2+J70*Справочник_ОКВЭД_НР!$L$3+K70*Справочник_ОКВЭД_НР!$L$4)*M70</f>
        <v>63.5</v>
      </c>
      <c r="M70" s="47">
        <f>IF(COUNTIF(Справочник_ОКВЭД_НР!$G$3:$G$62,H70)&gt;0,0,1)</f>
        <v>1</v>
      </c>
    </row>
    <row r="71" spans="1:13" x14ac:dyDescent="0.25">
      <c r="A71" s="4">
        <f>ЛИК_дляСкорингаДП!A71</f>
        <v>1057746552115</v>
      </c>
      <c r="B71" s="4">
        <f>ЛИК_дляСкорингаДП!B71</f>
        <v>7743555005</v>
      </c>
      <c r="C71" s="4" t="str">
        <f>ЛИК_дляСкорингаДП!C71</f>
        <v>АО "СПЕЦИАЛИЗИРОВАННЫЙ ЗАСТРОЙЩИК "ИЖОРСКАЯ"</v>
      </c>
      <c r="D71" s="5" t="str">
        <f>ЛИК_дляСкорингаДП!M71</f>
        <v>Аренда и управление собственным или арендованным прочим нежилым недвижимым имуществом</v>
      </c>
      <c r="E71" s="4" t="str">
        <f>ЛИК_дляСкорингаДП!L71</f>
        <v>68.20.29</v>
      </c>
      <c r="F71" t="str">
        <f>ЛИК_дляСкорингаДП!N71</f>
        <v>68.10.21,41.20,49.4,52.10.9,52.29,68.10,68.20.2,71.12.2</v>
      </c>
      <c r="G71" s="25" t="str">
        <f>ЛИК_дляСкорингаДП!AG71</f>
        <v>ОСН</v>
      </c>
      <c r="H71" s="55" t="str">
        <f>IF(ISNUMBER(E71),E71,
IFERROR(LEFT(E71,FIND(".",E71)-1),E71))</f>
        <v>68</v>
      </c>
      <c r="I71" s="30">
        <f>IF(COUNTIF(Справочник_ОКВЭД_НР!$A$3:$A$62,H71)&gt;0,Справочник_ОКВЭД_НР!$L$8,
 IF(COUNTIF(Справочник_ОКВЭД_НР!$C$3:$C$62,H71)&gt;0,Справочник_ОКВЭД_НР!$L$9,
  IF(COUNTIF(Справочник_ОКВЭД_НР!$E$3:$E$62,H71)&gt;0,Справочник_ОКВЭД_НР!$L$10,
   IF(COUNTIF(Справочник_ОКВЭД_НР!$G$3:$G$62,H71)&gt;0,Справочник_ОКВЭД_НР!$L$11,50))))</f>
        <v>100</v>
      </c>
      <c r="J71" s="30" cm="1">
        <f t="array" ref="J71">IFERROR(
 (SUMPRODUCT(ISNUMBER(SEARCH(","&amp;Справочник_ОКВЭД_НР!$A$3:$A$62&amp;".",","&amp;SUBSTITUTE(F71," ","")&amp;",")))*Справочник_ОКВЭД_НР!$L$9 +
  SUMPRODUCT(ISNUMBER(SEARCH(","&amp;Справочник_ОКВЭД_НР!$C$3:$C$62&amp;".",","&amp;SUBSTITUTE(F71," ","")&amp;",")))*Справочник_ОКВЭД_НР!$L$10 +
  SUMPRODUCT(ISNUMBER(SEARCH(","&amp;Справочник_ОКВЭД_НР!$E$3:$E$62&amp;".",","&amp;SUBSTITUTE(F71," ","")&amp;",")))*Справочник_ОКВЭД_НР!$L$11 +
  SUMPRODUCT(ISNUMBER(SEARCH(","&amp;Справочник_ОКВЭД_НР!$G$3:$G$62&amp;".",","&amp;SUBSTITUTE(F71," ","")&amp;",")))*Справочник_ОКВЭД_НР!$L$12) /
 (SUMPRODUCT(ISNUMBER(SEARCH(","&amp;Справочник_ОКВЭД_НР!$A$3:$A$62&amp;".",","&amp;SUBSTITUTE(F71," ","")&amp;","))) +
  SUMPRODUCT(ISNUMBER(SEARCH(","&amp;Справочник_ОКВЭД_НР!$C$3:$C$62&amp;".",","&amp;SUBSTITUTE(F71," ","")&amp;","))) +
  SUMPRODUCT(ISNUMBER(SEARCH(","&amp;Справочник_ОКВЭД_НР!$E$3:$E$62&amp;".",","&amp;SUBSTITUTE(F71," ","")&amp;","))) +
  SUMPRODUCT(ISNUMBER(SEARCH(","&amp;Справочник_ОКВЭД_НР!$G$3:$G$62&amp;".",","&amp;SUBSTITUTE(F71," ","")&amp;",")))),
50)</f>
        <v>50</v>
      </c>
      <c r="K71" s="30">
        <f>IFERROR(VLOOKUP(G71,Справочник_ОКВЭД_НР!$O:$P,2,FALSE()),50)</f>
        <v>100</v>
      </c>
      <c r="L71" s="45">
        <f>(I71*Справочник_ОКВЭД_НР!$L$2+J71*Справочник_ОКВЭД_НР!$L$3+K71*Справочник_ОКВЭД_НР!$L$4)*M71</f>
        <v>87.5</v>
      </c>
      <c r="M71" s="47">
        <f>IF(COUNTIF(Справочник_ОКВЭД_НР!$G$3:$G$62,H71)&gt;0,0,1)</f>
        <v>1</v>
      </c>
    </row>
    <row r="72" spans="1:13" x14ac:dyDescent="0.25">
      <c r="A72" s="4">
        <f>ЛИК_дляСкорингаДП!A72</f>
        <v>1057747813837</v>
      </c>
      <c r="B72" s="4">
        <f>ЛИК_дляСкорингаДП!B72</f>
        <v>7705680245</v>
      </c>
      <c r="C72" s="4" t="str">
        <f>ЛИК_дляСкорингаДП!C72</f>
        <v>ООО ПКО "ССК"</v>
      </c>
      <c r="D72" s="5" t="str">
        <f>ЛИК_дляСкорингаДП!M72</f>
        <v>Деятельность агентств по сбору платежей и бюро кредитной информации</v>
      </c>
      <c r="E72" s="4" t="str">
        <f>ЛИК_дляСкорингаДП!L72</f>
        <v>82.91</v>
      </c>
      <c r="F72" t="str">
        <f>ЛИК_дляСкорингаДП!N72</f>
        <v>66.19,69.10,70.22</v>
      </c>
      <c r="G72" s="25" t="str">
        <f>ЛИК_дляСкорингаДП!AG72</f>
        <v>ОСН</v>
      </c>
      <c r="H72" s="55" t="str">
        <f>IF(ISNUMBER(E72),E72,
IFERROR(LEFT(E72,FIND(".",E72)-1),E72))</f>
        <v>82</v>
      </c>
      <c r="I72" s="30">
        <f>IF(COUNTIF(Справочник_ОКВЭД_НР!$A$3:$A$62,H72)&gt;0,Справочник_ОКВЭД_НР!$L$8,
 IF(COUNTIF(Справочник_ОКВЭД_НР!$C$3:$C$62,H72)&gt;0,Справочник_ОКВЭД_НР!$L$9,
  IF(COUNTIF(Справочник_ОКВЭД_НР!$E$3:$E$62,H72)&gt;0,Справочник_ОКВЭД_НР!$L$10,
   IF(COUNTIF(Справочник_ОКВЭД_НР!$G$3:$G$62,H72)&gt;0,Справочник_ОКВЭД_НР!$L$11,50))))</f>
        <v>30</v>
      </c>
      <c r="J72" s="30" cm="1">
        <f t="array" ref="J72">IFERROR(
 (SUMPRODUCT(ISNUMBER(SEARCH(","&amp;Справочник_ОКВЭД_НР!$A$3:$A$62&amp;".",","&amp;SUBSTITUTE(F72," ","")&amp;",")))*Справочник_ОКВЭД_НР!$L$9 +
  SUMPRODUCT(ISNUMBER(SEARCH(","&amp;Справочник_ОКВЭД_НР!$C$3:$C$62&amp;".",","&amp;SUBSTITUTE(F72," ","")&amp;",")))*Справочник_ОКВЭД_НР!$L$10 +
  SUMPRODUCT(ISNUMBER(SEARCH(","&amp;Справочник_ОКВЭД_НР!$E$3:$E$62&amp;".",","&amp;SUBSTITUTE(F72," ","")&amp;",")))*Справочник_ОКВЭД_НР!$L$11 +
  SUMPRODUCT(ISNUMBER(SEARCH(","&amp;Справочник_ОКВЭД_НР!$G$3:$G$62&amp;".",","&amp;SUBSTITUTE(F72," ","")&amp;",")))*Справочник_ОКВЭД_НР!$L$12) /
 (SUMPRODUCT(ISNUMBER(SEARCH(","&amp;Справочник_ОКВЭД_НР!$A$3:$A$62&amp;".",","&amp;SUBSTITUTE(F72," ","")&amp;","))) +
  SUMPRODUCT(ISNUMBER(SEARCH(","&amp;Справочник_ОКВЭД_НР!$C$3:$C$62&amp;".",","&amp;SUBSTITUTE(F72," ","")&amp;","))) +
  SUMPRODUCT(ISNUMBER(SEARCH(","&amp;Справочник_ОКВЭД_НР!$E$3:$E$62&amp;".",","&amp;SUBSTITUTE(F72," ","")&amp;","))) +
  SUMPRODUCT(ISNUMBER(SEARCH(","&amp;Справочник_ОКВЭД_НР!$G$3:$G$62&amp;".",","&amp;SUBSTITUTE(F72," ","")&amp;",")))),
50)</f>
        <v>50</v>
      </c>
      <c r="K72" s="30">
        <f>IFERROR(VLOOKUP(G72,Справочник_ОКВЭД_НР!$O:$P,2,FALSE()),50)</f>
        <v>100</v>
      </c>
      <c r="L72" s="45">
        <f>(I72*Справочник_ОКВЭД_НР!$L$2+J72*Справочник_ОКВЭД_НР!$L$3+K72*Справочник_ОКВЭД_НР!$L$4)*M72</f>
        <v>45.5</v>
      </c>
      <c r="M72" s="47">
        <f>IF(COUNTIF(Справочник_ОКВЭД_НР!$G$3:$G$62,H72)&gt;0,0,1)</f>
        <v>1</v>
      </c>
    </row>
    <row r="73" spans="1:13" x14ac:dyDescent="0.25">
      <c r="A73" s="4">
        <f>ЛИК_дляСкорингаДП!A73</f>
        <v>1057748830644</v>
      </c>
      <c r="B73" s="4">
        <f>ЛИК_дляСкорингаДП!B73</f>
        <v>7727557887</v>
      </c>
      <c r="C73" s="4" t="str">
        <f>ЛИК_дляСкорингаДП!C73</f>
        <v>ООО "ГПБ-ЭНЕРГОЭФФЕКТ"</v>
      </c>
      <c r="D73" s="5" t="str">
        <f>ЛИК_дляСкорингаДП!M73</f>
        <v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v>
      </c>
      <c r="E73" s="4" t="str">
        <f>ЛИК_дляСкорингаДП!L73</f>
        <v>71.12</v>
      </c>
      <c r="F73" t="str">
        <f>ЛИК_дляСкорингаДП!N73</f>
        <v>33.11,33.12,33.14,33.20,35.11,35.12,41.10,41.20,42.21,42.22,42.99,43.11,43.12,43.21,43.22,43.29,43.99,52.10,52.29,62.01,62.02,63.11.1,64.99,68.20,70.22,71.20,77.12,77.32,77.39,82.99</v>
      </c>
      <c r="G73" s="25" t="str">
        <f>ЛИК_дляСкорингаДП!AG73</f>
        <v>ОСН</v>
      </c>
      <c r="H73" s="55" t="str">
        <f>IF(ISNUMBER(E73),E73,
IFERROR(LEFT(E73,FIND(".",E73)-1),E73))</f>
        <v>71</v>
      </c>
      <c r="I73" s="30">
        <f>IF(COUNTIF(Справочник_ОКВЭД_НР!$A$3:$A$62,H73)&gt;0,Справочник_ОКВЭД_НР!$L$8,
 IF(COUNTIF(Справочник_ОКВЭД_НР!$C$3:$C$62,H73)&gt;0,Справочник_ОКВЭД_НР!$L$9,
  IF(COUNTIF(Справочник_ОКВЭД_НР!$E$3:$E$62,H73)&gt;0,Справочник_ОКВЭД_НР!$L$10,
   IF(COUNTIF(Справочник_ОКВЭД_НР!$G$3:$G$62,H73)&gt;0,Справочник_ОКВЭД_НР!$L$11,50))))</f>
        <v>100</v>
      </c>
      <c r="J73" s="30" cm="1">
        <f t="array" ref="J73">IFERROR(
 (SUMPRODUCT(ISNUMBER(SEARCH(","&amp;Справочник_ОКВЭД_НР!$A$3:$A$62&amp;".",","&amp;SUBSTITUTE(F73," ","")&amp;",")))*Справочник_ОКВЭД_НР!$L$9 +
  SUMPRODUCT(ISNUMBER(SEARCH(","&amp;Справочник_ОКВЭД_НР!$C$3:$C$62&amp;".",","&amp;SUBSTITUTE(F73," ","")&amp;",")))*Справочник_ОКВЭД_НР!$L$10 +
  SUMPRODUCT(ISNUMBER(SEARCH(","&amp;Справочник_ОКВЭД_НР!$E$3:$E$62&amp;".",","&amp;SUBSTITUTE(F73," ","")&amp;",")))*Справочник_ОКВЭД_НР!$L$11 +
  SUMPRODUCT(ISNUMBER(SEARCH(","&amp;Справочник_ОКВЭД_НР!$G$3:$G$62&amp;".",","&amp;SUBSTITUTE(F73," ","")&amp;",")))*Справочник_ОКВЭД_НР!$L$12) /
 (SUMPRODUCT(ISNUMBER(SEARCH(","&amp;Справочник_ОКВЭД_НР!$A$3:$A$62&amp;".",","&amp;SUBSTITUTE(F73," ","")&amp;","))) +
  SUMPRODUCT(ISNUMBER(SEARCH(","&amp;Справочник_ОКВЭД_НР!$C$3:$C$62&amp;".",","&amp;SUBSTITUTE(F73," ","")&amp;","))) +
  SUMPRODUCT(ISNUMBER(SEARCH(","&amp;Справочник_ОКВЭД_НР!$E$3:$E$62&amp;".",","&amp;SUBSTITUTE(F73," ","")&amp;","))) +
  SUMPRODUCT(ISNUMBER(SEARCH(","&amp;Справочник_ОКВЭД_НР!$G$3:$G$62&amp;".",","&amp;SUBSTITUTE(F73," ","")&amp;",")))),
50)</f>
        <v>50</v>
      </c>
      <c r="K73" s="30">
        <f>IFERROR(VLOOKUP(G73,Справочник_ОКВЭД_НР!$O:$P,2,FALSE()),50)</f>
        <v>100</v>
      </c>
      <c r="L73" s="45">
        <f>(I73*Справочник_ОКВЭД_НР!$L$2+J73*Справочник_ОКВЭД_НР!$L$3+K73*Справочник_ОКВЭД_НР!$L$4)*M73</f>
        <v>87.5</v>
      </c>
      <c r="M73" s="47">
        <f>IF(COUNTIF(Справочник_ОКВЭД_НР!$G$3:$G$62,H73)&gt;0,0,1)</f>
        <v>1</v>
      </c>
    </row>
    <row r="74" spans="1:13" x14ac:dyDescent="0.25">
      <c r="A74" s="4">
        <f>ЛИК_дляСкорингаДП!A74</f>
        <v>1057749422994</v>
      </c>
      <c r="B74" s="4">
        <f>ЛИК_дляСкорингаДП!B74</f>
        <v>7714629291</v>
      </c>
      <c r="C74" s="4" t="str">
        <f>ЛИК_дляСкорингаДП!C74</f>
        <v>ООО "ПРОФ ИНВЕСТ"</v>
      </c>
      <c r="D74" s="5" t="str">
        <f>ЛИК_дляСкорингаДП!M74</f>
        <v>Аренда и управление собственным или арендованным недвижимым имуществом</v>
      </c>
      <c r="E74" s="4" t="str">
        <f>ЛИК_дляСкорингаДП!L74</f>
        <v>68.20</v>
      </c>
      <c r="F74" t="str">
        <f>ЛИК_дляСкорингаДП!N74</f>
        <v>64.91,64.92,64.99,68.10,68.31,73.11,73.20.1,82.99</v>
      </c>
      <c r="G74" s="25" t="str">
        <f>ЛИК_дляСкорингаДП!AG74</f>
        <v>ОСН</v>
      </c>
      <c r="H74" s="55" t="str">
        <f>IF(ISNUMBER(E74),E74,
IFERROR(LEFT(E74,FIND(".",E74)-1),E74))</f>
        <v>68</v>
      </c>
      <c r="I74" s="30">
        <f>IF(COUNTIF(Справочник_ОКВЭД_НР!$A$3:$A$62,H74)&gt;0,Справочник_ОКВЭД_НР!$L$8,
 IF(COUNTIF(Справочник_ОКВЭД_НР!$C$3:$C$62,H74)&gt;0,Справочник_ОКВЭД_НР!$L$9,
  IF(COUNTIF(Справочник_ОКВЭД_НР!$E$3:$E$62,H74)&gt;0,Справочник_ОКВЭД_НР!$L$10,
   IF(COUNTIF(Справочник_ОКВЭД_НР!$G$3:$G$62,H74)&gt;0,Справочник_ОКВЭД_НР!$L$11,50))))</f>
        <v>100</v>
      </c>
      <c r="J74" s="30" cm="1">
        <f t="array" ref="J74">IFERROR(
 (SUMPRODUCT(ISNUMBER(SEARCH(","&amp;Справочник_ОКВЭД_НР!$A$3:$A$62&amp;".",","&amp;SUBSTITUTE(F74," ","")&amp;",")))*Справочник_ОКВЭД_НР!$L$9 +
  SUMPRODUCT(ISNUMBER(SEARCH(","&amp;Справочник_ОКВЭД_НР!$C$3:$C$62&amp;".",","&amp;SUBSTITUTE(F74," ","")&amp;",")))*Справочник_ОКВЭД_НР!$L$10 +
  SUMPRODUCT(ISNUMBER(SEARCH(","&amp;Справочник_ОКВЭД_НР!$E$3:$E$62&amp;".",","&amp;SUBSTITUTE(F74," ","")&amp;",")))*Справочник_ОКВЭД_НР!$L$11 +
  SUMPRODUCT(ISNUMBER(SEARCH(","&amp;Справочник_ОКВЭД_НР!$G$3:$G$62&amp;".",","&amp;SUBSTITUTE(F74," ","")&amp;",")))*Справочник_ОКВЭД_НР!$L$12) /
 (SUMPRODUCT(ISNUMBER(SEARCH(","&amp;Справочник_ОКВЭД_НР!$A$3:$A$62&amp;".",","&amp;SUBSTITUTE(F74," ","")&amp;","))) +
  SUMPRODUCT(ISNUMBER(SEARCH(","&amp;Справочник_ОКВЭД_НР!$C$3:$C$62&amp;".",","&amp;SUBSTITUTE(F74," ","")&amp;","))) +
  SUMPRODUCT(ISNUMBER(SEARCH(","&amp;Справочник_ОКВЭД_НР!$E$3:$E$62&amp;".",","&amp;SUBSTITUTE(F74," ","")&amp;","))) +
  SUMPRODUCT(ISNUMBER(SEARCH(","&amp;Справочник_ОКВЭД_НР!$G$3:$G$62&amp;".",","&amp;SUBSTITUTE(F74," ","")&amp;",")))),
50)</f>
        <v>50</v>
      </c>
      <c r="K74" s="30">
        <f>IFERROR(VLOOKUP(G74,Справочник_ОКВЭД_НР!$O:$P,2,FALSE()),50)</f>
        <v>100</v>
      </c>
      <c r="L74" s="45">
        <f>(I74*Справочник_ОКВЭД_НР!$L$2+J74*Справочник_ОКВЭД_НР!$L$3+K74*Справочник_ОКВЭД_НР!$L$4)*M74</f>
        <v>87.5</v>
      </c>
      <c r="M74" s="47">
        <f>IF(COUNTIF(Справочник_ОКВЭД_НР!$G$3:$G$62,H74)&gt;0,0,1)</f>
        <v>1</v>
      </c>
    </row>
    <row r="75" spans="1:13" x14ac:dyDescent="0.25">
      <c r="A75" s="4">
        <f>ЛИК_дляСкорингаДП!A75</f>
        <v>1115024004413</v>
      </c>
      <c r="B75" s="4">
        <f>ЛИК_дляСкорингаДП!B75</f>
        <v>5024121620</v>
      </c>
      <c r="C75" s="4" t="str">
        <f>ЛИК_дляСкорингаДП!C75</f>
        <v>ООО "ЭТАЛОН-ИНВЕСТ"</v>
      </c>
      <c r="D75" s="5" t="str">
        <f>ЛИК_дляСкорингаДП!M75</f>
        <v>Строительство жилых и нежилых зданий</v>
      </c>
      <c r="E75" s="4" t="str">
        <f>ЛИК_дляСкорингаДП!L75</f>
        <v>41.2</v>
      </c>
      <c r="F75" t="str">
        <f>ЛИК_дляСкорингаДП!N75</f>
        <v>43.12,43.2,43.3,43.99,64.9,66.1,68.1,68.2,68.3,69,71.1,71.12.5,71.12.6,73.1,74.20,74.30,82.92</v>
      </c>
      <c r="G75" s="25" t="str">
        <f>ЛИК_дляСкорингаДП!AG75</f>
        <v>ОСН</v>
      </c>
      <c r="H75" s="55" t="str">
        <f>IF(ISNUMBER(E75),E75,
IFERROR(LEFT(E75,FIND(".",E75)-1),E75))</f>
        <v>41</v>
      </c>
      <c r="I75" s="30">
        <f>IF(COUNTIF(Справочник_ОКВЭД_НР!$A$3:$A$62,H75)&gt;0,Справочник_ОКВЭД_НР!$L$8,
 IF(COUNTIF(Справочник_ОКВЭД_НР!$C$3:$C$62,H75)&gt;0,Справочник_ОКВЭД_НР!$L$9,
  IF(COUNTIF(Справочник_ОКВЭД_НР!$E$3:$E$62,H75)&gt;0,Справочник_ОКВЭД_НР!$L$10,
   IF(COUNTIF(Справочник_ОКВЭД_НР!$G$3:$G$62,H75)&gt;0,Справочник_ОКВЭД_НР!$L$11,50))))</f>
        <v>100</v>
      </c>
      <c r="J75" s="30" cm="1">
        <f t="array" ref="J75">IFERROR(
 (SUMPRODUCT(ISNUMBER(SEARCH(","&amp;Справочник_ОКВЭД_НР!$A$3:$A$62&amp;".",","&amp;SUBSTITUTE(F75," ","")&amp;",")))*Справочник_ОКВЭД_НР!$L$9 +
  SUMPRODUCT(ISNUMBER(SEARCH(","&amp;Справочник_ОКВЭД_НР!$C$3:$C$62&amp;".",","&amp;SUBSTITUTE(F75," ","")&amp;",")))*Справочник_ОКВЭД_НР!$L$10 +
  SUMPRODUCT(ISNUMBER(SEARCH(","&amp;Справочник_ОКВЭД_НР!$E$3:$E$62&amp;".",","&amp;SUBSTITUTE(F75," ","")&amp;",")))*Справочник_ОКВЭД_НР!$L$11 +
  SUMPRODUCT(ISNUMBER(SEARCH(","&amp;Справочник_ОКВЭД_НР!$G$3:$G$62&amp;".",","&amp;SUBSTITUTE(F75," ","")&amp;",")))*Справочник_ОКВЭД_НР!$L$12) /
 (SUMPRODUCT(ISNUMBER(SEARCH(","&amp;Справочник_ОКВЭД_НР!$A$3:$A$62&amp;".",","&amp;SUBSTITUTE(F75," ","")&amp;","))) +
  SUMPRODUCT(ISNUMBER(SEARCH(","&amp;Справочник_ОКВЭД_НР!$C$3:$C$62&amp;".",","&amp;SUBSTITUTE(F75," ","")&amp;","))) +
  SUMPRODUCT(ISNUMBER(SEARCH(","&amp;Справочник_ОКВЭД_НР!$E$3:$E$62&amp;".",","&amp;SUBSTITUTE(F75," ","")&amp;","))) +
  SUMPRODUCT(ISNUMBER(SEARCH(","&amp;Справочник_ОКВЭД_НР!$G$3:$G$62&amp;".",","&amp;SUBSTITUTE(F75," ","")&amp;",")))),
50)</f>
        <v>50</v>
      </c>
      <c r="K75" s="30">
        <f>IFERROR(VLOOKUP(G75,Справочник_ОКВЭД_НР!$O:$P,2,FALSE()),50)</f>
        <v>100</v>
      </c>
      <c r="L75" s="45">
        <f>(I75*Справочник_ОКВЭД_НР!$L$2+J75*Справочник_ОКВЭД_НР!$L$3+K75*Справочник_ОКВЭД_НР!$L$4)*M75</f>
        <v>87.5</v>
      </c>
      <c r="M75" s="47">
        <f>IF(COUNTIF(Справочник_ОКВЭД_НР!$G$3:$G$62,H75)&gt;0,0,1)</f>
        <v>1</v>
      </c>
    </row>
    <row r="76" spans="1:13" x14ac:dyDescent="0.25">
      <c r="A76" s="4">
        <f>ЛИК_дляСкорингаДП!A76</f>
        <v>1037704002588</v>
      </c>
      <c r="B76" s="4">
        <f>ЛИК_дляСкорингаДП!B76</f>
        <v>7704251349</v>
      </c>
      <c r="C76" s="4" t="str">
        <f>ЛИК_дляСкорингаДП!C76</f>
        <v>ЗАО "ЛЕТНЫЕ ПРОВЕРКИ И СИСТЕМЫ"</v>
      </c>
      <c r="D76" s="5" t="str">
        <f>ЛИК_дляСкорингаДП!M76</f>
        <v>Деятельность вспомогательная, связанная с воздушным и космическим транспортом</v>
      </c>
      <c r="E76" s="4" t="str">
        <f>ЛИК_дляСкорингаДП!L76</f>
        <v>52.23</v>
      </c>
      <c r="F76" t="str">
        <f>ЛИК_дляСкорингаДП!N76</f>
        <v>52.23.1,52.23.13,74.20</v>
      </c>
      <c r="G76" s="25" t="str">
        <f>ЛИК_дляСкорингаДП!AG76</f>
        <v>ОСН</v>
      </c>
      <c r="H76" s="55" t="str">
        <f>IF(ISNUMBER(E76),E76,
IFERROR(LEFT(E76,FIND(".",E76)-1),E76))</f>
        <v>52</v>
      </c>
      <c r="I76" s="30">
        <f>IF(COUNTIF(Справочник_ОКВЭД_НР!$A$3:$A$62,H76)&gt;0,Справочник_ОКВЭД_НР!$L$8,
 IF(COUNTIF(Справочник_ОКВЭД_НР!$C$3:$C$62,H76)&gt;0,Справочник_ОКВЭД_НР!$L$9,
  IF(COUNTIF(Справочник_ОКВЭД_НР!$E$3:$E$62,H76)&gt;0,Справочник_ОКВЭД_НР!$L$10,
   IF(COUNTIF(Справочник_ОКВЭД_НР!$G$3:$G$62,H76)&gt;0,Справочник_ОКВЭД_НР!$L$11,50))))</f>
        <v>60</v>
      </c>
      <c r="J76" s="30" cm="1">
        <f t="array" ref="J76">IFERROR(
 (SUMPRODUCT(ISNUMBER(SEARCH(","&amp;Справочник_ОКВЭД_НР!$A$3:$A$62&amp;".",","&amp;SUBSTITUTE(F76," ","")&amp;",")))*Справочник_ОКВЭД_НР!$L$9 +
  SUMPRODUCT(ISNUMBER(SEARCH(","&amp;Справочник_ОКВЭД_НР!$C$3:$C$62&amp;".",","&amp;SUBSTITUTE(F76," ","")&amp;",")))*Справочник_ОКВЭД_НР!$L$10 +
  SUMPRODUCT(ISNUMBER(SEARCH(","&amp;Справочник_ОКВЭД_НР!$E$3:$E$62&amp;".",","&amp;SUBSTITUTE(F76," ","")&amp;",")))*Справочник_ОКВЭД_НР!$L$11 +
  SUMPRODUCT(ISNUMBER(SEARCH(","&amp;Справочник_ОКВЭД_НР!$G$3:$G$62&amp;".",","&amp;SUBSTITUTE(F76," ","")&amp;",")))*Справочник_ОКВЭД_НР!$L$12) /
 (SUMPRODUCT(ISNUMBER(SEARCH(","&amp;Справочник_ОКВЭД_НР!$A$3:$A$62&amp;".",","&amp;SUBSTITUTE(F76," ","")&amp;","))) +
  SUMPRODUCT(ISNUMBER(SEARCH(","&amp;Справочник_ОКВЭД_НР!$C$3:$C$62&amp;".",","&amp;SUBSTITUTE(F76," ","")&amp;","))) +
  SUMPRODUCT(ISNUMBER(SEARCH(","&amp;Справочник_ОКВЭД_НР!$E$3:$E$62&amp;".",","&amp;SUBSTITUTE(F76," ","")&amp;","))) +
  SUMPRODUCT(ISNUMBER(SEARCH(","&amp;Справочник_ОКВЭД_НР!$G$3:$G$62&amp;".",","&amp;SUBSTITUTE(F76," ","")&amp;",")))),
50)</f>
        <v>50</v>
      </c>
      <c r="K76" s="30">
        <f>IFERROR(VLOOKUP(G76,Справочник_ОКВЭД_НР!$O:$P,2,FALSE()),50)</f>
        <v>100</v>
      </c>
      <c r="L76" s="45">
        <f>(I76*Справочник_ОКВЭД_НР!$L$2+J76*Справочник_ОКВЭД_НР!$L$3+K76*Справочник_ОКВЭД_НР!$L$4)*M76</f>
        <v>63.5</v>
      </c>
      <c r="M76" s="47">
        <f>IF(COUNTIF(Справочник_ОКВЭД_НР!$G$3:$G$62,H76)&gt;0,0,1)</f>
        <v>1</v>
      </c>
    </row>
    <row r="77" spans="1:13" x14ac:dyDescent="0.25">
      <c r="A77" s="4">
        <f>ЛИК_дляСкорингаДП!A77</f>
        <v>1037714012907</v>
      </c>
      <c r="B77" s="4">
        <f>ЛИК_дляСкорингаДП!B77</f>
        <v>7714299413</v>
      </c>
      <c r="C77" s="4" t="str">
        <f>ЛИК_дляСкорингаДП!C77</f>
        <v>ООО "ДЕЛЬТА КОНСТРАКШН"</v>
      </c>
      <c r="D77" s="5" t="str">
        <f>ЛИК_дляСкорингаДП!M77</f>
        <v>Деятельность по комплексному обслуживанию помещений</v>
      </c>
      <c r="E77" s="4" t="str">
        <f>ЛИК_дляСкорингаДП!L77</f>
        <v>81.10</v>
      </c>
      <c r="F77" t="str">
        <f>ЛИК_дляСкорингаДП!N77</f>
        <v>77.12,33.13,41.20,43.12.3,43.39,43.99.5,43.99.7,46.13,52.10.21,52.10.22,68.20,68.20.1,68.20.2,71.11,71.11.1,71.12,77.11,77.12,77.32,77.39,77.39.27,81.10,81.21,81.22,81.29,90.0,95.29</v>
      </c>
      <c r="G77" s="25" t="str">
        <f>ЛИК_дляСкорингаДП!AG77</f>
        <v>ОСН</v>
      </c>
      <c r="H77" s="55" t="str">
        <f>IF(ISNUMBER(E77),E77,
IFERROR(LEFT(E77,FIND(".",E77)-1),E77))</f>
        <v>81</v>
      </c>
      <c r="I77" s="30">
        <f>IF(COUNTIF(Справочник_ОКВЭД_НР!$A$3:$A$62,H77)&gt;0,Справочник_ОКВЭД_НР!$L$8,
 IF(COUNTIF(Справочник_ОКВЭД_НР!$C$3:$C$62,H77)&gt;0,Справочник_ОКВЭД_НР!$L$9,
  IF(COUNTIF(Справочник_ОКВЭД_НР!$E$3:$E$62,H77)&gt;0,Справочник_ОКВЭД_НР!$L$10,
   IF(COUNTIF(Справочник_ОКВЭД_НР!$G$3:$G$62,H77)&gt;0,Справочник_ОКВЭД_НР!$L$11,50))))</f>
        <v>30</v>
      </c>
      <c r="J77" s="30" cm="1">
        <f t="array" ref="J77">IFERROR(
 (SUMPRODUCT(ISNUMBER(SEARCH(","&amp;Справочник_ОКВЭД_НР!$A$3:$A$62&amp;".",","&amp;SUBSTITUTE(F77," ","")&amp;",")))*Справочник_ОКВЭД_НР!$L$9 +
  SUMPRODUCT(ISNUMBER(SEARCH(","&amp;Справочник_ОКВЭД_НР!$C$3:$C$62&amp;".",","&amp;SUBSTITUTE(F77," ","")&amp;",")))*Справочник_ОКВЭД_НР!$L$10 +
  SUMPRODUCT(ISNUMBER(SEARCH(","&amp;Справочник_ОКВЭД_НР!$E$3:$E$62&amp;".",","&amp;SUBSTITUTE(F77," ","")&amp;",")))*Справочник_ОКВЭД_НР!$L$11 +
  SUMPRODUCT(ISNUMBER(SEARCH(","&amp;Справочник_ОКВЭД_НР!$G$3:$G$62&amp;".",","&amp;SUBSTITUTE(F77," ","")&amp;",")))*Справочник_ОКВЭД_НР!$L$12) /
 (SUMPRODUCT(ISNUMBER(SEARCH(","&amp;Справочник_ОКВЭД_НР!$A$3:$A$62&amp;".",","&amp;SUBSTITUTE(F77," ","")&amp;","))) +
  SUMPRODUCT(ISNUMBER(SEARCH(","&amp;Справочник_ОКВЭД_НР!$C$3:$C$62&amp;".",","&amp;SUBSTITUTE(F77," ","")&amp;","))) +
  SUMPRODUCT(ISNUMBER(SEARCH(","&amp;Справочник_ОКВЭД_НР!$E$3:$E$62&amp;".",","&amp;SUBSTITUTE(F77," ","")&amp;","))) +
  SUMPRODUCT(ISNUMBER(SEARCH(","&amp;Справочник_ОКВЭД_НР!$G$3:$G$62&amp;".",","&amp;SUBSTITUTE(F77," ","")&amp;",")))),
50)</f>
        <v>50</v>
      </c>
      <c r="K77" s="30">
        <f>IFERROR(VLOOKUP(G77,Справочник_ОКВЭД_НР!$O:$P,2,FALSE()),50)</f>
        <v>100</v>
      </c>
      <c r="L77" s="45">
        <f>(I77*Справочник_ОКВЭД_НР!$L$2+J77*Справочник_ОКВЭД_НР!$L$3+K77*Справочник_ОКВЭД_НР!$L$4)*M77</f>
        <v>45.5</v>
      </c>
      <c r="M77" s="47">
        <f>IF(COUNTIF(Справочник_ОКВЭД_НР!$G$3:$G$62,H77)&gt;0,0,1)</f>
        <v>1</v>
      </c>
    </row>
    <row r="78" spans="1:13" x14ac:dyDescent="0.25">
      <c r="A78" s="4">
        <f>ЛИК_дляСкорингаДП!A78</f>
        <v>1037700134823</v>
      </c>
      <c r="B78" s="4">
        <f>ЛИК_дляСкорингаДП!B78</f>
        <v>7704180070</v>
      </c>
      <c r="C78" s="4" t="str">
        <f>ЛИК_дляСкорингаДП!C78</f>
        <v>АО "ОБНОВЛЕНИЕ АРБАТА"</v>
      </c>
      <c r="D78" s="5" t="str">
        <f>ЛИК_дляСкорингаДП!M78</f>
        <v>Аренда и управление собственным или арендованным недвижимым имуществом</v>
      </c>
      <c r="E78" s="4" t="str">
        <f>ЛИК_дляСкорингаДП!L78</f>
        <v>68.20</v>
      </c>
      <c r="F78" t="str">
        <f>ЛИК_дляСкорингаДП!N78</f>
        <v>33.12,33.14,33.20,41.20,42.99,43.12,43.2,43.21,43.22,43.29,43.3,43.31,43.32,43.33,43.34,43.39,43.91,43.99,55.10,55.20,64.99,64.99.3,68.10,68.10.22,68.20.2,68.32.2,71.12</v>
      </c>
      <c r="G78" s="25" t="str">
        <f>ЛИК_дляСкорингаДП!AG78</f>
        <v>ОСН</v>
      </c>
      <c r="H78" s="55" t="str">
        <f>IF(ISNUMBER(E78),E78,
IFERROR(LEFT(E78,FIND(".",E78)-1),E78))</f>
        <v>68</v>
      </c>
      <c r="I78" s="30">
        <f>IF(COUNTIF(Справочник_ОКВЭД_НР!$A$3:$A$62,H78)&gt;0,Справочник_ОКВЭД_НР!$L$8,
 IF(COUNTIF(Справочник_ОКВЭД_НР!$C$3:$C$62,H78)&gt;0,Справочник_ОКВЭД_НР!$L$9,
  IF(COUNTIF(Справочник_ОКВЭД_НР!$E$3:$E$62,H78)&gt;0,Справочник_ОКВЭД_НР!$L$10,
   IF(COUNTIF(Справочник_ОКВЭД_НР!$G$3:$G$62,H78)&gt;0,Справочник_ОКВЭД_НР!$L$11,50))))</f>
        <v>100</v>
      </c>
      <c r="J78" s="30" cm="1">
        <f t="array" ref="J78">IFERROR(
 (SUMPRODUCT(ISNUMBER(SEARCH(","&amp;Справочник_ОКВЭД_НР!$A$3:$A$62&amp;".",","&amp;SUBSTITUTE(F78," ","")&amp;",")))*Справочник_ОКВЭД_НР!$L$9 +
  SUMPRODUCT(ISNUMBER(SEARCH(","&amp;Справочник_ОКВЭД_НР!$C$3:$C$62&amp;".",","&amp;SUBSTITUTE(F78," ","")&amp;",")))*Справочник_ОКВЭД_НР!$L$10 +
  SUMPRODUCT(ISNUMBER(SEARCH(","&amp;Справочник_ОКВЭД_НР!$E$3:$E$62&amp;".",","&amp;SUBSTITUTE(F78," ","")&amp;",")))*Справочник_ОКВЭД_НР!$L$11 +
  SUMPRODUCT(ISNUMBER(SEARCH(","&amp;Справочник_ОКВЭД_НР!$G$3:$G$62&amp;".",","&amp;SUBSTITUTE(F78," ","")&amp;",")))*Справочник_ОКВЭД_НР!$L$12) /
 (SUMPRODUCT(ISNUMBER(SEARCH(","&amp;Справочник_ОКВЭД_НР!$A$3:$A$62&amp;".",","&amp;SUBSTITUTE(F78," ","")&amp;","))) +
  SUMPRODUCT(ISNUMBER(SEARCH(","&amp;Справочник_ОКВЭД_НР!$C$3:$C$62&amp;".",","&amp;SUBSTITUTE(F78," ","")&amp;","))) +
  SUMPRODUCT(ISNUMBER(SEARCH(","&amp;Справочник_ОКВЭД_НР!$E$3:$E$62&amp;".",","&amp;SUBSTITUTE(F78," ","")&amp;","))) +
  SUMPRODUCT(ISNUMBER(SEARCH(","&amp;Справочник_ОКВЭД_НР!$G$3:$G$62&amp;".",","&amp;SUBSTITUTE(F78," ","")&amp;",")))),
50)</f>
        <v>50</v>
      </c>
      <c r="K78" s="30">
        <f>IFERROR(VLOOKUP(G78,Справочник_ОКВЭД_НР!$O:$P,2,FALSE()),50)</f>
        <v>100</v>
      </c>
      <c r="L78" s="45">
        <f>(I78*Справочник_ОКВЭД_НР!$L$2+J78*Справочник_ОКВЭД_НР!$L$3+K78*Справочник_ОКВЭД_НР!$L$4)*M78</f>
        <v>87.5</v>
      </c>
      <c r="M78" s="47">
        <f>IF(COUNTIF(Справочник_ОКВЭД_НР!$G$3:$G$62,H78)&gt;0,0,1)</f>
        <v>1</v>
      </c>
    </row>
    <row r="79" spans="1:13" x14ac:dyDescent="0.25">
      <c r="A79" s="4">
        <f>ЛИК_дляСкорингаДП!A79</f>
        <v>1037722007070</v>
      </c>
      <c r="B79" s="4">
        <f>ЛИК_дляСкорингаДП!B79</f>
        <v>7722281113</v>
      </c>
      <c r="C79" s="4" t="str">
        <f>ЛИК_дляСкорингаДП!C79</f>
        <v>ООО "БАНСАНА"</v>
      </c>
      <c r="D79" s="5" t="str">
        <f>ЛИК_дляСкорингаДП!M79</f>
        <v>Аренда и управление собственным или арендованным нежилым недвижимым имуществом</v>
      </c>
      <c r="E79" s="4" t="str">
        <f>ЛИК_дляСкорингаДП!L79</f>
        <v>68.20.2</v>
      </c>
      <c r="F79">
        <f>ЛИК_дляСкорингаДП!N79</f>
        <v>0</v>
      </c>
      <c r="G79" s="25" t="str">
        <f>ЛИК_дляСкорингаДП!AG79</f>
        <v>УСН</v>
      </c>
      <c r="H79" s="55" t="str">
        <f>IF(ISNUMBER(E79),E79,
IFERROR(LEFT(E79,FIND(".",E79)-1),E79))</f>
        <v>68</v>
      </c>
      <c r="I79" s="30">
        <f>IF(COUNTIF(Справочник_ОКВЭД_НР!$A$3:$A$62,H79)&gt;0,Справочник_ОКВЭД_НР!$L$8,
 IF(COUNTIF(Справочник_ОКВЭД_НР!$C$3:$C$62,H79)&gt;0,Справочник_ОКВЭД_НР!$L$9,
  IF(COUNTIF(Справочник_ОКВЭД_НР!$E$3:$E$62,H79)&gt;0,Справочник_ОКВЭД_НР!$L$10,
   IF(COUNTIF(Справочник_ОКВЭД_НР!$G$3:$G$62,H79)&gt;0,Справочник_ОКВЭД_НР!$L$11,50))))</f>
        <v>100</v>
      </c>
      <c r="J79" s="30" cm="1">
        <f t="array" ref="J79">IFERROR(
 (SUMPRODUCT(ISNUMBER(SEARCH(","&amp;Справочник_ОКВЭД_НР!$A$3:$A$62&amp;".",","&amp;SUBSTITUTE(F79," ","")&amp;",")))*Справочник_ОКВЭД_НР!$L$9 +
  SUMPRODUCT(ISNUMBER(SEARCH(","&amp;Справочник_ОКВЭД_НР!$C$3:$C$62&amp;".",","&amp;SUBSTITUTE(F79," ","")&amp;",")))*Справочник_ОКВЭД_НР!$L$10 +
  SUMPRODUCT(ISNUMBER(SEARCH(","&amp;Справочник_ОКВЭД_НР!$E$3:$E$62&amp;".",","&amp;SUBSTITUTE(F79," ","")&amp;",")))*Справочник_ОКВЭД_НР!$L$11 +
  SUMPRODUCT(ISNUMBER(SEARCH(","&amp;Справочник_ОКВЭД_НР!$G$3:$G$62&amp;".",","&amp;SUBSTITUTE(F79," ","")&amp;",")))*Справочник_ОКВЭД_НР!$L$12) /
 (SUMPRODUCT(ISNUMBER(SEARCH(","&amp;Справочник_ОКВЭД_НР!$A$3:$A$62&amp;".",","&amp;SUBSTITUTE(F79," ","")&amp;","))) +
  SUMPRODUCT(ISNUMBER(SEARCH(","&amp;Справочник_ОКВЭД_НР!$C$3:$C$62&amp;".",","&amp;SUBSTITUTE(F79," ","")&amp;","))) +
  SUMPRODUCT(ISNUMBER(SEARCH(","&amp;Справочник_ОКВЭД_НР!$E$3:$E$62&amp;".",","&amp;SUBSTITUTE(F79," ","")&amp;","))) +
  SUMPRODUCT(ISNUMBER(SEARCH(","&amp;Справочник_ОКВЭД_НР!$G$3:$G$62&amp;".",","&amp;SUBSTITUTE(F79," ","")&amp;",")))),
50)</f>
        <v>50</v>
      </c>
      <c r="K79" s="30">
        <f>IFERROR(VLOOKUP(G79,Справочник_ОКВЭД_НР!$O:$P,2,FALSE()),50)</f>
        <v>50</v>
      </c>
      <c r="L79" s="45">
        <f>(I79*Справочник_ОКВЭД_НР!$L$2+J79*Справочник_ОКВЭД_НР!$L$3+K79*Справочник_ОКВЭД_НР!$L$4)*M79</f>
        <v>80</v>
      </c>
      <c r="M79" s="47">
        <f>IF(COUNTIF(Справочник_ОКВЭД_НР!$G$3:$G$62,H79)&gt;0,0,1)</f>
        <v>1</v>
      </c>
    </row>
    <row r="80" spans="1:13" x14ac:dyDescent="0.25">
      <c r="A80" s="4">
        <f>ЛИК_дляСкорингаДП!A80</f>
        <v>1037722024262</v>
      </c>
      <c r="B80" s="4">
        <f>ЛИК_дляСкорингаДП!B80</f>
        <v>7722291263</v>
      </c>
      <c r="C80" s="4" t="str">
        <f>ЛИК_дляСкорингаДП!C80</f>
        <v>АО "МШЗМ"</v>
      </c>
      <c r="D80" s="5" t="str">
        <f>ЛИК_дляСкорингаДП!M80</f>
        <v>Аренда и управление собственным или арендованным жилым недвижимым имуществом</v>
      </c>
      <c r="E80" s="4" t="str">
        <f>ЛИК_дляСкорингаДП!L80</f>
        <v>68.20.1</v>
      </c>
      <c r="F80" t="str">
        <f>ЛИК_дляСкорингаДП!N80</f>
        <v>68.20</v>
      </c>
      <c r="G80" s="25" t="str">
        <f>ЛИК_дляСкорингаДП!AG80</f>
        <v>ОСН</v>
      </c>
      <c r="H80" s="55" t="str">
        <f>IF(ISNUMBER(E80),E80,
IFERROR(LEFT(E80,FIND(".",E80)-1),E80))</f>
        <v>68</v>
      </c>
      <c r="I80" s="30">
        <f>IF(COUNTIF(Справочник_ОКВЭД_НР!$A$3:$A$62,H80)&gt;0,Справочник_ОКВЭД_НР!$L$8,
 IF(COUNTIF(Справочник_ОКВЭД_НР!$C$3:$C$62,H80)&gt;0,Справочник_ОКВЭД_НР!$L$9,
  IF(COUNTIF(Справочник_ОКВЭД_НР!$E$3:$E$62,H80)&gt;0,Справочник_ОКВЭД_НР!$L$10,
   IF(COUNTIF(Справочник_ОКВЭД_НР!$G$3:$G$62,H80)&gt;0,Справочник_ОКВЭД_НР!$L$11,50))))</f>
        <v>100</v>
      </c>
      <c r="J80" s="30" cm="1">
        <f t="array" ref="J80">IFERROR(
 (SUMPRODUCT(ISNUMBER(SEARCH(","&amp;Справочник_ОКВЭД_НР!$A$3:$A$62&amp;".",","&amp;SUBSTITUTE(F80," ","")&amp;",")))*Справочник_ОКВЭД_НР!$L$9 +
  SUMPRODUCT(ISNUMBER(SEARCH(","&amp;Справочник_ОКВЭД_НР!$C$3:$C$62&amp;".",","&amp;SUBSTITUTE(F80," ","")&amp;",")))*Справочник_ОКВЭД_НР!$L$10 +
  SUMPRODUCT(ISNUMBER(SEARCH(","&amp;Справочник_ОКВЭД_НР!$E$3:$E$62&amp;".",","&amp;SUBSTITUTE(F80," ","")&amp;",")))*Справочник_ОКВЭД_НР!$L$11 +
  SUMPRODUCT(ISNUMBER(SEARCH(","&amp;Справочник_ОКВЭД_НР!$G$3:$G$62&amp;".",","&amp;SUBSTITUTE(F80," ","")&amp;",")))*Справочник_ОКВЭД_НР!$L$12) /
 (SUMPRODUCT(ISNUMBER(SEARCH(","&amp;Справочник_ОКВЭД_НР!$A$3:$A$62&amp;".",","&amp;SUBSTITUTE(F80," ","")&amp;","))) +
  SUMPRODUCT(ISNUMBER(SEARCH(","&amp;Справочник_ОКВЭД_НР!$C$3:$C$62&amp;".",","&amp;SUBSTITUTE(F80," ","")&amp;","))) +
  SUMPRODUCT(ISNUMBER(SEARCH(","&amp;Справочник_ОКВЭД_НР!$E$3:$E$62&amp;".",","&amp;SUBSTITUTE(F80," ","")&amp;","))) +
  SUMPRODUCT(ISNUMBER(SEARCH(","&amp;Справочник_ОКВЭД_НР!$G$3:$G$62&amp;".",","&amp;SUBSTITUTE(F80," ","")&amp;",")))),
50)</f>
        <v>50</v>
      </c>
      <c r="K80" s="30">
        <f>IFERROR(VLOOKUP(G80,Справочник_ОКВЭД_НР!$O:$P,2,FALSE()),50)</f>
        <v>100</v>
      </c>
      <c r="L80" s="45">
        <f>(I80*Справочник_ОКВЭД_НР!$L$2+J80*Справочник_ОКВЭД_НР!$L$3+K80*Справочник_ОКВЭД_НР!$L$4)*M80</f>
        <v>87.5</v>
      </c>
      <c r="M80" s="47">
        <f>IF(COUNTIF(Справочник_ОКВЭД_НР!$G$3:$G$62,H80)&gt;0,0,1)</f>
        <v>1</v>
      </c>
    </row>
    <row r="81" spans="1:13" x14ac:dyDescent="0.25">
      <c r="A81" s="4">
        <f>ЛИК_дляСкорингаДП!A81</f>
        <v>1021101005870</v>
      </c>
      <c r="B81" s="4">
        <f>ЛИК_дляСкорингаДП!B81</f>
        <v>1112003019</v>
      </c>
      <c r="C81" s="4" t="str">
        <f>ЛИК_дляСкорингаДП!C81</f>
        <v>ООО ЛЗК "ЛУНВОЖ"</v>
      </c>
      <c r="D81" s="5" t="str">
        <f>ЛИК_дляСкорингаДП!M81</f>
        <v>Производство пиломатериалов, кроме профилированных, толщиной более 6 мм; производство непропитанных железнодорожных и трамвайных шпал из древесины</v>
      </c>
      <c r="E81" s="4" t="str">
        <f>ЛИК_дляСкорингаДП!L81</f>
        <v>16.10.1</v>
      </c>
      <c r="F81" t="str">
        <f>ЛИК_дляСкорингаДП!N81</f>
        <v>02.20,02.40.2,16.21.21,02.20,02.40.2,16.1,16.10.1,16.10.9,16.23.1,16.23.2,46.1,46.13,46.73.1,46.73.2,47.1,47.52.71,49.41.3,52.10,52.24,68.10.22,68.20,77.11,77.39.1,77.39.21,77.39.23</v>
      </c>
      <c r="G81" s="25" t="str">
        <f>ЛИК_дляСкорингаДП!AG81</f>
        <v>ОСН</v>
      </c>
      <c r="H81" s="55" t="str">
        <f>IF(ISNUMBER(E81),E81,
IFERROR(LEFT(E81,FIND(".",E81)-1),E81))</f>
        <v>16</v>
      </c>
      <c r="I81" s="30">
        <f>IF(COUNTIF(Справочник_ОКВЭД_НР!$A$3:$A$62,H81)&gt;0,Справочник_ОКВЭД_НР!$L$8,
 IF(COUNTIF(Справочник_ОКВЭД_НР!$C$3:$C$62,H81)&gt;0,Справочник_ОКВЭД_НР!$L$9,
  IF(COUNTIF(Справочник_ОКВЭД_НР!$E$3:$E$62,H81)&gt;0,Справочник_ОКВЭД_НР!$L$10,
   IF(COUNTIF(Справочник_ОКВЭД_НР!$G$3:$G$62,H81)&gt;0,Справочник_ОКВЭД_НР!$L$11,50))))</f>
        <v>60</v>
      </c>
      <c r="J81" s="30" cm="1">
        <f t="array" ref="J81">IFERROR(
 (SUMPRODUCT(ISNUMBER(SEARCH(","&amp;Справочник_ОКВЭД_НР!$A$3:$A$62&amp;".",","&amp;SUBSTITUTE(F81," ","")&amp;",")))*Справочник_ОКВЭД_НР!$L$9 +
  SUMPRODUCT(ISNUMBER(SEARCH(","&amp;Справочник_ОКВЭД_НР!$C$3:$C$62&amp;".",","&amp;SUBSTITUTE(F81," ","")&amp;",")))*Справочник_ОКВЭД_НР!$L$10 +
  SUMPRODUCT(ISNUMBER(SEARCH(","&amp;Справочник_ОКВЭД_НР!$E$3:$E$62&amp;".",","&amp;SUBSTITUTE(F81," ","")&amp;",")))*Справочник_ОКВЭД_НР!$L$11 +
  SUMPRODUCT(ISNUMBER(SEARCH(","&amp;Справочник_ОКВЭД_НР!$G$3:$G$62&amp;".",","&amp;SUBSTITUTE(F81," ","")&amp;",")))*Справочник_ОКВЭД_НР!$L$12) /
 (SUMPRODUCT(ISNUMBER(SEARCH(","&amp;Справочник_ОКВЭД_НР!$A$3:$A$62&amp;".",","&amp;SUBSTITUTE(F81," ","")&amp;","))) +
  SUMPRODUCT(ISNUMBER(SEARCH(","&amp;Справочник_ОКВЭД_НР!$C$3:$C$62&amp;".",","&amp;SUBSTITUTE(F81," ","")&amp;","))) +
  SUMPRODUCT(ISNUMBER(SEARCH(","&amp;Справочник_ОКВЭД_НР!$E$3:$E$62&amp;".",","&amp;SUBSTITUTE(F81," ","")&amp;","))) +
  SUMPRODUCT(ISNUMBER(SEARCH(","&amp;Справочник_ОКВЭД_НР!$G$3:$G$62&amp;".",","&amp;SUBSTITUTE(F81," ","")&amp;",")))),
50)</f>
        <v>50</v>
      </c>
      <c r="K81" s="30">
        <f>IFERROR(VLOOKUP(G81,Справочник_ОКВЭД_НР!$O:$P,2,FALSE()),50)</f>
        <v>100</v>
      </c>
      <c r="L81" s="45">
        <f>(I81*Справочник_ОКВЭД_НР!$L$2+J81*Справочник_ОКВЭД_НР!$L$3+K81*Справочник_ОКВЭД_НР!$L$4)*M81</f>
        <v>63.5</v>
      </c>
      <c r="M81" s="47">
        <f>IF(COUNTIF(Справочник_ОКВЭД_НР!$G$3:$G$62,H81)&gt;0,0,1)</f>
        <v>1</v>
      </c>
    </row>
    <row r="82" spans="1:13" x14ac:dyDescent="0.25">
      <c r="A82" s="4">
        <f>ЛИК_дляСкорингаДП!A82</f>
        <v>1187746701493</v>
      </c>
      <c r="B82" s="4">
        <f>ЛИК_дляСкорингаДП!B82</f>
        <v>9709034542</v>
      </c>
      <c r="C82" s="4" t="str">
        <f>ЛИК_дляСкорингаДП!C82</f>
        <v>ООО "ЗЕМЛЯНОЙ ВАЛ 36"</v>
      </c>
      <c r="D82" s="5" t="str">
        <f>ЛИК_дляСкорингаДП!M82</f>
        <v>Аренда и управление собственным или арендованным недвижимым имуществом</v>
      </c>
      <c r="E82" s="4" t="str">
        <f>ЛИК_дляСкорингаДП!L82</f>
        <v>68.20</v>
      </c>
      <c r="F82" t="str">
        <f>ЛИК_дляСкорингаДП!N82</f>
        <v>46.90,64.99,68.31.5,69.10,69.20,70.22,73.20.1,94.11</v>
      </c>
      <c r="G82" s="25" t="str">
        <f>ЛИК_дляСкорингаДП!AG82</f>
        <v>ОСН</v>
      </c>
      <c r="H82" s="55" t="str">
        <f>IF(ISNUMBER(E82),E82,
IFERROR(LEFT(E82,FIND(".",E82)-1),E82))</f>
        <v>68</v>
      </c>
      <c r="I82" s="30">
        <f>IF(COUNTIF(Справочник_ОКВЭД_НР!$A$3:$A$62,H82)&gt;0,Справочник_ОКВЭД_НР!$L$8,
 IF(COUNTIF(Справочник_ОКВЭД_НР!$C$3:$C$62,H82)&gt;0,Справочник_ОКВЭД_НР!$L$9,
  IF(COUNTIF(Справочник_ОКВЭД_НР!$E$3:$E$62,H82)&gt;0,Справочник_ОКВЭД_НР!$L$10,
   IF(COUNTIF(Справочник_ОКВЭД_НР!$G$3:$G$62,H82)&gt;0,Справочник_ОКВЭД_НР!$L$11,50))))</f>
        <v>100</v>
      </c>
      <c r="J82" s="30" cm="1">
        <f t="array" ref="J82">IFERROR(
 (SUMPRODUCT(ISNUMBER(SEARCH(","&amp;Справочник_ОКВЭД_НР!$A$3:$A$62&amp;".",","&amp;SUBSTITUTE(F82," ","")&amp;",")))*Справочник_ОКВЭД_НР!$L$9 +
  SUMPRODUCT(ISNUMBER(SEARCH(","&amp;Справочник_ОКВЭД_НР!$C$3:$C$62&amp;".",","&amp;SUBSTITUTE(F82," ","")&amp;",")))*Справочник_ОКВЭД_НР!$L$10 +
  SUMPRODUCT(ISNUMBER(SEARCH(","&amp;Справочник_ОКВЭД_НР!$E$3:$E$62&amp;".",","&amp;SUBSTITUTE(F82," ","")&amp;",")))*Справочник_ОКВЭД_НР!$L$11 +
  SUMPRODUCT(ISNUMBER(SEARCH(","&amp;Справочник_ОКВЭД_НР!$G$3:$G$62&amp;".",","&amp;SUBSTITUTE(F82," ","")&amp;",")))*Справочник_ОКВЭД_НР!$L$12) /
 (SUMPRODUCT(ISNUMBER(SEARCH(","&amp;Справочник_ОКВЭД_НР!$A$3:$A$62&amp;".",","&amp;SUBSTITUTE(F82," ","")&amp;","))) +
  SUMPRODUCT(ISNUMBER(SEARCH(","&amp;Справочник_ОКВЭД_НР!$C$3:$C$62&amp;".",","&amp;SUBSTITUTE(F82," ","")&amp;","))) +
  SUMPRODUCT(ISNUMBER(SEARCH(","&amp;Справочник_ОКВЭД_НР!$E$3:$E$62&amp;".",","&amp;SUBSTITUTE(F82," ","")&amp;","))) +
  SUMPRODUCT(ISNUMBER(SEARCH(","&amp;Справочник_ОКВЭД_НР!$G$3:$G$62&amp;".",","&amp;SUBSTITUTE(F82," ","")&amp;",")))),
50)</f>
        <v>50</v>
      </c>
      <c r="K82" s="30">
        <f>IFERROR(VLOOKUP(G82,Справочник_ОКВЭД_НР!$O:$P,2,FALSE()),50)</f>
        <v>100</v>
      </c>
      <c r="L82" s="45">
        <f>(I82*Справочник_ОКВЭД_НР!$L$2+J82*Справочник_ОКВЭД_НР!$L$3+K82*Справочник_ОКВЭД_НР!$L$4)*M82</f>
        <v>87.5</v>
      </c>
      <c r="M82" s="47">
        <f>IF(COUNTIF(Справочник_ОКВЭД_НР!$G$3:$G$62,H82)&gt;0,0,1)</f>
        <v>1</v>
      </c>
    </row>
    <row r="83" spans="1:13" x14ac:dyDescent="0.25">
      <c r="A83" s="4">
        <f>ЛИК_дляСкорингаДП!A83</f>
        <v>1027739031462</v>
      </c>
      <c r="B83" s="4">
        <f>ЛИК_дляСкорингаДП!B83</f>
        <v>7701229747</v>
      </c>
      <c r="C83" s="4" t="str">
        <f>ЛИК_дляСкорингаДП!C83</f>
        <v>ООО "БЭЛ ДЕВЕЛОПМЕНТ"</v>
      </c>
      <c r="D83" s="5" t="str">
        <f>ЛИК_дляСкорингаДП!M83</f>
        <v>Консультирование по вопросам коммерческой деятельности и управления</v>
      </c>
      <c r="E83" s="4" t="str">
        <f>ЛИК_дляСкорингаДП!L83</f>
        <v>70.22</v>
      </c>
      <c r="F83" t="str">
        <f>ЛИК_дляСкорингаДП!N83</f>
        <v>41.2,43.12,43.2,43.3,43.99,64.9,68.2,68.3,69,73.20.1</v>
      </c>
      <c r="G83" s="25" t="str">
        <f>ЛИК_дляСкорингаДП!AG83</f>
        <v>ОСН</v>
      </c>
      <c r="H83" s="55" t="str">
        <f>IF(ISNUMBER(E83),E83,
IFERROR(LEFT(E83,FIND(".",E83)-1),E83))</f>
        <v>70</v>
      </c>
      <c r="I83" s="30">
        <f>IF(COUNTIF(Справочник_ОКВЭД_НР!$A$3:$A$62,H83)&gt;0,Справочник_ОКВЭД_НР!$L$8,
 IF(COUNTIF(Справочник_ОКВЭД_НР!$C$3:$C$62,H83)&gt;0,Справочник_ОКВЭД_НР!$L$9,
  IF(COUNTIF(Справочник_ОКВЭД_НР!$E$3:$E$62,H83)&gt;0,Справочник_ОКВЭД_НР!$L$10,
   IF(COUNTIF(Справочник_ОКВЭД_НР!$G$3:$G$62,H83)&gt;0,Справочник_ОКВЭД_НР!$L$11,50))))</f>
        <v>60</v>
      </c>
      <c r="J83" s="30" cm="1">
        <f t="array" ref="J83">IFERROR(
 (SUMPRODUCT(ISNUMBER(SEARCH(","&amp;Справочник_ОКВЭД_НР!$A$3:$A$62&amp;".",","&amp;SUBSTITUTE(F83," ","")&amp;",")))*Справочник_ОКВЭД_НР!$L$9 +
  SUMPRODUCT(ISNUMBER(SEARCH(","&amp;Справочник_ОКВЭД_НР!$C$3:$C$62&amp;".",","&amp;SUBSTITUTE(F83," ","")&amp;",")))*Справочник_ОКВЭД_НР!$L$10 +
  SUMPRODUCT(ISNUMBER(SEARCH(","&amp;Справочник_ОКВЭД_НР!$E$3:$E$62&amp;".",","&amp;SUBSTITUTE(F83," ","")&amp;",")))*Справочник_ОКВЭД_НР!$L$11 +
  SUMPRODUCT(ISNUMBER(SEARCH(","&amp;Справочник_ОКВЭД_НР!$G$3:$G$62&amp;".",","&amp;SUBSTITUTE(F83," ","")&amp;",")))*Справочник_ОКВЭД_НР!$L$12) /
 (SUMPRODUCT(ISNUMBER(SEARCH(","&amp;Справочник_ОКВЭД_НР!$A$3:$A$62&amp;".",","&amp;SUBSTITUTE(F83," ","")&amp;","))) +
  SUMPRODUCT(ISNUMBER(SEARCH(","&amp;Справочник_ОКВЭД_НР!$C$3:$C$62&amp;".",","&amp;SUBSTITUTE(F83," ","")&amp;","))) +
  SUMPRODUCT(ISNUMBER(SEARCH(","&amp;Справочник_ОКВЭД_НР!$E$3:$E$62&amp;".",","&amp;SUBSTITUTE(F83," ","")&amp;","))) +
  SUMPRODUCT(ISNUMBER(SEARCH(","&amp;Справочник_ОКВЭД_НР!$G$3:$G$62&amp;".",","&amp;SUBSTITUTE(F83," ","")&amp;",")))),
50)</f>
        <v>50</v>
      </c>
      <c r="K83" s="30">
        <f>IFERROR(VLOOKUP(G83,Справочник_ОКВЭД_НР!$O:$P,2,FALSE()),50)</f>
        <v>100</v>
      </c>
      <c r="L83" s="45">
        <f>(I83*Справочник_ОКВЭД_НР!$L$2+J83*Справочник_ОКВЭД_НР!$L$3+K83*Справочник_ОКВЭД_НР!$L$4)*M83</f>
        <v>63.5</v>
      </c>
      <c r="M83" s="47">
        <f>IF(COUNTIF(Справочник_ОКВЭД_НР!$G$3:$G$62,H83)&gt;0,0,1)</f>
        <v>1</v>
      </c>
    </row>
    <row r="84" spans="1:13" x14ac:dyDescent="0.25">
      <c r="A84" s="4">
        <f>ЛИК_дляСкорингаДП!A84</f>
        <v>1027739225205</v>
      </c>
      <c r="B84" s="4">
        <f>ЛИК_дляСкорингаДП!B84</f>
        <v>7704235643</v>
      </c>
      <c r="C84" s="4" t="str">
        <f>ЛИК_дляСкорингаДП!C84</f>
        <v>ООО "УСАДЬБА "ДАВЫДОВЫХ"</v>
      </c>
      <c r="D84" s="5" t="str">
        <f>ЛИК_дляСкорингаДП!M84</f>
        <v>Управление эксплуатацией нежилого фонда за вознаграждение или на договорной основе</v>
      </c>
      <c r="E84" s="4" t="str">
        <f>ЛИК_дляСкорингаДП!L84</f>
        <v>68.32.2</v>
      </c>
      <c r="F84" t="str">
        <f>ЛИК_дляСкорингаДП!N84</f>
        <v>41.20,43.21,43.22,43.29,43.31,43.32,43.33,43.34,43.39,43.91,43.99,43.99.1,68.20.2,68.31.1,68.31.2,68.31.3,68.31.4,70.22,71.1,71.12.5,71.12.6,73.11,93.29.9</v>
      </c>
      <c r="G84" s="25" t="str">
        <f>ЛИК_дляСкорингаДП!AG84</f>
        <v>ОСН</v>
      </c>
      <c r="H84" s="55" t="str">
        <f>IF(ISNUMBER(E84),E84,
IFERROR(LEFT(E84,FIND(".",E84)-1),E84))</f>
        <v>68</v>
      </c>
      <c r="I84" s="30">
        <f>IF(COUNTIF(Справочник_ОКВЭД_НР!$A$3:$A$62,H84)&gt;0,Справочник_ОКВЭД_НР!$L$8,
 IF(COUNTIF(Справочник_ОКВЭД_НР!$C$3:$C$62,H84)&gt;0,Справочник_ОКВЭД_НР!$L$9,
  IF(COUNTIF(Справочник_ОКВЭД_НР!$E$3:$E$62,H84)&gt;0,Справочник_ОКВЭД_НР!$L$10,
   IF(COUNTIF(Справочник_ОКВЭД_НР!$G$3:$G$62,H84)&gt;0,Справочник_ОКВЭД_НР!$L$11,50))))</f>
        <v>100</v>
      </c>
      <c r="J84" s="30" cm="1">
        <f t="array" ref="J84">IFERROR(
 (SUMPRODUCT(ISNUMBER(SEARCH(","&amp;Справочник_ОКВЭД_НР!$A$3:$A$62&amp;".",","&amp;SUBSTITUTE(F84," ","")&amp;",")))*Справочник_ОКВЭД_НР!$L$9 +
  SUMPRODUCT(ISNUMBER(SEARCH(","&amp;Справочник_ОКВЭД_НР!$C$3:$C$62&amp;".",","&amp;SUBSTITUTE(F84," ","")&amp;",")))*Справочник_ОКВЭД_НР!$L$10 +
  SUMPRODUCT(ISNUMBER(SEARCH(","&amp;Справочник_ОКВЭД_НР!$E$3:$E$62&amp;".",","&amp;SUBSTITUTE(F84," ","")&amp;",")))*Справочник_ОКВЭД_НР!$L$11 +
  SUMPRODUCT(ISNUMBER(SEARCH(","&amp;Справочник_ОКВЭД_НР!$G$3:$G$62&amp;".",","&amp;SUBSTITUTE(F84," ","")&amp;",")))*Справочник_ОКВЭД_НР!$L$12) /
 (SUMPRODUCT(ISNUMBER(SEARCH(","&amp;Справочник_ОКВЭД_НР!$A$3:$A$62&amp;".",","&amp;SUBSTITUTE(F84," ","")&amp;","))) +
  SUMPRODUCT(ISNUMBER(SEARCH(","&amp;Справочник_ОКВЭД_НР!$C$3:$C$62&amp;".",","&amp;SUBSTITUTE(F84," ","")&amp;","))) +
  SUMPRODUCT(ISNUMBER(SEARCH(","&amp;Справочник_ОКВЭД_НР!$E$3:$E$62&amp;".",","&amp;SUBSTITUTE(F84," ","")&amp;","))) +
  SUMPRODUCT(ISNUMBER(SEARCH(","&amp;Справочник_ОКВЭД_НР!$G$3:$G$62&amp;".",","&amp;SUBSTITUTE(F84," ","")&amp;",")))),
50)</f>
        <v>50</v>
      </c>
      <c r="K84" s="30">
        <f>IFERROR(VLOOKUP(G84,Справочник_ОКВЭД_НР!$O:$P,2,FALSE()),50)</f>
        <v>100</v>
      </c>
      <c r="L84" s="45">
        <f>(I84*Справочник_ОКВЭД_НР!$L$2+J84*Справочник_ОКВЭД_НР!$L$3+K84*Справочник_ОКВЭД_НР!$L$4)*M84</f>
        <v>87.5</v>
      </c>
      <c r="M84" s="47">
        <f>IF(COUNTIF(Справочник_ОКВЭД_НР!$G$3:$G$62,H84)&gt;0,0,1)</f>
        <v>1</v>
      </c>
    </row>
    <row r="85" spans="1:13" x14ac:dyDescent="0.25">
      <c r="A85" s="4">
        <f>ЛИК_дляСкорингаДП!A85</f>
        <v>1167746418707</v>
      </c>
      <c r="B85" s="4">
        <f>ЛИК_дляСкорингаДП!B85</f>
        <v>9701038827</v>
      </c>
      <c r="C85" s="4" t="str">
        <f>ЛИК_дляСкорингаДП!C85</f>
        <v>ООО "МЭП"</v>
      </c>
      <c r="D85" s="5" t="str">
        <f>ЛИК_дляСкорингаДП!M85</f>
        <v>Деятельность в области архитектуры</v>
      </c>
      <c r="E85" s="4" t="str">
        <f>ЛИК_дляСкорингаДП!L85</f>
        <v>71.11</v>
      </c>
      <c r="F85" t="str">
        <f>ЛИК_дляСкорингаДП!N85</f>
        <v>42.22.3,68.20,71.11.1,71.11.2,71.11.3,71.12,71.12.1,71.12.11,71.12.12,71.12.15,71.12.2,71.12.3,71.12.41,71.12.45,71.12.6,71.12.8</v>
      </c>
      <c r="G85" s="25" t="str">
        <f>ЛИК_дляСкорингаДП!AG85</f>
        <v>ОСН</v>
      </c>
      <c r="H85" s="55" t="str">
        <f>IF(ISNUMBER(E85),E85,
IFERROR(LEFT(E85,FIND(".",E85)-1),E85))</f>
        <v>71</v>
      </c>
      <c r="I85" s="30">
        <f>IF(COUNTIF(Справочник_ОКВЭД_НР!$A$3:$A$62,H85)&gt;0,Справочник_ОКВЭД_НР!$L$8,
 IF(COUNTIF(Справочник_ОКВЭД_НР!$C$3:$C$62,H85)&gt;0,Справочник_ОКВЭД_НР!$L$9,
  IF(COUNTIF(Справочник_ОКВЭД_НР!$E$3:$E$62,H85)&gt;0,Справочник_ОКВЭД_НР!$L$10,
   IF(COUNTIF(Справочник_ОКВЭД_НР!$G$3:$G$62,H85)&gt;0,Справочник_ОКВЭД_НР!$L$11,50))))</f>
        <v>100</v>
      </c>
      <c r="J85" s="30" cm="1">
        <f t="array" ref="J85">IFERROR(
 (SUMPRODUCT(ISNUMBER(SEARCH(","&amp;Справочник_ОКВЭД_НР!$A$3:$A$62&amp;".",","&amp;SUBSTITUTE(F85," ","")&amp;",")))*Справочник_ОКВЭД_НР!$L$9 +
  SUMPRODUCT(ISNUMBER(SEARCH(","&amp;Справочник_ОКВЭД_НР!$C$3:$C$62&amp;".",","&amp;SUBSTITUTE(F85," ","")&amp;",")))*Справочник_ОКВЭД_НР!$L$10 +
  SUMPRODUCT(ISNUMBER(SEARCH(","&amp;Справочник_ОКВЭД_НР!$E$3:$E$62&amp;".",","&amp;SUBSTITUTE(F85," ","")&amp;",")))*Справочник_ОКВЭД_НР!$L$11 +
  SUMPRODUCT(ISNUMBER(SEARCH(","&amp;Справочник_ОКВЭД_НР!$G$3:$G$62&amp;".",","&amp;SUBSTITUTE(F85," ","")&amp;",")))*Справочник_ОКВЭД_НР!$L$12) /
 (SUMPRODUCT(ISNUMBER(SEARCH(","&amp;Справочник_ОКВЭД_НР!$A$3:$A$62&amp;".",","&amp;SUBSTITUTE(F85," ","")&amp;","))) +
  SUMPRODUCT(ISNUMBER(SEARCH(","&amp;Справочник_ОКВЭД_НР!$C$3:$C$62&amp;".",","&amp;SUBSTITUTE(F85," ","")&amp;","))) +
  SUMPRODUCT(ISNUMBER(SEARCH(","&amp;Справочник_ОКВЭД_НР!$E$3:$E$62&amp;".",","&amp;SUBSTITUTE(F85," ","")&amp;","))) +
  SUMPRODUCT(ISNUMBER(SEARCH(","&amp;Справочник_ОКВЭД_НР!$G$3:$G$62&amp;".",","&amp;SUBSTITUTE(F85," ","")&amp;",")))),
50)</f>
        <v>50</v>
      </c>
      <c r="K85" s="30">
        <f>IFERROR(VLOOKUP(G85,Справочник_ОКВЭД_НР!$O:$P,2,FALSE()),50)</f>
        <v>100</v>
      </c>
      <c r="L85" s="45">
        <f>(I85*Справочник_ОКВЭД_НР!$L$2+J85*Справочник_ОКВЭД_НР!$L$3+K85*Справочник_ОКВЭД_НР!$L$4)*M85</f>
        <v>87.5</v>
      </c>
      <c r="M85" s="47">
        <f>IF(COUNTIF(Справочник_ОКВЭД_НР!$G$3:$G$62,H85)&gt;0,0,1)</f>
        <v>1</v>
      </c>
    </row>
    <row r="86" spans="1:13" x14ac:dyDescent="0.25">
      <c r="A86" s="4">
        <f>ЛИК_дляСкорингаДП!A86</f>
        <v>1105032007761</v>
      </c>
      <c r="B86" s="4">
        <f>ЛИК_дляСкорингаДП!B86</f>
        <v>5032229441</v>
      </c>
      <c r="C86" s="4" t="str">
        <f>ЛИК_дляСкорингаДП!C86</f>
        <v>ООО "СБЕРБАНК ИНВЕСТИЦИИ"</v>
      </c>
      <c r="D86" s="5" t="str">
        <f>ЛИК_дляСкорингаДП!M86</f>
        <v>Деятельность по предоставлению прочих финансовых услуг, кроме услуг по страхованию и пенсионному обеспечению</v>
      </c>
      <c r="E86" s="4" t="str">
        <f>ЛИК_дляСкорингаДП!L86</f>
        <v>64.9</v>
      </c>
      <c r="F86" t="str">
        <f>ЛИК_дляСкорингаДП!N86</f>
        <v>41.2,45.1,46.1,46.6,46.9,47.9,68.1,72.1,72.2,73.1</v>
      </c>
      <c r="G86" s="25" t="str">
        <f>ЛИК_дляСкорингаДП!AG86</f>
        <v>ОСН</v>
      </c>
      <c r="H86" s="55" t="str">
        <f>IF(ISNUMBER(E86),E86,
IFERROR(LEFT(E86,FIND(".",E86)-1),E86))</f>
        <v>64</v>
      </c>
      <c r="I86" s="30">
        <f>IF(COUNTIF(Справочник_ОКВЭД_НР!$A$3:$A$62,H86)&gt;0,Справочник_ОКВЭД_НР!$L$8,
 IF(COUNTIF(Справочник_ОКВЭД_НР!$C$3:$C$62,H86)&gt;0,Справочник_ОКВЭД_НР!$L$9,
  IF(COUNTIF(Справочник_ОКВЭД_НР!$E$3:$E$62,H86)&gt;0,Справочник_ОКВЭД_НР!$L$10,
   IF(COUNTIF(Справочник_ОКВЭД_НР!$G$3:$G$62,H86)&gt;0,Справочник_ОКВЭД_НР!$L$11,50))))</f>
        <v>60</v>
      </c>
      <c r="J86" s="30" cm="1">
        <f t="array" ref="J86">IFERROR(
 (SUMPRODUCT(ISNUMBER(SEARCH(","&amp;Справочник_ОКВЭД_НР!$A$3:$A$62&amp;".",","&amp;SUBSTITUTE(F86," ","")&amp;",")))*Справочник_ОКВЭД_НР!$L$9 +
  SUMPRODUCT(ISNUMBER(SEARCH(","&amp;Справочник_ОКВЭД_НР!$C$3:$C$62&amp;".",","&amp;SUBSTITUTE(F86," ","")&amp;",")))*Справочник_ОКВЭД_НР!$L$10 +
  SUMPRODUCT(ISNUMBER(SEARCH(","&amp;Справочник_ОКВЭД_НР!$E$3:$E$62&amp;".",","&amp;SUBSTITUTE(F86," ","")&amp;",")))*Справочник_ОКВЭД_НР!$L$11 +
  SUMPRODUCT(ISNUMBER(SEARCH(","&amp;Справочник_ОКВЭД_НР!$G$3:$G$62&amp;".",","&amp;SUBSTITUTE(F86," ","")&amp;",")))*Справочник_ОКВЭД_НР!$L$12) /
 (SUMPRODUCT(ISNUMBER(SEARCH(","&amp;Справочник_ОКВЭД_НР!$A$3:$A$62&amp;".",","&amp;SUBSTITUTE(F86," ","")&amp;","))) +
  SUMPRODUCT(ISNUMBER(SEARCH(","&amp;Справочник_ОКВЭД_НР!$C$3:$C$62&amp;".",","&amp;SUBSTITUTE(F86," ","")&amp;","))) +
  SUMPRODUCT(ISNUMBER(SEARCH(","&amp;Справочник_ОКВЭД_НР!$E$3:$E$62&amp;".",","&amp;SUBSTITUTE(F86," ","")&amp;","))) +
  SUMPRODUCT(ISNUMBER(SEARCH(","&amp;Справочник_ОКВЭД_НР!$G$3:$G$62&amp;".",","&amp;SUBSTITUTE(F86," ","")&amp;",")))),
50)</f>
        <v>50</v>
      </c>
      <c r="K86" s="30">
        <f>IFERROR(VLOOKUP(G86,Справочник_ОКВЭД_НР!$O:$P,2,FALSE()),50)</f>
        <v>100</v>
      </c>
      <c r="L86" s="45">
        <f>(I86*Справочник_ОКВЭД_НР!$L$2+J86*Справочник_ОКВЭД_НР!$L$3+K86*Справочник_ОКВЭД_НР!$L$4)*M86</f>
        <v>63.5</v>
      </c>
      <c r="M86" s="47">
        <f>IF(COUNTIF(Справочник_ОКВЭД_НР!$G$3:$G$62,H86)&gt;0,0,1)</f>
        <v>1</v>
      </c>
    </row>
    <row r="87" spans="1:13" x14ac:dyDescent="0.25">
      <c r="A87" s="4">
        <f>ЛИК_дляСкорингаДП!A87</f>
        <v>1165045050312</v>
      </c>
      <c r="B87" s="4">
        <f>ЛИК_дляСкорингаДП!B87</f>
        <v>5045059204</v>
      </c>
      <c r="C87" s="4" t="str">
        <f>ЛИК_дляСкорингаДП!C87</f>
        <v>ООО "АРВАЛУС"</v>
      </c>
      <c r="D87" s="5" t="str">
        <f>ЛИК_дляСкорингаДП!M87</f>
        <v>Производство мучных смесей и приготовление мучных смесей или теста для хлеба, тортов, бисквитов и блинов</v>
      </c>
      <c r="E87" s="4" t="str">
        <f>ЛИК_дляСкорингаДП!L87</f>
        <v>10.61.4</v>
      </c>
      <c r="F87" t="str">
        <f>ЛИК_дляСкорингаДП!N87</f>
        <v>10.71.1,10.71.2,10.71.3,10.72.3,10.72.4,10.89,10.89.9,46.36.3,46.36.4,46.38.23,46.38.29</v>
      </c>
      <c r="G87" s="25" t="str">
        <f>ЛИК_дляСкорингаДП!AG87</f>
        <v>ОСН</v>
      </c>
      <c r="H87" s="55" t="str">
        <f>IF(ISNUMBER(E87),E87,
IFERROR(LEFT(E87,FIND(".",E87)-1),E87))</f>
        <v>10</v>
      </c>
      <c r="I87" s="30">
        <f>IF(COUNTIF(Справочник_ОКВЭД_НР!$A$3:$A$62,H87)&gt;0,Справочник_ОКВЭД_НР!$L$8,
 IF(COUNTIF(Справочник_ОКВЭД_НР!$C$3:$C$62,H87)&gt;0,Справочник_ОКВЭД_НР!$L$9,
  IF(COUNTIF(Справочник_ОКВЭД_НР!$E$3:$E$62,H87)&gt;0,Справочник_ОКВЭД_НР!$L$10,
   IF(COUNTIF(Справочник_ОКВЭД_НР!$G$3:$G$62,H87)&gt;0,Справочник_ОКВЭД_НР!$L$11,50))))</f>
        <v>100</v>
      </c>
      <c r="J87" s="30" cm="1">
        <f t="array" ref="J87">IFERROR(
 (SUMPRODUCT(ISNUMBER(SEARCH(","&amp;Справочник_ОКВЭД_НР!$A$3:$A$62&amp;".",","&amp;SUBSTITUTE(F87," ","")&amp;",")))*Справочник_ОКВЭД_НР!$L$9 +
  SUMPRODUCT(ISNUMBER(SEARCH(","&amp;Справочник_ОКВЭД_НР!$C$3:$C$62&amp;".",","&amp;SUBSTITUTE(F87," ","")&amp;",")))*Справочник_ОКВЭД_НР!$L$10 +
  SUMPRODUCT(ISNUMBER(SEARCH(","&amp;Справочник_ОКВЭД_НР!$E$3:$E$62&amp;".",","&amp;SUBSTITUTE(F87," ","")&amp;",")))*Справочник_ОКВЭД_НР!$L$11 +
  SUMPRODUCT(ISNUMBER(SEARCH(","&amp;Справочник_ОКВЭД_НР!$G$3:$G$62&amp;".",","&amp;SUBSTITUTE(F87," ","")&amp;",")))*Справочник_ОКВЭД_НР!$L$12) /
 (SUMPRODUCT(ISNUMBER(SEARCH(","&amp;Справочник_ОКВЭД_НР!$A$3:$A$62&amp;".",","&amp;SUBSTITUTE(F87," ","")&amp;","))) +
  SUMPRODUCT(ISNUMBER(SEARCH(","&amp;Справочник_ОКВЭД_НР!$C$3:$C$62&amp;".",","&amp;SUBSTITUTE(F87," ","")&amp;","))) +
  SUMPRODUCT(ISNUMBER(SEARCH(","&amp;Справочник_ОКВЭД_НР!$E$3:$E$62&amp;".",","&amp;SUBSTITUTE(F87," ","")&amp;","))) +
  SUMPRODUCT(ISNUMBER(SEARCH(","&amp;Справочник_ОКВЭД_НР!$G$3:$G$62&amp;".",","&amp;SUBSTITUTE(F87," ","")&amp;",")))),
50)</f>
        <v>50</v>
      </c>
      <c r="K87" s="30">
        <f>IFERROR(VLOOKUP(G87,Справочник_ОКВЭД_НР!$O:$P,2,FALSE()),50)</f>
        <v>100</v>
      </c>
      <c r="L87" s="45">
        <f>(I87*Справочник_ОКВЭД_НР!$L$2+J87*Справочник_ОКВЭД_НР!$L$3+K87*Справочник_ОКВЭД_НР!$L$4)*M87</f>
        <v>87.5</v>
      </c>
      <c r="M87" s="47">
        <f>IF(COUNTIF(Справочник_ОКВЭД_НР!$G$3:$G$62,H87)&gt;0,0,1)</f>
        <v>1</v>
      </c>
    </row>
    <row r="88" spans="1:13" x14ac:dyDescent="0.25">
      <c r="A88" s="4">
        <f>ЛИК_дляСкорингаДП!A88</f>
        <v>1167746887835</v>
      </c>
      <c r="B88" s="4">
        <f>ЛИК_дляСкорингаДП!B88</f>
        <v>7708300340</v>
      </c>
      <c r="C88" s="4" t="str">
        <f>ЛИК_дляСкорингаДП!C88</f>
        <v>ООО "СПЕЦПРОМКОМПАНИЯ"</v>
      </c>
      <c r="D88" s="5" t="str">
        <f>ЛИК_дляСкорингаДП!M88</f>
        <v>Выращивание цветов в открытом и защищенном грунте</v>
      </c>
      <c r="E88" s="4" t="str">
        <f>ЛИК_дляСкорингаДП!L88</f>
        <v>01.19.21</v>
      </c>
      <c r="F88" t="str">
        <f>ЛИК_дляСкорингаДП!N88</f>
        <v>01.13,01.19,01.19.1,01.19.2,01.25,01.30,01.50,01.61,41.20,46.22,46.90,52.24.2,64.20,64.99.11,64.99.3,68.10,68.10.23,68.20.2,68.32,70.10,70.10.2,70.22,73.11,73.20</v>
      </c>
      <c r="G88" s="25" t="str">
        <f>ЛИК_дляСкорингаДП!AG88</f>
        <v>ОСН</v>
      </c>
      <c r="H88" s="55" t="str">
        <f>IF(ISNUMBER(E88),E88,
IFERROR(LEFT(E88,FIND(".",E88)-1),E88))</f>
        <v>01</v>
      </c>
      <c r="I88" s="30">
        <f>IF(COUNTIF(Справочник_ОКВЭД_НР!$A$3:$A$62,H88)&gt;0,Справочник_ОКВЭД_НР!$L$8,
 IF(COUNTIF(Справочник_ОКВЭД_НР!$C$3:$C$62,H88)&gt;0,Справочник_ОКВЭД_НР!$L$9,
  IF(COUNTIF(Справочник_ОКВЭД_НР!$E$3:$E$62,H88)&gt;0,Справочник_ОКВЭД_НР!$L$10,
   IF(COUNTIF(Справочник_ОКВЭД_НР!$G$3:$G$62,H88)&gt;0,Справочник_ОКВЭД_НР!$L$11,50))))</f>
        <v>60</v>
      </c>
      <c r="J88" s="30" cm="1">
        <f t="array" ref="J88">IFERROR(
 (SUMPRODUCT(ISNUMBER(SEARCH(","&amp;Справочник_ОКВЭД_НР!$A$3:$A$62&amp;".",","&amp;SUBSTITUTE(F88," ","")&amp;",")))*Справочник_ОКВЭД_НР!$L$9 +
  SUMPRODUCT(ISNUMBER(SEARCH(","&amp;Справочник_ОКВЭД_НР!$C$3:$C$62&amp;".",","&amp;SUBSTITUTE(F88," ","")&amp;",")))*Справочник_ОКВЭД_НР!$L$10 +
  SUMPRODUCT(ISNUMBER(SEARCH(","&amp;Справочник_ОКВЭД_НР!$E$3:$E$62&amp;".",","&amp;SUBSTITUTE(F88," ","")&amp;",")))*Справочник_ОКВЭД_НР!$L$11 +
  SUMPRODUCT(ISNUMBER(SEARCH(","&amp;Справочник_ОКВЭД_НР!$G$3:$G$62&amp;".",","&amp;SUBSTITUTE(F88," ","")&amp;",")))*Справочник_ОКВЭД_НР!$L$12) /
 (SUMPRODUCT(ISNUMBER(SEARCH(","&amp;Справочник_ОКВЭД_НР!$A$3:$A$62&amp;".",","&amp;SUBSTITUTE(F88," ","")&amp;","))) +
  SUMPRODUCT(ISNUMBER(SEARCH(","&amp;Справочник_ОКВЭД_НР!$C$3:$C$62&amp;".",","&amp;SUBSTITUTE(F88," ","")&amp;","))) +
  SUMPRODUCT(ISNUMBER(SEARCH(","&amp;Справочник_ОКВЭД_НР!$E$3:$E$62&amp;".",","&amp;SUBSTITUTE(F88," ","")&amp;","))) +
  SUMPRODUCT(ISNUMBER(SEARCH(","&amp;Справочник_ОКВЭД_НР!$G$3:$G$62&amp;".",","&amp;SUBSTITUTE(F88," ","")&amp;",")))),
50)</f>
        <v>50</v>
      </c>
      <c r="K88" s="30">
        <f>IFERROR(VLOOKUP(G88,Справочник_ОКВЭД_НР!$O:$P,2,FALSE()),50)</f>
        <v>100</v>
      </c>
      <c r="L88" s="45">
        <f>(I88*Справочник_ОКВЭД_НР!$L$2+J88*Справочник_ОКВЭД_НР!$L$3+K88*Справочник_ОКВЭД_НР!$L$4)*M88</f>
        <v>63.5</v>
      </c>
      <c r="M88" s="47">
        <f>IF(COUNTIF(Справочник_ОКВЭД_НР!$G$3:$G$62,H88)&gt;0,0,1)</f>
        <v>1</v>
      </c>
    </row>
    <row r="89" spans="1:13" x14ac:dyDescent="0.25">
      <c r="A89" s="4">
        <f>ЛИК_дляСкорингаДП!A89</f>
        <v>1247700363525</v>
      </c>
      <c r="B89" s="4">
        <f>ЛИК_дляСкорингаДП!B89</f>
        <v>9706045458</v>
      </c>
      <c r="C89" s="4" t="str">
        <f>ЛИК_дляСкорингаДП!C89</f>
        <v>ООО "СВЯЗЬ.ОН"</v>
      </c>
      <c r="D89" s="5" t="str">
        <f>ЛИК_дляСкорингаДП!M89</f>
        <v>Торговля розничная телекоммуникационным оборудованием, включая розничную торговлю мобильными телефонами, в специализированных магазинах</v>
      </c>
      <c r="E89" s="4" t="str">
        <f>ЛИК_дляСкорингаДП!L89</f>
        <v>47.42</v>
      </c>
      <c r="F89" t="str">
        <f>ЛИК_дляСкорингаДП!N89</f>
        <v>46.15.4,46.19,46.43,46.43.1,46.43.2,46.43.3,46.43.4,46.49,46.49.49,46.49.5,46.51,46.66,46.90,47.19.2,47.24.2,47.25.2,47.29.35,47.41,47.43,47.54,47.63.1,47.64,47.65,47.78,47.78.1,47.79,47.91,49.41.2,52.10,52.10.9,52.29,53.20.3,56.10.1,56.29,61.10.1,63.11,66.19.61,66.19.62,66.22,70.22,73.11,73.20.1,78.30,82.99,95.21</v>
      </c>
      <c r="G89" s="25" t="str">
        <f>ЛИК_дляСкорингаДП!AG89</f>
        <v>ОСН</v>
      </c>
      <c r="H89" s="55" t="str">
        <f>IF(ISNUMBER(E89),E89,
IFERROR(LEFT(E89,FIND(".",E89)-1),E89))</f>
        <v>47</v>
      </c>
      <c r="I89" s="30">
        <f>IF(COUNTIF(Справочник_ОКВЭД_НР!$A$3:$A$62,H89)&gt;0,Справочник_ОКВЭД_НР!$L$8,
 IF(COUNTIF(Справочник_ОКВЭД_НР!$C$3:$C$62,H89)&gt;0,Справочник_ОКВЭД_НР!$L$9,
  IF(COUNTIF(Справочник_ОКВЭД_НР!$E$3:$E$62,H89)&gt;0,Справочник_ОКВЭД_НР!$L$10,
   IF(COUNTIF(Справочник_ОКВЭД_НР!$G$3:$G$62,H89)&gt;0,Справочник_ОКВЭД_НР!$L$11,50))))</f>
        <v>60</v>
      </c>
      <c r="J89" s="30" cm="1">
        <f t="array" ref="J89">IFERROR(
 (SUMPRODUCT(ISNUMBER(SEARCH(","&amp;Справочник_ОКВЭД_НР!$A$3:$A$62&amp;".",","&amp;SUBSTITUTE(F89," ","")&amp;",")))*Справочник_ОКВЭД_НР!$L$9 +
  SUMPRODUCT(ISNUMBER(SEARCH(","&amp;Справочник_ОКВЭД_НР!$C$3:$C$62&amp;".",","&amp;SUBSTITUTE(F89," ","")&amp;",")))*Справочник_ОКВЭД_НР!$L$10 +
  SUMPRODUCT(ISNUMBER(SEARCH(","&amp;Справочник_ОКВЭД_НР!$E$3:$E$62&amp;".",","&amp;SUBSTITUTE(F89," ","")&amp;",")))*Справочник_ОКВЭД_НР!$L$11 +
  SUMPRODUCT(ISNUMBER(SEARCH(","&amp;Справочник_ОКВЭД_НР!$G$3:$G$62&amp;".",","&amp;SUBSTITUTE(F89," ","")&amp;",")))*Справочник_ОКВЭД_НР!$L$12) /
 (SUMPRODUCT(ISNUMBER(SEARCH(","&amp;Справочник_ОКВЭД_НР!$A$3:$A$62&amp;".",","&amp;SUBSTITUTE(F89," ","")&amp;","))) +
  SUMPRODUCT(ISNUMBER(SEARCH(","&amp;Справочник_ОКВЭД_НР!$C$3:$C$62&amp;".",","&amp;SUBSTITUTE(F89," ","")&amp;","))) +
  SUMPRODUCT(ISNUMBER(SEARCH(","&amp;Справочник_ОКВЭД_НР!$E$3:$E$62&amp;".",","&amp;SUBSTITUTE(F89," ","")&amp;","))) +
  SUMPRODUCT(ISNUMBER(SEARCH(","&amp;Справочник_ОКВЭД_НР!$G$3:$G$62&amp;".",","&amp;SUBSTITUTE(F89," ","")&amp;",")))),
50)</f>
        <v>50</v>
      </c>
      <c r="K89" s="30">
        <f>IFERROR(VLOOKUP(G89,Справочник_ОКВЭД_НР!$O:$P,2,FALSE()),50)</f>
        <v>100</v>
      </c>
      <c r="L89" s="45">
        <f>(I89*Справочник_ОКВЭД_НР!$L$2+J89*Справочник_ОКВЭД_НР!$L$3+K89*Справочник_ОКВЭД_НР!$L$4)*M89</f>
        <v>63.5</v>
      </c>
      <c r="M89" s="47">
        <f>IF(COUNTIF(Справочник_ОКВЭД_НР!$G$3:$G$62,H89)&gt;0,0,1)</f>
        <v>1</v>
      </c>
    </row>
    <row r="90" spans="1:13" x14ac:dyDescent="0.25">
      <c r="A90" s="4">
        <f>ЛИК_дляСкорингаДП!A90</f>
        <v>1137746396633</v>
      </c>
      <c r="B90" s="4">
        <f>ЛИК_дляСкорингаДП!B90</f>
        <v>7709928666</v>
      </c>
      <c r="C90" s="4" t="str">
        <f>ЛИК_дляСкорингаДП!C90</f>
        <v>ООО "ТМК НТЦ"</v>
      </c>
      <c r="D90" s="5" t="str">
        <f>ЛИК_дляСкорингаДП!M90</f>
        <v>Научные исследования и разработки в области естественных и технических наук прочие</v>
      </c>
      <c r="E90" s="4" t="str">
        <f>ЛИК_дляСкорингаДП!L90</f>
        <v>72.19</v>
      </c>
      <c r="F90" t="str">
        <f>ЛИК_дляСкорингаДП!N90</f>
        <v>24.20,24.33,25.50,25.61,25.62,25.99,28.14,28.41,71.12,71.20,73.20,74.90,74.90.6</v>
      </c>
      <c r="G90" s="25" t="str">
        <f>ЛИК_дляСкорингаДП!AG90</f>
        <v>ОСН</v>
      </c>
      <c r="H90" s="55" t="str">
        <f>IF(ISNUMBER(E90),E90,
IFERROR(LEFT(E90,FIND(".",E90)-1),E90))</f>
        <v>72</v>
      </c>
      <c r="I90" s="30">
        <f>IF(COUNTIF(Справочник_ОКВЭД_НР!$A$3:$A$62,H90)&gt;0,Справочник_ОКВЭД_НР!$L$8,
 IF(COUNTIF(Справочник_ОКВЭД_НР!$C$3:$C$62,H90)&gt;0,Справочник_ОКВЭД_НР!$L$9,
  IF(COUNTIF(Справочник_ОКВЭД_НР!$E$3:$E$62,H90)&gt;0,Справочник_ОКВЭД_НР!$L$10,
   IF(COUNTIF(Справочник_ОКВЭД_НР!$G$3:$G$62,H90)&gt;0,Справочник_ОКВЭД_НР!$L$11,50))))</f>
        <v>60</v>
      </c>
      <c r="J90" s="30" cm="1">
        <f t="array" ref="J90">IFERROR(
 (SUMPRODUCT(ISNUMBER(SEARCH(","&amp;Справочник_ОКВЭД_НР!$A$3:$A$62&amp;".",","&amp;SUBSTITUTE(F90," ","")&amp;",")))*Справочник_ОКВЭД_НР!$L$9 +
  SUMPRODUCT(ISNUMBER(SEARCH(","&amp;Справочник_ОКВЭД_НР!$C$3:$C$62&amp;".",","&amp;SUBSTITUTE(F90," ","")&amp;",")))*Справочник_ОКВЭД_НР!$L$10 +
  SUMPRODUCT(ISNUMBER(SEARCH(","&amp;Справочник_ОКВЭД_НР!$E$3:$E$62&amp;".",","&amp;SUBSTITUTE(F90," ","")&amp;",")))*Справочник_ОКВЭД_НР!$L$11 +
  SUMPRODUCT(ISNUMBER(SEARCH(","&amp;Справочник_ОКВЭД_НР!$G$3:$G$62&amp;".",","&amp;SUBSTITUTE(F90," ","")&amp;",")))*Справочник_ОКВЭД_НР!$L$12) /
 (SUMPRODUCT(ISNUMBER(SEARCH(","&amp;Справочник_ОКВЭД_НР!$A$3:$A$62&amp;".",","&amp;SUBSTITUTE(F90," ","")&amp;","))) +
  SUMPRODUCT(ISNUMBER(SEARCH(","&amp;Справочник_ОКВЭД_НР!$C$3:$C$62&amp;".",","&amp;SUBSTITUTE(F90," ","")&amp;","))) +
  SUMPRODUCT(ISNUMBER(SEARCH(","&amp;Справочник_ОКВЭД_НР!$E$3:$E$62&amp;".",","&amp;SUBSTITUTE(F90," ","")&amp;","))) +
  SUMPRODUCT(ISNUMBER(SEARCH(","&amp;Справочник_ОКВЭД_НР!$G$3:$G$62&amp;".",","&amp;SUBSTITUTE(F90," ","")&amp;",")))),
50)</f>
        <v>50</v>
      </c>
      <c r="K90" s="30">
        <f>IFERROR(VLOOKUP(G90,Справочник_ОКВЭД_НР!$O:$P,2,FALSE()),50)</f>
        <v>100</v>
      </c>
      <c r="L90" s="45">
        <f>(I90*Справочник_ОКВЭД_НР!$L$2+J90*Справочник_ОКВЭД_НР!$L$3+K90*Справочник_ОКВЭД_НР!$L$4)*M90</f>
        <v>63.5</v>
      </c>
      <c r="M90" s="47">
        <f>IF(COUNTIF(Справочник_ОКВЭД_НР!$G$3:$G$62,H90)&gt;0,0,1)</f>
        <v>1</v>
      </c>
    </row>
    <row r="91" spans="1:13" x14ac:dyDescent="0.25">
      <c r="A91" s="4">
        <f>ЛИК_дляСкорингаДП!A91</f>
        <v>1221600079205</v>
      </c>
      <c r="B91" s="4">
        <f>ЛИК_дляСкорингаДП!B91</f>
        <v>9705179378</v>
      </c>
      <c r="C91" s="4" t="str">
        <f>ЛИК_дляСкорингаДП!C91</f>
        <v>АО "МСП ЛИЗИНГ"</v>
      </c>
      <c r="D91" s="5" t="str">
        <f>ЛИК_дляСкорингаДП!M91</f>
        <v>Деятельность по финансовой аренде (лизингу/сублизингу) в прочих областях, кроме племенных животных</v>
      </c>
      <c r="E91" s="4" t="str">
        <f>ЛИК_дляСкорингаДП!L91</f>
        <v>64.91.2</v>
      </c>
      <c r="F91" t="str">
        <f>ЛИК_дляСкорингаДП!N91</f>
        <v>64.91,64.99,77.12,77.31,77.32,77.33,77.39</v>
      </c>
      <c r="G91" s="25" t="str">
        <f>ЛИК_дляСкорингаДП!AG91</f>
        <v>ОСН</v>
      </c>
      <c r="H91" s="55" t="str">
        <f>IF(ISNUMBER(E91),E91,
IFERROR(LEFT(E91,FIND(".",E91)-1),E91))</f>
        <v>64</v>
      </c>
      <c r="I91" s="30">
        <f>IF(COUNTIF(Справочник_ОКВЭД_НР!$A$3:$A$62,H91)&gt;0,Справочник_ОКВЭД_НР!$L$8,
 IF(COUNTIF(Справочник_ОКВЭД_НР!$C$3:$C$62,H91)&gt;0,Справочник_ОКВЭД_НР!$L$9,
  IF(COUNTIF(Справочник_ОКВЭД_НР!$E$3:$E$62,H91)&gt;0,Справочник_ОКВЭД_НР!$L$10,
   IF(COUNTIF(Справочник_ОКВЭД_НР!$G$3:$G$62,H91)&gt;0,Справочник_ОКВЭД_НР!$L$11,50))))</f>
        <v>60</v>
      </c>
      <c r="J91" s="30" cm="1">
        <f t="array" ref="J91">IFERROR(
 (SUMPRODUCT(ISNUMBER(SEARCH(","&amp;Справочник_ОКВЭД_НР!$A$3:$A$62&amp;".",","&amp;SUBSTITUTE(F91," ","")&amp;",")))*Справочник_ОКВЭД_НР!$L$9 +
  SUMPRODUCT(ISNUMBER(SEARCH(","&amp;Справочник_ОКВЭД_НР!$C$3:$C$62&amp;".",","&amp;SUBSTITUTE(F91," ","")&amp;",")))*Справочник_ОКВЭД_НР!$L$10 +
  SUMPRODUCT(ISNUMBER(SEARCH(","&amp;Справочник_ОКВЭД_НР!$E$3:$E$62&amp;".",","&amp;SUBSTITUTE(F91," ","")&amp;",")))*Справочник_ОКВЭД_НР!$L$11 +
  SUMPRODUCT(ISNUMBER(SEARCH(","&amp;Справочник_ОКВЭД_НР!$G$3:$G$62&amp;".",","&amp;SUBSTITUTE(F91," ","")&amp;",")))*Справочник_ОКВЭД_НР!$L$12) /
 (SUMPRODUCT(ISNUMBER(SEARCH(","&amp;Справочник_ОКВЭД_НР!$A$3:$A$62&amp;".",","&amp;SUBSTITUTE(F91," ","")&amp;","))) +
  SUMPRODUCT(ISNUMBER(SEARCH(","&amp;Справочник_ОКВЭД_НР!$C$3:$C$62&amp;".",","&amp;SUBSTITUTE(F91," ","")&amp;","))) +
  SUMPRODUCT(ISNUMBER(SEARCH(","&amp;Справочник_ОКВЭД_НР!$E$3:$E$62&amp;".",","&amp;SUBSTITUTE(F91," ","")&amp;","))) +
  SUMPRODUCT(ISNUMBER(SEARCH(","&amp;Справочник_ОКВЭД_НР!$G$3:$G$62&amp;".",","&amp;SUBSTITUTE(F91," ","")&amp;",")))),
50)</f>
        <v>50</v>
      </c>
      <c r="K91" s="30">
        <f>IFERROR(VLOOKUP(G91,Справочник_ОКВЭД_НР!$O:$P,2,FALSE()),50)</f>
        <v>100</v>
      </c>
      <c r="L91" s="45">
        <f>(I91*Справочник_ОКВЭД_НР!$L$2+J91*Справочник_ОКВЭД_НР!$L$3+K91*Справочник_ОКВЭД_НР!$L$4)*M91</f>
        <v>63.5</v>
      </c>
      <c r="M91" s="47">
        <f>IF(COUNTIF(Справочник_ОКВЭД_НР!$G$3:$G$62,H91)&gt;0,0,1)</f>
        <v>1</v>
      </c>
    </row>
    <row r="92" spans="1:13" x14ac:dyDescent="0.25">
      <c r="A92" s="4">
        <f>ЛИК_дляСкорингаДП!A92</f>
        <v>1195081029857</v>
      </c>
      <c r="B92" s="4">
        <f>ЛИК_дляСкорингаДП!B92</f>
        <v>5012099794</v>
      </c>
      <c r="C92" s="4" t="str">
        <f>ЛИК_дляСкорингаДП!C92</f>
        <v>ООО "КОНФИТЮР"</v>
      </c>
      <c r="D92" s="5" t="str">
        <f>ЛИК_дляСкорингаДП!M92</f>
        <v>Аренда и управление собственным или арендованным нежилым недвижимым имуществом</v>
      </c>
      <c r="E92" s="4" t="str">
        <f>ЛИК_дляСкорингаДП!L92</f>
        <v>68.20.2</v>
      </c>
      <c r="F92" t="str">
        <f>ЛИК_дляСкорингаДП!N92</f>
        <v>68.10,68.10.1,68.31,68.32</v>
      </c>
      <c r="G92" s="25" t="str">
        <f>ЛИК_дляСкорингаДП!AG92</f>
        <v>ОСН</v>
      </c>
      <c r="H92" s="55" t="str">
        <f>IF(ISNUMBER(E92),E92,
IFERROR(LEFT(E92,FIND(".",E92)-1),E92))</f>
        <v>68</v>
      </c>
      <c r="I92" s="30">
        <f>IF(COUNTIF(Справочник_ОКВЭД_НР!$A$3:$A$62,H92)&gt;0,Справочник_ОКВЭД_НР!$L$8,
 IF(COUNTIF(Справочник_ОКВЭД_НР!$C$3:$C$62,H92)&gt;0,Справочник_ОКВЭД_НР!$L$9,
  IF(COUNTIF(Справочник_ОКВЭД_НР!$E$3:$E$62,H92)&gt;0,Справочник_ОКВЭД_НР!$L$10,
   IF(COUNTIF(Справочник_ОКВЭД_НР!$G$3:$G$62,H92)&gt;0,Справочник_ОКВЭД_НР!$L$11,50))))</f>
        <v>100</v>
      </c>
      <c r="J92" s="30" cm="1">
        <f t="array" ref="J92">IFERROR(
 (SUMPRODUCT(ISNUMBER(SEARCH(","&amp;Справочник_ОКВЭД_НР!$A$3:$A$62&amp;".",","&amp;SUBSTITUTE(F92," ","")&amp;",")))*Справочник_ОКВЭД_НР!$L$9 +
  SUMPRODUCT(ISNUMBER(SEARCH(","&amp;Справочник_ОКВЭД_НР!$C$3:$C$62&amp;".",","&amp;SUBSTITUTE(F92," ","")&amp;",")))*Справочник_ОКВЭД_НР!$L$10 +
  SUMPRODUCT(ISNUMBER(SEARCH(","&amp;Справочник_ОКВЭД_НР!$E$3:$E$62&amp;".",","&amp;SUBSTITUTE(F92," ","")&amp;",")))*Справочник_ОКВЭД_НР!$L$11 +
  SUMPRODUCT(ISNUMBER(SEARCH(","&amp;Справочник_ОКВЭД_НР!$G$3:$G$62&amp;".",","&amp;SUBSTITUTE(F92," ","")&amp;",")))*Справочник_ОКВЭД_НР!$L$12) /
 (SUMPRODUCT(ISNUMBER(SEARCH(","&amp;Справочник_ОКВЭД_НР!$A$3:$A$62&amp;".",","&amp;SUBSTITUTE(F92," ","")&amp;","))) +
  SUMPRODUCT(ISNUMBER(SEARCH(","&amp;Справочник_ОКВЭД_НР!$C$3:$C$62&amp;".",","&amp;SUBSTITUTE(F92," ","")&amp;","))) +
  SUMPRODUCT(ISNUMBER(SEARCH(","&amp;Справочник_ОКВЭД_НР!$E$3:$E$62&amp;".",","&amp;SUBSTITUTE(F92," ","")&amp;","))) +
  SUMPRODUCT(ISNUMBER(SEARCH(","&amp;Справочник_ОКВЭД_НР!$G$3:$G$62&amp;".",","&amp;SUBSTITUTE(F92," ","")&amp;",")))),
50)</f>
        <v>50</v>
      </c>
      <c r="K92" s="30">
        <f>IFERROR(VLOOKUP(G92,Справочник_ОКВЭД_НР!$O:$P,2,FALSE()),50)</f>
        <v>100</v>
      </c>
      <c r="L92" s="45">
        <f>(I92*Справочник_ОКВЭД_НР!$L$2+J92*Справочник_ОКВЭД_НР!$L$3+K92*Справочник_ОКВЭД_НР!$L$4)*M92</f>
        <v>87.5</v>
      </c>
      <c r="M92" s="47">
        <f>IF(COUNTIF(Справочник_ОКВЭД_НР!$G$3:$G$62,H92)&gt;0,0,1)</f>
        <v>1</v>
      </c>
    </row>
    <row r="93" spans="1:13" x14ac:dyDescent="0.25">
      <c r="A93" s="4">
        <f>ЛИК_дляСкорингаДП!A93</f>
        <v>1130280039922</v>
      </c>
      <c r="B93" s="4">
        <f>ЛИК_дляСкорингаДП!B93</f>
        <v>223005179</v>
      </c>
      <c r="C93" s="4" t="str">
        <f>ЛИК_дляСкорингаДП!C93</f>
        <v>ООО "ХЕВЕЛ ЭНЕРГОСЕРВИС"</v>
      </c>
      <c r="D93" s="5" t="str">
        <f>ЛИК_дляСкорингаДП!M93</f>
        <v>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</v>
      </c>
      <c r="E93" s="4" t="str">
        <f>ЛИК_дляСкорингаДП!L93</f>
        <v>35.11.4</v>
      </c>
      <c r="F93" t="str">
        <f>ЛИК_дляСкорингаДП!N93</f>
        <v>46.69.2,28.1,28.2,33.14,33.14,33.20,35.11,35.11,35.11.1,35.11.4,35.12,35.12,35.13,35.14,41.2,43.11,43.12,43.12.3,43.2,43.3,43.99,46.1,46.4,46.6,46.7,47.5,62.02,62.09,64.9,66.1,68.1,68.2,68.20.29,68.3,69,71.20.9,74.20,74.30,77.39,82.92</v>
      </c>
      <c r="G93" s="25" t="str">
        <f>ЛИК_дляСкорингаДП!AG93</f>
        <v>ОСН</v>
      </c>
      <c r="H93" s="55" t="str">
        <f>IF(ISNUMBER(E93),E93,
IFERROR(LEFT(E93,FIND(".",E93)-1),E93))</f>
        <v>35</v>
      </c>
      <c r="I93" s="30">
        <f>IF(COUNTIF(Справочник_ОКВЭД_НР!$A$3:$A$62,H93)&gt;0,Справочник_ОКВЭД_НР!$L$8,
 IF(COUNTIF(Справочник_ОКВЭД_НР!$C$3:$C$62,H93)&gt;0,Справочник_ОКВЭД_НР!$L$9,
  IF(COUNTIF(Справочник_ОКВЭД_НР!$E$3:$E$62,H93)&gt;0,Справочник_ОКВЭД_НР!$L$10,
   IF(COUNTIF(Справочник_ОКВЭД_НР!$G$3:$G$62,H93)&gt;0,Справочник_ОКВЭД_НР!$L$11,50))))</f>
        <v>60</v>
      </c>
      <c r="J93" s="30" cm="1">
        <f t="array" ref="J93">IFERROR(
 (SUMPRODUCT(ISNUMBER(SEARCH(","&amp;Справочник_ОКВЭД_НР!$A$3:$A$62&amp;".",","&amp;SUBSTITUTE(F93," ","")&amp;",")))*Справочник_ОКВЭД_НР!$L$9 +
  SUMPRODUCT(ISNUMBER(SEARCH(","&amp;Справочник_ОКВЭД_НР!$C$3:$C$62&amp;".",","&amp;SUBSTITUTE(F93," ","")&amp;",")))*Справочник_ОКВЭД_НР!$L$10 +
  SUMPRODUCT(ISNUMBER(SEARCH(","&amp;Справочник_ОКВЭД_НР!$E$3:$E$62&amp;".",","&amp;SUBSTITUTE(F93," ","")&amp;",")))*Справочник_ОКВЭД_НР!$L$11 +
  SUMPRODUCT(ISNUMBER(SEARCH(","&amp;Справочник_ОКВЭД_НР!$G$3:$G$62&amp;".",","&amp;SUBSTITUTE(F93," ","")&amp;",")))*Справочник_ОКВЭД_НР!$L$12) /
 (SUMPRODUCT(ISNUMBER(SEARCH(","&amp;Справочник_ОКВЭД_НР!$A$3:$A$62&amp;".",","&amp;SUBSTITUTE(F93," ","")&amp;","))) +
  SUMPRODUCT(ISNUMBER(SEARCH(","&amp;Справочник_ОКВЭД_НР!$C$3:$C$62&amp;".",","&amp;SUBSTITUTE(F93," ","")&amp;","))) +
  SUMPRODUCT(ISNUMBER(SEARCH(","&amp;Справочник_ОКВЭД_НР!$E$3:$E$62&amp;".",","&amp;SUBSTITUTE(F93," ","")&amp;","))) +
  SUMPRODUCT(ISNUMBER(SEARCH(","&amp;Справочник_ОКВЭД_НР!$G$3:$G$62&amp;".",","&amp;SUBSTITUTE(F93," ","")&amp;",")))),
50)</f>
        <v>50</v>
      </c>
      <c r="K93" s="30">
        <f>IFERROR(VLOOKUP(G93,Справочник_ОКВЭД_НР!$O:$P,2,FALSE()),50)</f>
        <v>100</v>
      </c>
      <c r="L93" s="45">
        <f>(I93*Справочник_ОКВЭД_НР!$L$2+J93*Справочник_ОКВЭД_НР!$L$3+K93*Справочник_ОКВЭД_НР!$L$4)*M93</f>
        <v>63.5</v>
      </c>
      <c r="M93" s="47">
        <f>IF(COUNTIF(Справочник_ОКВЭД_НР!$G$3:$G$62,H93)&gt;0,0,1)</f>
        <v>1</v>
      </c>
    </row>
    <row r="94" spans="1:13" x14ac:dyDescent="0.25">
      <c r="A94" s="4">
        <f>ЛИК_дляСкорингаДП!A94</f>
        <v>1155020002059</v>
      </c>
      <c r="B94" s="4">
        <f>ЛИК_дляСкорингаДП!B94</f>
        <v>5020079505</v>
      </c>
      <c r="C94" s="4" t="str">
        <f>ЛИК_дляСкорингаДП!C94</f>
        <v>МУП "КЛИНТЕПЛОСЕТЬ"</v>
      </c>
      <c r="D94" s="5" t="str">
        <f>ЛИК_дляСкорингаДП!M94</f>
        <v>Производство пара и горячей воды (тепловой энергии) тепловыми электростанциями</v>
      </c>
      <c r="E94" s="4" t="str">
        <f>ЛИК_дляСкорингаДП!L94</f>
        <v>35.30.11</v>
      </c>
      <c r="F94" t="str">
        <f>ЛИК_дляСкорингаДП!N94</f>
        <v>33.12,33.12,33.14,33.20,35.11.1,35.14,35.14,35.30,35.30.11,35.30.14,35.30.3,35.30.4,35.30.5,36.00.2,41.20,42.21,42.22.2,43.21,43.22,43.29,43.99.1,52.21.24,68.20.29,68.32.1,81.29.9</v>
      </c>
      <c r="G94" s="25" t="str">
        <f>ЛИК_дляСкорингаДП!AG94</f>
        <v>ОСН</v>
      </c>
      <c r="H94" s="55" t="str">
        <f>IF(ISNUMBER(E94),E94,
IFERROR(LEFT(E94,FIND(".",E94)-1),E94))</f>
        <v>35</v>
      </c>
      <c r="I94" s="30">
        <f>IF(COUNTIF(Справочник_ОКВЭД_НР!$A$3:$A$62,H94)&gt;0,Справочник_ОКВЭД_НР!$L$8,
 IF(COUNTIF(Справочник_ОКВЭД_НР!$C$3:$C$62,H94)&gt;0,Справочник_ОКВЭД_НР!$L$9,
  IF(COUNTIF(Справочник_ОКВЭД_НР!$E$3:$E$62,H94)&gt;0,Справочник_ОКВЭД_НР!$L$10,
   IF(COUNTIF(Справочник_ОКВЭД_НР!$G$3:$G$62,H94)&gt;0,Справочник_ОКВЭД_НР!$L$11,50))))</f>
        <v>60</v>
      </c>
      <c r="J94" s="30" cm="1">
        <f t="array" ref="J94">IFERROR(
 (SUMPRODUCT(ISNUMBER(SEARCH(","&amp;Справочник_ОКВЭД_НР!$A$3:$A$62&amp;".",","&amp;SUBSTITUTE(F94," ","")&amp;",")))*Справочник_ОКВЭД_НР!$L$9 +
  SUMPRODUCT(ISNUMBER(SEARCH(","&amp;Справочник_ОКВЭД_НР!$C$3:$C$62&amp;".",","&amp;SUBSTITUTE(F94," ","")&amp;",")))*Справочник_ОКВЭД_НР!$L$10 +
  SUMPRODUCT(ISNUMBER(SEARCH(","&amp;Справочник_ОКВЭД_НР!$E$3:$E$62&amp;".",","&amp;SUBSTITUTE(F94," ","")&amp;",")))*Справочник_ОКВЭД_НР!$L$11 +
  SUMPRODUCT(ISNUMBER(SEARCH(","&amp;Справочник_ОКВЭД_НР!$G$3:$G$62&amp;".",","&amp;SUBSTITUTE(F94," ","")&amp;",")))*Справочник_ОКВЭД_НР!$L$12) /
 (SUMPRODUCT(ISNUMBER(SEARCH(","&amp;Справочник_ОКВЭД_НР!$A$3:$A$62&amp;".",","&amp;SUBSTITUTE(F94," ","")&amp;","))) +
  SUMPRODUCT(ISNUMBER(SEARCH(","&amp;Справочник_ОКВЭД_НР!$C$3:$C$62&amp;".",","&amp;SUBSTITUTE(F94," ","")&amp;","))) +
  SUMPRODUCT(ISNUMBER(SEARCH(","&amp;Справочник_ОКВЭД_НР!$E$3:$E$62&amp;".",","&amp;SUBSTITUTE(F94," ","")&amp;","))) +
  SUMPRODUCT(ISNUMBER(SEARCH(","&amp;Справочник_ОКВЭД_НР!$G$3:$G$62&amp;".",","&amp;SUBSTITUTE(F94," ","")&amp;",")))),
50)</f>
        <v>50</v>
      </c>
      <c r="K94" s="30">
        <f>IFERROR(VLOOKUP(G94,Справочник_ОКВЭД_НР!$O:$P,2,FALSE()),50)</f>
        <v>100</v>
      </c>
      <c r="L94" s="45">
        <f>(I94*Справочник_ОКВЭД_НР!$L$2+J94*Справочник_ОКВЭД_НР!$L$3+K94*Справочник_ОКВЭД_НР!$L$4)*M94</f>
        <v>63.5</v>
      </c>
      <c r="M94" s="47">
        <f>IF(COUNTIF(Справочник_ОКВЭД_НР!$G$3:$G$62,H94)&gt;0,0,1)</f>
        <v>1</v>
      </c>
    </row>
    <row r="95" spans="1:13" x14ac:dyDescent="0.25">
      <c r="A95" s="4">
        <f>ЛИК_дляСкорингаДП!A95</f>
        <v>1067760772419</v>
      </c>
      <c r="B95" s="4">
        <f>ЛИК_дляСкорингаДП!B95</f>
        <v>7708621985</v>
      </c>
      <c r="C95" s="4" t="str">
        <f>ЛИК_дляСкорингаДП!C95</f>
        <v>АО "ГК "ИНФОРМТЕХНИКА"</v>
      </c>
      <c r="D95" s="5" t="str">
        <f>ЛИК_дляСкорингаДП!M95</f>
        <v>Деятельность по управлению ценными бумагами</v>
      </c>
      <c r="E95" s="4" t="str">
        <f>ЛИК_дляСкорингаДП!L95</f>
        <v>66.12.2</v>
      </c>
      <c r="F95" t="str">
        <f>ЛИК_дляСкорингаДП!N95</f>
        <v>41.20,42.21,42.22.2,62.02,64.99.11,64.99.12,66.19,68.10.12,68.10.23,68.20.2,70.22,73.11,77.33,77.33.1</v>
      </c>
      <c r="G95" s="25" t="str">
        <f>ЛИК_дляСкорингаДП!AG95</f>
        <v>ОСН</v>
      </c>
      <c r="H95" s="55" t="str">
        <f>IF(ISNUMBER(E95),E95,
IFERROR(LEFT(E95,FIND(".",E95)-1),E95))</f>
        <v>66</v>
      </c>
      <c r="I95" s="30">
        <f>IF(COUNTIF(Справочник_ОКВЭД_НР!$A$3:$A$62,H95)&gt;0,Справочник_ОКВЭД_НР!$L$8,
 IF(COUNTIF(Справочник_ОКВЭД_НР!$C$3:$C$62,H95)&gt;0,Справочник_ОКВЭД_НР!$L$9,
  IF(COUNTIF(Справочник_ОКВЭД_НР!$E$3:$E$62,H95)&gt;0,Справочник_ОКВЭД_НР!$L$10,
   IF(COUNTIF(Справочник_ОКВЭД_НР!$G$3:$G$62,H95)&gt;0,Справочник_ОКВЭД_НР!$L$11,50))))</f>
        <v>60</v>
      </c>
      <c r="J95" s="30" cm="1">
        <f t="array" ref="J95">IFERROR(
 (SUMPRODUCT(ISNUMBER(SEARCH(","&amp;Справочник_ОКВЭД_НР!$A$3:$A$62&amp;".",","&amp;SUBSTITUTE(F95," ","")&amp;",")))*Справочник_ОКВЭД_НР!$L$9 +
  SUMPRODUCT(ISNUMBER(SEARCH(","&amp;Справочник_ОКВЭД_НР!$C$3:$C$62&amp;".",","&amp;SUBSTITUTE(F95," ","")&amp;",")))*Справочник_ОКВЭД_НР!$L$10 +
  SUMPRODUCT(ISNUMBER(SEARCH(","&amp;Справочник_ОКВЭД_НР!$E$3:$E$62&amp;".",","&amp;SUBSTITUTE(F95," ","")&amp;",")))*Справочник_ОКВЭД_НР!$L$11 +
  SUMPRODUCT(ISNUMBER(SEARCH(","&amp;Справочник_ОКВЭД_НР!$G$3:$G$62&amp;".",","&amp;SUBSTITUTE(F95," ","")&amp;",")))*Справочник_ОКВЭД_НР!$L$12) /
 (SUMPRODUCT(ISNUMBER(SEARCH(","&amp;Справочник_ОКВЭД_НР!$A$3:$A$62&amp;".",","&amp;SUBSTITUTE(F95," ","")&amp;","))) +
  SUMPRODUCT(ISNUMBER(SEARCH(","&amp;Справочник_ОКВЭД_НР!$C$3:$C$62&amp;".",","&amp;SUBSTITUTE(F95," ","")&amp;","))) +
  SUMPRODUCT(ISNUMBER(SEARCH(","&amp;Справочник_ОКВЭД_НР!$E$3:$E$62&amp;".",","&amp;SUBSTITUTE(F95," ","")&amp;","))) +
  SUMPRODUCT(ISNUMBER(SEARCH(","&amp;Справочник_ОКВЭД_НР!$G$3:$G$62&amp;".",","&amp;SUBSTITUTE(F95," ","")&amp;",")))),
50)</f>
        <v>50</v>
      </c>
      <c r="K95" s="30">
        <f>IFERROR(VLOOKUP(G95,Справочник_ОКВЭД_НР!$O:$P,2,FALSE()),50)</f>
        <v>100</v>
      </c>
      <c r="L95" s="45">
        <f>(I95*Справочник_ОКВЭД_НР!$L$2+J95*Справочник_ОКВЭД_НР!$L$3+K95*Справочник_ОКВЭД_НР!$L$4)*M95</f>
        <v>63.5</v>
      </c>
      <c r="M95" s="47">
        <f>IF(COUNTIF(Справочник_ОКВЭД_НР!$G$3:$G$62,H95)&gt;0,0,1)</f>
        <v>1</v>
      </c>
    </row>
    <row r="96" spans="1:13" x14ac:dyDescent="0.25">
      <c r="A96" s="4">
        <f>ЛИК_дляСкорингаДП!A96</f>
        <v>1045001302367</v>
      </c>
      <c r="B96" s="4">
        <f>ЛИК_дляСкорингаДП!B96</f>
        <v>5005038631</v>
      </c>
      <c r="C96" s="4" t="str">
        <f>ЛИК_дляСкорингаДП!C96</f>
        <v>ГУП МО "БЕЛООЗЕРСКОЕ ЖКХ"</v>
      </c>
      <c r="D96" s="5" t="str">
        <f>ЛИК_дляСкорингаДП!M96</f>
        <v>Забор и очистка воды для питьевых и промышленных нужд</v>
      </c>
      <c r="E96" s="4" t="str">
        <f>ЛИК_дляСкорингаДП!L96</f>
        <v>36.00.1</v>
      </c>
      <c r="F96" t="str">
        <f>ЛИК_дляСкорингаДП!N96</f>
        <v>37.00,49.41.3,68.32.1,33.14,36.00,36.00.1,36.00.2,37.00,38.11,42.21,43.12.3,43.21,43.22,43.29,43.31,43.32,43.91,43.99,43.99.1,43.99.5,45.20,49.4,49.41,61.10,81.22</v>
      </c>
      <c r="G96" s="25" t="str">
        <f>ЛИК_дляСкорингаДП!AG96</f>
        <v>ОСН</v>
      </c>
      <c r="H96" s="55" t="str">
        <f>IF(ISNUMBER(E96),E96,
IFERROR(LEFT(E96,FIND(".",E96)-1),E96))</f>
        <v>36</v>
      </c>
      <c r="I96" s="30">
        <f>IF(COUNTIF(Справочник_ОКВЭД_НР!$A$3:$A$62,H96)&gt;0,Справочник_ОКВЭД_НР!$L$8,
 IF(COUNTIF(Справочник_ОКВЭД_НР!$C$3:$C$62,H96)&gt;0,Справочник_ОКВЭД_НР!$L$9,
  IF(COUNTIF(Справочник_ОКВЭД_НР!$E$3:$E$62,H96)&gt;0,Справочник_ОКВЭД_НР!$L$10,
   IF(COUNTIF(Справочник_ОКВЭД_НР!$G$3:$G$62,H96)&gt;0,Справочник_ОКВЭД_НР!$L$11,50))))</f>
        <v>30</v>
      </c>
      <c r="J96" s="30" cm="1">
        <f t="array" ref="J96">IFERROR(
 (SUMPRODUCT(ISNUMBER(SEARCH(","&amp;Справочник_ОКВЭД_НР!$A$3:$A$62&amp;".",","&amp;SUBSTITUTE(F96," ","")&amp;",")))*Справочник_ОКВЭД_НР!$L$9 +
  SUMPRODUCT(ISNUMBER(SEARCH(","&amp;Справочник_ОКВЭД_НР!$C$3:$C$62&amp;".",","&amp;SUBSTITUTE(F96," ","")&amp;",")))*Справочник_ОКВЭД_НР!$L$10 +
  SUMPRODUCT(ISNUMBER(SEARCH(","&amp;Справочник_ОКВЭД_НР!$E$3:$E$62&amp;".",","&amp;SUBSTITUTE(F96," ","")&amp;",")))*Справочник_ОКВЭД_НР!$L$11 +
  SUMPRODUCT(ISNUMBER(SEARCH(","&amp;Справочник_ОКВЭД_НР!$G$3:$G$62&amp;".",","&amp;SUBSTITUTE(F96," ","")&amp;",")))*Справочник_ОКВЭД_НР!$L$12) /
 (SUMPRODUCT(ISNUMBER(SEARCH(","&amp;Справочник_ОКВЭД_НР!$A$3:$A$62&amp;".",","&amp;SUBSTITUTE(F96," ","")&amp;","))) +
  SUMPRODUCT(ISNUMBER(SEARCH(","&amp;Справочник_ОКВЭД_НР!$C$3:$C$62&amp;".",","&amp;SUBSTITUTE(F96," ","")&amp;","))) +
  SUMPRODUCT(ISNUMBER(SEARCH(","&amp;Справочник_ОКВЭД_НР!$E$3:$E$62&amp;".",","&amp;SUBSTITUTE(F96," ","")&amp;","))) +
  SUMPRODUCT(ISNUMBER(SEARCH(","&amp;Справочник_ОКВЭД_НР!$G$3:$G$62&amp;".",","&amp;SUBSTITUTE(F96," ","")&amp;",")))),
50)</f>
        <v>50</v>
      </c>
      <c r="K96" s="30">
        <f>IFERROR(VLOOKUP(G96,Справочник_ОКВЭД_НР!$O:$P,2,FALSE()),50)</f>
        <v>100</v>
      </c>
      <c r="L96" s="45">
        <f>(I96*Справочник_ОКВЭД_НР!$L$2+J96*Справочник_ОКВЭД_НР!$L$3+K96*Справочник_ОКВЭД_НР!$L$4)*M96</f>
        <v>45.5</v>
      </c>
      <c r="M96" s="47">
        <f>IF(COUNTIF(Справочник_ОКВЭД_НР!$G$3:$G$62,H96)&gt;0,0,1)</f>
        <v>1</v>
      </c>
    </row>
    <row r="97" spans="1:13" x14ac:dyDescent="0.25">
      <c r="A97" s="4">
        <f>ЛИК_дляСкорингаДП!A97</f>
        <v>1155032010825</v>
      </c>
      <c r="B97" s="4">
        <f>ЛИК_дляСкорингаДП!B97</f>
        <v>5032217904</v>
      </c>
      <c r="C97" s="4" t="str">
        <f>ЛИК_дляСкорингаДП!C97</f>
        <v>ООО "БАЗИС-МОСКВА"</v>
      </c>
      <c r="D97" s="5" t="str">
        <f>ЛИК_дляСкорингаДП!M97</f>
        <v>Торговля оптовая молочными продуктами, яйцами и пищевыми маслами и жирами</v>
      </c>
      <c r="E97" s="4" t="str">
        <f>ЛИК_дляСкорингаДП!L97</f>
        <v>46.33</v>
      </c>
      <c r="F97" t="str">
        <f>ЛИК_дляСкорингаДП!N97</f>
        <v>10.42,10.51,10.51.1,10.51.3,10.51.9,10.89,10.89.1,10.89.5,10.89.6,10.89.7,10.89.8,10.89.9,46.21,46.21.11,46.21.12,46.21.13,46.21.19,46.33.1,46.33.3,46.38,46.38.29,46.39,47.11,47.19,47.29,47.29.11,47.29.2,47.29.39,47.8,47.9,49.4,49.41.1,49.41.2,49.41.3,52.10,52.21,52.21.2,64.91,64.99,68.20,68.20.2,77.11,77.31,77.32,77.33,77.33.1,77.39.1,77.39.11,77.39.2,77.39.23,82.99</v>
      </c>
      <c r="G97" s="25" t="str">
        <f>ЛИК_дляСкорингаДП!AG97</f>
        <v>ОСН</v>
      </c>
      <c r="H97" s="55" t="str">
        <f>IF(ISNUMBER(E97),E97,
IFERROR(LEFT(E97,FIND(".",E97)-1),E97))</f>
        <v>46</v>
      </c>
      <c r="I97" s="30">
        <f>IF(COUNTIF(Справочник_ОКВЭД_НР!$A$3:$A$62,H97)&gt;0,Справочник_ОКВЭД_НР!$L$8,
 IF(COUNTIF(Справочник_ОКВЭД_НР!$C$3:$C$62,H97)&gt;0,Справочник_ОКВЭД_НР!$L$9,
  IF(COUNTIF(Справочник_ОКВЭД_НР!$E$3:$E$62,H97)&gt;0,Справочник_ОКВЭД_НР!$L$10,
   IF(COUNTIF(Справочник_ОКВЭД_НР!$G$3:$G$62,H97)&gt;0,Справочник_ОКВЭД_НР!$L$11,50))))</f>
        <v>60</v>
      </c>
      <c r="J97" s="30" cm="1">
        <f t="array" ref="J97">IFERROR(
 (SUMPRODUCT(ISNUMBER(SEARCH(","&amp;Справочник_ОКВЭД_НР!$A$3:$A$62&amp;".",","&amp;SUBSTITUTE(F97," ","")&amp;",")))*Справочник_ОКВЭД_НР!$L$9 +
  SUMPRODUCT(ISNUMBER(SEARCH(","&amp;Справочник_ОКВЭД_НР!$C$3:$C$62&amp;".",","&amp;SUBSTITUTE(F97," ","")&amp;",")))*Справочник_ОКВЭД_НР!$L$10 +
  SUMPRODUCT(ISNUMBER(SEARCH(","&amp;Справочник_ОКВЭД_НР!$E$3:$E$62&amp;".",","&amp;SUBSTITUTE(F97," ","")&amp;",")))*Справочник_ОКВЭД_НР!$L$11 +
  SUMPRODUCT(ISNUMBER(SEARCH(","&amp;Справочник_ОКВЭД_НР!$G$3:$G$62&amp;".",","&amp;SUBSTITUTE(F97," ","")&amp;",")))*Справочник_ОКВЭД_НР!$L$12) /
 (SUMPRODUCT(ISNUMBER(SEARCH(","&amp;Справочник_ОКВЭД_НР!$A$3:$A$62&amp;".",","&amp;SUBSTITUTE(F97," ","")&amp;","))) +
  SUMPRODUCT(ISNUMBER(SEARCH(","&amp;Справочник_ОКВЭД_НР!$C$3:$C$62&amp;".",","&amp;SUBSTITUTE(F97," ","")&amp;","))) +
  SUMPRODUCT(ISNUMBER(SEARCH(","&amp;Справочник_ОКВЭД_НР!$E$3:$E$62&amp;".",","&amp;SUBSTITUTE(F97," ","")&amp;","))) +
  SUMPRODUCT(ISNUMBER(SEARCH(","&amp;Справочник_ОКВЭД_НР!$G$3:$G$62&amp;".",","&amp;SUBSTITUTE(F97," ","")&amp;",")))),
50)</f>
        <v>50</v>
      </c>
      <c r="K97" s="30">
        <f>IFERROR(VLOOKUP(G97,Справочник_ОКВЭД_НР!$O:$P,2,FALSE()),50)</f>
        <v>100</v>
      </c>
      <c r="L97" s="45">
        <f>(I97*Справочник_ОКВЭД_НР!$L$2+J97*Справочник_ОКВЭД_НР!$L$3+K97*Справочник_ОКВЭД_НР!$L$4)*M97</f>
        <v>63.5</v>
      </c>
      <c r="M97" s="47">
        <f>IF(COUNTIF(Справочник_ОКВЭД_НР!$G$3:$G$62,H97)&gt;0,0,1)</f>
        <v>1</v>
      </c>
    </row>
    <row r="98" spans="1:13" x14ac:dyDescent="0.25">
      <c r="A98" s="4">
        <f>ЛИК_дляСкорингаДП!A98</f>
        <v>1045011805244</v>
      </c>
      <c r="B98" s="4">
        <f>ЛИК_дляСкорингаДП!B98</f>
        <v>5039008071</v>
      </c>
      <c r="C98" s="4" t="str">
        <f>ЛИК_дляСкорингаДП!C98</f>
        <v>МУП "ТВК Г. ПУЩИНО"</v>
      </c>
      <c r="D98" s="5" t="str">
        <f>ЛИК_дляСкорингаДП!M98</f>
        <v>Распределение пара и горячей воды (тепловой энергии)</v>
      </c>
      <c r="E98" s="4" t="str">
        <f>ЛИК_дляСкорингаДП!L98</f>
        <v>35.30.3</v>
      </c>
      <c r="F98" t="str">
        <f>ЛИК_дляСкорингаДП!N98</f>
        <v>35.30.5,36.00.2,37.00,35.30.3,35.30.5,36.00.2,37.00</v>
      </c>
      <c r="G98" s="25" t="str">
        <f>ЛИК_дляСкорингаДП!AG98</f>
        <v>ОСН</v>
      </c>
      <c r="H98" s="55" t="str">
        <f>IF(ISNUMBER(E98),E98,
IFERROR(LEFT(E98,FIND(".",E98)-1),E98))</f>
        <v>35</v>
      </c>
      <c r="I98" s="30">
        <f>IF(COUNTIF(Справочник_ОКВЭД_НР!$A$3:$A$62,H98)&gt;0,Справочник_ОКВЭД_НР!$L$8,
 IF(COUNTIF(Справочник_ОКВЭД_НР!$C$3:$C$62,H98)&gt;0,Справочник_ОКВЭД_НР!$L$9,
  IF(COUNTIF(Справочник_ОКВЭД_НР!$E$3:$E$62,H98)&gt;0,Справочник_ОКВЭД_НР!$L$10,
   IF(COUNTIF(Справочник_ОКВЭД_НР!$G$3:$G$62,H98)&gt;0,Справочник_ОКВЭД_НР!$L$11,50))))</f>
        <v>60</v>
      </c>
      <c r="J98" s="30" cm="1">
        <f t="array" ref="J98">IFERROR(
 (SUMPRODUCT(ISNUMBER(SEARCH(","&amp;Справочник_ОКВЭД_НР!$A$3:$A$62&amp;".",","&amp;SUBSTITUTE(F98," ","")&amp;",")))*Справочник_ОКВЭД_НР!$L$9 +
  SUMPRODUCT(ISNUMBER(SEARCH(","&amp;Справочник_ОКВЭД_НР!$C$3:$C$62&amp;".",","&amp;SUBSTITUTE(F98," ","")&amp;",")))*Справочник_ОКВЭД_НР!$L$10 +
  SUMPRODUCT(ISNUMBER(SEARCH(","&amp;Справочник_ОКВЭД_НР!$E$3:$E$62&amp;".",","&amp;SUBSTITUTE(F98," ","")&amp;",")))*Справочник_ОКВЭД_НР!$L$11 +
  SUMPRODUCT(ISNUMBER(SEARCH(","&amp;Справочник_ОКВЭД_НР!$G$3:$G$62&amp;".",","&amp;SUBSTITUTE(F98," ","")&amp;",")))*Справочник_ОКВЭД_НР!$L$12) /
 (SUMPRODUCT(ISNUMBER(SEARCH(","&amp;Справочник_ОКВЭД_НР!$A$3:$A$62&amp;".",","&amp;SUBSTITUTE(F98," ","")&amp;","))) +
  SUMPRODUCT(ISNUMBER(SEARCH(","&amp;Справочник_ОКВЭД_НР!$C$3:$C$62&amp;".",","&amp;SUBSTITUTE(F98," ","")&amp;","))) +
  SUMPRODUCT(ISNUMBER(SEARCH(","&amp;Справочник_ОКВЭД_НР!$E$3:$E$62&amp;".",","&amp;SUBSTITUTE(F98," ","")&amp;","))) +
  SUMPRODUCT(ISNUMBER(SEARCH(","&amp;Справочник_ОКВЭД_НР!$G$3:$G$62&amp;".",","&amp;SUBSTITUTE(F98," ","")&amp;",")))),
50)</f>
        <v>50</v>
      </c>
      <c r="K98" s="30">
        <f>IFERROR(VLOOKUP(G98,Справочник_ОКВЭД_НР!$O:$P,2,FALSE()),50)</f>
        <v>100</v>
      </c>
      <c r="L98" s="45">
        <f>(I98*Справочник_ОКВЭД_НР!$L$2+J98*Справочник_ОКВЭД_НР!$L$3+K98*Справочник_ОКВЭД_НР!$L$4)*M98</f>
        <v>63.5</v>
      </c>
      <c r="M98" s="47">
        <f>IF(COUNTIF(Справочник_ОКВЭД_НР!$G$3:$G$62,H98)&gt;0,0,1)</f>
        <v>1</v>
      </c>
    </row>
    <row r="99" spans="1:13" x14ac:dyDescent="0.25">
      <c r="A99" s="4">
        <f>ЛИК_дляСкорингаДП!A99</f>
        <v>1045010215623</v>
      </c>
      <c r="B99" s="4">
        <f>ЛИК_дляСкорингаДП!B99</f>
        <v>5050050180</v>
      </c>
      <c r="C99" s="4" t="str">
        <f>ЛИК_дляСкорингаДП!C99</f>
        <v>ООО "ПРИНЦ"</v>
      </c>
      <c r="D99" s="5" t="str">
        <f>ЛИК_дляСкорингаДП!M99</f>
        <v>Аренда и управление собственным или арендованным недвижимым имуществом</v>
      </c>
      <c r="E99" s="4" t="str">
        <f>ЛИК_дляСкорингаДП!L99</f>
        <v>68.20</v>
      </c>
      <c r="F99">
        <f>ЛИК_дляСкорингаДП!N99</f>
        <v>0</v>
      </c>
      <c r="G99" s="25" t="str">
        <f>ЛИК_дляСкорингаДП!AG99</f>
        <v>УСН</v>
      </c>
      <c r="H99" s="55" t="str">
        <f>IF(ISNUMBER(E99),E99,
IFERROR(LEFT(E99,FIND(".",E99)-1),E99))</f>
        <v>68</v>
      </c>
      <c r="I99" s="30">
        <f>IF(COUNTIF(Справочник_ОКВЭД_НР!$A$3:$A$62,H99)&gt;0,Справочник_ОКВЭД_НР!$L$8,
 IF(COUNTIF(Справочник_ОКВЭД_НР!$C$3:$C$62,H99)&gt;0,Справочник_ОКВЭД_НР!$L$9,
  IF(COUNTIF(Справочник_ОКВЭД_НР!$E$3:$E$62,H99)&gt;0,Справочник_ОКВЭД_НР!$L$10,
   IF(COUNTIF(Справочник_ОКВЭД_НР!$G$3:$G$62,H99)&gt;0,Справочник_ОКВЭД_НР!$L$11,50))))</f>
        <v>100</v>
      </c>
      <c r="J99" s="30" cm="1">
        <f t="array" ref="J99">IFERROR(
 (SUMPRODUCT(ISNUMBER(SEARCH(","&amp;Справочник_ОКВЭД_НР!$A$3:$A$62&amp;".",","&amp;SUBSTITUTE(F99," ","")&amp;",")))*Справочник_ОКВЭД_НР!$L$9 +
  SUMPRODUCT(ISNUMBER(SEARCH(","&amp;Справочник_ОКВЭД_НР!$C$3:$C$62&amp;".",","&amp;SUBSTITUTE(F99," ","")&amp;",")))*Справочник_ОКВЭД_НР!$L$10 +
  SUMPRODUCT(ISNUMBER(SEARCH(","&amp;Справочник_ОКВЭД_НР!$E$3:$E$62&amp;".",","&amp;SUBSTITUTE(F99," ","")&amp;",")))*Справочник_ОКВЭД_НР!$L$11 +
  SUMPRODUCT(ISNUMBER(SEARCH(","&amp;Справочник_ОКВЭД_НР!$G$3:$G$62&amp;".",","&amp;SUBSTITUTE(F99," ","")&amp;",")))*Справочник_ОКВЭД_НР!$L$12) /
 (SUMPRODUCT(ISNUMBER(SEARCH(","&amp;Справочник_ОКВЭД_НР!$A$3:$A$62&amp;".",","&amp;SUBSTITUTE(F99," ","")&amp;","))) +
  SUMPRODUCT(ISNUMBER(SEARCH(","&amp;Справочник_ОКВЭД_НР!$C$3:$C$62&amp;".",","&amp;SUBSTITUTE(F99," ","")&amp;","))) +
  SUMPRODUCT(ISNUMBER(SEARCH(","&amp;Справочник_ОКВЭД_НР!$E$3:$E$62&amp;".",","&amp;SUBSTITUTE(F99," ","")&amp;","))) +
  SUMPRODUCT(ISNUMBER(SEARCH(","&amp;Справочник_ОКВЭД_НР!$G$3:$G$62&amp;".",","&amp;SUBSTITUTE(F99," ","")&amp;",")))),
50)</f>
        <v>50</v>
      </c>
      <c r="K99" s="30">
        <f>IFERROR(VLOOKUP(G99,Справочник_ОКВЭД_НР!$O:$P,2,FALSE()),50)</f>
        <v>50</v>
      </c>
      <c r="L99" s="45">
        <f>(I99*Справочник_ОКВЭД_НР!$L$2+J99*Справочник_ОКВЭД_НР!$L$3+K99*Справочник_ОКВЭД_НР!$L$4)*M99</f>
        <v>80</v>
      </c>
      <c r="M99" s="47">
        <f>IF(COUNTIF(Справочник_ОКВЭД_НР!$G$3:$G$62,H99)&gt;0,0,1)</f>
        <v>1</v>
      </c>
    </row>
    <row r="100" spans="1:13" x14ac:dyDescent="0.25">
      <c r="A100" s="4">
        <f>ЛИК_дляСкорингаДП!A100</f>
        <v>1157746606445</v>
      </c>
      <c r="B100" s="4">
        <f>ЛИК_дляСкорингаДП!B100</f>
        <v>7707345330</v>
      </c>
      <c r="C100" s="4" t="str">
        <f>ЛИК_дляСкорингаДП!C100</f>
        <v>ООО "МОСЭНКА"</v>
      </c>
      <c r="D100" s="5" t="str">
        <f>ЛИК_дляСкорингаДП!M100</f>
        <v>Аренда и управление собственным или арендованным нежилым недвижимым имуществом</v>
      </c>
      <c r="E100" s="4" t="str">
        <f>ЛИК_дляСкорингаДП!L100</f>
        <v>68.20.2</v>
      </c>
      <c r="F100" t="str">
        <f>ЛИК_дляСкорингаДП!N100</f>
        <v>41.20,43.11,43.12.3,43.21,43.22,43.31,43.32,43.33,43.34,68.10.22</v>
      </c>
      <c r="G100" s="25" t="str">
        <f>ЛИК_дляСкорингаДП!AG100</f>
        <v>ОСН</v>
      </c>
      <c r="H100" s="55" t="str">
        <f>IF(ISNUMBER(E100),E100,
IFERROR(LEFT(E100,FIND(".",E100)-1),E100))</f>
        <v>68</v>
      </c>
      <c r="I100" s="30">
        <f>IF(COUNTIF(Справочник_ОКВЭД_НР!$A$3:$A$62,H100)&gt;0,Справочник_ОКВЭД_НР!$L$8,
 IF(COUNTIF(Справочник_ОКВЭД_НР!$C$3:$C$62,H100)&gt;0,Справочник_ОКВЭД_НР!$L$9,
  IF(COUNTIF(Справочник_ОКВЭД_НР!$E$3:$E$62,H100)&gt;0,Справочник_ОКВЭД_НР!$L$10,
   IF(COUNTIF(Справочник_ОКВЭД_НР!$G$3:$G$62,H100)&gt;0,Справочник_ОКВЭД_НР!$L$11,50))))</f>
        <v>100</v>
      </c>
      <c r="J100" s="30" cm="1">
        <f t="array" ref="J100">IFERROR(
 (SUMPRODUCT(ISNUMBER(SEARCH(","&amp;Справочник_ОКВЭД_НР!$A$3:$A$62&amp;".",","&amp;SUBSTITUTE(F100," ","")&amp;",")))*Справочник_ОКВЭД_НР!$L$9 +
  SUMPRODUCT(ISNUMBER(SEARCH(","&amp;Справочник_ОКВЭД_НР!$C$3:$C$62&amp;".",","&amp;SUBSTITUTE(F100," ","")&amp;",")))*Справочник_ОКВЭД_НР!$L$10 +
  SUMPRODUCT(ISNUMBER(SEARCH(","&amp;Справочник_ОКВЭД_НР!$E$3:$E$62&amp;".",","&amp;SUBSTITUTE(F100," ","")&amp;",")))*Справочник_ОКВЭД_НР!$L$11 +
  SUMPRODUCT(ISNUMBER(SEARCH(","&amp;Справочник_ОКВЭД_НР!$G$3:$G$62&amp;".",","&amp;SUBSTITUTE(F100," ","")&amp;",")))*Справочник_ОКВЭД_НР!$L$12) /
 (SUMPRODUCT(ISNUMBER(SEARCH(","&amp;Справочник_ОКВЭД_НР!$A$3:$A$62&amp;".",","&amp;SUBSTITUTE(F100," ","")&amp;","))) +
  SUMPRODUCT(ISNUMBER(SEARCH(","&amp;Справочник_ОКВЭД_НР!$C$3:$C$62&amp;".",","&amp;SUBSTITUTE(F100," ","")&amp;","))) +
  SUMPRODUCT(ISNUMBER(SEARCH(","&amp;Справочник_ОКВЭД_НР!$E$3:$E$62&amp;".",","&amp;SUBSTITUTE(F100," ","")&amp;","))) +
  SUMPRODUCT(ISNUMBER(SEARCH(","&amp;Справочник_ОКВЭД_НР!$G$3:$G$62&amp;".",","&amp;SUBSTITUTE(F100," ","")&amp;",")))),
50)</f>
        <v>50</v>
      </c>
      <c r="K100" s="30">
        <f>IFERROR(VLOOKUP(G100,Справочник_ОКВЭД_НР!$O:$P,2,FALSE()),50)</f>
        <v>100</v>
      </c>
      <c r="L100" s="45">
        <f>(I100*Справочник_ОКВЭД_НР!$L$2+J100*Справочник_ОКВЭД_НР!$L$3+K100*Справочник_ОКВЭД_НР!$L$4)*M100</f>
        <v>87.5</v>
      </c>
      <c r="M100" s="47">
        <f>IF(COUNTIF(Справочник_ОКВЭД_НР!$G$3:$G$62,H100)&gt;0,0,1)</f>
        <v>1</v>
      </c>
    </row>
    <row r="101" spans="1:13" x14ac:dyDescent="0.25">
      <c r="A101" s="4">
        <f>ЛИК_дляСкорингаДП!A101</f>
        <v>1157746650225</v>
      </c>
      <c r="B101" s="4">
        <f>ЛИК_дляСкорингаДП!B101</f>
        <v>7722334453</v>
      </c>
      <c r="C101" s="4" t="str">
        <f>ЛИК_дляСкорингаДП!C101</f>
        <v>ООО "ЛАЙТ ЭСТЕЙТ"</v>
      </c>
      <c r="D101" s="5" t="str">
        <f>ЛИК_дляСкорингаДП!M101</f>
        <v>Аренда и управление собственным или арендованным недвижимым имуществом</v>
      </c>
      <c r="E101" s="4" t="str">
        <f>ЛИК_дляСкорингаДП!L101</f>
        <v>68.20</v>
      </c>
      <c r="F101" t="str">
        <f>ЛИК_дляСкорингаДП!N101</f>
        <v>68.10,68.10.1,68.32,77.11,81.22,81.29.9,82.99</v>
      </c>
      <c r="G101" s="25" t="str">
        <f>ЛИК_дляСкорингаДП!AG101</f>
        <v>ОСН</v>
      </c>
      <c r="H101" s="55" t="str">
        <f>IF(ISNUMBER(E101),E101,
IFERROR(LEFT(E101,FIND(".",E101)-1),E101))</f>
        <v>68</v>
      </c>
      <c r="I101" s="30">
        <f>IF(COUNTIF(Справочник_ОКВЭД_НР!$A$3:$A$62,H101)&gt;0,Справочник_ОКВЭД_НР!$L$8,
 IF(COUNTIF(Справочник_ОКВЭД_НР!$C$3:$C$62,H101)&gt;0,Справочник_ОКВЭД_НР!$L$9,
  IF(COUNTIF(Справочник_ОКВЭД_НР!$E$3:$E$62,H101)&gt;0,Справочник_ОКВЭД_НР!$L$10,
   IF(COUNTIF(Справочник_ОКВЭД_НР!$G$3:$G$62,H101)&gt;0,Справочник_ОКВЭД_НР!$L$11,50))))</f>
        <v>100</v>
      </c>
      <c r="J101" s="30" cm="1">
        <f t="array" ref="J101">IFERROR(
 (SUMPRODUCT(ISNUMBER(SEARCH(","&amp;Справочник_ОКВЭД_НР!$A$3:$A$62&amp;".",","&amp;SUBSTITUTE(F101," ","")&amp;",")))*Справочник_ОКВЭД_НР!$L$9 +
  SUMPRODUCT(ISNUMBER(SEARCH(","&amp;Справочник_ОКВЭД_НР!$C$3:$C$62&amp;".",","&amp;SUBSTITUTE(F101," ","")&amp;",")))*Справочник_ОКВЭД_НР!$L$10 +
  SUMPRODUCT(ISNUMBER(SEARCH(","&amp;Справочник_ОКВЭД_НР!$E$3:$E$62&amp;".",","&amp;SUBSTITUTE(F101," ","")&amp;",")))*Справочник_ОКВЭД_НР!$L$11 +
  SUMPRODUCT(ISNUMBER(SEARCH(","&amp;Справочник_ОКВЭД_НР!$G$3:$G$62&amp;".",","&amp;SUBSTITUTE(F101," ","")&amp;",")))*Справочник_ОКВЭД_НР!$L$12) /
 (SUMPRODUCT(ISNUMBER(SEARCH(","&amp;Справочник_ОКВЭД_НР!$A$3:$A$62&amp;".",","&amp;SUBSTITUTE(F101," ","")&amp;","))) +
  SUMPRODUCT(ISNUMBER(SEARCH(","&amp;Справочник_ОКВЭД_НР!$C$3:$C$62&amp;".",","&amp;SUBSTITUTE(F101," ","")&amp;","))) +
  SUMPRODUCT(ISNUMBER(SEARCH(","&amp;Справочник_ОКВЭД_НР!$E$3:$E$62&amp;".",","&amp;SUBSTITUTE(F101," ","")&amp;","))) +
  SUMPRODUCT(ISNUMBER(SEARCH(","&amp;Справочник_ОКВЭД_НР!$G$3:$G$62&amp;".",","&amp;SUBSTITUTE(F101," ","")&amp;",")))),
50)</f>
        <v>50</v>
      </c>
      <c r="K101" s="30">
        <f>IFERROR(VLOOKUP(G101,Справочник_ОКВЭД_НР!$O:$P,2,FALSE()),50)</f>
        <v>100</v>
      </c>
      <c r="L101" s="45">
        <f>(I101*Справочник_ОКВЭД_НР!$L$2+J101*Справочник_ОКВЭД_НР!$L$3+K101*Справочник_ОКВЭД_НР!$L$4)*M101</f>
        <v>87.5</v>
      </c>
      <c r="M101" s="47">
        <f>IF(COUNTIF(Справочник_ОКВЭД_НР!$G$3:$G$62,H101)&gt;0,0,1)</f>
        <v>1</v>
      </c>
    </row>
    <row r="102" spans="1:13" x14ac:dyDescent="0.25">
      <c r="A102" s="4">
        <f>ЛИК_дляСкорингаДП!A102</f>
        <v>1047796039862</v>
      </c>
      <c r="B102" s="4">
        <f>ЛИК_дляСкорингаДП!B102</f>
        <v>7735501334</v>
      </c>
      <c r="C102" s="4" t="str">
        <f>ЛИК_дляСкорингаДП!C102</f>
        <v>ООО "ЗЗВО"</v>
      </c>
      <c r="D102" s="5" t="str">
        <f>ЛИК_дляСкорингаДП!M102</f>
        <v>Производство вентиляторов</v>
      </c>
      <c r="E102" s="4" t="str">
        <f>ЛИК_дляСкорингаДП!L102</f>
        <v>28.25.2</v>
      </c>
      <c r="F102" t="str">
        <f>ЛИК_дляСкорингаДП!N102</f>
        <v>25.21.1,28.13,28.14,28.25.1,28.29,33.12,33.14,33.20,41.10,41.20,42.12,43.11,43.12,43.21,43.22,43.29,43.31,43.33,43.34,43.39,43.91,43.99,46.69.9,46.90,55.30,68.20.2,68.32,72.19.4,74.90.9,74.90.91,74.90.92,74.90.99</v>
      </c>
      <c r="G102" s="25" t="str">
        <f>ЛИК_дляСкорингаДП!AG102</f>
        <v>ОСН</v>
      </c>
      <c r="H102" s="55" t="str">
        <f>IF(ISNUMBER(E102),E102,
IFERROR(LEFT(E102,FIND(".",E102)-1),E102))</f>
        <v>28</v>
      </c>
      <c r="I102" s="30">
        <f>IF(COUNTIF(Справочник_ОКВЭД_НР!$A$3:$A$62,H102)&gt;0,Справочник_ОКВЭД_НР!$L$8,
 IF(COUNTIF(Справочник_ОКВЭД_НР!$C$3:$C$62,H102)&gt;0,Справочник_ОКВЭД_НР!$L$9,
  IF(COUNTIF(Справочник_ОКВЭД_НР!$E$3:$E$62,H102)&gt;0,Справочник_ОКВЭД_НР!$L$10,
   IF(COUNTIF(Справочник_ОКВЭД_НР!$G$3:$G$62,H102)&gt;0,Справочник_ОКВЭД_НР!$L$11,50))))</f>
        <v>60</v>
      </c>
      <c r="J102" s="30" cm="1">
        <f t="array" ref="J102">IFERROR(
 (SUMPRODUCT(ISNUMBER(SEARCH(","&amp;Справочник_ОКВЭД_НР!$A$3:$A$62&amp;".",","&amp;SUBSTITUTE(F102," ","")&amp;",")))*Справочник_ОКВЭД_НР!$L$9 +
  SUMPRODUCT(ISNUMBER(SEARCH(","&amp;Справочник_ОКВЭД_НР!$C$3:$C$62&amp;".",","&amp;SUBSTITUTE(F102," ","")&amp;",")))*Справочник_ОКВЭД_НР!$L$10 +
  SUMPRODUCT(ISNUMBER(SEARCH(","&amp;Справочник_ОКВЭД_НР!$E$3:$E$62&amp;".",","&amp;SUBSTITUTE(F102," ","")&amp;",")))*Справочник_ОКВЭД_НР!$L$11 +
  SUMPRODUCT(ISNUMBER(SEARCH(","&amp;Справочник_ОКВЭД_НР!$G$3:$G$62&amp;".",","&amp;SUBSTITUTE(F102," ","")&amp;",")))*Справочник_ОКВЭД_НР!$L$12) /
 (SUMPRODUCT(ISNUMBER(SEARCH(","&amp;Справочник_ОКВЭД_НР!$A$3:$A$62&amp;".",","&amp;SUBSTITUTE(F102," ","")&amp;","))) +
  SUMPRODUCT(ISNUMBER(SEARCH(","&amp;Справочник_ОКВЭД_НР!$C$3:$C$62&amp;".",","&amp;SUBSTITUTE(F102," ","")&amp;","))) +
  SUMPRODUCT(ISNUMBER(SEARCH(","&amp;Справочник_ОКВЭД_НР!$E$3:$E$62&amp;".",","&amp;SUBSTITUTE(F102," ","")&amp;","))) +
  SUMPRODUCT(ISNUMBER(SEARCH(","&amp;Справочник_ОКВЭД_НР!$G$3:$G$62&amp;".",","&amp;SUBSTITUTE(F102," ","")&amp;",")))),
50)</f>
        <v>50</v>
      </c>
      <c r="K102" s="30">
        <f>IFERROR(VLOOKUP(G102,Справочник_ОКВЭД_НР!$O:$P,2,FALSE()),50)</f>
        <v>100</v>
      </c>
      <c r="L102" s="45">
        <f>(I102*Справочник_ОКВЭД_НР!$L$2+J102*Справочник_ОКВЭД_НР!$L$3+K102*Справочник_ОКВЭД_НР!$L$4)*M102</f>
        <v>63.5</v>
      </c>
      <c r="M102" s="47">
        <f>IF(COUNTIF(Справочник_ОКВЭД_НР!$G$3:$G$62,H102)&gt;0,0,1)</f>
        <v>1</v>
      </c>
    </row>
    <row r="103" spans="1:13" x14ac:dyDescent="0.25">
      <c r="A103" s="4">
        <f>ЛИК_дляСкорингаДП!A103</f>
        <v>1047729023913</v>
      </c>
      <c r="B103" s="4">
        <f>ЛИК_дляСкорингаДП!B103</f>
        <v>7714318698</v>
      </c>
      <c r="C103" s="4" t="str">
        <f>ЛИК_дляСкорингаДП!C103</f>
        <v>ООО "ЗЕНИТ ФИНАНС"</v>
      </c>
      <c r="D103" s="5" t="str">
        <f>ЛИК_дляСкорингаДП!M103</f>
        <v>Аренда и управление собственным или арендованным жилым недвижимым имуществом</v>
      </c>
      <c r="E103" s="4" t="str">
        <f>ЛИК_дляСкорингаДП!L103</f>
        <v>68.20.1</v>
      </c>
      <c r="F103" t="str">
        <f>ЛИК_дляСкорингаДП!N103</f>
        <v>66.22,66.29,68.10,68.10.1,68.10.22,68.10.23,68.20,71.12.2</v>
      </c>
      <c r="G103" s="25" t="str">
        <f>ЛИК_дляСкорингаДП!AG103</f>
        <v>ОСН</v>
      </c>
      <c r="H103" s="55" t="str">
        <f>IF(ISNUMBER(E103),E103,
IFERROR(LEFT(E103,FIND(".",E103)-1),E103))</f>
        <v>68</v>
      </c>
      <c r="I103" s="30">
        <f>IF(COUNTIF(Справочник_ОКВЭД_НР!$A$3:$A$62,H103)&gt;0,Справочник_ОКВЭД_НР!$L$8,
 IF(COUNTIF(Справочник_ОКВЭД_НР!$C$3:$C$62,H103)&gt;0,Справочник_ОКВЭД_НР!$L$9,
  IF(COUNTIF(Справочник_ОКВЭД_НР!$E$3:$E$62,H103)&gt;0,Справочник_ОКВЭД_НР!$L$10,
   IF(COUNTIF(Справочник_ОКВЭД_НР!$G$3:$G$62,H103)&gt;0,Справочник_ОКВЭД_НР!$L$11,50))))</f>
        <v>100</v>
      </c>
      <c r="J103" s="30" cm="1">
        <f t="array" ref="J103">IFERROR(
 (SUMPRODUCT(ISNUMBER(SEARCH(","&amp;Справочник_ОКВЭД_НР!$A$3:$A$62&amp;".",","&amp;SUBSTITUTE(F103," ","")&amp;",")))*Справочник_ОКВЭД_НР!$L$9 +
  SUMPRODUCT(ISNUMBER(SEARCH(","&amp;Справочник_ОКВЭД_НР!$C$3:$C$62&amp;".",","&amp;SUBSTITUTE(F103," ","")&amp;",")))*Справочник_ОКВЭД_НР!$L$10 +
  SUMPRODUCT(ISNUMBER(SEARCH(","&amp;Справочник_ОКВЭД_НР!$E$3:$E$62&amp;".",","&amp;SUBSTITUTE(F103," ","")&amp;",")))*Справочник_ОКВЭД_НР!$L$11 +
  SUMPRODUCT(ISNUMBER(SEARCH(","&amp;Справочник_ОКВЭД_НР!$G$3:$G$62&amp;".",","&amp;SUBSTITUTE(F103," ","")&amp;",")))*Справочник_ОКВЭД_НР!$L$12) /
 (SUMPRODUCT(ISNUMBER(SEARCH(","&amp;Справочник_ОКВЭД_НР!$A$3:$A$62&amp;".",","&amp;SUBSTITUTE(F103," ","")&amp;","))) +
  SUMPRODUCT(ISNUMBER(SEARCH(","&amp;Справочник_ОКВЭД_НР!$C$3:$C$62&amp;".",","&amp;SUBSTITUTE(F103," ","")&amp;","))) +
  SUMPRODUCT(ISNUMBER(SEARCH(","&amp;Справочник_ОКВЭД_НР!$E$3:$E$62&amp;".",","&amp;SUBSTITUTE(F103," ","")&amp;","))) +
  SUMPRODUCT(ISNUMBER(SEARCH(","&amp;Справочник_ОКВЭД_НР!$G$3:$G$62&amp;".",","&amp;SUBSTITUTE(F103," ","")&amp;",")))),
50)</f>
        <v>50</v>
      </c>
      <c r="K103" s="30">
        <f>IFERROR(VLOOKUP(G103,Справочник_ОКВЭД_НР!$O:$P,2,FALSE()),50)</f>
        <v>100</v>
      </c>
      <c r="L103" s="45">
        <f>(I103*Справочник_ОКВЭД_НР!$L$2+J103*Справочник_ОКВЭД_НР!$L$3+K103*Справочник_ОКВЭД_НР!$L$4)*M103</f>
        <v>87.5</v>
      </c>
      <c r="M103" s="47">
        <f>IF(COUNTIF(Справочник_ОКВЭД_НР!$G$3:$G$62,H103)&gt;0,0,1)</f>
        <v>1</v>
      </c>
    </row>
    <row r="104" spans="1:13" x14ac:dyDescent="0.25">
      <c r="A104" s="4">
        <f>ЛИК_дляСкорингаДП!A104</f>
        <v>1207700079113</v>
      </c>
      <c r="B104" s="4">
        <f>ЛИК_дляСкорингаДП!B104</f>
        <v>9724006067</v>
      </c>
      <c r="C104" s="4" t="str">
        <f>ЛИК_дляСкорингаДП!C104</f>
        <v>ООО "ДЕЛЬТА-ПАРТС"</v>
      </c>
      <c r="D104" s="5" t="str">
        <f>ЛИК_дляСкорингаДП!M104</f>
        <v>Торговля оптовая неспециализированная</v>
      </c>
      <c r="E104" s="4" t="str">
        <f>ЛИК_дляСкорингаДП!L104</f>
        <v>46.90</v>
      </c>
      <c r="F104" t="str">
        <f>ЛИК_дляСкорингаДП!N104</f>
        <v>18.12,18.20,28.12,33.12,45.11,45.19,45.20.2,45.31,45.32,46.35,46.39,46.61,46.63,46.69,52.29,73.20.1</v>
      </c>
      <c r="G104" s="25" t="str">
        <f>ЛИК_дляСкорингаДП!AG104</f>
        <v>ОСН</v>
      </c>
      <c r="H104" s="55" t="str">
        <f>IF(ISNUMBER(E104),E104,
IFERROR(LEFT(E104,FIND(".",E104)-1),E104))</f>
        <v>46</v>
      </c>
      <c r="I104" s="30">
        <f>IF(COUNTIF(Справочник_ОКВЭД_НР!$A$3:$A$62,H104)&gt;0,Справочник_ОКВЭД_НР!$L$8,
 IF(COUNTIF(Справочник_ОКВЭД_НР!$C$3:$C$62,H104)&gt;0,Справочник_ОКВЭД_НР!$L$9,
  IF(COUNTIF(Справочник_ОКВЭД_НР!$E$3:$E$62,H104)&gt;0,Справочник_ОКВЭД_НР!$L$10,
   IF(COUNTIF(Справочник_ОКВЭД_НР!$G$3:$G$62,H104)&gt;0,Справочник_ОКВЭД_НР!$L$11,50))))</f>
        <v>60</v>
      </c>
      <c r="J104" s="30" cm="1">
        <f t="array" ref="J104">IFERROR(
 (SUMPRODUCT(ISNUMBER(SEARCH(","&amp;Справочник_ОКВЭД_НР!$A$3:$A$62&amp;".",","&amp;SUBSTITUTE(F104," ","")&amp;",")))*Справочник_ОКВЭД_НР!$L$9 +
  SUMPRODUCT(ISNUMBER(SEARCH(","&amp;Справочник_ОКВЭД_НР!$C$3:$C$62&amp;".",","&amp;SUBSTITUTE(F104," ","")&amp;",")))*Справочник_ОКВЭД_НР!$L$10 +
  SUMPRODUCT(ISNUMBER(SEARCH(","&amp;Справочник_ОКВЭД_НР!$E$3:$E$62&amp;".",","&amp;SUBSTITUTE(F104," ","")&amp;",")))*Справочник_ОКВЭД_НР!$L$11 +
  SUMPRODUCT(ISNUMBER(SEARCH(","&amp;Справочник_ОКВЭД_НР!$G$3:$G$62&amp;".",","&amp;SUBSTITUTE(F104," ","")&amp;",")))*Справочник_ОКВЭД_НР!$L$12) /
 (SUMPRODUCT(ISNUMBER(SEARCH(","&amp;Справочник_ОКВЭД_НР!$A$3:$A$62&amp;".",","&amp;SUBSTITUTE(F104," ","")&amp;","))) +
  SUMPRODUCT(ISNUMBER(SEARCH(","&amp;Справочник_ОКВЭД_НР!$C$3:$C$62&amp;".",","&amp;SUBSTITUTE(F104," ","")&amp;","))) +
  SUMPRODUCT(ISNUMBER(SEARCH(","&amp;Справочник_ОКВЭД_НР!$E$3:$E$62&amp;".",","&amp;SUBSTITUTE(F104," ","")&amp;","))) +
  SUMPRODUCT(ISNUMBER(SEARCH(","&amp;Справочник_ОКВЭД_НР!$G$3:$G$62&amp;".",","&amp;SUBSTITUTE(F104," ","")&amp;",")))),
50)</f>
        <v>50</v>
      </c>
      <c r="K104" s="30">
        <f>IFERROR(VLOOKUP(G104,Справочник_ОКВЭД_НР!$O:$P,2,FALSE()),50)</f>
        <v>100</v>
      </c>
      <c r="L104" s="45">
        <f>(I104*Справочник_ОКВЭД_НР!$L$2+J104*Справочник_ОКВЭД_НР!$L$3+K104*Справочник_ОКВЭД_НР!$L$4)*M104</f>
        <v>63.5</v>
      </c>
      <c r="M104" s="47">
        <f>IF(COUNTIF(Справочник_ОКВЭД_НР!$G$3:$G$62,H104)&gt;0,0,1)</f>
        <v>1</v>
      </c>
    </row>
    <row r="105" spans="1:13" x14ac:dyDescent="0.25">
      <c r="A105" s="4">
        <f>ЛИК_дляСкорингаДП!A105</f>
        <v>1047796745457</v>
      </c>
      <c r="B105" s="4">
        <f>ЛИК_дляСкорингаДП!B105</f>
        <v>7702539815</v>
      </c>
      <c r="C105" s="4" t="str">
        <f>ЛИК_дляСкорингаДП!C105</f>
        <v>ООО "МПК"</v>
      </c>
      <c r="D105" s="5" t="str">
        <f>ЛИК_дляСкорингаДП!M105</f>
        <v>Деятельность по созданию и использованию баз данных и информационных ресурсов</v>
      </c>
      <c r="E105" s="4" t="str">
        <f>ЛИК_дляСкорингаДП!L105</f>
        <v>63.11.1</v>
      </c>
      <c r="F105" t="str">
        <f>ЛИК_дляСкорингаДП!N105</f>
        <v>11.07.2,18.20,33.14,33.20,38.32.52,45.20,45.3,46.21.19,46.34,46.35,46.38.29,46.4,46.41,46.41.2,46.71,46.9,47.11,47.25,47.7,47.71,49.4,52.10,52.21,52.21.24,52.24,53.1,53.10,53.20,53.20.3,55.10,56.10.1,58.29,62.0,62.01,62.02,62.09,63.11,66.12.3,66.19,68.20,68.31,68.32.3,69.10,70.22,71.12.1,71.12.12,71.12.45,72.19,73.1,73.20.1,77.33,77.39.1,77.39.29,78.10,79.1,79.11,82.99,85.42,86.10,91.01,93.2,95.1</v>
      </c>
      <c r="G105" s="25" t="str">
        <f>ЛИК_дляСкорингаДП!AG105</f>
        <v>ОСН</v>
      </c>
      <c r="H105" s="55" t="str">
        <f>IF(ISNUMBER(E105),E105,
IFERROR(LEFT(E105,FIND(".",E105)-1),E105))</f>
        <v>63</v>
      </c>
      <c r="I105" s="30">
        <f>IF(COUNTIF(Справочник_ОКВЭД_НР!$A$3:$A$62,H105)&gt;0,Справочник_ОКВЭД_НР!$L$8,
 IF(COUNTIF(Справочник_ОКВЭД_НР!$C$3:$C$62,H105)&gt;0,Справочник_ОКВЭД_НР!$L$9,
  IF(COUNTIF(Справочник_ОКВЭД_НР!$E$3:$E$62,H105)&gt;0,Справочник_ОКВЭД_НР!$L$10,
   IF(COUNTIF(Справочник_ОКВЭД_НР!$G$3:$G$62,H105)&gt;0,Справочник_ОКВЭД_НР!$L$11,50))))</f>
        <v>100</v>
      </c>
      <c r="J105" s="30" cm="1">
        <f t="array" ref="J105">IFERROR(
 (SUMPRODUCT(ISNUMBER(SEARCH(","&amp;Справочник_ОКВЭД_НР!$A$3:$A$62&amp;".",","&amp;SUBSTITUTE(F105," ","")&amp;",")))*Справочник_ОКВЭД_НР!$L$9 +
  SUMPRODUCT(ISNUMBER(SEARCH(","&amp;Справочник_ОКВЭД_НР!$C$3:$C$62&amp;".",","&amp;SUBSTITUTE(F105," ","")&amp;",")))*Справочник_ОКВЭД_НР!$L$10 +
  SUMPRODUCT(ISNUMBER(SEARCH(","&amp;Справочник_ОКВЭД_НР!$E$3:$E$62&amp;".",","&amp;SUBSTITUTE(F105," ","")&amp;",")))*Справочник_ОКВЭД_НР!$L$11 +
  SUMPRODUCT(ISNUMBER(SEARCH(","&amp;Справочник_ОКВЭД_НР!$G$3:$G$62&amp;".",","&amp;SUBSTITUTE(F105," ","")&amp;",")))*Справочник_ОКВЭД_НР!$L$12) /
 (SUMPRODUCT(ISNUMBER(SEARCH(","&amp;Справочник_ОКВЭД_НР!$A$3:$A$62&amp;".",","&amp;SUBSTITUTE(F105," ","")&amp;","))) +
  SUMPRODUCT(ISNUMBER(SEARCH(","&amp;Справочник_ОКВЭД_НР!$C$3:$C$62&amp;".",","&amp;SUBSTITUTE(F105," ","")&amp;","))) +
  SUMPRODUCT(ISNUMBER(SEARCH(","&amp;Справочник_ОКВЭД_НР!$E$3:$E$62&amp;".",","&amp;SUBSTITUTE(F105," ","")&amp;","))) +
  SUMPRODUCT(ISNUMBER(SEARCH(","&amp;Справочник_ОКВЭД_НР!$G$3:$G$62&amp;".",","&amp;SUBSTITUTE(F105," ","")&amp;",")))),
50)</f>
        <v>50</v>
      </c>
      <c r="K105" s="30">
        <f>IFERROR(VLOOKUP(G105,Справочник_ОКВЭД_НР!$O:$P,2,FALSE()),50)</f>
        <v>100</v>
      </c>
      <c r="L105" s="45">
        <f>(I105*Справочник_ОКВЭД_НР!$L$2+J105*Справочник_ОКВЭД_НР!$L$3+K105*Справочник_ОКВЭД_НР!$L$4)*M105</f>
        <v>87.5</v>
      </c>
      <c r="M105" s="47">
        <f>IF(COUNTIF(Справочник_ОКВЭД_НР!$G$3:$G$62,H105)&gt;0,0,1)</f>
        <v>1</v>
      </c>
    </row>
    <row r="106" spans="1:13" x14ac:dyDescent="0.25">
      <c r="A106" s="4">
        <f>ЛИК_дляСкорингаДП!A106</f>
        <v>1047796627845</v>
      </c>
      <c r="B106" s="4">
        <f>ЛИК_дляСкорингаДП!B106</f>
        <v>7709563302</v>
      </c>
      <c r="C106" s="4" t="str">
        <f>ЛИК_дляСкорингаДП!C106</f>
        <v>ООО "НОВОЕ СТРОИТЕЛЬСТВО"</v>
      </c>
      <c r="D106" s="5" t="str">
        <f>ЛИК_дляСкорингаДП!M106</f>
        <v>Аренда и управление собственным или арендованным прочим нежилым недвижимым имуществом</v>
      </c>
      <c r="E106" s="4" t="str">
        <f>ЛИК_дляСкорингаДП!L106</f>
        <v>68.20.29</v>
      </c>
      <c r="F106" t="str">
        <f>ЛИК_дляСкорингаДП!N106</f>
        <v>41.20,43.2,43.39,68.10,68.10.23,68.2,68.32,68.32.1</v>
      </c>
      <c r="G106" s="25" t="str">
        <f>ЛИК_дляСкорингаДП!AG106</f>
        <v>ОСН</v>
      </c>
      <c r="H106" s="55" t="str">
        <f>IF(ISNUMBER(E106),E106,
IFERROR(LEFT(E106,FIND(".",E106)-1),E106))</f>
        <v>68</v>
      </c>
      <c r="I106" s="30">
        <f>IF(COUNTIF(Справочник_ОКВЭД_НР!$A$3:$A$62,H106)&gt;0,Справочник_ОКВЭД_НР!$L$8,
 IF(COUNTIF(Справочник_ОКВЭД_НР!$C$3:$C$62,H106)&gt;0,Справочник_ОКВЭД_НР!$L$9,
  IF(COUNTIF(Справочник_ОКВЭД_НР!$E$3:$E$62,H106)&gt;0,Справочник_ОКВЭД_НР!$L$10,
   IF(COUNTIF(Справочник_ОКВЭД_НР!$G$3:$G$62,H106)&gt;0,Справочник_ОКВЭД_НР!$L$11,50))))</f>
        <v>100</v>
      </c>
      <c r="J106" s="30" cm="1">
        <f t="array" ref="J106">IFERROR(
 (SUMPRODUCT(ISNUMBER(SEARCH(","&amp;Справочник_ОКВЭД_НР!$A$3:$A$62&amp;".",","&amp;SUBSTITUTE(F106," ","")&amp;",")))*Справочник_ОКВЭД_НР!$L$9 +
  SUMPRODUCT(ISNUMBER(SEARCH(","&amp;Справочник_ОКВЭД_НР!$C$3:$C$62&amp;".",","&amp;SUBSTITUTE(F106," ","")&amp;",")))*Справочник_ОКВЭД_НР!$L$10 +
  SUMPRODUCT(ISNUMBER(SEARCH(","&amp;Справочник_ОКВЭД_НР!$E$3:$E$62&amp;".",","&amp;SUBSTITUTE(F106," ","")&amp;",")))*Справочник_ОКВЭД_НР!$L$11 +
  SUMPRODUCT(ISNUMBER(SEARCH(","&amp;Справочник_ОКВЭД_НР!$G$3:$G$62&amp;".",","&amp;SUBSTITUTE(F106," ","")&amp;",")))*Справочник_ОКВЭД_НР!$L$12) /
 (SUMPRODUCT(ISNUMBER(SEARCH(","&amp;Справочник_ОКВЭД_НР!$A$3:$A$62&amp;".",","&amp;SUBSTITUTE(F106," ","")&amp;","))) +
  SUMPRODUCT(ISNUMBER(SEARCH(","&amp;Справочник_ОКВЭД_НР!$C$3:$C$62&amp;".",","&amp;SUBSTITUTE(F106," ","")&amp;","))) +
  SUMPRODUCT(ISNUMBER(SEARCH(","&amp;Справочник_ОКВЭД_НР!$E$3:$E$62&amp;".",","&amp;SUBSTITUTE(F106," ","")&amp;","))) +
  SUMPRODUCT(ISNUMBER(SEARCH(","&amp;Справочник_ОКВЭД_НР!$G$3:$G$62&amp;".",","&amp;SUBSTITUTE(F106," ","")&amp;",")))),
50)</f>
        <v>50</v>
      </c>
      <c r="K106" s="30">
        <f>IFERROR(VLOOKUP(G106,Справочник_ОКВЭД_НР!$O:$P,2,FALSE()),50)</f>
        <v>100</v>
      </c>
      <c r="L106" s="45">
        <f>(I106*Справочник_ОКВЭД_НР!$L$2+J106*Справочник_ОКВЭД_НР!$L$3+K106*Справочник_ОКВЭД_НР!$L$4)*M106</f>
        <v>87.5</v>
      </c>
      <c r="M106" s="47">
        <f>IF(COUNTIF(Справочник_ОКВЭД_НР!$G$3:$G$62,H106)&gt;0,0,1)</f>
        <v>1</v>
      </c>
    </row>
    <row r="107" spans="1:13" x14ac:dyDescent="0.25">
      <c r="A107" s="4">
        <f>ЛИК_дляСкорингаДП!A107</f>
        <v>1207700477918</v>
      </c>
      <c r="B107" s="4">
        <f>ЛИК_дляСкорингаДП!B107</f>
        <v>7716951948</v>
      </c>
      <c r="C107" s="4" t="str">
        <f>ЛИК_дляСкорингаДП!C107</f>
        <v>ООО "НЕТВИЖН"</v>
      </c>
      <c r="D107" s="5" t="str">
        <f>ЛИК_дляСкорингаДП!M107</f>
        <v>Разработка компьютерного программного обеспечения</v>
      </c>
      <c r="E107" s="4" t="str">
        <f>ЛИК_дляСкорингаДП!L107</f>
        <v>62.01</v>
      </c>
      <c r="F107" t="str">
        <f>ЛИК_дляСкорингаДП!N107</f>
        <v>26.20,26.20.9,26.51,26.51.8,33.12,33.14,33.20,43.21,46.14.1,46.51,46.66,46.90,47.41,47.41.4,61.10.9,62.01,62.02,62.09,95.11,95.12</v>
      </c>
      <c r="G107" s="25" t="str">
        <f>ЛИК_дляСкорингаДП!AG107</f>
        <v>ОСН</v>
      </c>
      <c r="H107" s="55" t="str">
        <f>IF(ISNUMBER(E107),E107,
IFERROR(LEFT(E107,FIND(".",E107)-1),E107))</f>
        <v>62</v>
      </c>
      <c r="I107" s="30">
        <f>IF(COUNTIF(Справочник_ОКВЭД_НР!$A$3:$A$62,H107)&gt;0,Справочник_ОКВЭД_НР!$L$8,
 IF(COUNTIF(Справочник_ОКВЭД_НР!$C$3:$C$62,H107)&gt;0,Справочник_ОКВЭД_НР!$L$9,
  IF(COUNTIF(Справочник_ОКВЭД_НР!$E$3:$E$62,H107)&gt;0,Справочник_ОКВЭД_НР!$L$10,
   IF(COUNTIF(Справочник_ОКВЭД_НР!$G$3:$G$62,H107)&gt;0,Справочник_ОКВЭД_НР!$L$11,50))))</f>
        <v>100</v>
      </c>
      <c r="J107" s="30" cm="1">
        <f t="array" ref="J107">IFERROR(
 (SUMPRODUCT(ISNUMBER(SEARCH(","&amp;Справочник_ОКВЭД_НР!$A$3:$A$62&amp;".",","&amp;SUBSTITUTE(F107," ","")&amp;",")))*Справочник_ОКВЭД_НР!$L$9 +
  SUMPRODUCT(ISNUMBER(SEARCH(","&amp;Справочник_ОКВЭД_НР!$C$3:$C$62&amp;".",","&amp;SUBSTITUTE(F107," ","")&amp;",")))*Справочник_ОКВЭД_НР!$L$10 +
  SUMPRODUCT(ISNUMBER(SEARCH(","&amp;Справочник_ОКВЭД_НР!$E$3:$E$62&amp;".",","&amp;SUBSTITUTE(F107," ","")&amp;",")))*Справочник_ОКВЭД_НР!$L$11 +
  SUMPRODUCT(ISNUMBER(SEARCH(","&amp;Справочник_ОКВЭД_НР!$G$3:$G$62&amp;".",","&amp;SUBSTITUTE(F107," ","")&amp;",")))*Справочник_ОКВЭД_НР!$L$12) /
 (SUMPRODUCT(ISNUMBER(SEARCH(","&amp;Справочник_ОКВЭД_НР!$A$3:$A$62&amp;".",","&amp;SUBSTITUTE(F107," ","")&amp;","))) +
  SUMPRODUCT(ISNUMBER(SEARCH(","&amp;Справочник_ОКВЭД_НР!$C$3:$C$62&amp;".",","&amp;SUBSTITUTE(F107," ","")&amp;","))) +
  SUMPRODUCT(ISNUMBER(SEARCH(","&amp;Справочник_ОКВЭД_НР!$E$3:$E$62&amp;".",","&amp;SUBSTITUTE(F107," ","")&amp;","))) +
  SUMPRODUCT(ISNUMBER(SEARCH(","&amp;Справочник_ОКВЭД_НР!$G$3:$G$62&amp;".",","&amp;SUBSTITUTE(F107," ","")&amp;",")))),
50)</f>
        <v>50</v>
      </c>
      <c r="K107" s="30">
        <f>IFERROR(VLOOKUP(G107,Справочник_ОКВЭД_НР!$O:$P,2,FALSE()),50)</f>
        <v>100</v>
      </c>
      <c r="L107" s="45">
        <f>(I107*Справочник_ОКВЭД_НР!$L$2+J107*Справочник_ОКВЭД_НР!$L$3+K107*Справочник_ОКВЭД_НР!$L$4)*M107</f>
        <v>87.5</v>
      </c>
      <c r="M107" s="47">
        <f>IF(COUNTIF(Справочник_ОКВЭД_НР!$G$3:$G$62,H107)&gt;0,0,1)</f>
        <v>1</v>
      </c>
    </row>
    <row r="108" spans="1:13" x14ac:dyDescent="0.25">
      <c r="A108" s="4">
        <f>ЛИК_дляСкорингаДП!A108</f>
        <v>1197746473231</v>
      </c>
      <c r="B108" s="4">
        <f>ЛИК_дляСкорингаДП!B108</f>
        <v>7728482105</v>
      </c>
      <c r="C108" s="4" t="str">
        <f>ЛИК_дляСкорингаДП!C108</f>
        <v>ООО "ДОРКО РУС"</v>
      </c>
      <c r="D108" s="5" t="str">
        <f>ЛИК_дляСкорингаДП!M108</f>
        <v>Торговля оптовая неспециализированная</v>
      </c>
      <c r="E108" s="4" t="str">
        <f>ЛИК_дляСкорингаДП!L108</f>
        <v>46.90</v>
      </c>
      <c r="F108" t="str">
        <f>ЛИК_дляСкорингаДП!N108</f>
        <v>46.19,46.90</v>
      </c>
      <c r="G108" s="25" t="str">
        <f>ЛИК_дляСкорингаДП!AG108</f>
        <v>ОСН</v>
      </c>
      <c r="H108" s="55" t="str">
        <f>IF(ISNUMBER(E108),E108,
IFERROR(LEFT(E108,FIND(".",E108)-1),E108))</f>
        <v>46</v>
      </c>
      <c r="I108" s="30">
        <f>IF(COUNTIF(Справочник_ОКВЭД_НР!$A$3:$A$62,H108)&gt;0,Справочник_ОКВЭД_НР!$L$8,
 IF(COUNTIF(Справочник_ОКВЭД_НР!$C$3:$C$62,H108)&gt;0,Справочник_ОКВЭД_НР!$L$9,
  IF(COUNTIF(Справочник_ОКВЭД_НР!$E$3:$E$62,H108)&gt;0,Справочник_ОКВЭД_НР!$L$10,
   IF(COUNTIF(Справочник_ОКВЭД_НР!$G$3:$G$62,H108)&gt;0,Справочник_ОКВЭД_НР!$L$11,50))))</f>
        <v>60</v>
      </c>
      <c r="J108" s="30" cm="1">
        <f t="array" ref="J108">IFERROR(
 (SUMPRODUCT(ISNUMBER(SEARCH(","&amp;Справочник_ОКВЭД_НР!$A$3:$A$62&amp;".",","&amp;SUBSTITUTE(F108," ","")&amp;",")))*Справочник_ОКВЭД_НР!$L$9 +
  SUMPRODUCT(ISNUMBER(SEARCH(","&amp;Справочник_ОКВЭД_НР!$C$3:$C$62&amp;".",","&amp;SUBSTITUTE(F108," ","")&amp;",")))*Справочник_ОКВЭД_НР!$L$10 +
  SUMPRODUCT(ISNUMBER(SEARCH(","&amp;Справочник_ОКВЭД_НР!$E$3:$E$62&amp;".",","&amp;SUBSTITUTE(F108," ","")&amp;",")))*Справочник_ОКВЭД_НР!$L$11 +
  SUMPRODUCT(ISNUMBER(SEARCH(","&amp;Справочник_ОКВЭД_НР!$G$3:$G$62&amp;".",","&amp;SUBSTITUTE(F108," ","")&amp;",")))*Справочник_ОКВЭД_НР!$L$12) /
 (SUMPRODUCT(ISNUMBER(SEARCH(","&amp;Справочник_ОКВЭД_НР!$A$3:$A$62&amp;".",","&amp;SUBSTITUTE(F108," ","")&amp;","))) +
  SUMPRODUCT(ISNUMBER(SEARCH(","&amp;Справочник_ОКВЭД_НР!$C$3:$C$62&amp;".",","&amp;SUBSTITUTE(F108," ","")&amp;","))) +
  SUMPRODUCT(ISNUMBER(SEARCH(","&amp;Справочник_ОКВЭД_НР!$E$3:$E$62&amp;".",","&amp;SUBSTITUTE(F108," ","")&amp;","))) +
  SUMPRODUCT(ISNUMBER(SEARCH(","&amp;Справочник_ОКВЭД_НР!$G$3:$G$62&amp;".",","&amp;SUBSTITUTE(F108," ","")&amp;",")))),
50)</f>
        <v>50</v>
      </c>
      <c r="K108" s="30">
        <f>IFERROR(VLOOKUP(G108,Справочник_ОКВЭД_НР!$O:$P,2,FALSE()),50)</f>
        <v>100</v>
      </c>
      <c r="L108" s="45">
        <f>(I108*Справочник_ОКВЭД_НР!$L$2+J108*Справочник_ОКВЭД_НР!$L$3+K108*Справочник_ОКВЭД_НР!$L$4)*M108</f>
        <v>63.5</v>
      </c>
      <c r="M108" s="47">
        <f>IF(COUNTIF(Справочник_ОКВЭД_НР!$G$3:$G$62,H108)&gt;0,0,1)</f>
        <v>1</v>
      </c>
    </row>
    <row r="109" spans="1:13" x14ac:dyDescent="0.25">
      <c r="A109" s="4">
        <f>ЛИК_дляСкорингаДП!A109</f>
        <v>1197746724790</v>
      </c>
      <c r="B109" s="4">
        <f>ЛИК_дляСкорингаДП!B109</f>
        <v>9703006098</v>
      </c>
      <c r="C109" s="4" t="str">
        <f>ЛИК_дляСкорингаДП!C109</f>
        <v>ООО "ПР-ЛИЗИНГ.РУ"</v>
      </c>
      <c r="D109" s="5" t="str">
        <f>ЛИК_дляСкорингаДП!M109</f>
        <v>Деятельность по финансовой аренде (лизингу/сублизингу)</v>
      </c>
      <c r="E109" s="4" t="str">
        <f>ЛИК_дляСкорингаДП!L109</f>
        <v>64.91</v>
      </c>
      <c r="F109" t="str">
        <f>ЛИК_дляСкорингаДП!N109</f>
        <v>41.20,45.11,45.19,64.99,66.19,66.19.4,68.20,69.20,70.22,77.11,77.12,77.31,77.32,77.33,77.34,77.35,77.39,77.39.11,82.99</v>
      </c>
      <c r="G109" s="25" t="str">
        <f>ЛИК_дляСкорингаДП!AG109</f>
        <v>ОСН</v>
      </c>
      <c r="H109" s="55" t="str">
        <f>IF(ISNUMBER(E109),E109,
IFERROR(LEFT(E109,FIND(".",E109)-1),E109))</f>
        <v>64</v>
      </c>
      <c r="I109" s="30">
        <f>IF(COUNTIF(Справочник_ОКВЭД_НР!$A$3:$A$62,H109)&gt;0,Справочник_ОКВЭД_НР!$L$8,
 IF(COUNTIF(Справочник_ОКВЭД_НР!$C$3:$C$62,H109)&gt;0,Справочник_ОКВЭД_НР!$L$9,
  IF(COUNTIF(Справочник_ОКВЭД_НР!$E$3:$E$62,H109)&gt;0,Справочник_ОКВЭД_НР!$L$10,
   IF(COUNTIF(Справочник_ОКВЭД_НР!$G$3:$G$62,H109)&gt;0,Справочник_ОКВЭД_НР!$L$11,50))))</f>
        <v>60</v>
      </c>
      <c r="J109" s="30" cm="1">
        <f t="array" ref="J109">IFERROR(
 (SUMPRODUCT(ISNUMBER(SEARCH(","&amp;Справочник_ОКВЭД_НР!$A$3:$A$62&amp;".",","&amp;SUBSTITUTE(F109," ","")&amp;",")))*Справочник_ОКВЭД_НР!$L$9 +
  SUMPRODUCT(ISNUMBER(SEARCH(","&amp;Справочник_ОКВЭД_НР!$C$3:$C$62&amp;".",","&amp;SUBSTITUTE(F109," ","")&amp;",")))*Справочник_ОКВЭД_НР!$L$10 +
  SUMPRODUCT(ISNUMBER(SEARCH(","&amp;Справочник_ОКВЭД_НР!$E$3:$E$62&amp;".",","&amp;SUBSTITUTE(F109," ","")&amp;",")))*Справочник_ОКВЭД_НР!$L$11 +
  SUMPRODUCT(ISNUMBER(SEARCH(","&amp;Справочник_ОКВЭД_НР!$G$3:$G$62&amp;".",","&amp;SUBSTITUTE(F109," ","")&amp;",")))*Справочник_ОКВЭД_НР!$L$12) /
 (SUMPRODUCT(ISNUMBER(SEARCH(","&amp;Справочник_ОКВЭД_НР!$A$3:$A$62&amp;".",","&amp;SUBSTITUTE(F109," ","")&amp;","))) +
  SUMPRODUCT(ISNUMBER(SEARCH(","&amp;Справочник_ОКВЭД_НР!$C$3:$C$62&amp;".",","&amp;SUBSTITUTE(F109," ","")&amp;","))) +
  SUMPRODUCT(ISNUMBER(SEARCH(","&amp;Справочник_ОКВЭД_НР!$E$3:$E$62&amp;".",","&amp;SUBSTITUTE(F109," ","")&amp;","))) +
  SUMPRODUCT(ISNUMBER(SEARCH(","&amp;Справочник_ОКВЭД_НР!$G$3:$G$62&amp;".",","&amp;SUBSTITUTE(F109," ","")&amp;",")))),
50)</f>
        <v>50</v>
      </c>
      <c r="K109" s="30">
        <f>IFERROR(VLOOKUP(G109,Справочник_ОКВЭД_НР!$O:$P,2,FALSE()),50)</f>
        <v>100</v>
      </c>
      <c r="L109" s="45">
        <f>(I109*Справочник_ОКВЭД_НР!$L$2+J109*Справочник_ОКВЭД_НР!$L$3+K109*Справочник_ОКВЭД_НР!$L$4)*M109</f>
        <v>63.5</v>
      </c>
      <c r="M109" s="47">
        <f>IF(COUNTIF(Справочник_ОКВЭД_НР!$G$3:$G$62,H109)&gt;0,0,1)</f>
        <v>1</v>
      </c>
    </row>
    <row r="110" spans="1:13" x14ac:dyDescent="0.25">
      <c r="A110" s="4">
        <f>ЛИК_дляСкорингаДП!A110</f>
        <v>1135029000182</v>
      </c>
      <c r="B110" s="4">
        <f>ЛИК_дляСкорингаДП!B110</f>
        <v>5029169930</v>
      </c>
      <c r="C110" s="4" t="str">
        <f>ЛИК_дляСкорингаДП!C110</f>
        <v>ООО "СПЕЦИАЛИЗИРОВАННЫЙ ЗАСТРОЙЩИК "ИНВЕСТ-СТРОЙ"</v>
      </c>
      <c r="D110" s="5" t="str">
        <f>ЛИК_дляСкорингаДП!M110</f>
        <v>Деятельность заказчика-застройщика, генерального подрядчика</v>
      </c>
      <c r="E110" s="4" t="str">
        <f>ЛИК_дляСкорингаДП!L110</f>
        <v>71.12.2</v>
      </c>
      <c r="F110" t="str">
        <f>ЛИК_дляСкорингаДП!N110</f>
        <v>41.2,43.12,64.9,64.99.3,66.19,68.1,68.2,68.3</v>
      </c>
      <c r="G110" s="25" t="str">
        <f>ЛИК_дляСкорингаДП!AG110</f>
        <v>ОСН</v>
      </c>
      <c r="H110" s="55" t="str">
        <f>IF(ISNUMBER(E110),E110,
IFERROR(LEFT(E110,FIND(".",E110)-1),E110))</f>
        <v>71</v>
      </c>
      <c r="I110" s="30">
        <f>IF(COUNTIF(Справочник_ОКВЭД_НР!$A$3:$A$62,H110)&gt;0,Справочник_ОКВЭД_НР!$L$8,
 IF(COUNTIF(Справочник_ОКВЭД_НР!$C$3:$C$62,H110)&gt;0,Справочник_ОКВЭД_НР!$L$9,
  IF(COUNTIF(Справочник_ОКВЭД_НР!$E$3:$E$62,H110)&gt;0,Справочник_ОКВЭД_НР!$L$10,
   IF(COUNTIF(Справочник_ОКВЭД_НР!$G$3:$G$62,H110)&gt;0,Справочник_ОКВЭД_НР!$L$11,50))))</f>
        <v>100</v>
      </c>
      <c r="J110" s="30" cm="1">
        <f t="array" ref="J110">IFERROR(
 (SUMPRODUCT(ISNUMBER(SEARCH(","&amp;Справочник_ОКВЭД_НР!$A$3:$A$62&amp;".",","&amp;SUBSTITUTE(F110," ","")&amp;",")))*Справочник_ОКВЭД_НР!$L$9 +
  SUMPRODUCT(ISNUMBER(SEARCH(","&amp;Справочник_ОКВЭД_НР!$C$3:$C$62&amp;".",","&amp;SUBSTITUTE(F110," ","")&amp;",")))*Справочник_ОКВЭД_НР!$L$10 +
  SUMPRODUCT(ISNUMBER(SEARCH(","&amp;Справочник_ОКВЭД_НР!$E$3:$E$62&amp;".",","&amp;SUBSTITUTE(F110," ","")&amp;",")))*Справочник_ОКВЭД_НР!$L$11 +
  SUMPRODUCT(ISNUMBER(SEARCH(","&amp;Справочник_ОКВЭД_НР!$G$3:$G$62&amp;".",","&amp;SUBSTITUTE(F110," ","")&amp;",")))*Справочник_ОКВЭД_НР!$L$12) /
 (SUMPRODUCT(ISNUMBER(SEARCH(","&amp;Справочник_ОКВЭД_НР!$A$3:$A$62&amp;".",","&amp;SUBSTITUTE(F110," ","")&amp;","))) +
  SUMPRODUCT(ISNUMBER(SEARCH(","&amp;Справочник_ОКВЭД_НР!$C$3:$C$62&amp;".",","&amp;SUBSTITUTE(F110," ","")&amp;","))) +
  SUMPRODUCT(ISNUMBER(SEARCH(","&amp;Справочник_ОКВЭД_НР!$E$3:$E$62&amp;".",","&amp;SUBSTITUTE(F110," ","")&amp;","))) +
  SUMPRODUCT(ISNUMBER(SEARCH(","&amp;Справочник_ОКВЭД_НР!$G$3:$G$62&amp;".",","&amp;SUBSTITUTE(F110," ","")&amp;",")))),
50)</f>
        <v>50</v>
      </c>
      <c r="K110" s="30">
        <f>IFERROR(VLOOKUP(G110,Справочник_ОКВЭД_НР!$O:$P,2,FALSE()),50)</f>
        <v>100</v>
      </c>
      <c r="L110" s="45">
        <f>(I110*Справочник_ОКВЭД_НР!$L$2+J110*Справочник_ОКВЭД_НР!$L$3+K110*Справочник_ОКВЭД_НР!$L$4)*M110</f>
        <v>87.5</v>
      </c>
      <c r="M110" s="47">
        <f>IF(COUNTIF(Справочник_ОКВЭД_НР!$G$3:$G$62,H110)&gt;0,0,1)</f>
        <v>1</v>
      </c>
    </row>
    <row r="111" spans="1:13" x14ac:dyDescent="0.25">
      <c r="A111" s="4">
        <f>ЛИК_дляСкорингаДП!A111</f>
        <v>1135001007041</v>
      </c>
      <c r="B111" s="4">
        <f>ЛИК_дляСкорингаДП!B111</f>
        <v>5001097019</v>
      </c>
      <c r="C111" s="4" t="str">
        <f>ЛИК_дляСкорингаДП!C111</f>
        <v>ООО "ИНФОРМАЦИОННЫЕ СЕТИ"</v>
      </c>
      <c r="D111" s="5" t="str">
        <f>ЛИК_дляСкорингаДП!M111</f>
        <v>Деятельность по созданию и использованию баз данных и информационных ресурсов</v>
      </c>
      <c r="E111" s="4" t="str">
        <f>ЛИК_дляСкорингаДП!L111</f>
        <v>63.11.1</v>
      </c>
      <c r="F111" t="str">
        <f>ЛИК_дляСкорингаДП!N111</f>
        <v>62.01,62.02,62.09,63.11,63.11.1,64.99,64.99.11,64.99.12,66.19,69.10,69.20,70.10.1,70.10.2,70.22,73.11,95.11</v>
      </c>
      <c r="G111" s="25" t="str">
        <f>ЛИК_дляСкорингаДП!AG111</f>
        <v>ОСН</v>
      </c>
      <c r="H111" s="55" t="str">
        <f>IF(ISNUMBER(E111),E111,
IFERROR(LEFT(E111,FIND(".",E111)-1),E111))</f>
        <v>63</v>
      </c>
      <c r="I111" s="30">
        <f>IF(COUNTIF(Справочник_ОКВЭД_НР!$A$3:$A$62,H111)&gt;0,Справочник_ОКВЭД_НР!$L$8,
 IF(COUNTIF(Справочник_ОКВЭД_НР!$C$3:$C$62,H111)&gt;0,Справочник_ОКВЭД_НР!$L$9,
  IF(COUNTIF(Справочник_ОКВЭД_НР!$E$3:$E$62,H111)&gt;0,Справочник_ОКВЭД_НР!$L$10,
   IF(COUNTIF(Справочник_ОКВЭД_НР!$G$3:$G$62,H111)&gt;0,Справочник_ОКВЭД_НР!$L$11,50))))</f>
        <v>100</v>
      </c>
      <c r="J111" s="30" cm="1">
        <f t="array" ref="J111">IFERROR(
 (SUMPRODUCT(ISNUMBER(SEARCH(","&amp;Справочник_ОКВЭД_НР!$A$3:$A$62&amp;".",","&amp;SUBSTITUTE(F111," ","")&amp;",")))*Справочник_ОКВЭД_НР!$L$9 +
  SUMPRODUCT(ISNUMBER(SEARCH(","&amp;Справочник_ОКВЭД_НР!$C$3:$C$62&amp;".",","&amp;SUBSTITUTE(F111," ","")&amp;",")))*Справочник_ОКВЭД_НР!$L$10 +
  SUMPRODUCT(ISNUMBER(SEARCH(","&amp;Справочник_ОКВЭД_НР!$E$3:$E$62&amp;".",","&amp;SUBSTITUTE(F111," ","")&amp;",")))*Справочник_ОКВЭД_НР!$L$11 +
  SUMPRODUCT(ISNUMBER(SEARCH(","&amp;Справочник_ОКВЭД_НР!$G$3:$G$62&amp;".",","&amp;SUBSTITUTE(F111," ","")&amp;",")))*Справочник_ОКВЭД_НР!$L$12) /
 (SUMPRODUCT(ISNUMBER(SEARCH(","&amp;Справочник_ОКВЭД_НР!$A$3:$A$62&amp;".",","&amp;SUBSTITUTE(F111," ","")&amp;","))) +
  SUMPRODUCT(ISNUMBER(SEARCH(","&amp;Справочник_ОКВЭД_НР!$C$3:$C$62&amp;".",","&amp;SUBSTITUTE(F111," ","")&amp;","))) +
  SUMPRODUCT(ISNUMBER(SEARCH(","&amp;Справочник_ОКВЭД_НР!$E$3:$E$62&amp;".",","&amp;SUBSTITUTE(F111," ","")&amp;","))) +
  SUMPRODUCT(ISNUMBER(SEARCH(","&amp;Справочник_ОКВЭД_НР!$G$3:$G$62&amp;".",","&amp;SUBSTITUTE(F111," ","")&amp;",")))),
50)</f>
        <v>50</v>
      </c>
      <c r="K111" s="30">
        <f>IFERROR(VLOOKUP(G111,Справочник_ОКВЭД_НР!$O:$P,2,FALSE()),50)</f>
        <v>100</v>
      </c>
      <c r="L111" s="45">
        <f>(I111*Справочник_ОКВЭД_НР!$L$2+J111*Справочник_ОКВЭД_НР!$L$3+K111*Справочник_ОКВЭД_НР!$L$4)*M111</f>
        <v>87.5</v>
      </c>
      <c r="M111" s="47">
        <f>IF(COUNTIF(Справочник_ОКВЭД_НР!$G$3:$G$62,H111)&gt;0,0,1)</f>
        <v>1</v>
      </c>
    </row>
    <row r="112" spans="1:13" x14ac:dyDescent="0.25">
      <c r="A112" s="4">
        <f>ЛИК_дляСкорингаДП!A112</f>
        <v>1215000036723</v>
      </c>
      <c r="B112" s="4">
        <f>ЛИК_дляСкорингаДП!B112</f>
        <v>5007112792</v>
      </c>
      <c r="C112" s="4" t="str">
        <f>ЛИК_дляСкорингаДП!C112</f>
        <v>ООО "ГЕК"</v>
      </c>
      <c r="D112" s="5" t="str">
        <f>ЛИК_дляСкорингаДП!M112</f>
        <v>Производство мыла и моющих средств, чистящих и полирующих средств</v>
      </c>
      <c r="E112" s="4" t="str">
        <f>ЛИК_дляСкорингаДП!L112</f>
        <v>20.41.3</v>
      </c>
      <c r="F112" t="str">
        <f>ЛИК_дляСкорингаДП!N112</f>
        <v>20.41.2,20.42,46.44.2,46.45.1,46.45.2,49.41.2,68.20.2,68.32.2,69.10,69.20.2,70.22,71.11.1,73.20.1,77.11,77.33.1,77.39.1,77.39.29,77.40,81.22,81.29.9</v>
      </c>
      <c r="G112" s="25" t="str">
        <f>ЛИК_дляСкорингаДП!AG112</f>
        <v>ОСН</v>
      </c>
      <c r="H112" s="55" t="str">
        <f>IF(ISNUMBER(E112),E112,
IFERROR(LEFT(E112,FIND(".",E112)-1),E112))</f>
        <v>20</v>
      </c>
      <c r="I112" s="30">
        <f>IF(COUNTIF(Справочник_ОКВЭД_НР!$A$3:$A$62,H112)&gt;0,Справочник_ОКВЭД_НР!$L$8,
 IF(COUNTIF(Справочник_ОКВЭД_НР!$C$3:$C$62,H112)&gt;0,Справочник_ОКВЭД_НР!$L$9,
  IF(COUNTIF(Справочник_ОКВЭД_НР!$E$3:$E$62,H112)&gt;0,Справочник_ОКВЭД_НР!$L$10,
   IF(COUNTIF(Справочник_ОКВЭД_НР!$G$3:$G$62,H112)&gt;0,Справочник_ОКВЭД_НР!$L$11,50))))</f>
        <v>60</v>
      </c>
      <c r="J112" s="30" cm="1">
        <f t="array" ref="J112">IFERROR(
 (SUMPRODUCT(ISNUMBER(SEARCH(","&amp;Справочник_ОКВЭД_НР!$A$3:$A$62&amp;".",","&amp;SUBSTITUTE(F112," ","")&amp;",")))*Справочник_ОКВЭД_НР!$L$9 +
  SUMPRODUCT(ISNUMBER(SEARCH(","&amp;Справочник_ОКВЭД_НР!$C$3:$C$62&amp;".",","&amp;SUBSTITUTE(F112," ","")&amp;",")))*Справочник_ОКВЭД_НР!$L$10 +
  SUMPRODUCT(ISNUMBER(SEARCH(","&amp;Справочник_ОКВЭД_НР!$E$3:$E$62&amp;".",","&amp;SUBSTITUTE(F112," ","")&amp;",")))*Справочник_ОКВЭД_НР!$L$11 +
  SUMPRODUCT(ISNUMBER(SEARCH(","&amp;Справочник_ОКВЭД_НР!$G$3:$G$62&amp;".",","&amp;SUBSTITUTE(F112," ","")&amp;",")))*Справочник_ОКВЭД_НР!$L$12) /
 (SUMPRODUCT(ISNUMBER(SEARCH(","&amp;Справочник_ОКВЭД_НР!$A$3:$A$62&amp;".",","&amp;SUBSTITUTE(F112," ","")&amp;","))) +
  SUMPRODUCT(ISNUMBER(SEARCH(","&amp;Справочник_ОКВЭД_НР!$C$3:$C$62&amp;".",","&amp;SUBSTITUTE(F112," ","")&amp;","))) +
  SUMPRODUCT(ISNUMBER(SEARCH(","&amp;Справочник_ОКВЭД_НР!$E$3:$E$62&amp;".",","&amp;SUBSTITUTE(F112," ","")&amp;","))) +
  SUMPRODUCT(ISNUMBER(SEARCH(","&amp;Справочник_ОКВЭД_НР!$G$3:$G$62&amp;".",","&amp;SUBSTITUTE(F112," ","")&amp;",")))),
50)</f>
        <v>50</v>
      </c>
      <c r="K112" s="30">
        <f>IFERROR(VLOOKUP(G112,Справочник_ОКВЭД_НР!$O:$P,2,FALSE()),50)</f>
        <v>100</v>
      </c>
      <c r="L112" s="45">
        <f>(I112*Справочник_ОКВЭД_НР!$L$2+J112*Справочник_ОКВЭД_НР!$L$3+K112*Справочник_ОКВЭД_НР!$L$4)*M112</f>
        <v>63.5</v>
      </c>
      <c r="M112" s="47">
        <f>IF(COUNTIF(Справочник_ОКВЭД_НР!$G$3:$G$62,H112)&gt;0,0,1)</f>
        <v>1</v>
      </c>
    </row>
    <row r="113" spans="1:13" x14ac:dyDescent="0.25">
      <c r="A113" s="4">
        <f>ЛИК_дляСкорингаДП!A113</f>
        <v>1217700286154</v>
      </c>
      <c r="B113" s="4">
        <f>ЛИК_дляСкорингаДП!B113</f>
        <v>9703037811</v>
      </c>
      <c r="C113" s="4" t="str">
        <f>ЛИК_дляСкорингаДП!C113</f>
        <v>ООО "ФАРЛАНОС ИНТЕРПРАЙЗИС ЛТД"</v>
      </c>
      <c r="D113" s="5" t="str">
        <f>ЛИК_дляСкорингаДП!M113</f>
        <v>Аренда и управление собственным или арендованным нежилым недвижимым имуществом</v>
      </c>
      <c r="E113" s="4" t="str">
        <f>ЛИК_дляСкорингаДП!L113</f>
        <v>68.20.2</v>
      </c>
      <c r="F113" t="str">
        <f>ЛИК_дляСкорингаДП!N113</f>
        <v>41.10,41.20,68.10.22,68.20.1,68.31.22,96.09</v>
      </c>
      <c r="G113" s="25" t="str">
        <f>ЛИК_дляСкорингаДП!AG113</f>
        <v>ОСН</v>
      </c>
      <c r="H113" s="55" t="str">
        <f>IF(ISNUMBER(E113),E113,
IFERROR(LEFT(E113,FIND(".",E113)-1),E113))</f>
        <v>68</v>
      </c>
      <c r="I113" s="30">
        <f>IF(COUNTIF(Справочник_ОКВЭД_НР!$A$3:$A$62,H113)&gt;0,Справочник_ОКВЭД_НР!$L$8,
 IF(COUNTIF(Справочник_ОКВЭД_НР!$C$3:$C$62,H113)&gt;0,Справочник_ОКВЭД_НР!$L$9,
  IF(COUNTIF(Справочник_ОКВЭД_НР!$E$3:$E$62,H113)&gt;0,Справочник_ОКВЭД_НР!$L$10,
   IF(COUNTIF(Справочник_ОКВЭД_НР!$G$3:$G$62,H113)&gt;0,Справочник_ОКВЭД_НР!$L$11,50))))</f>
        <v>100</v>
      </c>
      <c r="J113" s="30" cm="1">
        <f t="array" ref="J113">IFERROR(
 (SUMPRODUCT(ISNUMBER(SEARCH(","&amp;Справочник_ОКВЭД_НР!$A$3:$A$62&amp;".",","&amp;SUBSTITUTE(F113," ","")&amp;",")))*Справочник_ОКВЭД_НР!$L$9 +
  SUMPRODUCT(ISNUMBER(SEARCH(","&amp;Справочник_ОКВЭД_НР!$C$3:$C$62&amp;".",","&amp;SUBSTITUTE(F113," ","")&amp;",")))*Справочник_ОКВЭД_НР!$L$10 +
  SUMPRODUCT(ISNUMBER(SEARCH(","&amp;Справочник_ОКВЭД_НР!$E$3:$E$62&amp;".",","&amp;SUBSTITUTE(F113," ","")&amp;",")))*Справочник_ОКВЭД_НР!$L$11 +
  SUMPRODUCT(ISNUMBER(SEARCH(","&amp;Справочник_ОКВЭД_НР!$G$3:$G$62&amp;".",","&amp;SUBSTITUTE(F113," ","")&amp;",")))*Справочник_ОКВЭД_НР!$L$12) /
 (SUMPRODUCT(ISNUMBER(SEARCH(","&amp;Справочник_ОКВЭД_НР!$A$3:$A$62&amp;".",","&amp;SUBSTITUTE(F113," ","")&amp;","))) +
  SUMPRODUCT(ISNUMBER(SEARCH(","&amp;Справочник_ОКВЭД_НР!$C$3:$C$62&amp;".",","&amp;SUBSTITUTE(F113," ","")&amp;","))) +
  SUMPRODUCT(ISNUMBER(SEARCH(","&amp;Справочник_ОКВЭД_НР!$E$3:$E$62&amp;".",","&amp;SUBSTITUTE(F113," ","")&amp;","))) +
  SUMPRODUCT(ISNUMBER(SEARCH(","&amp;Справочник_ОКВЭД_НР!$G$3:$G$62&amp;".",","&amp;SUBSTITUTE(F113," ","")&amp;",")))),
50)</f>
        <v>50</v>
      </c>
      <c r="K113" s="30">
        <f>IFERROR(VLOOKUP(G113,Справочник_ОКВЭД_НР!$O:$P,2,FALSE()),50)</f>
        <v>100</v>
      </c>
      <c r="L113" s="45">
        <f>(I113*Справочник_ОКВЭД_НР!$L$2+J113*Справочник_ОКВЭД_НР!$L$3+K113*Справочник_ОКВЭД_НР!$L$4)*M113</f>
        <v>87.5</v>
      </c>
      <c r="M113" s="47">
        <f>IF(COUNTIF(Справочник_ОКВЭД_НР!$G$3:$G$62,H113)&gt;0,0,1)</f>
        <v>1</v>
      </c>
    </row>
    <row r="114" spans="1:13" x14ac:dyDescent="0.25">
      <c r="A114" s="4">
        <f>ЛИК_дляСкорингаДП!A114</f>
        <v>5067746134990</v>
      </c>
      <c r="B114" s="4">
        <f>ЛИК_дляСкорингаДП!B114</f>
        <v>7710640128</v>
      </c>
      <c r="C114" s="4" t="str">
        <f>ЛИК_дляСкорингаДП!C114</f>
        <v>АО "НОВАЯ РЕДАКЦИЯ"</v>
      </c>
      <c r="D114" s="5" t="str">
        <f>ЛИК_дляСкорингаДП!M114</f>
        <v>Аренда и управление собственным или арендованным нежилым недвижимым имуществом</v>
      </c>
      <c r="E114" s="4" t="str">
        <f>ЛИК_дляСкорингаДП!L114</f>
        <v>68.20.2</v>
      </c>
      <c r="F114" t="str">
        <f>ЛИК_дляСкорингаДП!N114</f>
        <v>18.11,18.12,18.13,18.14,58.13,58.14,58.19,68.10.22,68.10.23,68.20.1,68.32.1,68.32.2,73.11</v>
      </c>
      <c r="G114" s="25" t="str">
        <f>ЛИК_дляСкорингаДП!AG114</f>
        <v>ОСН</v>
      </c>
      <c r="H114" s="55" t="str">
        <f>IF(ISNUMBER(E114),E114,
IFERROR(LEFT(E114,FIND(".",E114)-1),E114))</f>
        <v>68</v>
      </c>
      <c r="I114" s="30">
        <f>IF(COUNTIF(Справочник_ОКВЭД_НР!$A$3:$A$62,H114)&gt;0,Справочник_ОКВЭД_НР!$L$8,
 IF(COUNTIF(Справочник_ОКВЭД_НР!$C$3:$C$62,H114)&gt;0,Справочник_ОКВЭД_НР!$L$9,
  IF(COUNTIF(Справочник_ОКВЭД_НР!$E$3:$E$62,H114)&gt;0,Справочник_ОКВЭД_НР!$L$10,
   IF(COUNTIF(Справочник_ОКВЭД_НР!$G$3:$G$62,H114)&gt;0,Справочник_ОКВЭД_НР!$L$11,50))))</f>
        <v>100</v>
      </c>
      <c r="J114" s="30" cm="1">
        <f t="array" ref="J114">IFERROR(
 (SUMPRODUCT(ISNUMBER(SEARCH(","&amp;Справочник_ОКВЭД_НР!$A$3:$A$62&amp;".",","&amp;SUBSTITUTE(F114," ","")&amp;",")))*Справочник_ОКВЭД_НР!$L$9 +
  SUMPRODUCT(ISNUMBER(SEARCH(","&amp;Справочник_ОКВЭД_НР!$C$3:$C$62&amp;".",","&amp;SUBSTITUTE(F114," ","")&amp;",")))*Справочник_ОКВЭД_НР!$L$10 +
  SUMPRODUCT(ISNUMBER(SEARCH(","&amp;Справочник_ОКВЭД_НР!$E$3:$E$62&amp;".",","&amp;SUBSTITUTE(F114," ","")&amp;",")))*Справочник_ОКВЭД_НР!$L$11 +
  SUMPRODUCT(ISNUMBER(SEARCH(","&amp;Справочник_ОКВЭД_НР!$G$3:$G$62&amp;".",","&amp;SUBSTITUTE(F114," ","")&amp;",")))*Справочник_ОКВЭД_НР!$L$12) /
 (SUMPRODUCT(ISNUMBER(SEARCH(","&amp;Справочник_ОКВЭД_НР!$A$3:$A$62&amp;".",","&amp;SUBSTITUTE(F114," ","")&amp;","))) +
  SUMPRODUCT(ISNUMBER(SEARCH(","&amp;Справочник_ОКВЭД_НР!$C$3:$C$62&amp;".",","&amp;SUBSTITUTE(F114," ","")&amp;","))) +
  SUMPRODUCT(ISNUMBER(SEARCH(","&amp;Справочник_ОКВЭД_НР!$E$3:$E$62&amp;".",","&amp;SUBSTITUTE(F114," ","")&amp;","))) +
  SUMPRODUCT(ISNUMBER(SEARCH(","&amp;Справочник_ОКВЭД_НР!$G$3:$G$62&amp;".",","&amp;SUBSTITUTE(F114," ","")&amp;",")))),
50)</f>
        <v>50</v>
      </c>
      <c r="K114" s="30">
        <f>IFERROR(VLOOKUP(G114,Справочник_ОКВЭД_НР!$O:$P,2,FALSE()),50)</f>
        <v>100</v>
      </c>
      <c r="L114" s="45">
        <f>(I114*Справочник_ОКВЭД_НР!$L$2+J114*Справочник_ОКВЭД_НР!$L$3+K114*Справочник_ОКВЭД_НР!$L$4)*M114</f>
        <v>87.5</v>
      </c>
      <c r="M114" s="47">
        <f>IF(COUNTIF(Справочник_ОКВЭД_НР!$G$3:$G$62,H114)&gt;0,0,1)</f>
        <v>1</v>
      </c>
    </row>
    <row r="115" spans="1:13" x14ac:dyDescent="0.25">
      <c r="A115" s="4">
        <f>ЛИК_дляСкорингаДП!A115</f>
        <v>1037739851995</v>
      </c>
      <c r="B115" s="4">
        <f>ЛИК_дляСкорингаДП!B115</f>
        <v>7701500702</v>
      </c>
      <c r="C115" s="4" t="str">
        <f>ЛИК_дляСкорингаДП!C115</f>
        <v>ООО  "ЕДИНАЯ ЕВРОПА"</v>
      </c>
      <c r="D115" s="5" t="str">
        <f>ЛИК_дляСкорингаДП!M115</f>
        <v>Консультирование по вопросам коммерческой деятельности и управления</v>
      </c>
      <c r="E115" s="4" t="str">
        <f>ЛИК_дляСкорингаДП!L115</f>
        <v>70.22</v>
      </c>
      <c r="F115" t="str">
        <f>ЛИК_дляСкорингаДП!N115</f>
        <v>64.20,64.99.11,64.99.3,68.31.12,68.31.32,68.32,69.10,69.20.2,69.20.3,70.10.2</v>
      </c>
      <c r="G115" s="25" t="str">
        <f>ЛИК_дляСкорингаДП!AG115</f>
        <v>ОСН</v>
      </c>
      <c r="H115" s="55" t="str">
        <f>IF(ISNUMBER(E115),E115,
IFERROR(LEFT(E115,FIND(".",E115)-1),E115))</f>
        <v>70</v>
      </c>
      <c r="I115" s="30">
        <f>IF(COUNTIF(Справочник_ОКВЭД_НР!$A$3:$A$62,H115)&gt;0,Справочник_ОКВЭД_НР!$L$8,
 IF(COUNTIF(Справочник_ОКВЭД_НР!$C$3:$C$62,H115)&gt;0,Справочник_ОКВЭД_НР!$L$9,
  IF(COUNTIF(Справочник_ОКВЭД_НР!$E$3:$E$62,H115)&gt;0,Справочник_ОКВЭД_НР!$L$10,
   IF(COUNTIF(Справочник_ОКВЭД_НР!$G$3:$G$62,H115)&gt;0,Справочник_ОКВЭД_НР!$L$11,50))))</f>
        <v>60</v>
      </c>
      <c r="J115" s="30" cm="1">
        <f t="array" ref="J115">IFERROR(
 (SUMPRODUCT(ISNUMBER(SEARCH(","&amp;Справочник_ОКВЭД_НР!$A$3:$A$62&amp;".",","&amp;SUBSTITUTE(F115," ","")&amp;",")))*Справочник_ОКВЭД_НР!$L$9 +
  SUMPRODUCT(ISNUMBER(SEARCH(","&amp;Справочник_ОКВЭД_НР!$C$3:$C$62&amp;".",","&amp;SUBSTITUTE(F115," ","")&amp;",")))*Справочник_ОКВЭД_НР!$L$10 +
  SUMPRODUCT(ISNUMBER(SEARCH(","&amp;Справочник_ОКВЭД_НР!$E$3:$E$62&amp;".",","&amp;SUBSTITUTE(F115," ","")&amp;",")))*Справочник_ОКВЭД_НР!$L$11 +
  SUMPRODUCT(ISNUMBER(SEARCH(","&amp;Справочник_ОКВЭД_НР!$G$3:$G$62&amp;".",","&amp;SUBSTITUTE(F115," ","")&amp;",")))*Справочник_ОКВЭД_НР!$L$12) /
 (SUMPRODUCT(ISNUMBER(SEARCH(","&amp;Справочник_ОКВЭД_НР!$A$3:$A$62&amp;".",","&amp;SUBSTITUTE(F115," ","")&amp;","))) +
  SUMPRODUCT(ISNUMBER(SEARCH(","&amp;Справочник_ОКВЭД_НР!$C$3:$C$62&amp;".",","&amp;SUBSTITUTE(F115," ","")&amp;","))) +
  SUMPRODUCT(ISNUMBER(SEARCH(","&amp;Справочник_ОКВЭД_НР!$E$3:$E$62&amp;".",","&amp;SUBSTITUTE(F115," ","")&amp;","))) +
  SUMPRODUCT(ISNUMBER(SEARCH(","&amp;Справочник_ОКВЭД_НР!$G$3:$G$62&amp;".",","&amp;SUBSTITUTE(F115," ","")&amp;",")))),
50)</f>
        <v>50</v>
      </c>
      <c r="K115" s="30">
        <f>IFERROR(VLOOKUP(G115,Справочник_ОКВЭД_НР!$O:$P,2,FALSE()),50)</f>
        <v>100</v>
      </c>
      <c r="L115" s="45">
        <f>(I115*Справочник_ОКВЭД_НР!$L$2+J115*Справочник_ОКВЭД_НР!$L$3+K115*Справочник_ОКВЭД_НР!$L$4)*M115</f>
        <v>63.5</v>
      </c>
      <c r="M115" s="47">
        <f>IF(COUNTIF(Справочник_ОКВЭД_НР!$G$3:$G$62,H115)&gt;0,0,1)</f>
        <v>1</v>
      </c>
    </row>
    <row r="116" spans="1:13" x14ac:dyDescent="0.25">
      <c r="A116" s="4">
        <f>ЛИК_дляСкорингаДП!A116</f>
        <v>1097746344222</v>
      </c>
      <c r="B116" s="4">
        <f>ЛИК_дляСкорингаДП!B116</f>
        <v>7715762120</v>
      </c>
      <c r="C116" s="4" t="str">
        <f>ЛИК_дляСкорингаДП!C116</f>
        <v>ООО ИК "АЛГОРИТМ"</v>
      </c>
      <c r="D116" s="5" t="str">
        <f>ЛИК_дляСкорингаДП!M116</f>
        <v>Торговля оптовая молочными продуктами, яйцами и пищевыми маслами и жирами</v>
      </c>
      <c r="E116" s="4" t="str">
        <f>ЛИК_дляСкорингаДП!L116</f>
        <v>46.33</v>
      </c>
      <c r="F116" t="str">
        <f>ЛИК_дляСкорингаДП!N116</f>
        <v>46.11,46.12,46.17,46.31,46.71,47.11,47.24,47.25.2,47.29,47.99,52.10,68.10,68.20</v>
      </c>
      <c r="G116" s="25" t="str">
        <f>ЛИК_дляСкорингаДП!AG116</f>
        <v>ОСН</v>
      </c>
      <c r="H116" s="55" t="str">
        <f>IF(ISNUMBER(E116),E116,
IFERROR(LEFT(E116,FIND(".",E116)-1),E116))</f>
        <v>46</v>
      </c>
      <c r="I116" s="30">
        <f>IF(COUNTIF(Справочник_ОКВЭД_НР!$A$3:$A$62,H116)&gt;0,Справочник_ОКВЭД_НР!$L$8,
 IF(COUNTIF(Справочник_ОКВЭД_НР!$C$3:$C$62,H116)&gt;0,Справочник_ОКВЭД_НР!$L$9,
  IF(COUNTIF(Справочник_ОКВЭД_НР!$E$3:$E$62,H116)&gt;0,Справочник_ОКВЭД_НР!$L$10,
   IF(COUNTIF(Справочник_ОКВЭД_НР!$G$3:$G$62,H116)&gt;0,Справочник_ОКВЭД_НР!$L$11,50))))</f>
        <v>60</v>
      </c>
      <c r="J116" s="30" cm="1">
        <f t="array" ref="J116">IFERROR(
 (SUMPRODUCT(ISNUMBER(SEARCH(","&amp;Справочник_ОКВЭД_НР!$A$3:$A$62&amp;".",","&amp;SUBSTITUTE(F116," ","")&amp;",")))*Справочник_ОКВЭД_НР!$L$9 +
  SUMPRODUCT(ISNUMBER(SEARCH(","&amp;Справочник_ОКВЭД_НР!$C$3:$C$62&amp;".",","&amp;SUBSTITUTE(F116," ","")&amp;",")))*Справочник_ОКВЭД_НР!$L$10 +
  SUMPRODUCT(ISNUMBER(SEARCH(","&amp;Справочник_ОКВЭД_НР!$E$3:$E$62&amp;".",","&amp;SUBSTITUTE(F116," ","")&amp;",")))*Справочник_ОКВЭД_НР!$L$11 +
  SUMPRODUCT(ISNUMBER(SEARCH(","&amp;Справочник_ОКВЭД_НР!$G$3:$G$62&amp;".",","&amp;SUBSTITUTE(F116," ","")&amp;",")))*Справочник_ОКВЭД_НР!$L$12) /
 (SUMPRODUCT(ISNUMBER(SEARCH(","&amp;Справочник_ОКВЭД_НР!$A$3:$A$62&amp;".",","&amp;SUBSTITUTE(F116," ","")&amp;","))) +
  SUMPRODUCT(ISNUMBER(SEARCH(","&amp;Справочник_ОКВЭД_НР!$C$3:$C$62&amp;".",","&amp;SUBSTITUTE(F116," ","")&amp;","))) +
  SUMPRODUCT(ISNUMBER(SEARCH(","&amp;Справочник_ОКВЭД_НР!$E$3:$E$62&amp;".",","&amp;SUBSTITUTE(F116," ","")&amp;","))) +
  SUMPRODUCT(ISNUMBER(SEARCH(","&amp;Справочник_ОКВЭД_НР!$G$3:$G$62&amp;".",","&amp;SUBSTITUTE(F116," ","")&amp;",")))),
50)</f>
        <v>50</v>
      </c>
      <c r="K116" s="30">
        <f>IFERROR(VLOOKUP(G116,Справочник_ОКВЭД_НР!$O:$P,2,FALSE()),50)</f>
        <v>100</v>
      </c>
      <c r="L116" s="45">
        <f>(I116*Справочник_ОКВЭД_НР!$L$2+J116*Справочник_ОКВЭД_НР!$L$3+K116*Справочник_ОКВЭД_НР!$L$4)*M116</f>
        <v>63.5</v>
      </c>
      <c r="M116" s="47">
        <f>IF(COUNTIF(Справочник_ОКВЭД_НР!$G$3:$G$62,H116)&gt;0,0,1)</f>
        <v>1</v>
      </c>
    </row>
    <row r="117" spans="1:13" x14ac:dyDescent="0.25">
      <c r="A117" s="4">
        <f>ЛИК_дляСкорингаДП!A117</f>
        <v>5137746201467</v>
      </c>
      <c r="B117" s="4">
        <f>ЛИК_дляСкорингаДП!B117</f>
        <v>7734714587</v>
      </c>
      <c r="C117" s="4" t="str">
        <f>ЛИК_дляСкорингаДП!C117</f>
        <v>ООО "МЕРИДИУМ"</v>
      </c>
      <c r="D117" s="5" t="str">
        <f>ЛИК_дляСкорингаДП!M117</f>
        <v>Аренда и управление собственным или арендованным нежилым недвижимым имуществом</v>
      </c>
      <c r="E117" s="4" t="str">
        <f>ЛИК_дляСкорингаДП!L117</f>
        <v>68.20.2</v>
      </c>
      <c r="F117" t="str">
        <f>ЛИК_дляСкорингаДП!N117</f>
        <v>64.99,66.12.2,68.10,68.32,70.22,73.20.1,82.99</v>
      </c>
      <c r="G117" s="25" t="str">
        <f>ЛИК_дляСкорингаДП!AG117</f>
        <v>ОСН</v>
      </c>
      <c r="H117" s="55" t="str">
        <f>IF(ISNUMBER(E117),E117,
IFERROR(LEFT(E117,FIND(".",E117)-1),E117))</f>
        <v>68</v>
      </c>
      <c r="I117" s="30">
        <f>IF(COUNTIF(Справочник_ОКВЭД_НР!$A$3:$A$62,H117)&gt;0,Справочник_ОКВЭД_НР!$L$8,
 IF(COUNTIF(Справочник_ОКВЭД_НР!$C$3:$C$62,H117)&gt;0,Справочник_ОКВЭД_НР!$L$9,
  IF(COUNTIF(Справочник_ОКВЭД_НР!$E$3:$E$62,H117)&gt;0,Справочник_ОКВЭД_НР!$L$10,
   IF(COUNTIF(Справочник_ОКВЭД_НР!$G$3:$G$62,H117)&gt;0,Справочник_ОКВЭД_НР!$L$11,50))))</f>
        <v>100</v>
      </c>
      <c r="J117" s="30" cm="1">
        <f t="array" ref="J117">IFERROR(
 (SUMPRODUCT(ISNUMBER(SEARCH(","&amp;Справочник_ОКВЭД_НР!$A$3:$A$62&amp;".",","&amp;SUBSTITUTE(F117," ","")&amp;",")))*Справочник_ОКВЭД_НР!$L$9 +
  SUMPRODUCT(ISNUMBER(SEARCH(","&amp;Справочник_ОКВЭД_НР!$C$3:$C$62&amp;".",","&amp;SUBSTITUTE(F117," ","")&amp;",")))*Справочник_ОКВЭД_НР!$L$10 +
  SUMPRODUCT(ISNUMBER(SEARCH(","&amp;Справочник_ОКВЭД_НР!$E$3:$E$62&amp;".",","&amp;SUBSTITUTE(F117," ","")&amp;",")))*Справочник_ОКВЭД_НР!$L$11 +
  SUMPRODUCT(ISNUMBER(SEARCH(","&amp;Справочник_ОКВЭД_НР!$G$3:$G$62&amp;".",","&amp;SUBSTITUTE(F117," ","")&amp;",")))*Справочник_ОКВЭД_НР!$L$12) /
 (SUMPRODUCT(ISNUMBER(SEARCH(","&amp;Справочник_ОКВЭД_НР!$A$3:$A$62&amp;".",","&amp;SUBSTITUTE(F117," ","")&amp;","))) +
  SUMPRODUCT(ISNUMBER(SEARCH(","&amp;Справочник_ОКВЭД_НР!$C$3:$C$62&amp;".",","&amp;SUBSTITUTE(F117," ","")&amp;","))) +
  SUMPRODUCT(ISNUMBER(SEARCH(","&amp;Справочник_ОКВЭД_НР!$E$3:$E$62&amp;".",","&amp;SUBSTITUTE(F117," ","")&amp;","))) +
  SUMPRODUCT(ISNUMBER(SEARCH(","&amp;Справочник_ОКВЭД_НР!$G$3:$G$62&amp;".",","&amp;SUBSTITUTE(F117," ","")&amp;",")))),
50)</f>
        <v>50</v>
      </c>
      <c r="K117" s="30">
        <f>IFERROR(VLOOKUP(G117,Справочник_ОКВЭД_НР!$O:$P,2,FALSE()),50)</f>
        <v>100</v>
      </c>
      <c r="L117" s="45">
        <f>(I117*Справочник_ОКВЭД_НР!$L$2+J117*Справочник_ОКВЭД_НР!$L$3+K117*Справочник_ОКВЭД_НР!$L$4)*M117</f>
        <v>87.5</v>
      </c>
      <c r="M117" s="47">
        <f>IF(COUNTIF(Справочник_ОКВЭД_НР!$G$3:$G$62,H117)&gt;0,0,1)</f>
        <v>1</v>
      </c>
    </row>
    <row r="118" spans="1:13" x14ac:dyDescent="0.25">
      <c r="A118" s="4">
        <f>ЛИК_дляСкорингаДП!A118</f>
        <v>1027700420076</v>
      </c>
      <c r="B118" s="4">
        <f>ЛИК_дляСкорингаДП!B118</f>
        <v>7710430219</v>
      </c>
      <c r="C118" s="4" t="str">
        <f>ЛИК_дляСкорингаДП!C118</f>
        <v>ООО "МК "СЕМЕЙНЫЙ ДОКТОР"</v>
      </c>
      <c r="D118" s="5" t="str">
        <f>ЛИК_дляСкорингаДП!M118</f>
        <v>Общая врачебная практика</v>
      </c>
      <c r="E118" s="4" t="str">
        <f>ЛИК_дляСкорингаДП!L118</f>
        <v>86.21</v>
      </c>
      <c r="F118" t="str">
        <f>ЛИК_дляСкорингаДП!N118</f>
        <v>86.21</v>
      </c>
      <c r="G118" s="25" t="str">
        <f>ЛИК_дляСкорингаДП!AG118</f>
        <v>ОСН</v>
      </c>
      <c r="H118" s="55" t="str">
        <f>IF(ISNUMBER(E118),E118,
IFERROR(LEFT(E118,FIND(".",E118)-1),E118))</f>
        <v>86</v>
      </c>
      <c r="I118" s="30">
        <f>IF(COUNTIF(Справочник_ОКВЭД_НР!$A$3:$A$62,H118)&gt;0,Справочник_ОКВЭД_НР!$L$8,
 IF(COUNTIF(Справочник_ОКВЭД_НР!$C$3:$C$62,H118)&gt;0,Справочник_ОКВЭД_НР!$L$9,
  IF(COUNTIF(Справочник_ОКВЭД_НР!$E$3:$E$62,H118)&gt;0,Справочник_ОКВЭД_НР!$L$10,
   IF(COUNTIF(Справочник_ОКВЭД_НР!$G$3:$G$62,H118)&gt;0,Справочник_ОКВЭД_НР!$L$11,50))))</f>
        <v>100</v>
      </c>
      <c r="J118" s="30" cm="1">
        <f t="array" ref="J118">IFERROR(
 (SUMPRODUCT(ISNUMBER(SEARCH(","&amp;Справочник_ОКВЭД_НР!$A$3:$A$62&amp;".",","&amp;SUBSTITUTE(F118," ","")&amp;",")))*Справочник_ОКВЭД_НР!$L$9 +
  SUMPRODUCT(ISNUMBER(SEARCH(","&amp;Справочник_ОКВЭД_НР!$C$3:$C$62&amp;".",","&amp;SUBSTITUTE(F118," ","")&amp;",")))*Справочник_ОКВЭД_НР!$L$10 +
  SUMPRODUCT(ISNUMBER(SEARCH(","&amp;Справочник_ОКВЭД_НР!$E$3:$E$62&amp;".",","&amp;SUBSTITUTE(F118," ","")&amp;",")))*Справочник_ОКВЭД_НР!$L$11 +
  SUMPRODUCT(ISNUMBER(SEARCH(","&amp;Справочник_ОКВЭД_НР!$G$3:$G$62&amp;".",","&amp;SUBSTITUTE(F118," ","")&amp;",")))*Справочник_ОКВЭД_НР!$L$12) /
 (SUMPRODUCT(ISNUMBER(SEARCH(","&amp;Справочник_ОКВЭД_НР!$A$3:$A$62&amp;".",","&amp;SUBSTITUTE(F118," ","")&amp;","))) +
  SUMPRODUCT(ISNUMBER(SEARCH(","&amp;Справочник_ОКВЭД_НР!$C$3:$C$62&amp;".",","&amp;SUBSTITUTE(F118," ","")&amp;","))) +
  SUMPRODUCT(ISNUMBER(SEARCH(","&amp;Справочник_ОКВЭД_НР!$E$3:$E$62&amp;".",","&amp;SUBSTITUTE(F118," ","")&amp;","))) +
  SUMPRODUCT(ISNUMBER(SEARCH(","&amp;Справочник_ОКВЭД_НР!$G$3:$G$62&amp;".",","&amp;SUBSTITUTE(F118," ","")&amp;",")))),
50)</f>
        <v>50</v>
      </c>
      <c r="K118" s="30">
        <f>IFERROR(VLOOKUP(G118,Справочник_ОКВЭД_НР!$O:$P,2,FALSE()),50)</f>
        <v>100</v>
      </c>
      <c r="L118" s="45">
        <f>(I118*Справочник_ОКВЭД_НР!$L$2+J118*Справочник_ОКВЭД_НР!$L$3+K118*Справочник_ОКВЭД_НР!$L$4)*M118</f>
        <v>87.5</v>
      </c>
      <c r="M118" s="47">
        <f>IF(COUNTIF(Справочник_ОКВЭД_НР!$G$3:$G$62,H118)&gt;0,0,1)</f>
        <v>1</v>
      </c>
    </row>
    <row r="119" spans="1:13" x14ac:dyDescent="0.25">
      <c r="A119" s="4">
        <f>ЛИК_дляСкорингаДП!A119</f>
        <v>1075003010334</v>
      </c>
      <c r="B119" s="4">
        <f>ЛИК_дляСкорингаДП!B119</f>
        <v>5003073060</v>
      </c>
      <c r="C119" s="4" t="str">
        <f>ЛИК_дляСкорингаДП!C119</f>
        <v>ООО "АЗОРЕС ИНВЕСТ"</v>
      </c>
      <c r="D119" s="5" t="str">
        <f>ЛИК_дляСкорингаДП!M119</f>
        <v>Торговля оптовая химическими продуктами</v>
      </c>
      <c r="E119" s="4" t="str">
        <f>ЛИК_дляСкорингаДП!L119</f>
        <v>46.75</v>
      </c>
      <c r="F119" t="str">
        <f>ЛИК_дляСкорингаДП!N119</f>
        <v>45.11,45.19,45.31,45.32,46.73,46.90,68.10,68.20,68.31,68.32,77.11,77.12</v>
      </c>
      <c r="G119" s="25" t="str">
        <f>ЛИК_дляСкорингаДП!AG119</f>
        <v>ОСН</v>
      </c>
      <c r="H119" s="55" t="str">
        <f>IF(ISNUMBER(E119),E119,
IFERROR(LEFT(E119,FIND(".",E119)-1),E119))</f>
        <v>46</v>
      </c>
      <c r="I119" s="30">
        <f>IF(COUNTIF(Справочник_ОКВЭД_НР!$A$3:$A$62,H119)&gt;0,Справочник_ОКВЭД_НР!$L$8,
 IF(COUNTIF(Справочник_ОКВЭД_НР!$C$3:$C$62,H119)&gt;0,Справочник_ОКВЭД_НР!$L$9,
  IF(COUNTIF(Справочник_ОКВЭД_НР!$E$3:$E$62,H119)&gt;0,Справочник_ОКВЭД_НР!$L$10,
   IF(COUNTIF(Справочник_ОКВЭД_НР!$G$3:$G$62,H119)&gt;0,Справочник_ОКВЭД_НР!$L$11,50))))</f>
        <v>60</v>
      </c>
      <c r="J119" s="30" cm="1">
        <f t="array" ref="J119">IFERROR(
 (SUMPRODUCT(ISNUMBER(SEARCH(","&amp;Справочник_ОКВЭД_НР!$A$3:$A$62&amp;".",","&amp;SUBSTITUTE(F119," ","")&amp;",")))*Справочник_ОКВЭД_НР!$L$9 +
  SUMPRODUCT(ISNUMBER(SEARCH(","&amp;Справочник_ОКВЭД_НР!$C$3:$C$62&amp;".",","&amp;SUBSTITUTE(F119," ","")&amp;",")))*Справочник_ОКВЭД_НР!$L$10 +
  SUMPRODUCT(ISNUMBER(SEARCH(","&amp;Справочник_ОКВЭД_НР!$E$3:$E$62&amp;".",","&amp;SUBSTITUTE(F119," ","")&amp;",")))*Справочник_ОКВЭД_НР!$L$11 +
  SUMPRODUCT(ISNUMBER(SEARCH(","&amp;Справочник_ОКВЭД_НР!$G$3:$G$62&amp;".",","&amp;SUBSTITUTE(F119," ","")&amp;",")))*Справочник_ОКВЭД_НР!$L$12) /
 (SUMPRODUCT(ISNUMBER(SEARCH(","&amp;Справочник_ОКВЭД_НР!$A$3:$A$62&amp;".",","&amp;SUBSTITUTE(F119," ","")&amp;","))) +
  SUMPRODUCT(ISNUMBER(SEARCH(","&amp;Справочник_ОКВЭД_НР!$C$3:$C$62&amp;".",","&amp;SUBSTITUTE(F119," ","")&amp;","))) +
  SUMPRODUCT(ISNUMBER(SEARCH(","&amp;Справочник_ОКВЭД_НР!$E$3:$E$62&amp;".",","&amp;SUBSTITUTE(F119," ","")&amp;","))) +
  SUMPRODUCT(ISNUMBER(SEARCH(","&amp;Справочник_ОКВЭД_НР!$G$3:$G$62&amp;".",","&amp;SUBSTITUTE(F119," ","")&amp;",")))),
50)</f>
        <v>50</v>
      </c>
      <c r="K119" s="30">
        <f>IFERROR(VLOOKUP(G119,Справочник_ОКВЭД_НР!$O:$P,2,FALSE()),50)</f>
        <v>100</v>
      </c>
      <c r="L119" s="45">
        <f>(I119*Справочник_ОКВЭД_НР!$L$2+J119*Справочник_ОКВЭД_НР!$L$3+K119*Справочник_ОКВЭД_НР!$L$4)*M119</f>
        <v>63.5</v>
      </c>
      <c r="M119" s="47">
        <f>IF(COUNTIF(Справочник_ОКВЭД_НР!$G$3:$G$62,H119)&gt;0,0,1)</f>
        <v>1</v>
      </c>
    </row>
    <row r="120" spans="1:13" x14ac:dyDescent="0.25">
      <c r="A120" s="4">
        <f>ЛИК_дляСкорингаДП!A120</f>
        <v>1075029002707</v>
      </c>
      <c r="B120" s="4">
        <f>ЛИК_дляСкорингаДП!B120</f>
        <v>5029098943</v>
      </c>
      <c r="C120" s="4" t="str">
        <f>ЛИК_дляСкорингаДП!C120</f>
        <v>ООО "НЬЮ ПОЙНТ"</v>
      </c>
      <c r="D120" s="5" t="str">
        <f>ЛИК_дляСкорингаДП!M120</f>
        <v>Аренда и управление собственным или арендованным нежилым недвижимым имуществом</v>
      </c>
      <c r="E120" s="4" t="str">
        <f>ЛИК_дляСкорингаДП!L120</f>
        <v>68.20.2</v>
      </c>
      <c r="F120" t="str">
        <f>ЛИК_дляСкорингаДП!N120</f>
        <v>68.10</v>
      </c>
      <c r="G120" s="25" t="str">
        <f>ЛИК_дляСкорингаДП!AG120</f>
        <v>ОСН</v>
      </c>
      <c r="H120" s="55" t="str">
        <f>IF(ISNUMBER(E120),E120,
IFERROR(LEFT(E120,FIND(".",E120)-1),E120))</f>
        <v>68</v>
      </c>
      <c r="I120" s="30">
        <f>IF(COUNTIF(Справочник_ОКВЭД_НР!$A$3:$A$62,H120)&gt;0,Справочник_ОКВЭД_НР!$L$8,
 IF(COUNTIF(Справочник_ОКВЭД_НР!$C$3:$C$62,H120)&gt;0,Справочник_ОКВЭД_НР!$L$9,
  IF(COUNTIF(Справочник_ОКВЭД_НР!$E$3:$E$62,H120)&gt;0,Справочник_ОКВЭД_НР!$L$10,
   IF(COUNTIF(Справочник_ОКВЭД_НР!$G$3:$G$62,H120)&gt;0,Справочник_ОКВЭД_НР!$L$11,50))))</f>
        <v>100</v>
      </c>
      <c r="J120" s="30" cm="1">
        <f t="array" ref="J120">IFERROR(
 (SUMPRODUCT(ISNUMBER(SEARCH(","&amp;Справочник_ОКВЭД_НР!$A$3:$A$62&amp;".",","&amp;SUBSTITUTE(F120," ","")&amp;",")))*Справочник_ОКВЭД_НР!$L$9 +
  SUMPRODUCT(ISNUMBER(SEARCH(","&amp;Справочник_ОКВЭД_НР!$C$3:$C$62&amp;".",","&amp;SUBSTITUTE(F120," ","")&amp;",")))*Справочник_ОКВЭД_НР!$L$10 +
  SUMPRODUCT(ISNUMBER(SEARCH(","&amp;Справочник_ОКВЭД_НР!$E$3:$E$62&amp;".",","&amp;SUBSTITUTE(F120," ","")&amp;",")))*Справочник_ОКВЭД_НР!$L$11 +
  SUMPRODUCT(ISNUMBER(SEARCH(","&amp;Справочник_ОКВЭД_НР!$G$3:$G$62&amp;".",","&amp;SUBSTITUTE(F120," ","")&amp;",")))*Справочник_ОКВЭД_НР!$L$12) /
 (SUMPRODUCT(ISNUMBER(SEARCH(","&amp;Справочник_ОКВЭД_НР!$A$3:$A$62&amp;".",","&amp;SUBSTITUTE(F120," ","")&amp;","))) +
  SUMPRODUCT(ISNUMBER(SEARCH(","&amp;Справочник_ОКВЭД_НР!$C$3:$C$62&amp;".",","&amp;SUBSTITUTE(F120," ","")&amp;","))) +
  SUMPRODUCT(ISNUMBER(SEARCH(","&amp;Справочник_ОКВЭД_НР!$E$3:$E$62&amp;".",","&amp;SUBSTITUTE(F120," ","")&amp;","))) +
  SUMPRODUCT(ISNUMBER(SEARCH(","&amp;Справочник_ОКВЭД_НР!$G$3:$G$62&amp;".",","&amp;SUBSTITUTE(F120," ","")&amp;",")))),
50)</f>
        <v>50</v>
      </c>
      <c r="K120" s="30">
        <f>IFERROR(VLOOKUP(G120,Справочник_ОКВЭД_НР!$O:$P,2,FALSE()),50)</f>
        <v>100</v>
      </c>
      <c r="L120" s="45">
        <f>(I120*Справочник_ОКВЭД_НР!$L$2+J120*Справочник_ОКВЭД_НР!$L$3+K120*Справочник_ОКВЭД_НР!$L$4)*M120</f>
        <v>87.5</v>
      </c>
      <c r="M120" s="47">
        <f>IF(COUNTIF(Справочник_ОКВЭД_НР!$G$3:$G$62,H120)&gt;0,0,1)</f>
        <v>1</v>
      </c>
    </row>
    <row r="121" spans="1:13" x14ac:dyDescent="0.25">
      <c r="A121" s="4">
        <f>ЛИК_дляСкорингаДП!A121</f>
        <v>5147746250890</v>
      </c>
      <c r="B121" s="4">
        <f>ЛИК_дляСкорингаДП!B121</f>
        <v>7704877746</v>
      </c>
      <c r="C121" s="4" t="str">
        <f>ЛИК_дляСкорингаДП!C121</f>
        <v>ООО "ГЕРБАРИУМ ОФИС МЕНЕДЖМЕНТ"</v>
      </c>
      <c r="D121" s="5" t="str">
        <f>ЛИК_дляСкорингаДП!M121</f>
        <v>Аренда и управление собственным или арендованным прочим нежилым недвижимым имуществом</v>
      </c>
      <c r="E121" s="4" t="str">
        <f>ЛИК_дляСкорингаДП!L121</f>
        <v>68.20.29</v>
      </c>
      <c r="F121" t="str">
        <f>ЛИК_дляСкорингаДП!N121</f>
        <v>64.99,64.99.11,64.99.3,68.10,68.10.1,68.20,68.31.2,68.32,82.30</v>
      </c>
      <c r="G121" s="25" t="str">
        <f>ЛИК_дляСкорингаДП!AG121</f>
        <v>ОСН</v>
      </c>
      <c r="H121" s="55" t="str">
        <f>IF(ISNUMBER(E121),E121,
IFERROR(LEFT(E121,FIND(".",E121)-1),E121))</f>
        <v>68</v>
      </c>
      <c r="I121" s="30">
        <f>IF(COUNTIF(Справочник_ОКВЭД_НР!$A$3:$A$62,H121)&gt;0,Справочник_ОКВЭД_НР!$L$8,
 IF(COUNTIF(Справочник_ОКВЭД_НР!$C$3:$C$62,H121)&gt;0,Справочник_ОКВЭД_НР!$L$9,
  IF(COUNTIF(Справочник_ОКВЭД_НР!$E$3:$E$62,H121)&gt;0,Справочник_ОКВЭД_НР!$L$10,
   IF(COUNTIF(Справочник_ОКВЭД_НР!$G$3:$G$62,H121)&gt;0,Справочник_ОКВЭД_НР!$L$11,50))))</f>
        <v>100</v>
      </c>
      <c r="J121" s="30" cm="1">
        <f t="array" ref="J121">IFERROR(
 (SUMPRODUCT(ISNUMBER(SEARCH(","&amp;Справочник_ОКВЭД_НР!$A$3:$A$62&amp;".",","&amp;SUBSTITUTE(F121," ","")&amp;",")))*Справочник_ОКВЭД_НР!$L$9 +
  SUMPRODUCT(ISNUMBER(SEARCH(","&amp;Справочник_ОКВЭД_НР!$C$3:$C$62&amp;".",","&amp;SUBSTITUTE(F121," ","")&amp;",")))*Справочник_ОКВЭД_НР!$L$10 +
  SUMPRODUCT(ISNUMBER(SEARCH(","&amp;Справочник_ОКВЭД_НР!$E$3:$E$62&amp;".",","&amp;SUBSTITUTE(F121," ","")&amp;",")))*Справочник_ОКВЭД_НР!$L$11 +
  SUMPRODUCT(ISNUMBER(SEARCH(","&amp;Справочник_ОКВЭД_НР!$G$3:$G$62&amp;".",","&amp;SUBSTITUTE(F121," ","")&amp;",")))*Справочник_ОКВЭД_НР!$L$12) /
 (SUMPRODUCT(ISNUMBER(SEARCH(","&amp;Справочник_ОКВЭД_НР!$A$3:$A$62&amp;".",","&amp;SUBSTITUTE(F121," ","")&amp;","))) +
  SUMPRODUCT(ISNUMBER(SEARCH(","&amp;Справочник_ОКВЭД_НР!$C$3:$C$62&amp;".",","&amp;SUBSTITUTE(F121," ","")&amp;","))) +
  SUMPRODUCT(ISNUMBER(SEARCH(","&amp;Справочник_ОКВЭД_НР!$E$3:$E$62&amp;".",","&amp;SUBSTITUTE(F121," ","")&amp;","))) +
  SUMPRODUCT(ISNUMBER(SEARCH(","&amp;Справочник_ОКВЭД_НР!$G$3:$G$62&amp;".",","&amp;SUBSTITUTE(F121," ","")&amp;",")))),
50)</f>
        <v>50</v>
      </c>
      <c r="K121" s="30">
        <f>IFERROR(VLOOKUP(G121,Справочник_ОКВЭД_НР!$O:$P,2,FALSE()),50)</f>
        <v>100</v>
      </c>
      <c r="L121" s="45">
        <f>(I121*Справочник_ОКВЭД_НР!$L$2+J121*Справочник_ОКВЭД_НР!$L$3+K121*Справочник_ОКВЭД_НР!$L$4)*M121</f>
        <v>87.5</v>
      </c>
      <c r="M121" s="47">
        <f>IF(COUNTIF(Справочник_ОКВЭД_НР!$G$3:$G$62,H121)&gt;0,0,1)</f>
        <v>1</v>
      </c>
    </row>
    <row r="122" spans="1:13" x14ac:dyDescent="0.25">
      <c r="A122" s="4">
        <f>ЛИК_дляСкорингаДП!A122</f>
        <v>1075003010290</v>
      </c>
      <c r="B122" s="4">
        <f>ЛИК_дляСкорингаДП!B122</f>
        <v>5003073006</v>
      </c>
      <c r="C122" s="4" t="str">
        <f>ЛИК_дляСкорингаДП!C122</f>
        <v>ООО "БАКАЛЬДРИН РУС"</v>
      </c>
      <c r="D122" s="5" t="str">
        <f>ЛИК_дляСкорингаДП!M122</f>
        <v>Торговля оптовая прочими пищевыми продуктами, включая рыбу, ракообразных и моллюсков</v>
      </c>
      <c r="E122" s="4" t="str">
        <f>ЛИК_дляСкорингаДП!L122</f>
        <v>46.38</v>
      </c>
      <c r="F122" t="str">
        <f>ЛИК_дляСкорингаДП!N122</f>
        <v>10.71,10.72,10.89,28.93,33.12,46.36.2,46.36.3,46.36.4,46.38.29,46.69.4,46.69.9,46.90,68.20.2</v>
      </c>
      <c r="G122" s="25" t="str">
        <f>ЛИК_дляСкорингаДП!AG122</f>
        <v>ОСН</v>
      </c>
      <c r="H122" s="55" t="str">
        <f>IF(ISNUMBER(E122),E122,
IFERROR(LEFT(E122,FIND(".",E122)-1),E122))</f>
        <v>46</v>
      </c>
      <c r="I122" s="30">
        <f>IF(COUNTIF(Справочник_ОКВЭД_НР!$A$3:$A$62,H122)&gt;0,Справочник_ОКВЭД_НР!$L$8,
 IF(COUNTIF(Справочник_ОКВЭД_НР!$C$3:$C$62,H122)&gt;0,Справочник_ОКВЭД_НР!$L$9,
  IF(COUNTIF(Справочник_ОКВЭД_НР!$E$3:$E$62,H122)&gt;0,Справочник_ОКВЭД_НР!$L$10,
   IF(COUNTIF(Справочник_ОКВЭД_НР!$G$3:$G$62,H122)&gt;0,Справочник_ОКВЭД_НР!$L$11,50))))</f>
        <v>60</v>
      </c>
      <c r="J122" s="30" cm="1">
        <f t="array" ref="J122">IFERROR(
 (SUMPRODUCT(ISNUMBER(SEARCH(","&amp;Справочник_ОКВЭД_НР!$A$3:$A$62&amp;".",","&amp;SUBSTITUTE(F122," ","")&amp;",")))*Справочник_ОКВЭД_НР!$L$9 +
  SUMPRODUCT(ISNUMBER(SEARCH(","&amp;Справочник_ОКВЭД_НР!$C$3:$C$62&amp;".",","&amp;SUBSTITUTE(F122," ","")&amp;",")))*Справочник_ОКВЭД_НР!$L$10 +
  SUMPRODUCT(ISNUMBER(SEARCH(","&amp;Справочник_ОКВЭД_НР!$E$3:$E$62&amp;".",","&amp;SUBSTITUTE(F122," ","")&amp;",")))*Справочник_ОКВЭД_НР!$L$11 +
  SUMPRODUCT(ISNUMBER(SEARCH(","&amp;Справочник_ОКВЭД_НР!$G$3:$G$62&amp;".",","&amp;SUBSTITUTE(F122," ","")&amp;",")))*Справочник_ОКВЭД_НР!$L$12) /
 (SUMPRODUCT(ISNUMBER(SEARCH(","&amp;Справочник_ОКВЭД_НР!$A$3:$A$62&amp;".",","&amp;SUBSTITUTE(F122," ","")&amp;","))) +
  SUMPRODUCT(ISNUMBER(SEARCH(","&amp;Справочник_ОКВЭД_НР!$C$3:$C$62&amp;".",","&amp;SUBSTITUTE(F122," ","")&amp;","))) +
  SUMPRODUCT(ISNUMBER(SEARCH(","&amp;Справочник_ОКВЭД_НР!$E$3:$E$62&amp;".",","&amp;SUBSTITUTE(F122," ","")&amp;","))) +
  SUMPRODUCT(ISNUMBER(SEARCH(","&amp;Справочник_ОКВЭД_НР!$G$3:$G$62&amp;".",","&amp;SUBSTITUTE(F122," ","")&amp;",")))),
50)</f>
        <v>50</v>
      </c>
      <c r="K122" s="30">
        <f>IFERROR(VLOOKUP(G122,Справочник_ОКВЭД_НР!$O:$P,2,FALSE()),50)</f>
        <v>100</v>
      </c>
      <c r="L122" s="45">
        <f>(I122*Справочник_ОКВЭД_НР!$L$2+J122*Справочник_ОКВЭД_НР!$L$3+K122*Справочник_ОКВЭД_НР!$L$4)*M122</f>
        <v>63.5</v>
      </c>
      <c r="M122" s="47">
        <f>IF(COUNTIF(Справочник_ОКВЭД_НР!$G$3:$G$62,H122)&gt;0,0,1)</f>
        <v>1</v>
      </c>
    </row>
    <row r="123" spans="1:13" x14ac:dyDescent="0.25">
      <c r="A123" s="4">
        <f>ЛИК_дляСкорингаДП!A123</f>
        <v>1075004000070</v>
      </c>
      <c r="B123" s="4">
        <f>ЛИК_дляСкорингаДП!B123</f>
        <v>5071004963</v>
      </c>
      <c r="C123" s="4" t="str">
        <f>ЛИК_дляСкорингаДП!C123</f>
        <v>АО "СОВХОЗ ИМЕНИ КИРОВА"</v>
      </c>
      <c r="D123" s="5" t="str">
        <f>ЛИК_дляСкорингаДП!M123</f>
        <v>Производство сырого коровьего молока</v>
      </c>
      <c r="E123" s="4" t="str">
        <f>ЛИК_дляСкорингаДП!L123</f>
        <v>01.41.21</v>
      </c>
      <c r="F123" t="str">
        <f>ЛИК_дляСкорингаДП!N123</f>
        <v>01.11.1,10.51.3,10.51.9,47.11,68.20.29,01.1,01.2,01.4,01.41,01.49.1,10.1,10.5,10.9,16.10.2,41.2,43.2,46.2,46.3,46.4,47.1,47.25,47.29.1,47.29.11,47.29.2,47.29.3,47.65,47.75,47.8,49.4,56.10,56.10.1,56.10.3,68.1,68.2</v>
      </c>
      <c r="G123" s="25" t="str">
        <f>ЛИК_дляСкорингаДП!AG123</f>
        <v>ОСН</v>
      </c>
      <c r="H123" s="55" t="str">
        <f>IF(ISNUMBER(E123),E123,
IFERROR(LEFT(E123,FIND(".",E123)-1),E123))</f>
        <v>01</v>
      </c>
      <c r="I123" s="30">
        <f>IF(COUNTIF(Справочник_ОКВЭД_НР!$A$3:$A$62,H123)&gt;0,Справочник_ОКВЭД_НР!$L$8,
 IF(COUNTIF(Справочник_ОКВЭД_НР!$C$3:$C$62,H123)&gt;0,Справочник_ОКВЭД_НР!$L$9,
  IF(COUNTIF(Справочник_ОКВЭД_НР!$E$3:$E$62,H123)&gt;0,Справочник_ОКВЭД_НР!$L$10,
   IF(COUNTIF(Справочник_ОКВЭД_НР!$G$3:$G$62,H123)&gt;0,Справочник_ОКВЭД_НР!$L$11,50))))</f>
        <v>60</v>
      </c>
      <c r="J123" s="30" cm="1">
        <f t="array" ref="J123">IFERROR(
 (SUMPRODUCT(ISNUMBER(SEARCH(","&amp;Справочник_ОКВЭД_НР!$A$3:$A$62&amp;".",","&amp;SUBSTITUTE(F123," ","")&amp;",")))*Справочник_ОКВЭД_НР!$L$9 +
  SUMPRODUCT(ISNUMBER(SEARCH(","&amp;Справочник_ОКВЭД_НР!$C$3:$C$62&amp;".",","&amp;SUBSTITUTE(F123," ","")&amp;",")))*Справочник_ОКВЭД_НР!$L$10 +
  SUMPRODUCT(ISNUMBER(SEARCH(","&amp;Справочник_ОКВЭД_НР!$E$3:$E$62&amp;".",","&amp;SUBSTITUTE(F123," ","")&amp;",")))*Справочник_ОКВЭД_НР!$L$11 +
  SUMPRODUCT(ISNUMBER(SEARCH(","&amp;Справочник_ОКВЭД_НР!$G$3:$G$62&amp;".",","&amp;SUBSTITUTE(F123," ","")&amp;",")))*Справочник_ОКВЭД_НР!$L$12) /
 (SUMPRODUCT(ISNUMBER(SEARCH(","&amp;Справочник_ОКВЭД_НР!$A$3:$A$62&amp;".",","&amp;SUBSTITUTE(F123," ","")&amp;","))) +
  SUMPRODUCT(ISNUMBER(SEARCH(","&amp;Справочник_ОКВЭД_НР!$C$3:$C$62&amp;".",","&amp;SUBSTITUTE(F123," ","")&amp;","))) +
  SUMPRODUCT(ISNUMBER(SEARCH(","&amp;Справочник_ОКВЭД_НР!$E$3:$E$62&amp;".",","&amp;SUBSTITUTE(F123," ","")&amp;","))) +
  SUMPRODUCT(ISNUMBER(SEARCH(","&amp;Справочник_ОКВЭД_НР!$G$3:$G$62&amp;".",","&amp;SUBSTITUTE(F123," ","")&amp;",")))),
50)</f>
        <v>50</v>
      </c>
      <c r="K123" s="30">
        <f>IFERROR(VLOOKUP(G123,Справочник_ОКВЭД_НР!$O:$P,2,FALSE()),50)</f>
        <v>100</v>
      </c>
      <c r="L123" s="45">
        <f>(I123*Справочник_ОКВЭД_НР!$L$2+J123*Справочник_ОКВЭД_НР!$L$3+K123*Справочник_ОКВЭД_НР!$L$4)*M123</f>
        <v>63.5</v>
      </c>
      <c r="M123" s="47">
        <f>IF(COUNTIF(Справочник_ОКВЭД_НР!$G$3:$G$62,H123)&gt;0,0,1)</f>
        <v>1</v>
      </c>
    </row>
    <row r="124" spans="1:13" x14ac:dyDescent="0.25">
      <c r="A124" s="4">
        <f>ЛИК_дляСкорингаДП!A124</f>
        <v>5157746021043</v>
      </c>
      <c r="B124" s="4">
        <f>ЛИК_дляСкорингаДП!B124</f>
        <v>7723416596</v>
      </c>
      <c r="C124" s="4" t="str">
        <f>ЛИК_дляСкорингаДП!C124</f>
        <v>ООО "РЯБИНОВАЯ"</v>
      </c>
      <c r="D124" s="5" t="str">
        <f>ЛИК_дляСкорингаДП!M124</f>
        <v>Прочие виды полиграфической деятельности</v>
      </c>
      <c r="E124" s="4" t="str">
        <f>ЛИК_дляСкорингаДП!L124</f>
        <v>18.12</v>
      </c>
      <c r="F124" t="str">
        <f>ЛИК_дляСкорингаДП!N124</f>
        <v>45.1,45.20,45.3,46.17,46.18,46.19,46.41,46.41.2,46.42,46.43,46.44,46.45,46.49,46.62,46.63,46.69,46.77,47.11,47.29,49.3,49.32,49.4,52.10,52.21,52.24,52.29,55.10,55.20,55.30,55.90,56.10.1,62.01,62.02,62.09,63.11,63.11.1,68.10.1,68.20,68.31,68.32,69.20,70.10.1,70.10.2,70.22,71.1,71.12.5,71.12.6,73.11,74.30,77.11,77.29,77.32,77.33,77.39.1,77.39.2,78.10,79.11,81.22,81.29.9,82.19,82.92,82.99,95.11</v>
      </c>
      <c r="G124" s="25" t="str">
        <f>ЛИК_дляСкорингаДП!AG124</f>
        <v>ОСН</v>
      </c>
      <c r="H124" s="55" t="str">
        <f>IF(ISNUMBER(E124),E124,
IFERROR(LEFT(E124,FIND(".",E124)-1),E124))</f>
        <v>18</v>
      </c>
      <c r="I124" s="30">
        <f>IF(COUNTIF(Справочник_ОКВЭД_НР!$A$3:$A$62,H124)&gt;0,Справочник_ОКВЭД_НР!$L$8,
 IF(COUNTIF(Справочник_ОКВЭД_НР!$C$3:$C$62,H124)&gt;0,Справочник_ОКВЭД_НР!$L$9,
  IF(COUNTIF(Справочник_ОКВЭД_НР!$E$3:$E$62,H124)&gt;0,Справочник_ОКВЭД_НР!$L$10,
   IF(COUNTIF(Справочник_ОКВЭД_НР!$G$3:$G$62,H124)&gt;0,Справочник_ОКВЭД_НР!$L$11,50))))</f>
        <v>30</v>
      </c>
      <c r="J124" s="30" cm="1">
        <f t="array" ref="J124">IFERROR(
 (SUMPRODUCT(ISNUMBER(SEARCH(","&amp;Справочник_ОКВЭД_НР!$A$3:$A$62&amp;".",","&amp;SUBSTITUTE(F124," ","")&amp;",")))*Справочник_ОКВЭД_НР!$L$9 +
  SUMPRODUCT(ISNUMBER(SEARCH(","&amp;Справочник_ОКВЭД_НР!$C$3:$C$62&amp;".",","&amp;SUBSTITUTE(F124," ","")&amp;",")))*Справочник_ОКВЭД_НР!$L$10 +
  SUMPRODUCT(ISNUMBER(SEARCH(","&amp;Справочник_ОКВЭД_НР!$E$3:$E$62&amp;".",","&amp;SUBSTITUTE(F124," ","")&amp;",")))*Справочник_ОКВЭД_НР!$L$11 +
  SUMPRODUCT(ISNUMBER(SEARCH(","&amp;Справочник_ОКВЭД_НР!$G$3:$G$62&amp;".",","&amp;SUBSTITUTE(F124," ","")&amp;",")))*Справочник_ОКВЭД_НР!$L$12) /
 (SUMPRODUCT(ISNUMBER(SEARCH(","&amp;Справочник_ОКВЭД_НР!$A$3:$A$62&amp;".",","&amp;SUBSTITUTE(F124," ","")&amp;","))) +
  SUMPRODUCT(ISNUMBER(SEARCH(","&amp;Справочник_ОКВЭД_НР!$C$3:$C$62&amp;".",","&amp;SUBSTITUTE(F124," ","")&amp;","))) +
  SUMPRODUCT(ISNUMBER(SEARCH(","&amp;Справочник_ОКВЭД_НР!$E$3:$E$62&amp;".",","&amp;SUBSTITUTE(F124," ","")&amp;","))) +
  SUMPRODUCT(ISNUMBER(SEARCH(","&amp;Справочник_ОКВЭД_НР!$G$3:$G$62&amp;".",","&amp;SUBSTITUTE(F124," ","")&amp;",")))),
50)</f>
        <v>50</v>
      </c>
      <c r="K124" s="30">
        <f>IFERROR(VLOOKUP(G124,Справочник_ОКВЭД_НР!$O:$P,2,FALSE()),50)</f>
        <v>100</v>
      </c>
      <c r="L124" s="45">
        <f>(I124*Справочник_ОКВЭД_НР!$L$2+J124*Справочник_ОКВЭД_НР!$L$3+K124*Справочник_ОКВЭД_НР!$L$4)*M124</f>
        <v>45.5</v>
      </c>
      <c r="M124" s="47">
        <f>IF(COUNTIF(Справочник_ОКВЭД_НР!$G$3:$G$62,H124)&gt;0,0,1)</f>
        <v>1</v>
      </c>
    </row>
    <row r="125" spans="1:13" x14ac:dyDescent="0.25">
      <c r="A125" s="4">
        <f>ЛИК_дляСкорингаДП!A125</f>
        <v>5167746197108</v>
      </c>
      <c r="B125" s="4">
        <f>ЛИК_дляСкорингаДП!B125</f>
        <v>7708301833</v>
      </c>
      <c r="C125" s="4" t="str">
        <f>ЛИК_дляСкорингаДП!C125</f>
        <v>ООО "ЦЕНТР АКТИВОВ"</v>
      </c>
      <c r="D125" s="5" t="str">
        <f>ЛИК_дляСкорингаДП!M125</f>
        <v>Деятельность по комплексному обслуживанию помещений</v>
      </c>
      <c r="E125" s="4" t="str">
        <f>ЛИК_дляСкорингаДП!L125</f>
        <v>81.10</v>
      </c>
      <c r="F125" t="str">
        <f>ЛИК_дляСкорингаДП!N125</f>
        <v>64.20,64.99.11,64.99.3,68.10,68.10.23,68.32,70.10,70.10.2,70.22,73.20,81.29</v>
      </c>
      <c r="G125" s="25" t="str">
        <f>ЛИК_дляСкорингаДП!AG125</f>
        <v>ОСН</v>
      </c>
      <c r="H125" s="55" t="str">
        <f>IF(ISNUMBER(E125),E125,
IFERROR(LEFT(E125,FIND(".",E125)-1),E125))</f>
        <v>81</v>
      </c>
      <c r="I125" s="30">
        <f>IF(COUNTIF(Справочник_ОКВЭД_НР!$A$3:$A$62,H125)&gt;0,Справочник_ОКВЭД_НР!$L$8,
 IF(COUNTIF(Справочник_ОКВЭД_НР!$C$3:$C$62,H125)&gt;0,Справочник_ОКВЭД_НР!$L$9,
  IF(COUNTIF(Справочник_ОКВЭД_НР!$E$3:$E$62,H125)&gt;0,Справочник_ОКВЭД_НР!$L$10,
   IF(COUNTIF(Справочник_ОКВЭД_НР!$G$3:$G$62,H125)&gt;0,Справочник_ОКВЭД_НР!$L$11,50))))</f>
        <v>30</v>
      </c>
      <c r="J125" s="30" cm="1">
        <f t="array" ref="J125">IFERROR(
 (SUMPRODUCT(ISNUMBER(SEARCH(","&amp;Справочник_ОКВЭД_НР!$A$3:$A$62&amp;".",","&amp;SUBSTITUTE(F125," ","")&amp;",")))*Справочник_ОКВЭД_НР!$L$9 +
  SUMPRODUCT(ISNUMBER(SEARCH(","&amp;Справочник_ОКВЭД_НР!$C$3:$C$62&amp;".",","&amp;SUBSTITUTE(F125," ","")&amp;",")))*Справочник_ОКВЭД_НР!$L$10 +
  SUMPRODUCT(ISNUMBER(SEARCH(","&amp;Справочник_ОКВЭД_НР!$E$3:$E$62&amp;".",","&amp;SUBSTITUTE(F125," ","")&amp;",")))*Справочник_ОКВЭД_НР!$L$11 +
  SUMPRODUCT(ISNUMBER(SEARCH(","&amp;Справочник_ОКВЭД_НР!$G$3:$G$62&amp;".",","&amp;SUBSTITUTE(F125," ","")&amp;",")))*Справочник_ОКВЭД_НР!$L$12) /
 (SUMPRODUCT(ISNUMBER(SEARCH(","&amp;Справочник_ОКВЭД_НР!$A$3:$A$62&amp;".",","&amp;SUBSTITUTE(F125," ","")&amp;","))) +
  SUMPRODUCT(ISNUMBER(SEARCH(","&amp;Справочник_ОКВЭД_НР!$C$3:$C$62&amp;".",","&amp;SUBSTITUTE(F125," ","")&amp;","))) +
  SUMPRODUCT(ISNUMBER(SEARCH(","&amp;Справочник_ОКВЭД_НР!$E$3:$E$62&amp;".",","&amp;SUBSTITUTE(F125," ","")&amp;","))) +
  SUMPRODUCT(ISNUMBER(SEARCH(","&amp;Справочник_ОКВЭД_НР!$G$3:$G$62&amp;".",","&amp;SUBSTITUTE(F125," ","")&amp;",")))),
50)</f>
        <v>50</v>
      </c>
      <c r="K125" s="30">
        <f>IFERROR(VLOOKUP(G125,Справочник_ОКВЭД_НР!$O:$P,2,FALSE()),50)</f>
        <v>100</v>
      </c>
      <c r="L125" s="45">
        <f>(I125*Справочник_ОКВЭД_НР!$L$2+J125*Справочник_ОКВЭД_НР!$L$3+K125*Справочник_ОКВЭД_НР!$L$4)*M125</f>
        <v>45.5</v>
      </c>
      <c r="M125" s="47">
        <f>IF(COUNTIF(Справочник_ОКВЭД_НР!$G$3:$G$62,H125)&gt;0,0,1)</f>
        <v>1</v>
      </c>
    </row>
    <row r="126" spans="1:13" x14ac:dyDescent="0.25">
      <c r="A126" s="4">
        <f>ЛИК_дляСкорингаДП!A126</f>
        <v>1027703024733</v>
      </c>
      <c r="B126" s="4">
        <f>ЛИК_дляСкорингаДП!B126</f>
        <v>7703363177</v>
      </c>
      <c r="C126" s="4" t="str">
        <f>ЛИК_дляСкорингаДП!C126</f>
        <v>ООО "АТБ ЛК"</v>
      </c>
      <c r="D126" s="5" t="str">
        <f>ЛИК_дляСкорингаДП!M126</f>
        <v>Деятельность по финансовой аренде (лизингу/сублизингу) в прочих областях, кроме племенных животных</v>
      </c>
      <c r="E126" s="4" t="str">
        <f>ЛИК_дляСкорингаДП!L126</f>
        <v>64.91.2</v>
      </c>
      <c r="F126" t="str">
        <f>ЛИК_дляСкорингаДП!N126</f>
        <v>45.11.2,45.11.3,45.19.2,45.19.3,64.91,64.99.5,68.10.11,68.10.12,68.10.21,68.10.22,68.20.1,68.20.2</v>
      </c>
      <c r="G126" s="25" t="str">
        <f>ЛИК_дляСкорингаДП!AG126</f>
        <v>ОСН</v>
      </c>
      <c r="H126" s="55" t="str">
        <f>IF(ISNUMBER(E126),E126,
IFERROR(LEFT(E126,FIND(".",E126)-1),E126))</f>
        <v>64</v>
      </c>
      <c r="I126" s="30">
        <f>IF(COUNTIF(Справочник_ОКВЭД_НР!$A$3:$A$62,H126)&gt;0,Справочник_ОКВЭД_НР!$L$8,
 IF(COUNTIF(Справочник_ОКВЭД_НР!$C$3:$C$62,H126)&gt;0,Справочник_ОКВЭД_НР!$L$9,
  IF(COUNTIF(Справочник_ОКВЭД_НР!$E$3:$E$62,H126)&gt;0,Справочник_ОКВЭД_НР!$L$10,
   IF(COUNTIF(Справочник_ОКВЭД_НР!$G$3:$G$62,H126)&gt;0,Справочник_ОКВЭД_НР!$L$11,50))))</f>
        <v>60</v>
      </c>
      <c r="J126" s="30" cm="1">
        <f t="array" ref="J126">IFERROR(
 (SUMPRODUCT(ISNUMBER(SEARCH(","&amp;Справочник_ОКВЭД_НР!$A$3:$A$62&amp;".",","&amp;SUBSTITUTE(F126," ","")&amp;",")))*Справочник_ОКВЭД_НР!$L$9 +
  SUMPRODUCT(ISNUMBER(SEARCH(","&amp;Справочник_ОКВЭД_НР!$C$3:$C$62&amp;".",","&amp;SUBSTITUTE(F126," ","")&amp;",")))*Справочник_ОКВЭД_НР!$L$10 +
  SUMPRODUCT(ISNUMBER(SEARCH(","&amp;Справочник_ОКВЭД_НР!$E$3:$E$62&amp;".",","&amp;SUBSTITUTE(F126," ","")&amp;",")))*Справочник_ОКВЭД_НР!$L$11 +
  SUMPRODUCT(ISNUMBER(SEARCH(","&amp;Справочник_ОКВЭД_НР!$G$3:$G$62&amp;".",","&amp;SUBSTITUTE(F126," ","")&amp;",")))*Справочник_ОКВЭД_НР!$L$12) /
 (SUMPRODUCT(ISNUMBER(SEARCH(","&amp;Справочник_ОКВЭД_НР!$A$3:$A$62&amp;".",","&amp;SUBSTITUTE(F126," ","")&amp;","))) +
  SUMPRODUCT(ISNUMBER(SEARCH(","&amp;Справочник_ОКВЭД_НР!$C$3:$C$62&amp;".",","&amp;SUBSTITUTE(F126," ","")&amp;","))) +
  SUMPRODUCT(ISNUMBER(SEARCH(","&amp;Справочник_ОКВЭД_НР!$E$3:$E$62&amp;".",","&amp;SUBSTITUTE(F126," ","")&amp;","))) +
  SUMPRODUCT(ISNUMBER(SEARCH(","&amp;Справочник_ОКВЭД_НР!$G$3:$G$62&amp;".",","&amp;SUBSTITUTE(F126," ","")&amp;",")))),
50)</f>
        <v>50</v>
      </c>
      <c r="K126" s="30">
        <f>IFERROR(VLOOKUP(G126,Справочник_ОКВЭД_НР!$O:$P,2,FALSE()),50)</f>
        <v>100</v>
      </c>
      <c r="L126" s="45">
        <f>(I126*Справочник_ОКВЭД_НР!$L$2+J126*Справочник_ОКВЭД_НР!$L$3+K126*Справочник_ОКВЭД_НР!$L$4)*M126</f>
        <v>63.5</v>
      </c>
      <c r="M126" s="47">
        <f>IF(COUNTIF(Справочник_ОКВЭД_НР!$G$3:$G$62,H126)&gt;0,0,1)</f>
        <v>1</v>
      </c>
    </row>
    <row r="127" spans="1:13" x14ac:dyDescent="0.25">
      <c r="A127" s="4">
        <f>ЛИК_дляСкорингаДП!A127</f>
        <v>5177746030039</v>
      </c>
      <c r="B127" s="4">
        <f>ЛИК_дляСкорингаДП!B127</f>
        <v>7731385648</v>
      </c>
      <c r="C127" s="4" t="str">
        <f>ЛИК_дляСкорингаДП!C127</f>
        <v>ООО "ГИДРОМАРИНН"</v>
      </c>
      <c r="D127" s="5" t="str">
        <f>ЛИК_дляСкорингаДП!M127</f>
        <v>Научные исследования и разработки в области естественных и технических наук прочие</v>
      </c>
      <c r="E127" s="4" t="str">
        <f>ЛИК_дляСкорингаДП!L127</f>
        <v>72.19</v>
      </c>
      <c r="F127" t="str">
        <f>ЛИК_дляСкорингаДП!N127</f>
        <v>26.51.1,62.01,71.12,71.12.43</v>
      </c>
      <c r="G127" s="25" t="str">
        <f>ЛИК_дляСкорингаДП!AG127</f>
        <v>ОСН</v>
      </c>
      <c r="H127" s="55" t="str">
        <f>IF(ISNUMBER(E127),E127,
IFERROR(LEFT(E127,FIND(".",E127)-1),E127))</f>
        <v>72</v>
      </c>
      <c r="I127" s="30">
        <f>IF(COUNTIF(Справочник_ОКВЭД_НР!$A$3:$A$62,H127)&gt;0,Справочник_ОКВЭД_НР!$L$8,
 IF(COUNTIF(Справочник_ОКВЭД_НР!$C$3:$C$62,H127)&gt;0,Справочник_ОКВЭД_НР!$L$9,
  IF(COUNTIF(Справочник_ОКВЭД_НР!$E$3:$E$62,H127)&gt;0,Справочник_ОКВЭД_НР!$L$10,
   IF(COUNTIF(Справочник_ОКВЭД_НР!$G$3:$G$62,H127)&gt;0,Справочник_ОКВЭД_НР!$L$11,50))))</f>
        <v>60</v>
      </c>
      <c r="J127" s="30" cm="1">
        <f t="array" ref="J127">IFERROR(
 (SUMPRODUCT(ISNUMBER(SEARCH(","&amp;Справочник_ОКВЭД_НР!$A$3:$A$62&amp;".",","&amp;SUBSTITUTE(F127," ","")&amp;",")))*Справочник_ОКВЭД_НР!$L$9 +
  SUMPRODUCT(ISNUMBER(SEARCH(","&amp;Справочник_ОКВЭД_НР!$C$3:$C$62&amp;".",","&amp;SUBSTITUTE(F127," ","")&amp;",")))*Справочник_ОКВЭД_НР!$L$10 +
  SUMPRODUCT(ISNUMBER(SEARCH(","&amp;Справочник_ОКВЭД_НР!$E$3:$E$62&amp;".",","&amp;SUBSTITUTE(F127," ","")&amp;",")))*Справочник_ОКВЭД_НР!$L$11 +
  SUMPRODUCT(ISNUMBER(SEARCH(","&amp;Справочник_ОКВЭД_НР!$G$3:$G$62&amp;".",","&amp;SUBSTITUTE(F127," ","")&amp;",")))*Справочник_ОКВЭД_НР!$L$12) /
 (SUMPRODUCT(ISNUMBER(SEARCH(","&amp;Справочник_ОКВЭД_НР!$A$3:$A$62&amp;".",","&amp;SUBSTITUTE(F127," ","")&amp;","))) +
  SUMPRODUCT(ISNUMBER(SEARCH(","&amp;Справочник_ОКВЭД_НР!$C$3:$C$62&amp;".",","&amp;SUBSTITUTE(F127," ","")&amp;","))) +
  SUMPRODUCT(ISNUMBER(SEARCH(","&amp;Справочник_ОКВЭД_НР!$E$3:$E$62&amp;".",","&amp;SUBSTITUTE(F127," ","")&amp;","))) +
  SUMPRODUCT(ISNUMBER(SEARCH(","&amp;Справочник_ОКВЭД_НР!$G$3:$G$62&amp;".",","&amp;SUBSTITUTE(F127," ","")&amp;",")))),
50)</f>
        <v>50</v>
      </c>
      <c r="K127" s="30">
        <f>IFERROR(VLOOKUP(G127,Справочник_ОКВЭД_НР!$O:$P,2,FALSE()),50)</f>
        <v>100</v>
      </c>
      <c r="L127" s="45">
        <f>(I127*Справочник_ОКВЭД_НР!$L$2+J127*Справочник_ОКВЭД_НР!$L$3+K127*Справочник_ОКВЭД_НР!$L$4)*M127</f>
        <v>63.5</v>
      </c>
      <c r="M127" s="47">
        <f>IF(COUNTIF(Справочник_ОКВЭД_НР!$G$3:$G$62,H127)&gt;0,0,1)</f>
        <v>1</v>
      </c>
    </row>
    <row r="128" spans="1:13" x14ac:dyDescent="0.25">
      <c r="A128" s="4">
        <f>ЛИК_дляСкорингаДП!A128</f>
        <v>1027700037573</v>
      </c>
      <c r="B128" s="4">
        <f>ЛИК_дляСкорингаДП!B128</f>
        <v>7722146516</v>
      </c>
      <c r="C128" s="4" t="str">
        <f>ЛИК_дляСкорингаДП!C128</f>
        <v>ООО "МЧФ"</v>
      </c>
      <c r="D128" s="5" t="str">
        <f>ЛИК_дляСкорингаДП!M128</f>
        <v>Аренда и управление собственным или арендованным прочим нежилым недвижимым имуществом</v>
      </c>
      <c r="E128" s="4" t="str">
        <f>ЛИК_дляСкорингаДП!L128</f>
        <v>68.20.29</v>
      </c>
      <c r="F128" t="str">
        <f>ЛИК_дляСкорингаДП!N128</f>
        <v>10.83,47.29,10.83,18.12,41.20,45.20,46.19,46.37,46.39,46.90,47.19,47.29.35,47.7,52.29,56.10,56.10.1,56.10.3,62.01,62.02,64.91,64.99,68.1,68.2,68.3,69.10,73.11,73.20.1,96.09</v>
      </c>
      <c r="G128" s="25" t="str">
        <f>ЛИК_дляСкорингаДП!AG128</f>
        <v>ОСН</v>
      </c>
      <c r="H128" s="55" t="str">
        <f>IF(ISNUMBER(E128),E128,
IFERROR(LEFT(E128,FIND(".",E128)-1),E128))</f>
        <v>68</v>
      </c>
      <c r="I128" s="30">
        <f>IF(COUNTIF(Справочник_ОКВЭД_НР!$A$3:$A$62,H128)&gt;0,Справочник_ОКВЭД_НР!$L$8,
 IF(COUNTIF(Справочник_ОКВЭД_НР!$C$3:$C$62,H128)&gt;0,Справочник_ОКВЭД_НР!$L$9,
  IF(COUNTIF(Справочник_ОКВЭД_НР!$E$3:$E$62,H128)&gt;0,Справочник_ОКВЭД_НР!$L$10,
   IF(COUNTIF(Справочник_ОКВЭД_НР!$G$3:$G$62,H128)&gt;0,Справочник_ОКВЭД_НР!$L$11,50))))</f>
        <v>100</v>
      </c>
      <c r="J128" s="30" cm="1">
        <f t="array" ref="J128">IFERROR(
 (SUMPRODUCT(ISNUMBER(SEARCH(","&amp;Справочник_ОКВЭД_НР!$A$3:$A$62&amp;".",","&amp;SUBSTITUTE(F128," ","")&amp;",")))*Справочник_ОКВЭД_НР!$L$9 +
  SUMPRODUCT(ISNUMBER(SEARCH(","&amp;Справочник_ОКВЭД_НР!$C$3:$C$62&amp;".",","&amp;SUBSTITUTE(F128," ","")&amp;",")))*Справочник_ОКВЭД_НР!$L$10 +
  SUMPRODUCT(ISNUMBER(SEARCH(","&amp;Справочник_ОКВЭД_НР!$E$3:$E$62&amp;".",","&amp;SUBSTITUTE(F128," ","")&amp;",")))*Справочник_ОКВЭД_НР!$L$11 +
  SUMPRODUCT(ISNUMBER(SEARCH(","&amp;Справочник_ОКВЭД_НР!$G$3:$G$62&amp;".",","&amp;SUBSTITUTE(F128," ","")&amp;",")))*Справочник_ОКВЭД_НР!$L$12) /
 (SUMPRODUCT(ISNUMBER(SEARCH(","&amp;Справочник_ОКВЭД_НР!$A$3:$A$62&amp;".",","&amp;SUBSTITUTE(F128," ","")&amp;","))) +
  SUMPRODUCT(ISNUMBER(SEARCH(","&amp;Справочник_ОКВЭД_НР!$C$3:$C$62&amp;".",","&amp;SUBSTITUTE(F128," ","")&amp;","))) +
  SUMPRODUCT(ISNUMBER(SEARCH(","&amp;Справочник_ОКВЭД_НР!$E$3:$E$62&amp;".",","&amp;SUBSTITUTE(F128," ","")&amp;","))) +
  SUMPRODUCT(ISNUMBER(SEARCH(","&amp;Справочник_ОКВЭД_НР!$G$3:$G$62&amp;".",","&amp;SUBSTITUTE(F128," ","")&amp;",")))),
50)</f>
        <v>50</v>
      </c>
      <c r="K128" s="30">
        <f>IFERROR(VLOOKUP(G128,Справочник_ОКВЭД_НР!$O:$P,2,FALSE()),50)</f>
        <v>100</v>
      </c>
      <c r="L128" s="45">
        <f>(I128*Справочник_ОКВЭД_НР!$L$2+J128*Справочник_ОКВЭД_НР!$L$3+K128*Справочник_ОКВЭД_НР!$L$4)*M128</f>
        <v>87.5</v>
      </c>
      <c r="M128" s="47">
        <f>IF(COUNTIF(Справочник_ОКВЭД_НР!$G$3:$G$62,H128)&gt;0,0,1)</f>
        <v>1</v>
      </c>
    </row>
    <row r="129" spans="1:13" x14ac:dyDescent="0.25">
      <c r="A129" s="4">
        <f>ЛИК_дляСкорингаДП!A129</f>
        <v>1027700040279</v>
      </c>
      <c r="B129" s="4">
        <f>ЛИК_дляСкорингаДП!B129</f>
        <v>7735093237</v>
      </c>
      <c r="C129" s="4" t="str">
        <f>ЛИК_дляСкорингаДП!C129</f>
        <v>АО "СИТРОНИКС КЛАУД"</v>
      </c>
      <c r="D129" s="5" t="str">
        <f>ЛИК_дляСкорингаДП!M129</f>
        <v>Аренда и управление собственным или арендованным прочим нежилым недвижимым имуществом</v>
      </c>
      <c r="E129" s="4" t="str">
        <f>ЛИК_дляСкорингаДП!L129</f>
        <v>68.20.29</v>
      </c>
      <c r="F129" t="str">
        <f>ЛИК_дляСкорингаДП!N129</f>
        <v>68.20,68.20.2</v>
      </c>
      <c r="G129" s="25" t="str">
        <f>ЛИК_дляСкорингаДП!AG129</f>
        <v>ОСН</v>
      </c>
      <c r="H129" s="55" t="str">
        <f>IF(ISNUMBER(E129),E129,
IFERROR(LEFT(E129,FIND(".",E129)-1),E129))</f>
        <v>68</v>
      </c>
      <c r="I129" s="30">
        <f>IF(COUNTIF(Справочник_ОКВЭД_НР!$A$3:$A$62,H129)&gt;0,Справочник_ОКВЭД_НР!$L$8,
 IF(COUNTIF(Справочник_ОКВЭД_НР!$C$3:$C$62,H129)&gt;0,Справочник_ОКВЭД_НР!$L$9,
  IF(COUNTIF(Справочник_ОКВЭД_НР!$E$3:$E$62,H129)&gt;0,Справочник_ОКВЭД_НР!$L$10,
   IF(COUNTIF(Справочник_ОКВЭД_НР!$G$3:$G$62,H129)&gt;0,Справочник_ОКВЭД_НР!$L$11,50))))</f>
        <v>100</v>
      </c>
      <c r="J129" s="30" cm="1">
        <f t="array" ref="J129">IFERROR(
 (SUMPRODUCT(ISNUMBER(SEARCH(","&amp;Справочник_ОКВЭД_НР!$A$3:$A$62&amp;".",","&amp;SUBSTITUTE(F129," ","")&amp;",")))*Справочник_ОКВЭД_НР!$L$9 +
  SUMPRODUCT(ISNUMBER(SEARCH(","&amp;Справочник_ОКВЭД_НР!$C$3:$C$62&amp;".",","&amp;SUBSTITUTE(F129," ","")&amp;",")))*Справочник_ОКВЭД_НР!$L$10 +
  SUMPRODUCT(ISNUMBER(SEARCH(","&amp;Справочник_ОКВЭД_НР!$E$3:$E$62&amp;".",","&amp;SUBSTITUTE(F129," ","")&amp;",")))*Справочник_ОКВЭД_НР!$L$11 +
  SUMPRODUCT(ISNUMBER(SEARCH(","&amp;Справочник_ОКВЭД_НР!$G$3:$G$62&amp;".",","&amp;SUBSTITUTE(F129," ","")&amp;",")))*Справочник_ОКВЭД_НР!$L$12) /
 (SUMPRODUCT(ISNUMBER(SEARCH(","&amp;Справочник_ОКВЭД_НР!$A$3:$A$62&amp;".",","&amp;SUBSTITUTE(F129," ","")&amp;","))) +
  SUMPRODUCT(ISNUMBER(SEARCH(","&amp;Справочник_ОКВЭД_НР!$C$3:$C$62&amp;".",","&amp;SUBSTITUTE(F129," ","")&amp;","))) +
  SUMPRODUCT(ISNUMBER(SEARCH(","&amp;Справочник_ОКВЭД_НР!$E$3:$E$62&amp;".",","&amp;SUBSTITUTE(F129," ","")&amp;","))) +
  SUMPRODUCT(ISNUMBER(SEARCH(","&amp;Справочник_ОКВЭД_НР!$G$3:$G$62&amp;".",","&amp;SUBSTITUTE(F129," ","")&amp;",")))),
50)</f>
        <v>50</v>
      </c>
      <c r="K129" s="30">
        <f>IFERROR(VLOOKUP(G129,Справочник_ОКВЭД_НР!$O:$P,2,FALSE()),50)</f>
        <v>100</v>
      </c>
      <c r="L129" s="45">
        <f>(I129*Справочник_ОКВЭД_НР!$L$2+J129*Справочник_ОКВЭД_НР!$L$3+K129*Справочник_ОКВЭД_НР!$L$4)*M129</f>
        <v>87.5</v>
      </c>
      <c r="M129" s="47">
        <f>IF(COUNTIF(Справочник_ОКВЭД_НР!$G$3:$G$62,H129)&gt;0,0,1)</f>
        <v>1</v>
      </c>
    </row>
    <row r="130" spans="1:13" x14ac:dyDescent="0.25">
      <c r="A130" s="4">
        <f>ЛИК_дляСкорингаДП!A130</f>
        <v>1027700155064</v>
      </c>
      <c r="B130" s="4">
        <f>ЛИК_дляСкорингаДП!B130</f>
        <v>7723193075</v>
      </c>
      <c r="C130" s="4" t="str">
        <f>ЛИК_дляСкорингаДП!C130</f>
        <v>АО "ПК "ПУШКИНСКАЯ ПЛОЩАДЬ"</v>
      </c>
      <c r="D130" s="5" t="str">
        <f>ЛИК_дляСкорингаДП!M130</f>
        <v>Прочие виды полиграфической деятельности, не включенные в другие группировки</v>
      </c>
      <c r="E130" s="4" t="str">
        <f>ЛИК_дляСкорингаДП!L130</f>
        <v>18.12.9</v>
      </c>
      <c r="F130" t="str">
        <f>ЛИК_дляСкорингаДП!N130</f>
        <v>18.12</v>
      </c>
      <c r="G130" s="25" t="str">
        <f>ЛИК_дляСкорингаДП!AG130</f>
        <v>ОСН</v>
      </c>
      <c r="H130" s="55" t="str">
        <f>IF(ISNUMBER(E130),E130,
IFERROR(LEFT(E130,FIND(".",E130)-1),E130))</f>
        <v>18</v>
      </c>
      <c r="I130" s="30">
        <f>IF(COUNTIF(Справочник_ОКВЭД_НР!$A$3:$A$62,H130)&gt;0,Справочник_ОКВЭД_НР!$L$8,
 IF(COUNTIF(Справочник_ОКВЭД_НР!$C$3:$C$62,H130)&gt;0,Справочник_ОКВЭД_НР!$L$9,
  IF(COUNTIF(Справочник_ОКВЭД_НР!$E$3:$E$62,H130)&gt;0,Справочник_ОКВЭД_НР!$L$10,
   IF(COUNTIF(Справочник_ОКВЭД_НР!$G$3:$G$62,H130)&gt;0,Справочник_ОКВЭД_НР!$L$11,50))))</f>
        <v>30</v>
      </c>
      <c r="J130" s="30" cm="1">
        <f t="array" ref="J130">IFERROR(
 (SUMPRODUCT(ISNUMBER(SEARCH(","&amp;Справочник_ОКВЭД_НР!$A$3:$A$62&amp;".",","&amp;SUBSTITUTE(F130," ","")&amp;",")))*Справочник_ОКВЭД_НР!$L$9 +
  SUMPRODUCT(ISNUMBER(SEARCH(","&amp;Справочник_ОКВЭД_НР!$C$3:$C$62&amp;".",","&amp;SUBSTITUTE(F130," ","")&amp;",")))*Справочник_ОКВЭД_НР!$L$10 +
  SUMPRODUCT(ISNUMBER(SEARCH(","&amp;Справочник_ОКВЭД_НР!$E$3:$E$62&amp;".",","&amp;SUBSTITUTE(F130," ","")&amp;",")))*Справочник_ОКВЭД_НР!$L$11 +
  SUMPRODUCT(ISNUMBER(SEARCH(","&amp;Справочник_ОКВЭД_НР!$G$3:$G$62&amp;".",","&amp;SUBSTITUTE(F130," ","")&amp;",")))*Справочник_ОКВЭД_НР!$L$12) /
 (SUMPRODUCT(ISNUMBER(SEARCH(","&amp;Справочник_ОКВЭД_НР!$A$3:$A$62&amp;".",","&amp;SUBSTITUTE(F130," ","")&amp;","))) +
  SUMPRODUCT(ISNUMBER(SEARCH(","&amp;Справочник_ОКВЭД_НР!$C$3:$C$62&amp;".",","&amp;SUBSTITUTE(F130," ","")&amp;","))) +
  SUMPRODUCT(ISNUMBER(SEARCH(","&amp;Справочник_ОКВЭД_НР!$E$3:$E$62&amp;".",","&amp;SUBSTITUTE(F130," ","")&amp;","))) +
  SUMPRODUCT(ISNUMBER(SEARCH(","&amp;Справочник_ОКВЭД_НР!$G$3:$G$62&amp;".",","&amp;SUBSTITUTE(F130," ","")&amp;",")))),
50)</f>
        <v>50</v>
      </c>
      <c r="K130" s="30">
        <f>IFERROR(VLOOKUP(G130,Справочник_ОКВЭД_НР!$O:$P,2,FALSE()),50)</f>
        <v>100</v>
      </c>
      <c r="L130" s="45">
        <f>(I130*Справочник_ОКВЭД_НР!$L$2+J130*Справочник_ОКВЭД_НР!$L$3+K130*Справочник_ОКВЭД_НР!$L$4)*M130</f>
        <v>45.5</v>
      </c>
      <c r="M130" s="47">
        <f>IF(COUNTIF(Справочник_ОКВЭД_НР!$G$3:$G$62,H130)&gt;0,0,1)</f>
        <v>1</v>
      </c>
    </row>
    <row r="131" spans="1:13" x14ac:dyDescent="0.25">
      <c r="A131" s="4">
        <f>ЛИК_дляСкорингаДП!A131</f>
        <v>1147746291846</v>
      </c>
      <c r="B131" s="4">
        <f>ЛИК_дляСкорингаДП!B131</f>
        <v>7718972679</v>
      </c>
      <c r="C131" s="4" t="str">
        <f>ЛИК_дляСкорингаДП!C131</f>
        <v>ООО "ЗЕМЕЛЬНАЯ КОМПАНИЯ ЧЕРКИЗОВО"</v>
      </c>
      <c r="D131" s="5" t="str">
        <f>ЛИК_дляСкорингаДП!M131</f>
        <v>Аренда и управление собственным или арендованным прочим нежилым недвижимым имуществом</v>
      </c>
      <c r="E131" s="4" t="str">
        <f>ЛИК_дляСкорингаДП!L131</f>
        <v>68.20.29</v>
      </c>
      <c r="F131" t="str">
        <f>ЛИК_дляСкорингаДП!N131</f>
        <v>68.10.23,01.11.1,01.11.2,01.11.3,01.19.1,01.61,01.61,46.21,68.10.12,68.10.23,68.20.2,68.32</v>
      </c>
      <c r="G131" s="25" t="str">
        <f>ЛИК_дляСкорингаДП!AG131</f>
        <v>ОСН</v>
      </c>
      <c r="H131" s="55" t="str">
        <f>IF(ISNUMBER(E131),E131,
IFERROR(LEFT(E131,FIND(".",E131)-1),E131))</f>
        <v>68</v>
      </c>
      <c r="I131" s="30">
        <f>IF(COUNTIF(Справочник_ОКВЭД_НР!$A$3:$A$62,H131)&gt;0,Справочник_ОКВЭД_НР!$L$8,
 IF(COUNTIF(Справочник_ОКВЭД_НР!$C$3:$C$62,H131)&gt;0,Справочник_ОКВЭД_НР!$L$9,
  IF(COUNTIF(Справочник_ОКВЭД_НР!$E$3:$E$62,H131)&gt;0,Справочник_ОКВЭД_НР!$L$10,
   IF(COUNTIF(Справочник_ОКВЭД_НР!$G$3:$G$62,H131)&gt;0,Справочник_ОКВЭД_НР!$L$11,50))))</f>
        <v>100</v>
      </c>
      <c r="J131" s="30" cm="1">
        <f t="array" ref="J131">IFERROR(
 (SUMPRODUCT(ISNUMBER(SEARCH(","&amp;Справочник_ОКВЭД_НР!$A$3:$A$62&amp;".",","&amp;SUBSTITUTE(F131," ","")&amp;",")))*Справочник_ОКВЭД_НР!$L$9 +
  SUMPRODUCT(ISNUMBER(SEARCH(","&amp;Справочник_ОКВЭД_НР!$C$3:$C$62&amp;".",","&amp;SUBSTITUTE(F131," ","")&amp;",")))*Справочник_ОКВЭД_НР!$L$10 +
  SUMPRODUCT(ISNUMBER(SEARCH(","&amp;Справочник_ОКВЭД_НР!$E$3:$E$62&amp;".",","&amp;SUBSTITUTE(F131," ","")&amp;",")))*Справочник_ОКВЭД_НР!$L$11 +
  SUMPRODUCT(ISNUMBER(SEARCH(","&amp;Справочник_ОКВЭД_НР!$G$3:$G$62&amp;".",","&amp;SUBSTITUTE(F131," ","")&amp;",")))*Справочник_ОКВЭД_НР!$L$12) /
 (SUMPRODUCT(ISNUMBER(SEARCH(","&amp;Справочник_ОКВЭД_НР!$A$3:$A$62&amp;".",","&amp;SUBSTITUTE(F131," ","")&amp;","))) +
  SUMPRODUCT(ISNUMBER(SEARCH(","&amp;Справочник_ОКВЭД_НР!$C$3:$C$62&amp;".",","&amp;SUBSTITUTE(F131," ","")&amp;","))) +
  SUMPRODUCT(ISNUMBER(SEARCH(","&amp;Справочник_ОКВЭД_НР!$E$3:$E$62&amp;".",","&amp;SUBSTITUTE(F131," ","")&amp;","))) +
  SUMPRODUCT(ISNUMBER(SEARCH(","&amp;Справочник_ОКВЭД_НР!$G$3:$G$62&amp;".",","&amp;SUBSTITUTE(F131," ","")&amp;",")))),
50)</f>
        <v>50</v>
      </c>
      <c r="K131" s="30">
        <f>IFERROR(VLOOKUP(G131,Справочник_ОКВЭД_НР!$O:$P,2,FALSE()),50)</f>
        <v>100</v>
      </c>
      <c r="L131" s="45">
        <f>(I131*Справочник_ОКВЭД_НР!$L$2+J131*Справочник_ОКВЭД_НР!$L$3+K131*Справочник_ОКВЭД_НР!$L$4)*M131</f>
        <v>87.5</v>
      </c>
      <c r="M131" s="47">
        <f>IF(COUNTIF(Справочник_ОКВЭД_НР!$G$3:$G$62,H131)&gt;0,0,1)</f>
        <v>1</v>
      </c>
    </row>
    <row r="132" spans="1:13" x14ac:dyDescent="0.25">
      <c r="A132" s="4">
        <f>ЛИК_дляСкорингаДП!A132</f>
        <v>1217700394867</v>
      </c>
      <c r="B132" s="4">
        <f>ЛИК_дляСкорингаДП!B132</f>
        <v>7743365477</v>
      </c>
      <c r="C132" s="4" t="str">
        <f>ЛИК_дляСкорингаДП!C132</f>
        <v>ООО "СЗ "ГАЛС-НОВОПЕТРОВСКИЙ"</v>
      </c>
      <c r="D132" s="5" t="str">
        <f>ЛИК_дляСкорингаДП!M132</f>
        <v>Управление недвижимым имуществом за вознаграждение или на договорной основе</v>
      </c>
      <c r="E132" s="4" t="str">
        <f>ЛИК_дляСкорингаДП!L132</f>
        <v>68.32</v>
      </c>
      <c r="F132" t="str">
        <f>ЛИК_дляСкорингаДП!N132</f>
        <v>41.20,43.21,43.29,43.31,43.32,43.33,43.34,43.39,64.92.3,64.99.11,68.31</v>
      </c>
      <c r="G132" s="25" t="str">
        <f>ЛИК_дляСкорингаДП!AG132</f>
        <v>ОСН</v>
      </c>
      <c r="H132" s="55" t="str">
        <f>IF(ISNUMBER(E132),E132,
IFERROR(LEFT(E132,FIND(".",E132)-1),E132))</f>
        <v>68</v>
      </c>
      <c r="I132" s="30">
        <f>IF(COUNTIF(Справочник_ОКВЭД_НР!$A$3:$A$62,H132)&gt;0,Справочник_ОКВЭД_НР!$L$8,
 IF(COUNTIF(Справочник_ОКВЭД_НР!$C$3:$C$62,H132)&gt;0,Справочник_ОКВЭД_НР!$L$9,
  IF(COUNTIF(Справочник_ОКВЭД_НР!$E$3:$E$62,H132)&gt;0,Справочник_ОКВЭД_НР!$L$10,
   IF(COUNTIF(Справочник_ОКВЭД_НР!$G$3:$G$62,H132)&gt;0,Справочник_ОКВЭД_НР!$L$11,50))))</f>
        <v>100</v>
      </c>
      <c r="J132" s="30" cm="1">
        <f t="array" ref="J132">IFERROR(
 (SUMPRODUCT(ISNUMBER(SEARCH(","&amp;Справочник_ОКВЭД_НР!$A$3:$A$62&amp;".",","&amp;SUBSTITUTE(F132," ","")&amp;",")))*Справочник_ОКВЭД_НР!$L$9 +
  SUMPRODUCT(ISNUMBER(SEARCH(","&amp;Справочник_ОКВЭД_НР!$C$3:$C$62&amp;".",","&amp;SUBSTITUTE(F132," ","")&amp;",")))*Справочник_ОКВЭД_НР!$L$10 +
  SUMPRODUCT(ISNUMBER(SEARCH(","&amp;Справочник_ОКВЭД_НР!$E$3:$E$62&amp;".",","&amp;SUBSTITUTE(F132," ","")&amp;",")))*Справочник_ОКВЭД_НР!$L$11 +
  SUMPRODUCT(ISNUMBER(SEARCH(","&amp;Справочник_ОКВЭД_НР!$G$3:$G$62&amp;".",","&amp;SUBSTITUTE(F132," ","")&amp;",")))*Справочник_ОКВЭД_НР!$L$12) /
 (SUMPRODUCT(ISNUMBER(SEARCH(","&amp;Справочник_ОКВЭД_НР!$A$3:$A$62&amp;".",","&amp;SUBSTITUTE(F132," ","")&amp;","))) +
  SUMPRODUCT(ISNUMBER(SEARCH(","&amp;Справочник_ОКВЭД_НР!$C$3:$C$62&amp;".",","&amp;SUBSTITUTE(F132," ","")&amp;","))) +
  SUMPRODUCT(ISNUMBER(SEARCH(","&amp;Справочник_ОКВЭД_НР!$E$3:$E$62&amp;".",","&amp;SUBSTITUTE(F132," ","")&amp;","))) +
  SUMPRODUCT(ISNUMBER(SEARCH(","&amp;Справочник_ОКВЭД_НР!$G$3:$G$62&amp;".",","&amp;SUBSTITUTE(F132," ","")&amp;",")))),
50)</f>
        <v>50</v>
      </c>
      <c r="K132" s="30">
        <f>IFERROR(VLOOKUP(G132,Справочник_ОКВЭД_НР!$O:$P,2,FALSE()),50)</f>
        <v>100</v>
      </c>
      <c r="L132" s="45">
        <f>(I132*Справочник_ОКВЭД_НР!$L$2+J132*Справочник_ОКВЭД_НР!$L$3+K132*Справочник_ОКВЭД_НР!$L$4)*M132</f>
        <v>87.5</v>
      </c>
      <c r="M132" s="47">
        <f>IF(COUNTIF(Справочник_ОКВЭД_НР!$G$3:$G$62,H132)&gt;0,0,1)</f>
        <v>1</v>
      </c>
    </row>
    <row r="133" spans="1:13" x14ac:dyDescent="0.25">
      <c r="A133" s="4">
        <f>ЛИК_дляСкорингаДП!A133</f>
        <v>1167746678109</v>
      </c>
      <c r="B133" s="4">
        <f>ЛИК_дляСкорингаДП!B133</f>
        <v>7704364977</v>
      </c>
      <c r="C133" s="4" t="str">
        <f>ЛИК_дляСкорингаДП!C133</f>
        <v>ООО "ПРЕЧИСТЕНСКАЯ РЕЗИДЕНЦИЯ"</v>
      </c>
      <c r="D133" s="5" t="str">
        <f>ЛИК_дляСкорингаДП!M133</f>
        <v>Аренда и управление собственным или арендованным недвижимым имуществом</v>
      </c>
      <c r="E133" s="4" t="str">
        <f>ЛИК_дляСкорингаДП!L133</f>
        <v>68.20</v>
      </c>
      <c r="F133" t="str">
        <f>ЛИК_дляСкорингаДП!N133</f>
        <v>66.19,68.10,68.32,81.10,81.21,81.22</v>
      </c>
      <c r="G133" s="25" t="str">
        <f>ЛИК_дляСкорингаДП!AG133</f>
        <v>ОСН</v>
      </c>
      <c r="H133" s="55" t="str">
        <f>IF(ISNUMBER(E133),E133,
IFERROR(LEFT(E133,FIND(".",E133)-1),E133))</f>
        <v>68</v>
      </c>
      <c r="I133" s="30">
        <f>IF(COUNTIF(Справочник_ОКВЭД_НР!$A$3:$A$62,H133)&gt;0,Справочник_ОКВЭД_НР!$L$8,
 IF(COUNTIF(Справочник_ОКВЭД_НР!$C$3:$C$62,H133)&gt;0,Справочник_ОКВЭД_НР!$L$9,
  IF(COUNTIF(Справочник_ОКВЭД_НР!$E$3:$E$62,H133)&gt;0,Справочник_ОКВЭД_НР!$L$10,
   IF(COUNTIF(Справочник_ОКВЭД_НР!$G$3:$G$62,H133)&gt;0,Справочник_ОКВЭД_НР!$L$11,50))))</f>
        <v>100</v>
      </c>
      <c r="J133" s="30" cm="1">
        <f t="array" ref="J133">IFERROR(
 (SUMPRODUCT(ISNUMBER(SEARCH(","&amp;Справочник_ОКВЭД_НР!$A$3:$A$62&amp;".",","&amp;SUBSTITUTE(F133," ","")&amp;",")))*Справочник_ОКВЭД_НР!$L$9 +
  SUMPRODUCT(ISNUMBER(SEARCH(","&amp;Справочник_ОКВЭД_НР!$C$3:$C$62&amp;".",","&amp;SUBSTITUTE(F133," ","")&amp;",")))*Справочник_ОКВЭД_НР!$L$10 +
  SUMPRODUCT(ISNUMBER(SEARCH(","&amp;Справочник_ОКВЭД_НР!$E$3:$E$62&amp;".",","&amp;SUBSTITUTE(F133," ","")&amp;",")))*Справочник_ОКВЭД_НР!$L$11 +
  SUMPRODUCT(ISNUMBER(SEARCH(","&amp;Справочник_ОКВЭД_НР!$G$3:$G$62&amp;".",","&amp;SUBSTITUTE(F133," ","")&amp;",")))*Справочник_ОКВЭД_НР!$L$12) /
 (SUMPRODUCT(ISNUMBER(SEARCH(","&amp;Справочник_ОКВЭД_НР!$A$3:$A$62&amp;".",","&amp;SUBSTITUTE(F133," ","")&amp;","))) +
  SUMPRODUCT(ISNUMBER(SEARCH(","&amp;Справочник_ОКВЭД_НР!$C$3:$C$62&amp;".",","&amp;SUBSTITUTE(F133," ","")&amp;","))) +
  SUMPRODUCT(ISNUMBER(SEARCH(","&amp;Справочник_ОКВЭД_НР!$E$3:$E$62&amp;".",","&amp;SUBSTITUTE(F133," ","")&amp;","))) +
  SUMPRODUCT(ISNUMBER(SEARCH(","&amp;Справочник_ОКВЭД_НР!$G$3:$G$62&amp;".",","&amp;SUBSTITUTE(F133," ","")&amp;",")))),
50)</f>
        <v>50</v>
      </c>
      <c r="K133" s="30">
        <f>IFERROR(VLOOKUP(G133,Справочник_ОКВЭД_НР!$O:$P,2,FALSE()),50)</f>
        <v>100</v>
      </c>
      <c r="L133" s="45">
        <f>(I133*Справочник_ОКВЭД_НР!$L$2+J133*Справочник_ОКВЭД_НР!$L$3+K133*Справочник_ОКВЭД_НР!$L$4)*M133</f>
        <v>87.5</v>
      </c>
      <c r="M133" s="47">
        <f>IF(COUNTIF(Справочник_ОКВЭД_НР!$G$3:$G$62,H133)&gt;0,0,1)</f>
        <v>1</v>
      </c>
    </row>
    <row r="134" spans="1:13" x14ac:dyDescent="0.25">
      <c r="A134" s="4">
        <f>ЛИК_дляСкорингаДП!A134</f>
        <v>1107746600950</v>
      </c>
      <c r="B134" s="4">
        <f>ЛИК_дляСкорингаДП!B134</f>
        <v>7721699740</v>
      </c>
      <c r="C134" s="4" t="str">
        <f>ЛИК_дляСкорингаДП!C134</f>
        <v>АО "ПСР"</v>
      </c>
      <c r="D134" s="5" t="str">
        <f>ЛИК_дляСкорингаДП!M134</f>
        <v>Консультирование по вопросам коммерческой деятельности и управления</v>
      </c>
      <c r="E134" s="4" t="str">
        <f>ЛИК_дляСкорингаДП!L134</f>
        <v>70.22</v>
      </c>
      <c r="F134" t="str">
        <f>ЛИК_дляСкорингаДП!N134</f>
        <v>70.22,73.20.1</v>
      </c>
      <c r="G134" s="25" t="str">
        <f>ЛИК_дляСкорингаДП!AG134</f>
        <v>ОСН</v>
      </c>
      <c r="H134" s="55" t="str">
        <f>IF(ISNUMBER(E134),E134,
IFERROR(LEFT(E134,FIND(".",E134)-1),E134))</f>
        <v>70</v>
      </c>
      <c r="I134" s="30">
        <f>IF(COUNTIF(Справочник_ОКВЭД_НР!$A$3:$A$62,H134)&gt;0,Справочник_ОКВЭД_НР!$L$8,
 IF(COUNTIF(Справочник_ОКВЭД_НР!$C$3:$C$62,H134)&gt;0,Справочник_ОКВЭД_НР!$L$9,
  IF(COUNTIF(Справочник_ОКВЭД_НР!$E$3:$E$62,H134)&gt;0,Справочник_ОКВЭД_НР!$L$10,
   IF(COUNTIF(Справочник_ОКВЭД_НР!$G$3:$G$62,H134)&gt;0,Справочник_ОКВЭД_НР!$L$11,50))))</f>
        <v>60</v>
      </c>
      <c r="J134" s="30" cm="1">
        <f t="array" ref="J134">IFERROR(
 (SUMPRODUCT(ISNUMBER(SEARCH(","&amp;Справочник_ОКВЭД_НР!$A$3:$A$62&amp;".",","&amp;SUBSTITUTE(F134," ","")&amp;",")))*Справочник_ОКВЭД_НР!$L$9 +
  SUMPRODUCT(ISNUMBER(SEARCH(","&amp;Справочник_ОКВЭД_НР!$C$3:$C$62&amp;".",","&amp;SUBSTITUTE(F134," ","")&amp;",")))*Справочник_ОКВЭД_НР!$L$10 +
  SUMPRODUCT(ISNUMBER(SEARCH(","&amp;Справочник_ОКВЭД_НР!$E$3:$E$62&amp;".",","&amp;SUBSTITUTE(F134," ","")&amp;",")))*Справочник_ОКВЭД_НР!$L$11 +
  SUMPRODUCT(ISNUMBER(SEARCH(","&amp;Справочник_ОКВЭД_НР!$G$3:$G$62&amp;".",","&amp;SUBSTITUTE(F134," ","")&amp;",")))*Справочник_ОКВЭД_НР!$L$12) /
 (SUMPRODUCT(ISNUMBER(SEARCH(","&amp;Справочник_ОКВЭД_НР!$A$3:$A$62&amp;".",","&amp;SUBSTITUTE(F134," ","")&amp;","))) +
  SUMPRODUCT(ISNUMBER(SEARCH(","&amp;Справочник_ОКВЭД_НР!$C$3:$C$62&amp;".",","&amp;SUBSTITUTE(F134," ","")&amp;","))) +
  SUMPRODUCT(ISNUMBER(SEARCH(","&amp;Справочник_ОКВЭД_НР!$E$3:$E$62&amp;".",","&amp;SUBSTITUTE(F134," ","")&amp;","))) +
  SUMPRODUCT(ISNUMBER(SEARCH(","&amp;Справочник_ОКВЭД_НР!$G$3:$G$62&amp;".",","&amp;SUBSTITUTE(F134," ","")&amp;",")))),
50)</f>
        <v>50</v>
      </c>
      <c r="K134" s="30">
        <f>IFERROR(VLOOKUP(G134,Справочник_ОКВЭД_НР!$O:$P,2,FALSE()),50)</f>
        <v>100</v>
      </c>
      <c r="L134" s="45">
        <f>(I134*Справочник_ОКВЭД_НР!$L$2+J134*Справочник_ОКВЭД_НР!$L$3+K134*Справочник_ОКВЭД_НР!$L$4)*M134</f>
        <v>63.5</v>
      </c>
      <c r="M134" s="47">
        <f>IF(COUNTIF(Справочник_ОКВЭД_НР!$G$3:$G$62,H134)&gt;0,0,1)</f>
        <v>1</v>
      </c>
    </row>
    <row r="135" spans="1:13" x14ac:dyDescent="0.25">
      <c r="A135" s="4">
        <f>ЛИК_дляСкорингаДП!A135</f>
        <v>1065074061579</v>
      </c>
      <c r="B135" s="4">
        <f>ЛИК_дляСкорингаДП!B135</f>
        <v>5036072424</v>
      </c>
      <c r="C135" s="4" t="str">
        <f>ЛИК_дляСкорингаДП!C135</f>
        <v>АО "ЭНЕРГОЦЕНТР"</v>
      </c>
      <c r="D135" s="5" t="str">
        <f>ЛИК_дляСкорингаДП!M135</f>
        <v>Аренда и управление собственным или арендованным недвижимым имуществом</v>
      </c>
      <c r="E135" s="4" t="str">
        <f>ЛИК_дляСкорингаДП!L135</f>
        <v>68.20</v>
      </c>
      <c r="F135" t="str">
        <f>ЛИК_дляСкорингаДП!N135</f>
        <v>33.14,33.20,35.11,35.12,35.12.2,35.13,35.14,41.20,42.22,42.22.3,42.99,43.21,45.20.5,46.51,52.10,52.24,62.02,62.09,64.19,68.10,68.2,69.20,71.12.12,74.90.9,82.20</v>
      </c>
      <c r="G135" s="25" t="str">
        <f>ЛИК_дляСкорингаДП!AG135</f>
        <v>ОСН</v>
      </c>
      <c r="H135" s="55" t="str">
        <f>IF(ISNUMBER(E135),E135,
IFERROR(LEFT(E135,FIND(".",E135)-1),E135))</f>
        <v>68</v>
      </c>
      <c r="I135" s="30">
        <f>IF(COUNTIF(Справочник_ОКВЭД_НР!$A$3:$A$62,H135)&gt;0,Справочник_ОКВЭД_НР!$L$8,
 IF(COUNTIF(Справочник_ОКВЭД_НР!$C$3:$C$62,H135)&gt;0,Справочник_ОКВЭД_НР!$L$9,
  IF(COUNTIF(Справочник_ОКВЭД_НР!$E$3:$E$62,H135)&gt;0,Справочник_ОКВЭД_НР!$L$10,
   IF(COUNTIF(Справочник_ОКВЭД_НР!$G$3:$G$62,H135)&gt;0,Справочник_ОКВЭД_НР!$L$11,50))))</f>
        <v>100</v>
      </c>
      <c r="J135" s="30" cm="1">
        <f t="array" ref="J135">IFERROR(
 (SUMPRODUCT(ISNUMBER(SEARCH(","&amp;Справочник_ОКВЭД_НР!$A$3:$A$62&amp;".",","&amp;SUBSTITUTE(F135," ","")&amp;",")))*Справочник_ОКВЭД_НР!$L$9 +
  SUMPRODUCT(ISNUMBER(SEARCH(","&amp;Справочник_ОКВЭД_НР!$C$3:$C$62&amp;".",","&amp;SUBSTITUTE(F135," ","")&amp;",")))*Справочник_ОКВЭД_НР!$L$10 +
  SUMPRODUCT(ISNUMBER(SEARCH(","&amp;Справочник_ОКВЭД_НР!$E$3:$E$62&amp;".",","&amp;SUBSTITUTE(F135," ","")&amp;",")))*Справочник_ОКВЭД_НР!$L$11 +
  SUMPRODUCT(ISNUMBER(SEARCH(","&amp;Справочник_ОКВЭД_НР!$G$3:$G$62&amp;".",","&amp;SUBSTITUTE(F135," ","")&amp;",")))*Справочник_ОКВЭД_НР!$L$12) /
 (SUMPRODUCT(ISNUMBER(SEARCH(","&amp;Справочник_ОКВЭД_НР!$A$3:$A$62&amp;".",","&amp;SUBSTITUTE(F135," ","")&amp;","))) +
  SUMPRODUCT(ISNUMBER(SEARCH(","&amp;Справочник_ОКВЭД_НР!$C$3:$C$62&amp;".",","&amp;SUBSTITUTE(F135," ","")&amp;","))) +
  SUMPRODUCT(ISNUMBER(SEARCH(","&amp;Справочник_ОКВЭД_НР!$E$3:$E$62&amp;".",","&amp;SUBSTITUTE(F135," ","")&amp;","))) +
  SUMPRODUCT(ISNUMBER(SEARCH(","&amp;Справочник_ОКВЭД_НР!$G$3:$G$62&amp;".",","&amp;SUBSTITUTE(F135," ","")&amp;",")))),
50)</f>
        <v>50</v>
      </c>
      <c r="K135" s="30">
        <f>IFERROR(VLOOKUP(G135,Справочник_ОКВЭД_НР!$O:$P,2,FALSE()),50)</f>
        <v>100</v>
      </c>
      <c r="L135" s="45">
        <f>(I135*Справочник_ОКВЭД_НР!$L$2+J135*Справочник_ОКВЭД_НР!$L$3+K135*Справочник_ОКВЭД_НР!$L$4)*M135</f>
        <v>87.5</v>
      </c>
      <c r="M135" s="47">
        <f>IF(COUNTIF(Справочник_ОКВЭД_НР!$G$3:$G$62,H135)&gt;0,0,1)</f>
        <v>1</v>
      </c>
    </row>
    <row r="136" spans="1:13" x14ac:dyDescent="0.25">
      <c r="A136" s="4">
        <f>ЛИК_дляСкорингаДП!A136</f>
        <v>1065042071137</v>
      </c>
      <c r="B136" s="4">
        <f>ЛИК_дляСкорингаДП!B136</f>
        <v>5042086312</v>
      </c>
      <c r="C136" s="4" t="str">
        <f>ЛИК_дляСкорингаДП!C136</f>
        <v>АО "ЗАГОРСКАЯ ГАЭС-2"</v>
      </c>
      <c r="D136" s="5" t="str">
        <f>ЛИК_дляСкорингаДП!M136</f>
        <v>Деятельность заказчика-застройщика, генерального подрядчика</v>
      </c>
      <c r="E136" s="4" t="str">
        <f>ЛИК_дляСкорингаДП!L136</f>
        <v>71.12.2</v>
      </c>
      <c r="F136" t="str">
        <f>ЛИК_дляСкорингаДП!N136</f>
        <v>35.11.2,35.11.2,35.11.4,35.12,41.2,41.20,42.22.3,42.22.3,42.91.2,42.99,71.12</v>
      </c>
      <c r="G136" s="25" t="str">
        <f>ЛИК_дляСкорингаДП!AG136</f>
        <v>ОСН</v>
      </c>
      <c r="H136" s="55" t="str">
        <f>IF(ISNUMBER(E136),E136,
IFERROR(LEFT(E136,FIND(".",E136)-1),E136))</f>
        <v>71</v>
      </c>
      <c r="I136" s="30">
        <f>IF(COUNTIF(Справочник_ОКВЭД_НР!$A$3:$A$62,H136)&gt;0,Справочник_ОКВЭД_НР!$L$8,
 IF(COUNTIF(Справочник_ОКВЭД_НР!$C$3:$C$62,H136)&gt;0,Справочник_ОКВЭД_НР!$L$9,
  IF(COUNTIF(Справочник_ОКВЭД_НР!$E$3:$E$62,H136)&gt;0,Справочник_ОКВЭД_НР!$L$10,
   IF(COUNTIF(Справочник_ОКВЭД_НР!$G$3:$G$62,H136)&gt;0,Справочник_ОКВЭД_НР!$L$11,50))))</f>
        <v>100</v>
      </c>
      <c r="J136" s="30" cm="1">
        <f t="array" ref="J136">IFERROR(
 (SUMPRODUCT(ISNUMBER(SEARCH(","&amp;Справочник_ОКВЭД_НР!$A$3:$A$62&amp;".",","&amp;SUBSTITUTE(F136," ","")&amp;",")))*Справочник_ОКВЭД_НР!$L$9 +
  SUMPRODUCT(ISNUMBER(SEARCH(","&amp;Справочник_ОКВЭД_НР!$C$3:$C$62&amp;".",","&amp;SUBSTITUTE(F136," ","")&amp;",")))*Справочник_ОКВЭД_НР!$L$10 +
  SUMPRODUCT(ISNUMBER(SEARCH(","&amp;Справочник_ОКВЭД_НР!$E$3:$E$62&amp;".",","&amp;SUBSTITUTE(F136," ","")&amp;",")))*Справочник_ОКВЭД_НР!$L$11 +
  SUMPRODUCT(ISNUMBER(SEARCH(","&amp;Справочник_ОКВЭД_НР!$G$3:$G$62&amp;".",","&amp;SUBSTITUTE(F136," ","")&amp;",")))*Справочник_ОКВЭД_НР!$L$12) /
 (SUMPRODUCT(ISNUMBER(SEARCH(","&amp;Справочник_ОКВЭД_НР!$A$3:$A$62&amp;".",","&amp;SUBSTITUTE(F136," ","")&amp;","))) +
  SUMPRODUCT(ISNUMBER(SEARCH(","&amp;Справочник_ОКВЭД_НР!$C$3:$C$62&amp;".",","&amp;SUBSTITUTE(F136," ","")&amp;","))) +
  SUMPRODUCT(ISNUMBER(SEARCH(","&amp;Справочник_ОКВЭД_НР!$E$3:$E$62&amp;".",","&amp;SUBSTITUTE(F136," ","")&amp;","))) +
  SUMPRODUCT(ISNUMBER(SEARCH(","&amp;Справочник_ОКВЭД_НР!$G$3:$G$62&amp;".",","&amp;SUBSTITUTE(F136," ","")&amp;",")))),
50)</f>
        <v>50</v>
      </c>
      <c r="K136" s="30">
        <f>IFERROR(VLOOKUP(G136,Справочник_ОКВЭД_НР!$O:$P,2,FALSE()),50)</f>
        <v>100</v>
      </c>
      <c r="L136" s="45">
        <f>(I136*Справочник_ОКВЭД_НР!$L$2+J136*Справочник_ОКВЭД_НР!$L$3+K136*Справочник_ОКВЭД_НР!$L$4)*M136</f>
        <v>87.5</v>
      </c>
      <c r="M136" s="47">
        <f>IF(COUNTIF(Справочник_ОКВЭД_НР!$G$3:$G$62,H136)&gt;0,0,1)</f>
        <v>1</v>
      </c>
    </row>
    <row r="137" spans="1:13" x14ac:dyDescent="0.25">
      <c r="A137" s="4">
        <f>ЛИК_дляСкорингаДП!A137</f>
        <v>1097746248357</v>
      </c>
      <c r="B137" s="4">
        <f>ЛИК_дляСкорингаДП!B137</f>
        <v>7715757320</v>
      </c>
      <c r="C137" s="4" t="str">
        <f>ЛИК_дляСкорингаДП!C137</f>
        <v>АО "ИНВЕСТ ПРОЕКТ"</v>
      </c>
      <c r="D137" s="5" t="str">
        <f>ЛИК_дляСкорингаДП!M137</f>
        <v>Аренда и управление собственным или арендованным прочим нежилым недвижимым имуществом</v>
      </c>
      <c r="E137" s="4" t="str">
        <f>ЛИК_дляСкорингаДП!L137</f>
        <v>68.20.29</v>
      </c>
      <c r="F137" t="str">
        <f>ЛИК_дляСкорингаДП!N137</f>
        <v>68.10,68.20,68.31</v>
      </c>
      <c r="G137" s="25" t="str">
        <f>ЛИК_дляСкорингаДП!AG137</f>
        <v>ОСН</v>
      </c>
      <c r="H137" s="55" t="str">
        <f>IF(ISNUMBER(E137),E137,
IFERROR(LEFT(E137,FIND(".",E137)-1),E137))</f>
        <v>68</v>
      </c>
      <c r="I137" s="30">
        <f>IF(COUNTIF(Справочник_ОКВЭД_НР!$A$3:$A$62,H137)&gt;0,Справочник_ОКВЭД_НР!$L$8,
 IF(COUNTIF(Справочник_ОКВЭД_НР!$C$3:$C$62,H137)&gt;0,Справочник_ОКВЭД_НР!$L$9,
  IF(COUNTIF(Справочник_ОКВЭД_НР!$E$3:$E$62,H137)&gt;0,Справочник_ОКВЭД_НР!$L$10,
   IF(COUNTIF(Справочник_ОКВЭД_НР!$G$3:$G$62,H137)&gt;0,Справочник_ОКВЭД_НР!$L$11,50))))</f>
        <v>100</v>
      </c>
      <c r="J137" s="30" cm="1">
        <f t="array" ref="J137">IFERROR(
 (SUMPRODUCT(ISNUMBER(SEARCH(","&amp;Справочник_ОКВЭД_НР!$A$3:$A$62&amp;".",","&amp;SUBSTITUTE(F137," ","")&amp;",")))*Справочник_ОКВЭД_НР!$L$9 +
  SUMPRODUCT(ISNUMBER(SEARCH(","&amp;Справочник_ОКВЭД_НР!$C$3:$C$62&amp;".",","&amp;SUBSTITUTE(F137," ","")&amp;",")))*Справочник_ОКВЭД_НР!$L$10 +
  SUMPRODUCT(ISNUMBER(SEARCH(","&amp;Справочник_ОКВЭД_НР!$E$3:$E$62&amp;".",","&amp;SUBSTITUTE(F137," ","")&amp;",")))*Справочник_ОКВЭД_НР!$L$11 +
  SUMPRODUCT(ISNUMBER(SEARCH(","&amp;Справочник_ОКВЭД_НР!$G$3:$G$62&amp;".",","&amp;SUBSTITUTE(F137," ","")&amp;",")))*Справочник_ОКВЭД_НР!$L$12) /
 (SUMPRODUCT(ISNUMBER(SEARCH(","&amp;Справочник_ОКВЭД_НР!$A$3:$A$62&amp;".",","&amp;SUBSTITUTE(F137," ","")&amp;","))) +
  SUMPRODUCT(ISNUMBER(SEARCH(","&amp;Справочник_ОКВЭД_НР!$C$3:$C$62&amp;".",","&amp;SUBSTITUTE(F137," ","")&amp;","))) +
  SUMPRODUCT(ISNUMBER(SEARCH(","&amp;Справочник_ОКВЭД_НР!$E$3:$E$62&amp;".",","&amp;SUBSTITUTE(F137," ","")&amp;","))) +
  SUMPRODUCT(ISNUMBER(SEARCH(","&amp;Справочник_ОКВЭД_НР!$G$3:$G$62&amp;".",","&amp;SUBSTITUTE(F137," ","")&amp;",")))),
50)</f>
        <v>50</v>
      </c>
      <c r="K137" s="30">
        <f>IFERROR(VLOOKUP(G137,Справочник_ОКВЭД_НР!$O:$P,2,FALSE()),50)</f>
        <v>100</v>
      </c>
      <c r="L137" s="45">
        <f>(I137*Справочник_ОКВЭД_НР!$L$2+J137*Справочник_ОКВЭД_НР!$L$3+K137*Справочник_ОКВЭД_НР!$L$4)*M137</f>
        <v>87.5</v>
      </c>
      <c r="M137" s="47">
        <f>IF(COUNTIF(Справочник_ОКВЭД_НР!$G$3:$G$62,H137)&gt;0,0,1)</f>
        <v>1</v>
      </c>
    </row>
    <row r="138" spans="1:13" x14ac:dyDescent="0.25">
      <c r="A138" s="4">
        <f>ЛИК_дляСкорингаДП!A138</f>
        <v>1227700850970</v>
      </c>
      <c r="B138" s="4">
        <f>ЛИК_дляСкорингаДП!B138</f>
        <v>9703123605</v>
      </c>
      <c r="C138" s="4" t="str">
        <f>ЛИК_дляСкорингаДП!C138</f>
        <v>ООО "ЦЕНТРГЕОТРЕСТ"</v>
      </c>
      <c r="D138" s="5" t="str">
        <f>ЛИК_дляСкорингаДП!M138</f>
        <v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v>
      </c>
      <c r="E138" s="4" t="str">
        <f>ЛИК_дляСкорингаДП!L138</f>
        <v>71.12</v>
      </c>
      <c r="F138" t="str">
        <f>ЛИК_дляСкорингаДП!N138</f>
        <v>02.10,02.40,62.01,62.02,63.99.1,68.10,68.10.1,68.10.11,68.10.12,68.20,68.20.1,68.20.2,68.20.21,68.20.29,68.31,68.31.1,68.31.2,68.31.3,68.31.4,68.31.5,68.32,68.32.3,69.10,71.11,71.12.45,71.12.7,71.20,74.90</v>
      </c>
      <c r="G138" s="25" t="str">
        <f>ЛИК_дляСкорингаДП!AG138</f>
        <v>ОСН</v>
      </c>
      <c r="H138" s="55" t="str">
        <f>IF(ISNUMBER(E138),E138,
IFERROR(LEFT(E138,FIND(".",E138)-1),E138))</f>
        <v>71</v>
      </c>
      <c r="I138" s="30">
        <f>IF(COUNTIF(Справочник_ОКВЭД_НР!$A$3:$A$62,H138)&gt;0,Справочник_ОКВЭД_НР!$L$8,
 IF(COUNTIF(Справочник_ОКВЭД_НР!$C$3:$C$62,H138)&gt;0,Справочник_ОКВЭД_НР!$L$9,
  IF(COUNTIF(Справочник_ОКВЭД_НР!$E$3:$E$62,H138)&gt;0,Справочник_ОКВЭД_НР!$L$10,
   IF(COUNTIF(Справочник_ОКВЭД_НР!$G$3:$G$62,H138)&gt;0,Справочник_ОКВЭД_НР!$L$11,50))))</f>
        <v>100</v>
      </c>
      <c r="J138" s="30" cm="1">
        <f t="array" ref="J138">IFERROR(
 (SUMPRODUCT(ISNUMBER(SEARCH(","&amp;Справочник_ОКВЭД_НР!$A$3:$A$62&amp;".",","&amp;SUBSTITUTE(F138," ","")&amp;",")))*Справочник_ОКВЭД_НР!$L$9 +
  SUMPRODUCT(ISNUMBER(SEARCH(","&amp;Справочник_ОКВЭД_НР!$C$3:$C$62&amp;".",","&amp;SUBSTITUTE(F138," ","")&amp;",")))*Справочник_ОКВЭД_НР!$L$10 +
  SUMPRODUCT(ISNUMBER(SEARCH(","&amp;Справочник_ОКВЭД_НР!$E$3:$E$62&amp;".",","&amp;SUBSTITUTE(F138," ","")&amp;",")))*Справочник_ОКВЭД_НР!$L$11 +
  SUMPRODUCT(ISNUMBER(SEARCH(","&amp;Справочник_ОКВЭД_НР!$G$3:$G$62&amp;".",","&amp;SUBSTITUTE(F138," ","")&amp;",")))*Справочник_ОКВЭД_НР!$L$12) /
 (SUMPRODUCT(ISNUMBER(SEARCH(","&amp;Справочник_ОКВЭД_НР!$A$3:$A$62&amp;".",","&amp;SUBSTITUTE(F138," ","")&amp;","))) +
  SUMPRODUCT(ISNUMBER(SEARCH(","&amp;Справочник_ОКВЭД_НР!$C$3:$C$62&amp;".",","&amp;SUBSTITUTE(F138," ","")&amp;","))) +
  SUMPRODUCT(ISNUMBER(SEARCH(","&amp;Справочник_ОКВЭД_НР!$E$3:$E$62&amp;".",","&amp;SUBSTITUTE(F138," ","")&amp;","))) +
  SUMPRODUCT(ISNUMBER(SEARCH(","&amp;Справочник_ОКВЭД_НР!$G$3:$G$62&amp;".",","&amp;SUBSTITUTE(F138," ","")&amp;",")))),
50)</f>
        <v>50</v>
      </c>
      <c r="K138" s="30">
        <f>IFERROR(VLOOKUP(G138,Справочник_ОКВЭД_НР!$O:$P,2,FALSE()),50)</f>
        <v>100</v>
      </c>
      <c r="L138" s="45">
        <f>(I138*Справочник_ОКВЭД_НР!$L$2+J138*Справочник_ОКВЭД_НР!$L$3+K138*Справочник_ОКВЭД_НР!$L$4)*M138</f>
        <v>87.5</v>
      </c>
      <c r="M138" s="47">
        <f>IF(COUNTIF(Справочник_ОКВЭД_НР!$G$3:$G$62,H138)&gt;0,0,1)</f>
        <v>1</v>
      </c>
    </row>
    <row r="139" spans="1:13" x14ac:dyDescent="0.25">
      <c r="A139" s="4">
        <f>ЛИК_дляСкорингаДП!A139</f>
        <v>1045010200465</v>
      </c>
      <c r="B139" s="4">
        <f>ЛИК_дляСкорингаДП!B139</f>
        <v>5050046539</v>
      </c>
      <c r="C139" s="4" t="str">
        <f>ЛИК_дляСкорингаДП!C139</f>
        <v>ООО "ТЕРМАФЛЕКС ИЗОЛЯЦИЯ +"</v>
      </c>
      <c r="D139" s="5" t="str">
        <f>ЛИК_дляСкорингаДП!M139</f>
        <v>Производство синтетических волокон</v>
      </c>
      <c r="E139" s="4" t="str">
        <f>ЛИК_дляСкорингаДП!L139</f>
        <v>20.60.1</v>
      </c>
      <c r="F139" t="str">
        <f>ЛИК_дляСкорингаДП!N139</f>
        <v>46.90,20.60,22.21,22.23,22.29,23.99,46.13,46.73,46.74,46.75,46.90,47.78.9</v>
      </c>
      <c r="G139" s="25" t="str">
        <f>ЛИК_дляСкорингаДП!AG139</f>
        <v>ОСН</v>
      </c>
      <c r="H139" s="55" t="str">
        <f>IF(ISNUMBER(E139),E139,
IFERROR(LEFT(E139,FIND(".",E139)-1),E139))</f>
        <v>20</v>
      </c>
      <c r="I139" s="30">
        <f>IF(COUNTIF(Справочник_ОКВЭД_НР!$A$3:$A$62,H139)&gt;0,Справочник_ОКВЭД_НР!$L$8,
 IF(COUNTIF(Справочник_ОКВЭД_НР!$C$3:$C$62,H139)&gt;0,Справочник_ОКВЭД_НР!$L$9,
  IF(COUNTIF(Справочник_ОКВЭД_НР!$E$3:$E$62,H139)&gt;0,Справочник_ОКВЭД_НР!$L$10,
   IF(COUNTIF(Справочник_ОКВЭД_НР!$G$3:$G$62,H139)&gt;0,Справочник_ОКВЭД_НР!$L$11,50))))</f>
        <v>60</v>
      </c>
      <c r="J139" s="30" cm="1">
        <f t="array" ref="J139">IFERROR(
 (SUMPRODUCT(ISNUMBER(SEARCH(","&amp;Справочник_ОКВЭД_НР!$A$3:$A$62&amp;".",","&amp;SUBSTITUTE(F139," ","")&amp;",")))*Справочник_ОКВЭД_НР!$L$9 +
  SUMPRODUCT(ISNUMBER(SEARCH(","&amp;Справочник_ОКВЭД_НР!$C$3:$C$62&amp;".",","&amp;SUBSTITUTE(F139," ","")&amp;",")))*Справочник_ОКВЭД_НР!$L$10 +
  SUMPRODUCT(ISNUMBER(SEARCH(","&amp;Справочник_ОКВЭД_НР!$E$3:$E$62&amp;".",","&amp;SUBSTITUTE(F139," ","")&amp;",")))*Справочник_ОКВЭД_НР!$L$11 +
  SUMPRODUCT(ISNUMBER(SEARCH(","&amp;Справочник_ОКВЭД_НР!$G$3:$G$62&amp;".",","&amp;SUBSTITUTE(F139," ","")&amp;",")))*Справочник_ОКВЭД_НР!$L$12) /
 (SUMPRODUCT(ISNUMBER(SEARCH(","&amp;Справочник_ОКВЭД_НР!$A$3:$A$62&amp;".",","&amp;SUBSTITUTE(F139," ","")&amp;","))) +
  SUMPRODUCT(ISNUMBER(SEARCH(","&amp;Справочник_ОКВЭД_НР!$C$3:$C$62&amp;".",","&amp;SUBSTITUTE(F139," ","")&amp;","))) +
  SUMPRODUCT(ISNUMBER(SEARCH(","&amp;Справочник_ОКВЭД_НР!$E$3:$E$62&amp;".",","&amp;SUBSTITUTE(F139," ","")&amp;","))) +
  SUMPRODUCT(ISNUMBER(SEARCH(","&amp;Справочник_ОКВЭД_НР!$G$3:$G$62&amp;".",","&amp;SUBSTITUTE(F139," ","")&amp;",")))),
50)</f>
        <v>50</v>
      </c>
      <c r="K139" s="30">
        <f>IFERROR(VLOOKUP(G139,Справочник_ОКВЭД_НР!$O:$P,2,FALSE()),50)</f>
        <v>100</v>
      </c>
      <c r="L139" s="45">
        <f>(I139*Справочник_ОКВЭД_НР!$L$2+J139*Справочник_ОКВЭД_НР!$L$3+K139*Справочник_ОКВЭД_НР!$L$4)*M139</f>
        <v>63.5</v>
      </c>
      <c r="M139" s="47">
        <f>IF(COUNTIF(Справочник_ОКВЭД_НР!$G$3:$G$62,H139)&gt;0,0,1)</f>
        <v>1</v>
      </c>
    </row>
    <row r="140" spans="1:13" x14ac:dyDescent="0.25">
      <c r="A140" s="4">
        <f>ЛИК_дляСкорингаДП!A140</f>
        <v>1067746319794</v>
      </c>
      <c r="B140" s="4">
        <f>ЛИК_дляСкорингаДП!B140</f>
        <v>7725562754</v>
      </c>
      <c r="C140" s="4" t="str">
        <f>ЛИК_дляСкорингаДП!C140</f>
        <v>АО "ИНВЕСТ-ХОЛДИНГ "ЭНЕРГОСОЮЗ"</v>
      </c>
      <c r="D140" s="5" t="str">
        <f>ЛИК_дляСкорингаДП!M140</f>
        <v>Деятельность холдинговых компаний</v>
      </c>
      <c r="E140" s="4" t="str">
        <f>ЛИК_дляСкорингаДП!L140</f>
        <v>64.20</v>
      </c>
      <c r="F140" t="str">
        <f>ЛИК_дляСкорингаДП!N140</f>
        <v>64.91,66.1,66.11,66.12,66.19,68.1,68.2,68.3,69.10,69.20,70.10.1,70.10.2,70.22,73.20</v>
      </c>
      <c r="G140" s="25" t="str">
        <f>ЛИК_дляСкорингаДП!AG140</f>
        <v>ОСН</v>
      </c>
      <c r="H140" s="55" t="str">
        <f>IF(ISNUMBER(E140),E140,
IFERROR(LEFT(E140,FIND(".",E140)-1),E140))</f>
        <v>64</v>
      </c>
      <c r="I140" s="30">
        <f>IF(COUNTIF(Справочник_ОКВЭД_НР!$A$3:$A$62,H140)&gt;0,Справочник_ОКВЭД_НР!$L$8,
 IF(COUNTIF(Справочник_ОКВЭД_НР!$C$3:$C$62,H140)&gt;0,Справочник_ОКВЭД_НР!$L$9,
  IF(COUNTIF(Справочник_ОКВЭД_НР!$E$3:$E$62,H140)&gt;0,Справочник_ОКВЭД_НР!$L$10,
   IF(COUNTIF(Справочник_ОКВЭД_НР!$G$3:$G$62,H140)&gt;0,Справочник_ОКВЭД_НР!$L$11,50))))</f>
        <v>60</v>
      </c>
      <c r="J140" s="30" cm="1">
        <f t="array" ref="J140">IFERROR(
 (SUMPRODUCT(ISNUMBER(SEARCH(","&amp;Справочник_ОКВЭД_НР!$A$3:$A$62&amp;".",","&amp;SUBSTITUTE(F140," ","")&amp;",")))*Справочник_ОКВЭД_НР!$L$9 +
  SUMPRODUCT(ISNUMBER(SEARCH(","&amp;Справочник_ОКВЭД_НР!$C$3:$C$62&amp;".",","&amp;SUBSTITUTE(F140," ","")&amp;",")))*Справочник_ОКВЭД_НР!$L$10 +
  SUMPRODUCT(ISNUMBER(SEARCH(","&amp;Справочник_ОКВЭД_НР!$E$3:$E$62&amp;".",","&amp;SUBSTITUTE(F140," ","")&amp;",")))*Справочник_ОКВЭД_НР!$L$11 +
  SUMPRODUCT(ISNUMBER(SEARCH(","&amp;Справочник_ОКВЭД_НР!$G$3:$G$62&amp;".",","&amp;SUBSTITUTE(F140," ","")&amp;",")))*Справочник_ОКВЭД_НР!$L$12) /
 (SUMPRODUCT(ISNUMBER(SEARCH(","&amp;Справочник_ОКВЭД_НР!$A$3:$A$62&amp;".",","&amp;SUBSTITUTE(F140," ","")&amp;","))) +
  SUMPRODUCT(ISNUMBER(SEARCH(","&amp;Справочник_ОКВЭД_НР!$C$3:$C$62&amp;".",","&amp;SUBSTITUTE(F140," ","")&amp;","))) +
  SUMPRODUCT(ISNUMBER(SEARCH(","&amp;Справочник_ОКВЭД_НР!$E$3:$E$62&amp;".",","&amp;SUBSTITUTE(F140," ","")&amp;","))) +
  SUMPRODUCT(ISNUMBER(SEARCH(","&amp;Справочник_ОКВЭД_НР!$G$3:$G$62&amp;".",","&amp;SUBSTITUTE(F140," ","")&amp;",")))),
50)</f>
        <v>50</v>
      </c>
      <c r="K140" s="30">
        <f>IFERROR(VLOOKUP(G140,Справочник_ОКВЭД_НР!$O:$P,2,FALSE()),50)</f>
        <v>100</v>
      </c>
      <c r="L140" s="45">
        <f>(I140*Справочник_ОКВЭД_НР!$L$2+J140*Справочник_ОКВЭД_НР!$L$3+K140*Справочник_ОКВЭД_НР!$L$4)*M140</f>
        <v>63.5</v>
      </c>
      <c r="M140" s="47">
        <f>IF(COUNTIF(Справочник_ОКВЭД_НР!$G$3:$G$62,H140)&gt;0,0,1)</f>
        <v>1</v>
      </c>
    </row>
    <row r="141" spans="1:13" x14ac:dyDescent="0.25">
      <c r="A141" s="4">
        <f>ЛИК_дляСкорингаДП!A141</f>
        <v>1035004262545</v>
      </c>
      <c r="B141" s="4">
        <f>ЛИК_дляСкорингаДП!B141</f>
        <v>5022030914</v>
      </c>
      <c r="C141" s="4" t="str">
        <f>ЛИК_дляСкорингаДП!C141</f>
        <v>АО "КЗТС"</v>
      </c>
      <c r="D141" s="5" t="str">
        <f>ЛИК_дляСкорингаДП!M141</f>
        <v>Аренда и управление собственным или арендованным нежилым недвижимым имуществом</v>
      </c>
      <c r="E141" s="4" t="str">
        <f>ЛИК_дляСкорингаДП!L141</f>
        <v>68.20.2</v>
      </c>
      <c r="F141" t="str">
        <f>ЛИК_дляСкорингаДП!N141</f>
        <v>25.11,28.41.1,28.41.2,33.12,41.20,43.99.7,47.9,71.12.1,77.39.2</v>
      </c>
      <c r="G141" s="25" t="str">
        <f>ЛИК_дляСкорингаДП!AG141</f>
        <v>ОСН</v>
      </c>
      <c r="H141" s="55" t="str">
        <f>IF(ISNUMBER(E141),E141,
IFERROR(LEFT(E141,FIND(".",E141)-1),E141))</f>
        <v>68</v>
      </c>
      <c r="I141" s="30">
        <f>IF(COUNTIF(Справочник_ОКВЭД_НР!$A$3:$A$62,H141)&gt;0,Справочник_ОКВЭД_НР!$L$8,
 IF(COUNTIF(Справочник_ОКВЭД_НР!$C$3:$C$62,H141)&gt;0,Справочник_ОКВЭД_НР!$L$9,
  IF(COUNTIF(Справочник_ОКВЭД_НР!$E$3:$E$62,H141)&gt;0,Справочник_ОКВЭД_НР!$L$10,
   IF(COUNTIF(Справочник_ОКВЭД_НР!$G$3:$G$62,H141)&gt;0,Справочник_ОКВЭД_НР!$L$11,50))))</f>
        <v>100</v>
      </c>
      <c r="J141" s="30" cm="1">
        <f t="array" ref="J141">IFERROR(
 (SUMPRODUCT(ISNUMBER(SEARCH(","&amp;Справочник_ОКВЭД_НР!$A$3:$A$62&amp;".",","&amp;SUBSTITUTE(F141," ","")&amp;",")))*Справочник_ОКВЭД_НР!$L$9 +
  SUMPRODUCT(ISNUMBER(SEARCH(","&amp;Справочник_ОКВЭД_НР!$C$3:$C$62&amp;".",","&amp;SUBSTITUTE(F141," ","")&amp;",")))*Справочник_ОКВЭД_НР!$L$10 +
  SUMPRODUCT(ISNUMBER(SEARCH(","&amp;Справочник_ОКВЭД_НР!$E$3:$E$62&amp;".",","&amp;SUBSTITUTE(F141," ","")&amp;",")))*Справочник_ОКВЭД_НР!$L$11 +
  SUMPRODUCT(ISNUMBER(SEARCH(","&amp;Справочник_ОКВЭД_НР!$G$3:$G$62&amp;".",","&amp;SUBSTITUTE(F141," ","")&amp;",")))*Справочник_ОКВЭД_НР!$L$12) /
 (SUMPRODUCT(ISNUMBER(SEARCH(","&amp;Справочник_ОКВЭД_НР!$A$3:$A$62&amp;".",","&amp;SUBSTITUTE(F141," ","")&amp;","))) +
  SUMPRODUCT(ISNUMBER(SEARCH(","&amp;Справочник_ОКВЭД_НР!$C$3:$C$62&amp;".",","&amp;SUBSTITUTE(F141," ","")&amp;","))) +
  SUMPRODUCT(ISNUMBER(SEARCH(","&amp;Справочник_ОКВЭД_НР!$E$3:$E$62&amp;".",","&amp;SUBSTITUTE(F141," ","")&amp;","))) +
  SUMPRODUCT(ISNUMBER(SEARCH(","&amp;Справочник_ОКВЭД_НР!$G$3:$G$62&amp;".",","&amp;SUBSTITUTE(F141," ","")&amp;",")))),
50)</f>
        <v>50</v>
      </c>
      <c r="K141" s="30">
        <f>IFERROR(VLOOKUP(G141,Справочник_ОКВЭД_НР!$O:$P,2,FALSE()),50)</f>
        <v>100</v>
      </c>
      <c r="L141" s="45">
        <f>(I141*Справочник_ОКВЭД_НР!$L$2+J141*Справочник_ОКВЭД_НР!$L$3+K141*Справочник_ОКВЭД_НР!$L$4)*M141</f>
        <v>87.5</v>
      </c>
      <c r="M141" s="47">
        <f>IF(COUNTIF(Справочник_ОКВЭД_НР!$G$3:$G$62,H141)&gt;0,0,1)</f>
        <v>1</v>
      </c>
    </row>
    <row r="142" spans="1:13" x14ac:dyDescent="0.25">
      <c r="A142" s="4">
        <f>ЛИК_дляСкорингаДП!A142</f>
        <v>1035005503730</v>
      </c>
      <c r="B142" s="4">
        <f>ЛИК_дляСкорингаДП!B142</f>
        <v>5029023761</v>
      </c>
      <c r="C142" s="4" t="str">
        <f>ЛИК_дляСкорингаДП!C142</f>
        <v>ООО "СОПРОВОЖДЕНИЕ"</v>
      </c>
      <c r="D142" s="5" t="str">
        <f>ЛИК_дляСкорингаДП!M142</f>
        <v>Разработка строительных проектов</v>
      </c>
      <c r="E142" s="4" t="str">
        <f>ЛИК_дляСкорингаДП!L142</f>
        <v>41.10</v>
      </c>
      <c r="F142" t="str">
        <f>ЛИК_дляСкорингаДП!N142</f>
        <v>38.11,38.12,38.21,38.22,41.20,43.11,43.12,43.29,46.51,46.73,46.74,49.42,52.10,71.12,81.30</v>
      </c>
      <c r="G142" s="25" t="str">
        <f>ЛИК_дляСкорингаДП!AG142</f>
        <v>ОСН</v>
      </c>
      <c r="H142" s="55" t="str">
        <f>IF(ISNUMBER(E142),E142,
IFERROR(LEFT(E142,FIND(".",E142)-1),E142))</f>
        <v>41</v>
      </c>
      <c r="I142" s="30">
        <f>IF(COUNTIF(Справочник_ОКВЭД_НР!$A$3:$A$62,H142)&gt;0,Справочник_ОКВЭД_НР!$L$8,
 IF(COUNTIF(Справочник_ОКВЭД_НР!$C$3:$C$62,H142)&gt;0,Справочник_ОКВЭД_НР!$L$9,
  IF(COUNTIF(Справочник_ОКВЭД_НР!$E$3:$E$62,H142)&gt;0,Справочник_ОКВЭД_НР!$L$10,
   IF(COUNTIF(Справочник_ОКВЭД_НР!$G$3:$G$62,H142)&gt;0,Справочник_ОКВЭД_НР!$L$11,50))))</f>
        <v>100</v>
      </c>
      <c r="J142" s="30" cm="1">
        <f t="array" ref="J142">IFERROR(
 (SUMPRODUCT(ISNUMBER(SEARCH(","&amp;Справочник_ОКВЭД_НР!$A$3:$A$62&amp;".",","&amp;SUBSTITUTE(F142," ","")&amp;",")))*Справочник_ОКВЭД_НР!$L$9 +
  SUMPRODUCT(ISNUMBER(SEARCH(","&amp;Справочник_ОКВЭД_НР!$C$3:$C$62&amp;".",","&amp;SUBSTITUTE(F142," ","")&amp;",")))*Справочник_ОКВЭД_НР!$L$10 +
  SUMPRODUCT(ISNUMBER(SEARCH(","&amp;Справочник_ОКВЭД_НР!$E$3:$E$62&amp;".",","&amp;SUBSTITUTE(F142," ","")&amp;",")))*Справочник_ОКВЭД_НР!$L$11 +
  SUMPRODUCT(ISNUMBER(SEARCH(","&amp;Справочник_ОКВЭД_НР!$G$3:$G$62&amp;".",","&amp;SUBSTITUTE(F142," ","")&amp;",")))*Справочник_ОКВЭД_НР!$L$12) /
 (SUMPRODUCT(ISNUMBER(SEARCH(","&amp;Справочник_ОКВЭД_НР!$A$3:$A$62&amp;".",","&amp;SUBSTITUTE(F142," ","")&amp;","))) +
  SUMPRODUCT(ISNUMBER(SEARCH(","&amp;Справочник_ОКВЭД_НР!$C$3:$C$62&amp;".",","&amp;SUBSTITUTE(F142," ","")&amp;","))) +
  SUMPRODUCT(ISNUMBER(SEARCH(","&amp;Справочник_ОКВЭД_НР!$E$3:$E$62&amp;".",","&amp;SUBSTITUTE(F142," ","")&amp;","))) +
  SUMPRODUCT(ISNUMBER(SEARCH(","&amp;Справочник_ОКВЭД_НР!$G$3:$G$62&amp;".",","&amp;SUBSTITUTE(F142," ","")&amp;",")))),
50)</f>
        <v>50</v>
      </c>
      <c r="K142" s="30">
        <f>IFERROR(VLOOKUP(G142,Справочник_ОКВЭД_НР!$O:$P,2,FALSE()),50)</f>
        <v>100</v>
      </c>
      <c r="L142" s="45">
        <f>(I142*Справочник_ОКВЭД_НР!$L$2+J142*Справочник_ОКВЭД_НР!$L$3+K142*Справочник_ОКВЭД_НР!$L$4)*M142</f>
        <v>87.5</v>
      </c>
      <c r="M142" s="47">
        <f>IF(COUNTIF(Справочник_ОКВЭД_НР!$G$3:$G$62,H142)&gt;0,0,1)</f>
        <v>1</v>
      </c>
    </row>
    <row r="143" spans="1:13" x14ac:dyDescent="0.25">
      <c r="A143" s="4">
        <f>ЛИК_дляСкорингаДП!A143</f>
        <v>1125029000580</v>
      </c>
      <c r="B143" s="4">
        <f>ЛИК_дляСкорингаДП!B143</f>
        <v>5029159233</v>
      </c>
      <c r="C143" s="4" t="str">
        <f>ЛИК_дляСкорингаДП!C143</f>
        <v>ООО "СДС ПРОМ"</v>
      </c>
      <c r="D143" s="5" t="str">
        <f>ЛИК_дляСкорингаДП!M143</f>
        <v>Аренда и управление собственным или арендованным прочим нежилым недвижимым имуществом</v>
      </c>
      <c r="E143" s="4" t="str">
        <f>ЛИК_дляСкорингаДП!L143</f>
        <v>68.20.29</v>
      </c>
      <c r="F143" t="str">
        <f>ЛИК_дляСкорингаДП!N143</f>
        <v>52.10,52.24,68.20</v>
      </c>
      <c r="G143" s="25" t="str">
        <f>ЛИК_дляСкорингаДП!AG143</f>
        <v>ОСН</v>
      </c>
      <c r="H143" s="55" t="str">
        <f>IF(ISNUMBER(E143),E143,
IFERROR(LEFT(E143,FIND(".",E143)-1),E143))</f>
        <v>68</v>
      </c>
      <c r="I143" s="30">
        <f>IF(COUNTIF(Справочник_ОКВЭД_НР!$A$3:$A$62,H143)&gt;0,Справочник_ОКВЭД_НР!$L$8,
 IF(COUNTIF(Справочник_ОКВЭД_НР!$C$3:$C$62,H143)&gt;0,Справочник_ОКВЭД_НР!$L$9,
  IF(COUNTIF(Справочник_ОКВЭД_НР!$E$3:$E$62,H143)&gt;0,Справочник_ОКВЭД_НР!$L$10,
   IF(COUNTIF(Справочник_ОКВЭД_НР!$G$3:$G$62,H143)&gt;0,Справочник_ОКВЭД_НР!$L$11,50))))</f>
        <v>100</v>
      </c>
      <c r="J143" s="30" cm="1">
        <f t="array" ref="J143">IFERROR(
 (SUMPRODUCT(ISNUMBER(SEARCH(","&amp;Справочник_ОКВЭД_НР!$A$3:$A$62&amp;".",","&amp;SUBSTITUTE(F143," ","")&amp;",")))*Справочник_ОКВЭД_НР!$L$9 +
  SUMPRODUCT(ISNUMBER(SEARCH(","&amp;Справочник_ОКВЭД_НР!$C$3:$C$62&amp;".",","&amp;SUBSTITUTE(F143," ","")&amp;",")))*Справочник_ОКВЭД_НР!$L$10 +
  SUMPRODUCT(ISNUMBER(SEARCH(","&amp;Справочник_ОКВЭД_НР!$E$3:$E$62&amp;".",","&amp;SUBSTITUTE(F143," ","")&amp;",")))*Справочник_ОКВЭД_НР!$L$11 +
  SUMPRODUCT(ISNUMBER(SEARCH(","&amp;Справочник_ОКВЭД_НР!$G$3:$G$62&amp;".",","&amp;SUBSTITUTE(F143," ","")&amp;",")))*Справочник_ОКВЭД_НР!$L$12) /
 (SUMPRODUCT(ISNUMBER(SEARCH(","&amp;Справочник_ОКВЭД_НР!$A$3:$A$62&amp;".",","&amp;SUBSTITUTE(F143," ","")&amp;","))) +
  SUMPRODUCT(ISNUMBER(SEARCH(","&amp;Справочник_ОКВЭД_НР!$C$3:$C$62&amp;".",","&amp;SUBSTITUTE(F143," ","")&amp;","))) +
  SUMPRODUCT(ISNUMBER(SEARCH(","&amp;Справочник_ОКВЭД_НР!$E$3:$E$62&amp;".",","&amp;SUBSTITUTE(F143," ","")&amp;","))) +
  SUMPRODUCT(ISNUMBER(SEARCH(","&amp;Справочник_ОКВЭД_НР!$G$3:$G$62&amp;".",","&amp;SUBSTITUTE(F143," ","")&amp;",")))),
50)</f>
        <v>50</v>
      </c>
      <c r="K143" s="30">
        <f>IFERROR(VLOOKUP(G143,Справочник_ОКВЭД_НР!$O:$P,2,FALSE()),50)</f>
        <v>100</v>
      </c>
      <c r="L143" s="45">
        <f>(I143*Справочник_ОКВЭД_НР!$L$2+J143*Справочник_ОКВЭД_НР!$L$3+K143*Справочник_ОКВЭД_НР!$L$4)*M143</f>
        <v>87.5</v>
      </c>
      <c r="M143" s="47">
        <f>IF(COUNTIF(Справочник_ОКВЭД_НР!$G$3:$G$62,H143)&gt;0,0,1)</f>
        <v>1</v>
      </c>
    </row>
    <row r="144" spans="1:13" x14ac:dyDescent="0.25">
      <c r="A144" s="4">
        <f>ЛИК_дляСкорингаДП!A144</f>
        <v>1037739904586</v>
      </c>
      <c r="B144" s="4">
        <f>ЛИК_дляСкорингаДП!B144</f>
        <v>7703502840</v>
      </c>
      <c r="C144" s="4" t="str">
        <f>ЛИК_дляСкорингаДП!C144</f>
        <v>ООО "ХУАМИН ИНТЕРНЭШНЛ"</v>
      </c>
      <c r="D144" s="5" t="str">
        <f>ЛИК_дляСкорингаДП!M144</f>
        <v>Управление недвижимым имуществом за вознаграждение или на договорной основе</v>
      </c>
      <c r="E144" s="4" t="str">
        <f>ЛИК_дляСкорингаДП!L144</f>
        <v>68.32</v>
      </c>
      <c r="F144" t="str">
        <f>ЛИК_дляСкорингаДП!N144</f>
        <v>43.99.9,45.11,45.19,45.20,45.31,45.32,46.12,46.21,46.31,46.32,46.33,46.34,46.36,46.38,46.71,46.72,46.73.2,46.74,46.77,52.10,56.10,56.10.1,56.10.3,64.92.2,64.99,68.10,68.10.1,68.20,68.31,69.10,70.22,73.11,78.10,78.20,79.11,81.22</v>
      </c>
      <c r="G144" s="25" t="str">
        <f>ЛИК_дляСкорингаДП!AG144</f>
        <v>ОСН</v>
      </c>
      <c r="H144" s="55" t="str">
        <f>IF(ISNUMBER(E144),E144,
IFERROR(LEFT(E144,FIND(".",E144)-1),E144))</f>
        <v>68</v>
      </c>
      <c r="I144" s="30">
        <f>IF(COUNTIF(Справочник_ОКВЭД_НР!$A$3:$A$62,H144)&gt;0,Справочник_ОКВЭД_НР!$L$8,
 IF(COUNTIF(Справочник_ОКВЭД_НР!$C$3:$C$62,H144)&gt;0,Справочник_ОКВЭД_НР!$L$9,
  IF(COUNTIF(Справочник_ОКВЭД_НР!$E$3:$E$62,H144)&gt;0,Справочник_ОКВЭД_НР!$L$10,
   IF(COUNTIF(Справочник_ОКВЭД_НР!$G$3:$G$62,H144)&gt;0,Справочник_ОКВЭД_НР!$L$11,50))))</f>
        <v>100</v>
      </c>
      <c r="J144" s="30" cm="1">
        <f t="array" ref="J144">IFERROR(
 (SUMPRODUCT(ISNUMBER(SEARCH(","&amp;Справочник_ОКВЭД_НР!$A$3:$A$62&amp;".",","&amp;SUBSTITUTE(F144," ","")&amp;",")))*Справочник_ОКВЭД_НР!$L$9 +
  SUMPRODUCT(ISNUMBER(SEARCH(","&amp;Справочник_ОКВЭД_НР!$C$3:$C$62&amp;".",","&amp;SUBSTITUTE(F144," ","")&amp;",")))*Справочник_ОКВЭД_НР!$L$10 +
  SUMPRODUCT(ISNUMBER(SEARCH(","&amp;Справочник_ОКВЭД_НР!$E$3:$E$62&amp;".",","&amp;SUBSTITUTE(F144," ","")&amp;",")))*Справочник_ОКВЭД_НР!$L$11 +
  SUMPRODUCT(ISNUMBER(SEARCH(","&amp;Справочник_ОКВЭД_НР!$G$3:$G$62&amp;".",","&amp;SUBSTITUTE(F144," ","")&amp;",")))*Справочник_ОКВЭД_НР!$L$12) /
 (SUMPRODUCT(ISNUMBER(SEARCH(","&amp;Справочник_ОКВЭД_НР!$A$3:$A$62&amp;".",","&amp;SUBSTITUTE(F144," ","")&amp;","))) +
  SUMPRODUCT(ISNUMBER(SEARCH(","&amp;Справочник_ОКВЭД_НР!$C$3:$C$62&amp;".",","&amp;SUBSTITUTE(F144," ","")&amp;","))) +
  SUMPRODUCT(ISNUMBER(SEARCH(","&amp;Справочник_ОКВЭД_НР!$E$3:$E$62&amp;".",","&amp;SUBSTITUTE(F144," ","")&amp;","))) +
  SUMPRODUCT(ISNUMBER(SEARCH(","&amp;Справочник_ОКВЭД_НР!$G$3:$G$62&amp;".",","&amp;SUBSTITUTE(F144," ","")&amp;",")))),
50)</f>
        <v>50</v>
      </c>
      <c r="K144" s="30">
        <f>IFERROR(VLOOKUP(G144,Справочник_ОКВЭД_НР!$O:$P,2,FALSE()),50)</f>
        <v>100</v>
      </c>
      <c r="L144" s="45">
        <f>(I144*Справочник_ОКВЭД_НР!$L$2+J144*Справочник_ОКВЭД_НР!$L$3+K144*Справочник_ОКВЭД_НР!$L$4)*M144</f>
        <v>87.5</v>
      </c>
      <c r="M144" s="47">
        <f>IF(COUNTIF(Справочник_ОКВЭД_НР!$G$3:$G$62,H144)&gt;0,0,1)</f>
        <v>1</v>
      </c>
    </row>
    <row r="145" spans="1:13" x14ac:dyDescent="0.25">
      <c r="A145" s="4">
        <f>ЛИК_дляСкорингаДП!A145</f>
        <v>1227700466950</v>
      </c>
      <c r="B145" s="4">
        <f>ЛИК_дляСкорингаДП!B145</f>
        <v>9723163518</v>
      </c>
      <c r="C145" s="4" t="str">
        <f>ЛИК_дляСкорингаДП!C145</f>
        <v>ООО "ТОРГОВЫЙ ПРОМЫШЛЕННЫЙ ДОМ "СИСТЕМА""</v>
      </c>
      <c r="D145" s="5" t="str">
        <f>ЛИК_дляСкорингаДП!M145</f>
        <v>Торговля оптовая автомобильными деталями, узлами и принадлежностями</v>
      </c>
      <c r="E145" s="4" t="str">
        <f>ЛИК_дляСкорингаДП!L145</f>
        <v>45.31</v>
      </c>
      <c r="F145" t="str">
        <f>ЛИК_дляСкорингаДП!N145</f>
        <v>19.20,19.20.1,19.20.9,20.59.4,45.32,46.11,46.13,46.71,47.30,47.30.2,47.91,47.91.2,47.99</v>
      </c>
      <c r="G145" s="25" t="str">
        <f>ЛИК_дляСкорингаДП!AG145</f>
        <v>ОСН</v>
      </c>
      <c r="H145" s="55" t="str">
        <f>IF(ISNUMBER(E145),E145,
IFERROR(LEFT(E145,FIND(".",E145)-1),E145))</f>
        <v>45</v>
      </c>
      <c r="I145" s="30">
        <f>IF(COUNTIF(Справочник_ОКВЭД_НР!$A$3:$A$62,H145)&gt;0,Справочник_ОКВЭД_НР!$L$8,
 IF(COUNTIF(Справочник_ОКВЭД_НР!$C$3:$C$62,H145)&gt;0,Справочник_ОКВЭД_НР!$L$9,
  IF(COUNTIF(Справочник_ОКВЭД_НР!$E$3:$E$62,H145)&gt;0,Справочник_ОКВЭД_НР!$L$10,
   IF(COUNTIF(Справочник_ОКВЭД_НР!$G$3:$G$62,H145)&gt;0,Справочник_ОКВЭД_НР!$L$11,50))))</f>
        <v>60</v>
      </c>
      <c r="J145" s="30" cm="1">
        <f t="array" ref="J145">IFERROR(
 (SUMPRODUCT(ISNUMBER(SEARCH(","&amp;Справочник_ОКВЭД_НР!$A$3:$A$62&amp;".",","&amp;SUBSTITUTE(F145," ","")&amp;",")))*Справочник_ОКВЭД_НР!$L$9 +
  SUMPRODUCT(ISNUMBER(SEARCH(","&amp;Справочник_ОКВЭД_НР!$C$3:$C$62&amp;".",","&amp;SUBSTITUTE(F145," ","")&amp;",")))*Справочник_ОКВЭД_НР!$L$10 +
  SUMPRODUCT(ISNUMBER(SEARCH(","&amp;Справочник_ОКВЭД_НР!$E$3:$E$62&amp;".",","&amp;SUBSTITUTE(F145," ","")&amp;",")))*Справочник_ОКВЭД_НР!$L$11 +
  SUMPRODUCT(ISNUMBER(SEARCH(","&amp;Справочник_ОКВЭД_НР!$G$3:$G$62&amp;".",","&amp;SUBSTITUTE(F145," ","")&amp;",")))*Справочник_ОКВЭД_НР!$L$12) /
 (SUMPRODUCT(ISNUMBER(SEARCH(","&amp;Справочник_ОКВЭД_НР!$A$3:$A$62&amp;".",","&amp;SUBSTITUTE(F145," ","")&amp;","))) +
  SUMPRODUCT(ISNUMBER(SEARCH(","&amp;Справочник_ОКВЭД_НР!$C$3:$C$62&amp;".",","&amp;SUBSTITUTE(F145," ","")&amp;","))) +
  SUMPRODUCT(ISNUMBER(SEARCH(","&amp;Справочник_ОКВЭД_НР!$E$3:$E$62&amp;".",","&amp;SUBSTITUTE(F145," ","")&amp;","))) +
  SUMPRODUCT(ISNUMBER(SEARCH(","&amp;Справочник_ОКВЭД_НР!$G$3:$G$62&amp;".",","&amp;SUBSTITUTE(F145," ","")&amp;",")))),
50)</f>
        <v>50</v>
      </c>
      <c r="K145" s="30">
        <f>IFERROR(VLOOKUP(G145,Справочник_ОКВЭД_НР!$O:$P,2,FALSE()),50)</f>
        <v>100</v>
      </c>
      <c r="L145" s="45">
        <f>(I145*Справочник_ОКВЭД_НР!$L$2+J145*Справочник_ОКВЭД_НР!$L$3+K145*Справочник_ОКВЭД_НР!$L$4)*M145</f>
        <v>63.5</v>
      </c>
      <c r="M145" s="47">
        <f>IF(COUNTIF(Справочник_ОКВЭД_НР!$G$3:$G$62,H145)&gt;0,0,1)</f>
        <v>1</v>
      </c>
    </row>
    <row r="146" spans="1:13" x14ac:dyDescent="0.25">
      <c r="A146" s="4">
        <f>ЛИК_дляСкорингаДП!A146</f>
        <v>1087746103280</v>
      </c>
      <c r="B146" s="4">
        <f>ЛИК_дляСкорингаДП!B146</f>
        <v>7730576103</v>
      </c>
      <c r="C146" s="4" t="str">
        <f>ЛИК_дляСкорингаДП!C146</f>
        <v>ООО "БАШНЯ ХII"</v>
      </c>
      <c r="D146" s="5" t="str">
        <f>ЛИК_дляСкорингаДП!M146</f>
        <v>Управление эксплуатацией нежилого фонда за вознаграждение или на договорной основе</v>
      </c>
      <c r="E146" s="4" t="str">
        <f>ЛИК_дляСкорингаДП!L146</f>
        <v>68.32.2</v>
      </c>
      <c r="F146" t="str">
        <f>ЛИК_дляСкорингаДП!N146</f>
        <v>46.66,46.9,68.10,68.10.1,68.20.2,68.32</v>
      </c>
      <c r="G146" s="25" t="str">
        <f>ЛИК_дляСкорингаДП!AG146</f>
        <v>ОСН</v>
      </c>
      <c r="H146" s="55" t="str">
        <f>IF(ISNUMBER(E146),E146,
IFERROR(LEFT(E146,FIND(".",E146)-1),E146))</f>
        <v>68</v>
      </c>
      <c r="I146" s="30">
        <f>IF(COUNTIF(Справочник_ОКВЭД_НР!$A$3:$A$62,H146)&gt;0,Справочник_ОКВЭД_НР!$L$8,
 IF(COUNTIF(Справочник_ОКВЭД_НР!$C$3:$C$62,H146)&gt;0,Справочник_ОКВЭД_НР!$L$9,
  IF(COUNTIF(Справочник_ОКВЭД_НР!$E$3:$E$62,H146)&gt;0,Справочник_ОКВЭД_НР!$L$10,
   IF(COUNTIF(Справочник_ОКВЭД_НР!$G$3:$G$62,H146)&gt;0,Справочник_ОКВЭД_НР!$L$11,50))))</f>
        <v>100</v>
      </c>
      <c r="J146" s="30" cm="1">
        <f t="array" ref="J146">IFERROR(
 (SUMPRODUCT(ISNUMBER(SEARCH(","&amp;Справочник_ОКВЭД_НР!$A$3:$A$62&amp;".",","&amp;SUBSTITUTE(F146," ","")&amp;",")))*Справочник_ОКВЭД_НР!$L$9 +
  SUMPRODUCT(ISNUMBER(SEARCH(","&amp;Справочник_ОКВЭД_НР!$C$3:$C$62&amp;".",","&amp;SUBSTITUTE(F146," ","")&amp;",")))*Справочник_ОКВЭД_НР!$L$10 +
  SUMPRODUCT(ISNUMBER(SEARCH(","&amp;Справочник_ОКВЭД_НР!$E$3:$E$62&amp;".",","&amp;SUBSTITUTE(F146," ","")&amp;",")))*Справочник_ОКВЭД_НР!$L$11 +
  SUMPRODUCT(ISNUMBER(SEARCH(","&amp;Справочник_ОКВЭД_НР!$G$3:$G$62&amp;".",","&amp;SUBSTITUTE(F146," ","")&amp;",")))*Справочник_ОКВЭД_НР!$L$12) /
 (SUMPRODUCT(ISNUMBER(SEARCH(","&amp;Справочник_ОКВЭД_НР!$A$3:$A$62&amp;".",","&amp;SUBSTITUTE(F146," ","")&amp;","))) +
  SUMPRODUCT(ISNUMBER(SEARCH(","&amp;Справочник_ОКВЭД_НР!$C$3:$C$62&amp;".",","&amp;SUBSTITUTE(F146," ","")&amp;","))) +
  SUMPRODUCT(ISNUMBER(SEARCH(","&amp;Справочник_ОКВЭД_НР!$E$3:$E$62&amp;".",","&amp;SUBSTITUTE(F146," ","")&amp;","))) +
  SUMPRODUCT(ISNUMBER(SEARCH(","&amp;Справочник_ОКВЭД_НР!$G$3:$G$62&amp;".",","&amp;SUBSTITUTE(F146," ","")&amp;",")))),
50)</f>
        <v>50</v>
      </c>
      <c r="K146" s="30">
        <f>IFERROR(VLOOKUP(G146,Справочник_ОКВЭД_НР!$O:$P,2,FALSE()),50)</f>
        <v>100</v>
      </c>
      <c r="L146" s="45">
        <f>(I146*Справочник_ОКВЭД_НР!$L$2+J146*Справочник_ОКВЭД_НР!$L$3+K146*Справочник_ОКВЭД_НР!$L$4)*M146</f>
        <v>87.5</v>
      </c>
      <c r="M146" s="47">
        <f>IF(COUNTIF(Справочник_ОКВЭД_НР!$G$3:$G$62,H146)&gt;0,0,1)</f>
        <v>1</v>
      </c>
    </row>
    <row r="147" spans="1:13" x14ac:dyDescent="0.25">
      <c r="A147" s="4">
        <f>ЛИК_дляСкорингаДП!A147</f>
        <v>1235000141683</v>
      </c>
      <c r="B147" s="4">
        <f>ЛИК_дляСкорингаДП!B147</f>
        <v>5074085086</v>
      </c>
      <c r="C147" s="4" t="str">
        <f>ЛИК_дляСкорингаДП!C147</f>
        <v>ООО "МЕТРИКА"</v>
      </c>
      <c r="D147" s="5" t="str">
        <f>ЛИК_дляСкорингаДП!M147</f>
        <v>Аренда и управление собственным или арендованным прочим нежилым недвижимым имуществом</v>
      </c>
      <c r="E147" s="4" t="str">
        <f>ЛИК_дляСкорингаДП!L147</f>
        <v>68.20.29</v>
      </c>
      <c r="F147" t="str">
        <f>ЛИК_дляСкорингаДП!N147</f>
        <v>68.20.2</v>
      </c>
      <c r="G147" s="25" t="str">
        <f>ЛИК_дляСкорингаДП!AG147</f>
        <v>ОСН</v>
      </c>
      <c r="H147" s="55" t="str">
        <f>IF(ISNUMBER(E147),E147,
IFERROR(LEFT(E147,FIND(".",E147)-1),E147))</f>
        <v>68</v>
      </c>
      <c r="I147" s="30">
        <f>IF(COUNTIF(Справочник_ОКВЭД_НР!$A$3:$A$62,H147)&gt;0,Справочник_ОКВЭД_НР!$L$8,
 IF(COUNTIF(Справочник_ОКВЭД_НР!$C$3:$C$62,H147)&gt;0,Справочник_ОКВЭД_НР!$L$9,
  IF(COUNTIF(Справочник_ОКВЭД_НР!$E$3:$E$62,H147)&gt;0,Справочник_ОКВЭД_НР!$L$10,
   IF(COUNTIF(Справочник_ОКВЭД_НР!$G$3:$G$62,H147)&gt;0,Справочник_ОКВЭД_НР!$L$11,50))))</f>
        <v>100</v>
      </c>
      <c r="J147" s="30" cm="1">
        <f t="array" ref="J147">IFERROR(
 (SUMPRODUCT(ISNUMBER(SEARCH(","&amp;Справочник_ОКВЭД_НР!$A$3:$A$62&amp;".",","&amp;SUBSTITUTE(F147," ","")&amp;",")))*Справочник_ОКВЭД_НР!$L$9 +
  SUMPRODUCT(ISNUMBER(SEARCH(","&amp;Справочник_ОКВЭД_НР!$C$3:$C$62&amp;".",","&amp;SUBSTITUTE(F147," ","")&amp;",")))*Справочник_ОКВЭД_НР!$L$10 +
  SUMPRODUCT(ISNUMBER(SEARCH(","&amp;Справочник_ОКВЭД_НР!$E$3:$E$62&amp;".",","&amp;SUBSTITUTE(F147," ","")&amp;",")))*Справочник_ОКВЭД_НР!$L$11 +
  SUMPRODUCT(ISNUMBER(SEARCH(","&amp;Справочник_ОКВЭД_НР!$G$3:$G$62&amp;".",","&amp;SUBSTITUTE(F147," ","")&amp;",")))*Справочник_ОКВЭД_НР!$L$12) /
 (SUMPRODUCT(ISNUMBER(SEARCH(","&amp;Справочник_ОКВЭД_НР!$A$3:$A$62&amp;".",","&amp;SUBSTITUTE(F147," ","")&amp;","))) +
  SUMPRODUCT(ISNUMBER(SEARCH(","&amp;Справочник_ОКВЭД_НР!$C$3:$C$62&amp;".",","&amp;SUBSTITUTE(F147," ","")&amp;","))) +
  SUMPRODUCT(ISNUMBER(SEARCH(","&amp;Справочник_ОКВЭД_НР!$E$3:$E$62&amp;".",","&amp;SUBSTITUTE(F147," ","")&amp;","))) +
  SUMPRODUCT(ISNUMBER(SEARCH(","&amp;Справочник_ОКВЭД_НР!$G$3:$G$62&amp;".",","&amp;SUBSTITUTE(F147," ","")&amp;",")))),
50)</f>
        <v>50</v>
      </c>
      <c r="K147" s="30">
        <f>IFERROR(VLOOKUP(G147,Справочник_ОКВЭД_НР!$O:$P,2,FALSE()),50)</f>
        <v>100</v>
      </c>
      <c r="L147" s="45">
        <f>(I147*Справочник_ОКВЭД_НР!$L$2+J147*Справочник_ОКВЭД_НР!$L$3+K147*Справочник_ОКВЭД_НР!$L$4)*M147</f>
        <v>87.5</v>
      </c>
      <c r="M147" s="47">
        <f>IF(COUNTIF(Справочник_ОКВЭД_НР!$G$3:$G$62,H147)&gt;0,0,1)</f>
        <v>1</v>
      </c>
    </row>
    <row r="148" spans="1:13" x14ac:dyDescent="0.25">
      <c r="A148" s="4">
        <f>ЛИК_дляСкорингаДП!A148</f>
        <v>1067746806181</v>
      </c>
      <c r="B148" s="4">
        <f>ЛИК_дляСкорингаДП!B148</f>
        <v>7729552387</v>
      </c>
      <c r="C148" s="4" t="str">
        <f>ЛИК_дляСкорингаДП!C148</f>
        <v>АО "ВО "МАШИНОИМПОРТ"</v>
      </c>
      <c r="D148" s="5" t="str">
        <f>ЛИК_дляСкорингаДП!M148</f>
        <v>Торговля оптовая неспециализированная</v>
      </c>
      <c r="E148" s="4" t="str">
        <f>ЛИК_дляСкорингаДП!L148</f>
        <v>46.90</v>
      </c>
      <c r="F148" t="str">
        <f>ЛИК_дляСкорингаДП!N148</f>
        <v>68.20.1,41.20,43.12.3,43.13,43.99,45.11.1,45.11.4,45.19.1,45.19.4,45.31.1,46.61,46.63,46.69,46.71,46.71.1,46.71.2,46.71.3,46.71.4,46.71.5,46.71.51,46.71.52,46.71.9,46.72,46.73,46.74,46.75,46.90,49.50.1,49.50.11,49.50.12,49.50.2,49.50.21,49.50.22,49.50.3,52.10,52.24,52.24.1,52.24.2,52.29,68.32.2,71.1,71.12.5,71.12.6,73.11,73.20,82.99</v>
      </c>
      <c r="G148" s="25" t="str">
        <f>ЛИК_дляСкорингаДП!AG148</f>
        <v>ОСН</v>
      </c>
      <c r="H148" s="55" t="str">
        <f>IF(ISNUMBER(E148),E148,
IFERROR(LEFT(E148,FIND(".",E148)-1),E148))</f>
        <v>46</v>
      </c>
      <c r="I148" s="30">
        <f>IF(COUNTIF(Справочник_ОКВЭД_НР!$A$3:$A$62,H148)&gt;0,Справочник_ОКВЭД_НР!$L$8,
 IF(COUNTIF(Справочник_ОКВЭД_НР!$C$3:$C$62,H148)&gt;0,Справочник_ОКВЭД_НР!$L$9,
  IF(COUNTIF(Справочник_ОКВЭД_НР!$E$3:$E$62,H148)&gt;0,Справочник_ОКВЭД_НР!$L$10,
   IF(COUNTIF(Справочник_ОКВЭД_НР!$G$3:$G$62,H148)&gt;0,Справочник_ОКВЭД_НР!$L$11,50))))</f>
        <v>60</v>
      </c>
      <c r="J148" s="30" cm="1">
        <f t="array" ref="J148">IFERROR(
 (SUMPRODUCT(ISNUMBER(SEARCH(","&amp;Справочник_ОКВЭД_НР!$A$3:$A$62&amp;".",","&amp;SUBSTITUTE(F148," ","")&amp;",")))*Справочник_ОКВЭД_НР!$L$9 +
  SUMPRODUCT(ISNUMBER(SEARCH(","&amp;Справочник_ОКВЭД_НР!$C$3:$C$62&amp;".",","&amp;SUBSTITUTE(F148," ","")&amp;",")))*Справочник_ОКВЭД_НР!$L$10 +
  SUMPRODUCT(ISNUMBER(SEARCH(","&amp;Справочник_ОКВЭД_НР!$E$3:$E$62&amp;".",","&amp;SUBSTITUTE(F148," ","")&amp;",")))*Справочник_ОКВЭД_НР!$L$11 +
  SUMPRODUCT(ISNUMBER(SEARCH(","&amp;Справочник_ОКВЭД_НР!$G$3:$G$62&amp;".",","&amp;SUBSTITUTE(F148," ","")&amp;",")))*Справочник_ОКВЭД_НР!$L$12) /
 (SUMPRODUCT(ISNUMBER(SEARCH(","&amp;Справочник_ОКВЭД_НР!$A$3:$A$62&amp;".",","&amp;SUBSTITUTE(F148," ","")&amp;","))) +
  SUMPRODUCT(ISNUMBER(SEARCH(","&amp;Справочник_ОКВЭД_НР!$C$3:$C$62&amp;".",","&amp;SUBSTITUTE(F148," ","")&amp;","))) +
  SUMPRODUCT(ISNUMBER(SEARCH(","&amp;Справочник_ОКВЭД_НР!$E$3:$E$62&amp;".",","&amp;SUBSTITUTE(F148," ","")&amp;","))) +
  SUMPRODUCT(ISNUMBER(SEARCH(","&amp;Справочник_ОКВЭД_НР!$G$3:$G$62&amp;".",","&amp;SUBSTITUTE(F148," ","")&amp;",")))),
50)</f>
        <v>50</v>
      </c>
      <c r="K148" s="30">
        <f>IFERROR(VLOOKUP(G148,Справочник_ОКВЭД_НР!$O:$P,2,FALSE()),50)</f>
        <v>100</v>
      </c>
      <c r="L148" s="45">
        <f>(I148*Справочник_ОКВЭД_НР!$L$2+J148*Справочник_ОКВЭД_НР!$L$3+K148*Справочник_ОКВЭД_НР!$L$4)*M148</f>
        <v>63.5</v>
      </c>
      <c r="M148" s="47">
        <f>IF(COUNTIF(Справочник_ОКВЭД_НР!$G$3:$G$62,H148)&gt;0,0,1)</f>
        <v>1</v>
      </c>
    </row>
    <row r="149" spans="1:13" x14ac:dyDescent="0.25">
      <c r="A149" s="4">
        <f>ЛИК_дляСкорингаДП!A149</f>
        <v>1067759826815</v>
      </c>
      <c r="B149" s="4">
        <f>ЛИК_дляСкорингаДП!B149</f>
        <v>7702624820</v>
      </c>
      <c r="C149" s="4" t="str">
        <f>ЛИК_дляСкорингаДП!C149</f>
        <v>ООО "ВСА РУС"</v>
      </c>
      <c r="D149" s="5" t="str">
        <f>ЛИК_дляСкорингаДП!M149</f>
        <v>Ремонт электронного и оптического оборудования</v>
      </c>
      <c r="E149" s="4" t="str">
        <f>ЛИК_дляСкорингаДП!L149</f>
        <v>33.13</v>
      </c>
      <c r="F149" t="str">
        <f>ЛИК_дляСкорингаДП!N149</f>
        <v>26.60.1,46.46,47.74,68.20.1,26.60.1,33.13,46.46.2,47.74,68.20.2,85.42.9</v>
      </c>
      <c r="G149" s="25" t="str">
        <f>ЛИК_дляСкорингаДП!AG149</f>
        <v>ОСН</v>
      </c>
      <c r="H149" s="55" t="str">
        <f>IF(ISNUMBER(E149),E149,
IFERROR(LEFT(E149,FIND(".",E149)-1),E149))</f>
        <v>33</v>
      </c>
      <c r="I149" s="30">
        <f>IF(COUNTIF(Справочник_ОКВЭД_НР!$A$3:$A$62,H149)&gt;0,Справочник_ОКВЭД_НР!$L$8,
 IF(COUNTIF(Справочник_ОКВЭД_НР!$C$3:$C$62,H149)&gt;0,Справочник_ОКВЭД_НР!$L$9,
  IF(COUNTIF(Справочник_ОКВЭД_НР!$E$3:$E$62,H149)&gt;0,Справочник_ОКВЭД_НР!$L$10,
   IF(COUNTIF(Справочник_ОКВЭД_НР!$G$3:$G$62,H149)&gt;0,Справочник_ОКВЭД_НР!$L$11,50))))</f>
        <v>60</v>
      </c>
      <c r="J149" s="30" cm="1">
        <f t="array" ref="J149">IFERROR(
 (SUMPRODUCT(ISNUMBER(SEARCH(","&amp;Справочник_ОКВЭД_НР!$A$3:$A$62&amp;".",","&amp;SUBSTITUTE(F149," ","")&amp;",")))*Справочник_ОКВЭД_НР!$L$9 +
  SUMPRODUCT(ISNUMBER(SEARCH(","&amp;Справочник_ОКВЭД_НР!$C$3:$C$62&amp;".",","&amp;SUBSTITUTE(F149," ","")&amp;",")))*Справочник_ОКВЭД_НР!$L$10 +
  SUMPRODUCT(ISNUMBER(SEARCH(","&amp;Справочник_ОКВЭД_НР!$E$3:$E$62&amp;".",","&amp;SUBSTITUTE(F149," ","")&amp;",")))*Справочник_ОКВЭД_НР!$L$11 +
  SUMPRODUCT(ISNUMBER(SEARCH(","&amp;Справочник_ОКВЭД_НР!$G$3:$G$62&amp;".",","&amp;SUBSTITUTE(F149," ","")&amp;",")))*Справочник_ОКВЭД_НР!$L$12) /
 (SUMPRODUCT(ISNUMBER(SEARCH(","&amp;Справочник_ОКВЭД_НР!$A$3:$A$62&amp;".",","&amp;SUBSTITUTE(F149," ","")&amp;","))) +
  SUMPRODUCT(ISNUMBER(SEARCH(","&amp;Справочник_ОКВЭД_НР!$C$3:$C$62&amp;".",","&amp;SUBSTITUTE(F149," ","")&amp;","))) +
  SUMPRODUCT(ISNUMBER(SEARCH(","&amp;Справочник_ОКВЭД_НР!$E$3:$E$62&amp;".",","&amp;SUBSTITUTE(F149," ","")&amp;","))) +
  SUMPRODUCT(ISNUMBER(SEARCH(","&amp;Справочник_ОКВЭД_НР!$G$3:$G$62&amp;".",","&amp;SUBSTITUTE(F149," ","")&amp;",")))),
50)</f>
        <v>50</v>
      </c>
      <c r="K149" s="30">
        <f>IFERROR(VLOOKUP(G149,Справочник_ОКВЭД_НР!$O:$P,2,FALSE()),50)</f>
        <v>100</v>
      </c>
      <c r="L149" s="45">
        <f>(I149*Справочник_ОКВЭД_НР!$L$2+J149*Справочник_ОКВЭД_НР!$L$3+K149*Справочник_ОКВЭД_НР!$L$4)*M149</f>
        <v>63.5</v>
      </c>
      <c r="M149" s="47">
        <f>IF(COUNTIF(Справочник_ОКВЭД_НР!$G$3:$G$62,H149)&gt;0,0,1)</f>
        <v>1</v>
      </c>
    </row>
    <row r="150" spans="1:13" x14ac:dyDescent="0.25">
      <c r="A150" s="4">
        <f>ЛИК_дляСкорингаДП!A150</f>
        <v>1117746897498</v>
      </c>
      <c r="B150" s="4">
        <f>ЛИК_дляСкорингаДП!B150</f>
        <v>7704794708</v>
      </c>
      <c r="C150" s="4" t="str">
        <f>ЛИК_дляСкорингаДП!C150</f>
        <v>ООО "ХОРОШЁВСКАЯ ШКОЛА"</v>
      </c>
      <c r="D150" s="5" t="str">
        <f>ЛИК_дляСкорингаДП!M150</f>
        <v>Аренда и управление собственным или арендованным недвижимым имуществом</v>
      </c>
      <c r="E150" s="4" t="str">
        <f>ЛИК_дляСкорингаДП!L150</f>
        <v>68.20</v>
      </c>
      <c r="F150" t="str">
        <f>ЛИК_дляСкорингаДП!N150</f>
        <v>14.12,14.13,14.14,14.19,33.12,33.14,33.20,35.30.4,35.30.5,41.20,46.42,47.19,47.41,47.71,47.91,47.99,62.02,62.03,62.09,63.11.1,64.99.11,64.99.3,66.19.4,68.1,68.2,68.3,68.31,68.32,69.10,70.22,73.1,77.11,81.10,81.22,81.29.2,82.11,88.10</v>
      </c>
      <c r="G150" s="25" t="str">
        <f>ЛИК_дляСкорингаДП!AG150</f>
        <v>ОСН</v>
      </c>
      <c r="H150" s="55" t="str">
        <f>IF(ISNUMBER(E150),E150,
IFERROR(LEFT(E150,FIND(".",E150)-1),E150))</f>
        <v>68</v>
      </c>
      <c r="I150" s="30">
        <f>IF(COUNTIF(Справочник_ОКВЭД_НР!$A$3:$A$62,H150)&gt;0,Справочник_ОКВЭД_НР!$L$8,
 IF(COUNTIF(Справочник_ОКВЭД_НР!$C$3:$C$62,H150)&gt;0,Справочник_ОКВЭД_НР!$L$9,
  IF(COUNTIF(Справочник_ОКВЭД_НР!$E$3:$E$62,H150)&gt;0,Справочник_ОКВЭД_НР!$L$10,
   IF(COUNTIF(Справочник_ОКВЭД_НР!$G$3:$G$62,H150)&gt;0,Справочник_ОКВЭД_НР!$L$11,50))))</f>
        <v>100</v>
      </c>
      <c r="J150" s="30" cm="1">
        <f t="array" ref="J150">IFERROR(
 (SUMPRODUCT(ISNUMBER(SEARCH(","&amp;Справочник_ОКВЭД_НР!$A$3:$A$62&amp;".",","&amp;SUBSTITUTE(F150," ","")&amp;",")))*Справочник_ОКВЭД_НР!$L$9 +
  SUMPRODUCT(ISNUMBER(SEARCH(","&amp;Справочник_ОКВЭД_НР!$C$3:$C$62&amp;".",","&amp;SUBSTITUTE(F150," ","")&amp;",")))*Справочник_ОКВЭД_НР!$L$10 +
  SUMPRODUCT(ISNUMBER(SEARCH(","&amp;Справочник_ОКВЭД_НР!$E$3:$E$62&amp;".",","&amp;SUBSTITUTE(F150," ","")&amp;",")))*Справочник_ОКВЭД_НР!$L$11 +
  SUMPRODUCT(ISNUMBER(SEARCH(","&amp;Справочник_ОКВЭД_НР!$G$3:$G$62&amp;".",","&amp;SUBSTITUTE(F150," ","")&amp;",")))*Справочник_ОКВЭД_НР!$L$12) /
 (SUMPRODUCT(ISNUMBER(SEARCH(","&amp;Справочник_ОКВЭД_НР!$A$3:$A$62&amp;".",","&amp;SUBSTITUTE(F150," ","")&amp;","))) +
  SUMPRODUCT(ISNUMBER(SEARCH(","&amp;Справочник_ОКВЭД_НР!$C$3:$C$62&amp;".",","&amp;SUBSTITUTE(F150," ","")&amp;","))) +
  SUMPRODUCT(ISNUMBER(SEARCH(","&amp;Справочник_ОКВЭД_НР!$E$3:$E$62&amp;".",","&amp;SUBSTITUTE(F150," ","")&amp;","))) +
  SUMPRODUCT(ISNUMBER(SEARCH(","&amp;Справочник_ОКВЭД_НР!$G$3:$G$62&amp;".",","&amp;SUBSTITUTE(F150," ","")&amp;",")))),
50)</f>
        <v>50</v>
      </c>
      <c r="K150" s="30">
        <f>IFERROR(VLOOKUP(G150,Справочник_ОКВЭД_НР!$O:$P,2,FALSE()),50)</f>
        <v>100</v>
      </c>
      <c r="L150" s="45">
        <f>(I150*Справочник_ОКВЭД_НР!$L$2+J150*Справочник_ОКВЭД_НР!$L$3+K150*Справочник_ОКВЭД_НР!$L$4)*M150</f>
        <v>87.5</v>
      </c>
      <c r="M150" s="47">
        <f>IF(COUNTIF(Справочник_ОКВЭД_НР!$G$3:$G$62,H150)&gt;0,0,1)</f>
        <v>1</v>
      </c>
    </row>
    <row r="151" spans="1:13" x14ac:dyDescent="0.25">
      <c r="A151" s="4">
        <f>ЛИК_дляСкорингаДП!A151</f>
        <v>1025001414745</v>
      </c>
      <c r="B151" s="4">
        <f>ЛИК_дляСкорингаДП!B151</f>
        <v>5010025437</v>
      </c>
      <c r="C151" s="4" t="str">
        <f>ЛИК_дляСкорингаДП!C151</f>
        <v>ООО "ПЕЛКОМ ДУБНА МАШИНОСТРОИТЕЛЬНЫЙ ЗАВОД"</v>
      </c>
      <c r="D151" s="5" t="str">
        <f>ЛИК_дляСкорингаДП!M151</f>
        <v>Производство станков для обработки камня, керамики, бетона или аналогичных минеральных материалов или для холодной обработки стекла</v>
      </c>
      <c r="E151" s="4" t="str">
        <f>ЛИК_дляСкорингаДП!L151</f>
        <v>28.49.11</v>
      </c>
      <c r="F151" t="str">
        <f>ЛИК_дляСкорингаДП!N151</f>
        <v>33.12,46.62,52.29,28.24,28.49,28.49.4,33.12,41.10,41.20,43.11,43.12.3,43.99,46.62.3,46.69.2,46.73.6,46.90,49.41,49.42,62.01,62.02.3,62.03.12,62.09,63.99.1,71.11,71.11.1,71.12,71.12.45,71.12.6,71.12.61,71.20.9</v>
      </c>
      <c r="G151" s="25" t="str">
        <f>ЛИК_дляСкорингаДП!AG151</f>
        <v>ОСН</v>
      </c>
      <c r="H151" s="55" t="str">
        <f>IF(ISNUMBER(E151),E151,
IFERROR(LEFT(E151,FIND(".",E151)-1),E151))</f>
        <v>28</v>
      </c>
      <c r="I151" s="30">
        <f>IF(COUNTIF(Справочник_ОКВЭД_НР!$A$3:$A$62,H151)&gt;0,Справочник_ОКВЭД_НР!$L$8,
 IF(COUNTIF(Справочник_ОКВЭД_НР!$C$3:$C$62,H151)&gt;0,Справочник_ОКВЭД_НР!$L$9,
  IF(COUNTIF(Справочник_ОКВЭД_НР!$E$3:$E$62,H151)&gt;0,Справочник_ОКВЭД_НР!$L$10,
   IF(COUNTIF(Справочник_ОКВЭД_НР!$G$3:$G$62,H151)&gt;0,Справочник_ОКВЭД_НР!$L$11,50))))</f>
        <v>60</v>
      </c>
      <c r="J151" s="30" cm="1">
        <f t="array" ref="J151">IFERROR(
 (SUMPRODUCT(ISNUMBER(SEARCH(","&amp;Справочник_ОКВЭД_НР!$A$3:$A$62&amp;".",","&amp;SUBSTITUTE(F151," ","")&amp;",")))*Справочник_ОКВЭД_НР!$L$9 +
  SUMPRODUCT(ISNUMBER(SEARCH(","&amp;Справочник_ОКВЭД_НР!$C$3:$C$62&amp;".",","&amp;SUBSTITUTE(F151," ","")&amp;",")))*Справочник_ОКВЭД_НР!$L$10 +
  SUMPRODUCT(ISNUMBER(SEARCH(","&amp;Справочник_ОКВЭД_НР!$E$3:$E$62&amp;".",","&amp;SUBSTITUTE(F151," ","")&amp;",")))*Справочник_ОКВЭД_НР!$L$11 +
  SUMPRODUCT(ISNUMBER(SEARCH(","&amp;Справочник_ОКВЭД_НР!$G$3:$G$62&amp;".",","&amp;SUBSTITUTE(F151," ","")&amp;",")))*Справочник_ОКВЭД_НР!$L$12) /
 (SUMPRODUCT(ISNUMBER(SEARCH(","&amp;Справочник_ОКВЭД_НР!$A$3:$A$62&amp;".",","&amp;SUBSTITUTE(F151," ","")&amp;","))) +
  SUMPRODUCT(ISNUMBER(SEARCH(","&amp;Справочник_ОКВЭД_НР!$C$3:$C$62&amp;".",","&amp;SUBSTITUTE(F151," ","")&amp;","))) +
  SUMPRODUCT(ISNUMBER(SEARCH(","&amp;Справочник_ОКВЭД_НР!$E$3:$E$62&amp;".",","&amp;SUBSTITUTE(F151," ","")&amp;","))) +
  SUMPRODUCT(ISNUMBER(SEARCH(","&amp;Справочник_ОКВЭД_НР!$G$3:$G$62&amp;".",","&amp;SUBSTITUTE(F151," ","")&amp;",")))),
50)</f>
        <v>50</v>
      </c>
      <c r="K151" s="30">
        <f>IFERROR(VLOOKUP(G151,Справочник_ОКВЭД_НР!$O:$P,2,FALSE()),50)</f>
        <v>100</v>
      </c>
      <c r="L151" s="45">
        <f>(I151*Справочник_ОКВЭД_НР!$L$2+J151*Справочник_ОКВЭД_НР!$L$3+K151*Справочник_ОКВЭД_НР!$L$4)*M151</f>
        <v>63.5</v>
      </c>
      <c r="M151" s="47">
        <f>IF(COUNTIF(Справочник_ОКВЭД_НР!$G$3:$G$62,H151)&gt;0,0,1)</f>
        <v>1</v>
      </c>
    </row>
    <row r="152" spans="1:13" x14ac:dyDescent="0.25">
      <c r="A152" s="4">
        <f>ЛИК_дляСкорингаДП!A152</f>
        <v>1025002869484</v>
      </c>
      <c r="B152" s="4">
        <f>ЛИК_дляСкорингаДП!B152</f>
        <v>5024041478</v>
      </c>
      <c r="C152" s="4" t="str">
        <f>ЛИК_дляСкорингаДП!C152</f>
        <v>ООО "АВТОСТАР"</v>
      </c>
      <c r="D152" s="5" t="str">
        <f>ЛИК_дляСкорингаДП!M152</f>
        <v>Аренда и управление собственным или арендованным недвижимым имуществом</v>
      </c>
      <c r="E152" s="4" t="str">
        <f>ЛИК_дляСкорингаДП!L152</f>
        <v>68.20</v>
      </c>
      <c r="F152" t="str">
        <f>ЛИК_дляСкорингаДП!N152</f>
        <v>41.20,46.12.1,46.18.9,46.71,46.90,77.11,77.33</v>
      </c>
      <c r="G152" s="25" t="str">
        <f>ЛИК_дляСкорингаДП!AG152</f>
        <v>УСН</v>
      </c>
      <c r="H152" s="55" t="str">
        <f>IF(ISNUMBER(E152),E152,
IFERROR(LEFT(E152,FIND(".",E152)-1),E152))</f>
        <v>68</v>
      </c>
      <c r="I152" s="30">
        <f>IF(COUNTIF(Справочник_ОКВЭД_НР!$A$3:$A$62,H152)&gt;0,Справочник_ОКВЭД_НР!$L$8,
 IF(COUNTIF(Справочник_ОКВЭД_НР!$C$3:$C$62,H152)&gt;0,Справочник_ОКВЭД_НР!$L$9,
  IF(COUNTIF(Справочник_ОКВЭД_НР!$E$3:$E$62,H152)&gt;0,Справочник_ОКВЭД_НР!$L$10,
   IF(COUNTIF(Справочник_ОКВЭД_НР!$G$3:$G$62,H152)&gt;0,Справочник_ОКВЭД_НР!$L$11,50))))</f>
        <v>100</v>
      </c>
      <c r="J152" s="30" cm="1">
        <f t="array" ref="J152">IFERROR(
 (SUMPRODUCT(ISNUMBER(SEARCH(","&amp;Справочник_ОКВЭД_НР!$A$3:$A$62&amp;".",","&amp;SUBSTITUTE(F152," ","")&amp;",")))*Справочник_ОКВЭД_НР!$L$9 +
  SUMPRODUCT(ISNUMBER(SEARCH(","&amp;Справочник_ОКВЭД_НР!$C$3:$C$62&amp;".",","&amp;SUBSTITUTE(F152," ","")&amp;",")))*Справочник_ОКВЭД_НР!$L$10 +
  SUMPRODUCT(ISNUMBER(SEARCH(","&amp;Справочник_ОКВЭД_НР!$E$3:$E$62&amp;".",","&amp;SUBSTITUTE(F152," ","")&amp;",")))*Справочник_ОКВЭД_НР!$L$11 +
  SUMPRODUCT(ISNUMBER(SEARCH(","&amp;Справочник_ОКВЭД_НР!$G$3:$G$62&amp;".",","&amp;SUBSTITUTE(F152," ","")&amp;",")))*Справочник_ОКВЭД_НР!$L$12) /
 (SUMPRODUCT(ISNUMBER(SEARCH(","&amp;Справочник_ОКВЭД_НР!$A$3:$A$62&amp;".",","&amp;SUBSTITUTE(F152," ","")&amp;","))) +
  SUMPRODUCT(ISNUMBER(SEARCH(","&amp;Справочник_ОКВЭД_НР!$C$3:$C$62&amp;".",","&amp;SUBSTITUTE(F152," ","")&amp;","))) +
  SUMPRODUCT(ISNUMBER(SEARCH(","&amp;Справочник_ОКВЭД_НР!$E$3:$E$62&amp;".",","&amp;SUBSTITUTE(F152," ","")&amp;","))) +
  SUMPRODUCT(ISNUMBER(SEARCH(","&amp;Справочник_ОКВЭД_НР!$G$3:$G$62&amp;".",","&amp;SUBSTITUTE(F152," ","")&amp;",")))),
50)</f>
        <v>50</v>
      </c>
      <c r="K152" s="30">
        <f>IFERROR(VLOOKUP(G152,Справочник_ОКВЭД_НР!$O:$P,2,FALSE()),50)</f>
        <v>50</v>
      </c>
      <c r="L152" s="45">
        <f>(I152*Справочник_ОКВЭД_НР!$L$2+J152*Справочник_ОКВЭД_НР!$L$3+K152*Справочник_ОКВЭД_НР!$L$4)*M152</f>
        <v>80</v>
      </c>
      <c r="M152" s="47">
        <f>IF(COUNTIF(Справочник_ОКВЭД_НР!$G$3:$G$62,H152)&gt;0,0,1)</f>
        <v>1</v>
      </c>
    </row>
    <row r="153" spans="1:13" x14ac:dyDescent="0.25">
      <c r="A153" s="4">
        <f>ЛИК_дляСкорингаДП!A153</f>
        <v>1057746087156</v>
      </c>
      <c r="B153" s="4">
        <f>ЛИК_дляСкорингаДП!B153</f>
        <v>7705641310</v>
      </c>
      <c r="C153" s="4" t="str">
        <f>ЛИК_дляСкорингаДП!C153</f>
        <v>ООО "ЛИЗИНГ ПРОФИ"</v>
      </c>
      <c r="D153" s="5" t="str">
        <f>ЛИК_дляСкорингаДП!M153</f>
        <v>Деятельность по финансовой аренде (лизингу/сублизингу)</v>
      </c>
      <c r="E153" s="4" t="str">
        <f>ЛИК_дляСкорингаДП!L153</f>
        <v>64.91</v>
      </c>
      <c r="F153" t="str">
        <f>ЛИК_дляСкорингаДП!N153</f>
        <v>41.20,45.1,45.3,46.61,46.62,46.63,46.66,46.69,46.90,52.10,52.29,56.10,56.10.1,56.10.3,56.30,62.09,63.11.1,64.99.11,64.99.3,66.19,68.20,68.31.1,68.31.2,68.31.3,68.31.4,70.22,73.11,73.20.1,79.11</v>
      </c>
      <c r="G153" s="25" t="str">
        <f>ЛИК_дляСкорингаДП!AG153</f>
        <v>ОСН</v>
      </c>
      <c r="H153" s="55" t="str">
        <f>IF(ISNUMBER(E153),E153,
IFERROR(LEFT(E153,FIND(".",E153)-1),E153))</f>
        <v>64</v>
      </c>
      <c r="I153" s="30">
        <f>IF(COUNTIF(Справочник_ОКВЭД_НР!$A$3:$A$62,H153)&gt;0,Справочник_ОКВЭД_НР!$L$8,
 IF(COUNTIF(Справочник_ОКВЭД_НР!$C$3:$C$62,H153)&gt;0,Справочник_ОКВЭД_НР!$L$9,
  IF(COUNTIF(Справочник_ОКВЭД_НР!$E$3:$E$62,H153)&gt;0,Справочник_ОКВЭД_НР!$L$10,
   IF(COUNTIF(Справочник_ОКВЭД_НР!$G$3:$G$62,H153)&gt;0,Справочник_ОКВЭД_НР!$L$11,50))))</f>
        <v>60</v>
      </c>
      <c r="J153" s="30" cm="1">
        <f t="array" ref="J153">IFERROR(
 (SUMPRODUCT(ISNUMBER(SEARCH(","&amp;Справочник_ОКВЭД_НР!$A$3:$A$62&amp;".",","&amp;SUBSTITUTE(F153," ","")&amp;",")))*Справочник_ОКВЭД_НР!$L$9 +
  SUMPRODUCT(ISNUMBER(SEARCH(","&amp;Справочник_ОКВЭД_НР!$C$3:$C$62&amp;".",","&amp;SUBSTITUTE(F153," ","")&amp;",")))*Справочник_ОКВЭД_НР!$L$10 +
  SUMPRODUCT(ISNUMBER(SEARCH(","&amp;Справочник_ОКВЭД_НР!$E$3:$E$62&amp;".",","&amp;SUBSTITUTE(F153," ","")&amp;",")))*Справочник_ОКВЭД_НР!$L$11 +
  SUMPRODUCT(ISNUMBER(SEARCH(","&amp;Справочник_ОКВЭД_НР!$G$3:$G$62&amp;".",","&amp;SUBSTITUTE(F153," ","")&amp;",")))*Справочник_ОКВЭД_НР!$L$12) /
 (SUMPRODUCT(ISNUMBER(SEARCH(","&amp;Справочник_ОКВЭД_НР!$A$3:$A$62&amp;".",","&amp;SUBSTITUTE(F153," ","")&amp;","))) +
  SUMPRODUCT(ISNUMBER(SEARCH(","&amp;Справочник_ОКВЭД_НР!$C$3:$C$62&amp;".",","&amp;SUBSTITUTE(F153," ","")&amp;","))) +
  SUMPRODUCT(ISNUMBER(SEARCH(","&amp;Справочник_ОКВЭД_НР!$E$3:$E$62&amp;".",","&amp;SUBSTITUTE(F153," ","")&amp;","))) +
  SUMPRODUCT(ISNUMBER(SEARCH(","&amp;Справочник_ОКВЭД_НР!$G$3:$G$62&amp;".",","&amp;SUBSTITUTE(F153," ","")&amp;",")))),
50)</f>
        <v>50</v>
      </c>
      <c r="K153" s="30">
        <f>IFERROR(VLOOKUP(G153,Справочник_ОКВЭД_НР!$O:$P,2,FALSE()),50)</f>
        <v>100</v>
      </c>
      <c r="L153" s="45">
        <f>(I153*Справочник_ОКВЭД_НР!$L$2+J153*Справочник_ОКВЭД_НР!$L$3+K153*Справочник_ОКВЭД_НР!$L$4)*M153</f>
        <v>63.5</v>
      </c>
      <c r="M153" s="47">
        <f>IF(COUNTIF(Справочник_ОКВЭД_НР!$G$3:$G$62,H153)&gt;0,0,1)</f>
        <v>1</v>
      </c>
    </row>
    <row r="154" spans="1:13" x14ac:dyDescent="0.25">
      <c r="A154" s="4">
        <f>ЛИК_дляСкорингаДП!A154</f>
        <v>1037703051902</v>
      </c>
      <c r="B154" s="4">
        <f>ЛИК_дляСкорингаДП!B154</f>
        <v>7703378279</v>
      </c>
      <c r="C154" s="4" t="str">
        <f>ЛИК_дляСкорингаДП!C154</f>
        <v>АО "ССЭ"</v>
      </c>
      <c r="D154" s="5" t="str">
        <f>ЛИК_дляСкорингаДП!M154</f>
        <v>Строительство жилых и нежилых зданий</v>
      </c>
      <c r="E154" s="4" t="str">
        <f>ЛИК_дляСкорингаДП!L154</f>
        <v>41.20</v>
      </c>
      <c r="F154" t="str">
        <f>ЛИК_дляСкорингаДП!N154</f>
        <v>41.10,42.11,42.12,42.13,42.21,42.22,42.22.1,42.22.2,42.91,42.99,43.11,43.12,43.12.3,43.21,43.22,43.29,43.31,43.91,43.99,43.99.1,43.99.2,43.99.4,43.99.5,43.99.7,43.99.9,66.12.2,71.11,71.12,71.20,81.30</v>
      </c>
      <c r="G154" s="25" t="str">
        <f>ЛИК_дляСкорингаДП!AG154</f>
        <v>ОСН</v>
      </c>
      <c r="H154" s="55" t="str">
        <f>IF(ISNUMBER(E154),E154,
IFERROR(LEFT(E154,FIND(".",E154)-1),E154))</f>
        <v>41</v>
      </c>
      <c r="I154" s="30">
        <f>IF(COUNTIF(Справочник_ОКВЭД_НР!$A$3:$A$62,H154)&gt;0,Справочник_ОКВЭД_НР!$L$8,
 IF(COUNTIF(Справочник_ОКВЭД_НР!$C$3:$C$62,H154)&gt;0,Справочник_ОКВЭД_НР!$L$9,
  IF(COUNTIF(Справочник_ОКВЭД_НР!$E$3:$E$62,H154)&gt;0,Справочник_ОКВЭД_НР!$L$10,
   IF(COUNTIF(Справочник_ОКВЭД_НР!$G$3:$G$62,H154)&gt;0,Справочник_ОКВЭД_НР!$L$11,50))))</f>
        <v>100</v>
      </c>
      <c r="J154" s="30" cm="1">
        <f t="array" ref="J154">IFERROR(
 (SUMPRODUCT(ISNUMBER(SEARCH(","&amp;Справочник_ОКВЭД_НР!$A$3:$A$62&amp;".",","&amp;SUBSTITUTE(F154," ","")&amp;",")))*Справочник_ОКВЭД_НР!$L$9 +
  SUMPRODUCT(ISNUMBER(SEARCH(","&amp;Справочник_ОКВЭД_НР!$C$3:$C$62&amp;".",","&amp;SUBSTITUTE(F154," ","")&amp;",")))*Справочник_ОКВЭД_НР!$L$10 +
  SUMPRODUCT(ISNUMBER(SEARCH(","&amp;Справочник_ОКВЭД_НР!$E$3:$E$62&amp;".",","&amp;SUBSTITUTE(F154," ","")&amp;",")))*Справочник_ОКВЭД_НР!$L$11 +
  SUMPRODUCT(ISNUMBER(SEARCH(","&amp;Справочник_ОКВЭД_НР!$G$3:$G$62&amp;".",","&amp;SUBSTITUTE(F154," ","")&amp;",")))*Справочник_ОКВЭД_НР!$L$12) /
 (SUMPRODUCT(ISNUMBER(SEARCH(","&amp;Справочник_ОКВЭД_НР!$A$3:$A$62&amp;".",","&amp;SUBSTITUTE(F154," ","")&amp;","))) +
  SUMPRODUCT(ISNUMBER(SEARCH(","&amp;Справочник_ОКВЭД_НР!$C$3:$C$62&amp;".",","&amp;SUBSTITUTE(F154," ","")&amp;","))) +
  SUMPRODUCT(ISNUMBER(SEARCH(","&amp;Справочник_ОКВЭД_НР!$E$3:$E$62&amp;".",","&amp;SUBSTITUTE(F154," ","")&amp;","))) +
  SUMPRODUCT(ISNUMBER(SEARCH(","&amp;Справочник_ОКВЭД_НР!$G$3:$G$62&amp;".",","&amp;SUBSTITUTE(F154," ","")&amp;",")))),
50)</f>
        <v>50</v>
      </c>
      <c r="K154" s="30">
        <f>IFERROR(VLOOKUP(G154,Справочник_ОКВЭД_НР!$O:$P,2,FALSE()),50)</f>
        <v>100</v>
      </c>
      <c r="L154" s="45">
        <f>(I154*Справочник_ОКВЭД_НР!$L$2+J154*Справочник_ОКВЭД_НР!$L$3+K154*Справочник_ОКВЭД_НР!$L$4)*M154</f>
        <v>87.5</v>
      </c>
      <c r="M154" s="47">
        <f>IF(COUNTIF(Справочник_ОКВЭД_НР!$G$3:$G$62,H154)&gt;0,0,1)</f>
        <v>1</v>
      </c>
    </row>
    <row r="155" spans="1:13" x14ac:dyDescent="0.25">
      <c r="A155" s="4">
        <f>ЛИК_дляСкорингаДП!A155</f>
        <v>1037717021517</v>
      </c>
      <c r="B155" s="4">
        <f>ЛИК_дляСкорингаДП!B155</f>
        <v>7717146398</v>
      </c>
      <c r="C155" s="4" t="str">
        <f>ЛИК_дляСкорингаДП!C155</f>
        <v>ООО "ТЕХМОНТАЖСТРОЙ"</v>
      </c>
      <c r="D155" s="5" t="str">
        <f>ЛИК_дляСкорингаДП!M155</f>
        <v>Аренда и управление собственным или арендованным нежилым недвижимым имуществом</v>
      </c>
      <c r="E155" s="4" t="str">
        <f>ЛИК_дляСкорингаДП!L155</f>
        <v>68.20.2</v>
      </c>
      <c r="F155" t="str">
        <f>ЛИК_дляСкорингаДП!N155</f>
        <v>41.20,45.20,45.20.2,45.40,47.22,47.24,47.25,47.26,47.29,52.21.24,52.29,56.10,56.10.1,56.10.3,68.31,68.31.2,68.31.3,68.31.4,71.20.5,73.11,73.20,82.99</v>
      </c>
      <c r="G155" s="25" t="str">
        <f>ЛИК_дляСкорингаДП!AG155</f>
        <v>ОСН</v>
      </c>
      <c r="H155" s="55" t="str">
        <f>IF(ISNUMBER(E155),E155,
IFERROR(LEFT(E155,FIND(".",E155)-1),E155))</f>
        <v>68</v>
      </c>
      <c r="I155" s="30">
        <f>IF(COUNTIF(Справочник_ОКВЭД_НР!$A$3:$A$62,H155)&gt;0,Справочник_ОКВЭД_НР!$L$8,
 IF(COUNTIF(Справочник_ОКВЭД_НР!$C$3:$C$62,H155)&gt;0,Справочник_ОКВЭД_НР!$L$9,
  IF(COUNTIF(Справочник_ОКВЭД_НР!$E$3:$E$62,H155)&gt;0,Справочник_ОКВЭД_НР!$L$10,
   IF(COUNTIF(Справочник_ОКВЭД_НР!$G$3:$G$62,H155)&gt;0,Справочник_ОКВЭД_НР!$L$11,50))))</f>
        <v>100</v>
      </c>
      <c r="J155" s="30" cm="1">
        <f t="array" ref="J155">IFERROR(
 (SUMPRODUCT(ISNUMBER(SEARCH(","&amp;Справочник_ОКВЭД_НР!$A$3:$A$62&amp;".",","&amp;SUBSTITUTE(F155," ","")&amp;",")))*Справочник_ОКВЭД_НР!$L$9 +
  SUMPRODUCT(ISNUMBER(SEARCH(","&amp;Справочник_ОКВЭД_НР!$C$3:$C$62&amp;".",","&amp;SUBSTITUTE(F155," ","")&amp;",")))*Справочник_ОКВЭД_НР!$L$10 +
  SUMPRODUCT(ISNUMBER(SEARCH(","&amp;Справочник_ОКВЭД_НР!$E$3:$E$62&amp;".",","&amp;SUBSTITUTE(F155," ","")&amp;",")))*Справочник_ОКВЭД_НР!$L$11 +
  SUMPRODUCT(ISNUMBER(SEARCH(","&amp;Справочник_ОКВЭД_НР!$G$3:$G$62&amp;".",","&amp;SUBSTITUTE(F155," ","")&amp;",")))*Справочник_ОКВЭД_НР!$L$12) /
 (SUMPRODUCT(ISNUMBER(SEARCH(","&amp;Справочник_ОКВЭД_НР!$A$3:$A$62&amp;".",","&amp;SUBSTITUTE(F155," ","")&amp;","))) +
  SUMPRODUCT(ISNUMBER(SEARCH(","&amp;Справочник_ОКВЭД_НР!$C$3:$C$62&amp;".",","&amp;SUBSTITUTE(F155," ","")&amp;","))) +
  SUMPRODUCT(ISNUMBER(SEARCH(","&amp;Справочник_ОКВЭД_НР!$E$3:$E$62&amp;".",","&amp;SUBSTITUTE(F155," ","")&amp;","))) +
  SUMPRODUCT(ISNUMBER(SEARCH(","&amp;Справочник_ОКВЭД_НР!$G$3:$G$62&amp;".",","&amp;SUBSTITUTE(F155," ","")&amp;",")))),
50)</f>
        <v>50</v>
      </c>
      <c r="K155" s="30">
        <f>IFERROR(VLOOKUP(G155,Справочник_ОКВЭД_НР!$O:$P,2,FALSE()),50)</f>
        <v>100</v>
      </c>
      <c r="L155" s="45">
        <f>(I155*Справочник_ОКВЭД_НР!$L$2+J155*Справочник_ОКВЭД_НР!$L$3+K155*Справочник_ОКВЭД_НР!$L$4)*M155</f>
        <v>87.5</v>
      </c>
      <c r="M155" s="47">
        <f>IF(COUNTIF(Справочник_ОКВЭД_НР!$G$3:$G$62,H155)&gt;0,0,1)</f>
        <v>1</v>
      </c>
    </row>
    <row r="156" spans="1:13" x14ac:dyDescent="0.25">
      <c r="A156" s="4">
        <f>ЛИК_дляСкорингаДП!A156</f>
        <v>1167746169975</v>
      </c>
      <c r="B156" s="4">
        <f>ЛИК_дляСкорингаДП!B156</f>
        <v>7706433961</v>
      </c>
      <c r="C156" s="4" t="str">
        <f>ЛИК_дляСкорингаДП!C156</f>
        <v>ООО "СМБ"</v>
      </c>
      <c r="D156" s="5" t="str">
        <f>ЛИК_дляСкорингаДП!M156</f>
        <v>Деятельность систем обеспечения безопасности</v>
      </c>
      <c r="E156" s="4" t="str">
        <f>ЛИК_дляСкорингаДП!L156</f>
        <v>80.20</v>
      </c>
      <c r="F156" t="str">
        <f>ЛИК_дляСкорингаДП!N156</f>
        <v>46.90,28.99,33.12,46.51.2,46.69.9,52.21.22,58.21,58.29,62.01,62.02,62.02.1,62.02.4,62.02.9,62.03,62.03.1,62.03.11,62.03.13,62.09,63.11,63.11.1,63.11.9,63.12,71.11,71.12,71.12.5,71.12.6,72.19,74.90,80.20,84.25.3</v>
      </c>
      <c r="G156" s="25" t="str">
        <f>ЛИК_дляСкорингаДП!AG156</f>
        <v>ОСН</v>
      </c>
      <c r="H156" s="55" t="str">
        <f>IF(ISNUMBER(E156),E156,
IFERROR(LEFT(E156,FIND(".",E156)-1),E156))</f>
        <v>80</v>
      </c>
      <c r="I156" s="30">
        <f>IF(COUNTIF(Справочник_ОКВЭД_НР!$A$3:$A$62,H156)&gt;0,Справочник_ОКВЭД_НР!$L$8,
 IF(COUNTIF(Справочник_ОКВЭД_НР!$C$3:$C$62,H156)&gt;0,Справочник_ОКВЭД_НР!$L$9,
  IF(COUNTIF(Справочник_ОКВЭД_НР!$E$3:$E$62,H156)&gt;0,Справочник_ОКВЭД_НР!$L$10,
   IF(COUNTIF(Справочник_ОКВЭД_НР!$G$3:$G$62,H156)&gt;0,Справочник_ОКВЭД_НР!$L$11,50))))</f>
        <v>30</v>
      </c>
      <c r="J156" s="30" cm="1">
        <f t="array" ref="J156">IFERROR(
 (SUMPRODUCT(ISNUMBER(SEARCH(","&amp;Справочник_ОКВЭД_НР!$A$3:$A$62&amp;".",","&amp;SUBSTITUTE(F156," ","")&amp;",")))*Справочник_ОКВЭД_НР!$L$9 +
  SUMPRODUCT(ISNUMBER(SEARCH(","&amp;Справочник_ОКВЭД_НР!$C$3:$C$62&amp;".",","&amp;SUBSTITUTE(F156," ","")&amp;",")))*Справочник_ОКВЭД_НР!$L$10 +
  SUMPRODUCT(ISNUMBER(SEARCH(","&amp;Справочник_ОКВЭД_НР!$E$3:$E$62&amp;".",","&amp;SUBSTITUTE(F156," ","")&amp;",")))*Справочник_ОКВЭД_НР!$L$11 +
  SUMPRODUCT(ISNUMBER(SEARCH(","&amp;Справочник_ОКВЭД_НР!$G$3:$G$62&amp;".",","&amp;SUBSTITUTE(F156," ","")&amp;",")))*Справочник_ОКВЭД_НР!$L$12) /
 (SUMPRODUCT(ISNUMBER(SEARCH(","&amp;Справочник_ОКВЭД_НР!$A$3:$A$62&amp;".",","&amp;SUBSTITUTE(F156," ","")&amp;","))) +
  SUMPRODUCT(ISNUMBER(SEARCH(","&amp;Справочник_ОКВЭД_НР!$C$3:$C$62&amp;".",","&amp;SUBSTITUTE(F156," ","")&amp;","))) +
  SUMPRODUCT(ISNUMBER(SEARCH(","&amp;Справочник_ОКВЭД_НР!$E$3:$E$62&amp;".",","&amp;SUBSTITUTE(F156," ","")&amp;","))) +
  SUMPRODUCT(ISNUMBER(SEARCH(","&amp;Справочник_ОКВЭД_НР!$G$3:$G$62&amp;".",","&amp;SUBSTITUTE(F156," ","")&amp;",")))),
50)</f>
        <v>50</v>
      </c>
      <c r="K156" s="30">
        <f>IFERROR(VLOOKUP(G156,Справочник_ОКВЭД_НР!$O:$P,2,FALSE()),50)</f>
        <v>100</v>
      </c>
      <c r="L156" s="45">
        <f>(I156*Справочник_ОКВЭД_НР!$L$2+J156*Справочник_ОКВЭД_НР!$L$3+K156*Справочник_ОКВЭД_НР!$L$4)*M156</f>
        <v>45.5</v>
      </c>
      <c r="M156" s="47">
        <f>IF(COUNTIF(Справочник_ОКВЭД_НР!$G$3:$G$62,H156)&gt;0,0,1)</f>
        <v>1</v>
      </c>
    </row>
    <row r="157" spans="1:13" x14ac:dyDescent="0.25">
      <c r="A157" s="4">
        <f>ЛИК_дляСкорингаДП!A157</f>
        <v>1175024030114</v>
      </c>
      <c r="B157" s="4">
        <f>ЛИК_дляСкорингаДП!B157</f>
        <v>5017115104</v>
      </c>
      <c r="C157" s="4" t="str">
        <f>ЛИК_дляСкорингаДП!C157</f>
        <v>ООО "ПРАВОЕ КРЫЛО"</v>
      </c>
      <c r="D157" s="5" t="str">
        <f>ЛИК_дляСкорингаДП!M157</f>
        <v>Аренда и управление собственным или арендованным недвижимым имуществом</v>
      </c>
      <c r="E157" s="4" t="str">
        <f>ЛИК_дляСкорингаДП!L157</f>
        <v>68.20</v>
      </c>
      <c r="F157" t="str">
        <f>ЛИК_дляСкорингаДП!N157</f>
        <v>68.10.2,68.10.22,68.10.23,68.20.1,68.20.2</v>
      </c>
      <c r="G157" s="25" t="str">
        <f>ЛИК_дляСкорингаДП!AG157</f>
        <v>УСН</v>
      </c>
      <c r="H157" s="55" t="str">
        <f>IF(ISNUMBER(E157),E157,
IFERROR(LEFT(E157,FIND(".",E157)-1),E157))</f>
        <v>68</v>
      </c>
      <c r="I157" s="30">
        <f>IF(COUNTIF(Справочник_ОКВЭД_НР!$A$3:$A$62,H157)&gt;0,Справочник_ОКВЭД_НР!$L$8,
 IF(COUNTIF(Справочник_ОКВЭД_НР!$C$3:$C$62,H157)&gt;0,Справочник_ОКВЭД_НР!$L$9,
  IF(COUNTIF(Справочник_ОКВЭД_НР!$E$3:$E$62,H157)&gt;0,Справочник_ОКВЭД_НР!$L$10,
   IF(COUNTIF(Справочник_ОКВЭД_НР!$G$3:$G$62,H157)&gt;0,Справочник_ОКВЭД_НР!$L$11,50))))</f>
        <v>100</v>
      </c>
      <c r="J157" s="30" cm="1">
        <f t="array" ref="J157">IFERROR(
 (SUMPRODUCT(ISNUMBER(SEARCH(","&amp;Справочник_ОКВЭД_НР!$A$3:$A$62&amp;".",","&amp;SUBSTITUTE(F157," ","")&amp;",")))*Справочник_ОКВЭД_НР!$L$9 +
  SUMPRODUCT(ISNUMBER(SEARCH(","&amp;Справочник_ОКВЭД_НР!$C$3:$C$62&amp;".",","&amp;SUBSTITUTE(F157," ","")&amp;",")))*Справочник_ОКВЭД_НР!$L$10 +
  SUMPRODUCT(ISNUMBER(SEARCH(","&amp;Справочник_ОКВЭД_НР!$E$3:$E$62&amp;".",","&amp;SUBSTITUTE(F157," ","")&amp;",")))*Справочник_ОКВЭД_НР!$L$11 +
  SUMPRODUCT(ISNUMBER(SEARCH(","&amp;Справочник_ОКВЭД_НР!$G$3:$G$62&amp;".",","&amp;SUBSTITUTE(F157," ","")&amp;",")))*Справочник_ОКВЭД_НР!$L$12) /
 (SUMPRODUCT(ISNUMBER(SEARCH(","&amp;Справочник_ОКВЭД_НР!$A$3:$A$62&amp;".",","&amp;SUBSTITUTE(F157," ","")&amp;","))) +
  SUMPRODUCT(ISNUMBER(SEARCH(","&amp;Справочник_ОКВЭД_НР!$C$3:$C$62&amp;".",","&amp;SUBSTITUTE(F157," ","")&amp;","))) +
  SUMPRODUCT(ISNUMBER(SEARCH(","&amp;Справочник_ОКВЭД_НР!$E$3:$E$62&amp;".",","&amp;SUBSTITUTE(F157," ","")&amp;","))) +
  SUMPRODUCT(ISNUMBER(SEARCH(","&amp;Справочник_ОКВЭД_НР!$G$3:$G$62&amp;".",","&amp;SUBSTITUTE(F157," ","")&amp;",")))),
50)</f>
        <v>50</v>
      </c>
      <c r="K157" s="30">
        <f>IFERROR(VLOOKUP(G157,Справочник_ОКВЭД_НР!$O:$P,2,FALSE()),50)</f>
        <v>50</v>
      </c>
      <c r="L157" s="45">
        <f>(I157*Справочник_ОКВЭД_НР!$L$2+J157*Справочник_ОКВЭД_НР!$L$3+K157*Справочник_ОКВЭД_НР!$L$4)*M157</f>
        <v>80</v>
      </c>
      <c r="M157" s="47">
        <f>IF(COUNTIF(Справочник_ОКВЭД_НР!$G$3:$G$62,H157)&gt;0,0,1)</f>
        <v>1</v>
      </c>
    </row>
    <row r="158" spans="1:13" x14ac:dyDescent="0.25">
      <c r="A158" s="4">
        <f>ЛИК_дляСкорингаДП!A158</f>
        <v>1105029011735</v>
      </c>
      <c r="B158" s="4">
        <f>ЛИК_дляСкорингаДП!B158</f>
        <v>5029143120</v>
      </c>
      <c r="C158" s="4" t="str">
        <f>ЛИК_дляСкорингаДП!C158</f>
        <v>ООО "КРАСНАЯ ГОРКА"</v>
      </c>
      <c r="D158" s="5" t="str">
        <f>ЛИК_дляСкорингаДП!M158</f>
        <v>Аренда и управление собственным или арендованным прочим нежилым недвижимым имуществом</v>
      </c>
      <c r="E158" s="4" t="str">
        <f>ЛИК_дляСкорингаДП!L158</f>
        <v>68.20.29</v>
      </c>
      <c r="F158" t="str">
        <f>ЛИК_дляСкорингаДП!N158</f>
        <v>47.78,10.81,46.34,46.36,46.38,47.1,47.11,47.19.1,47.2,47.25,47.25.1,47.25.11,47.25.12,47.25.2,47.5,47.78.9,47.8,47.9,47.99,52.10,52.10.9,52.2,52.21,52.24,56.10,68.20,68.20.2,82.92,82.99,85.41.1,93.12,93.13,93.29</v>
      </c>
      <c r="G158" s="25" t="str">
        <f>ЛИК_дляСкорингаДП!AG158</f>
        <v>ОСН</v>
      </c>
      <c r="H158" s="55" t="str">
        <f>IF(ISNUMBER(E158),E158,
IFERROR(LEFT(E158,FIND(".",E158)-1),E158))</f>
        <v>68</v>
      </c>
      <c r="I158" s="30">
        <f>IF(COUNTIF(Справочник_ОКВЭД_НР!$A$3:$A$62,H158)&gt;0,Справочник_ОКВЭД_НР!$L$8,
 IF(COUNTIF(Справочник_ОКВЭД_НР!$C$3:$C$62,H158)&gt;0,Справочник_ОКВЭД_НР!$L$9,
  IF(COUNTIF(Справочник_ОКВЭД_НР!$E$3:$E$62,H158)&gt;0,Справочник_ОКВЭД_НР!$L$10,
   IF(COUNTIF(Справочник_ОКВЭД_НР!$G$3:$G$62,H158)&gt;0,Справочник_ОКВЭД_НР!$L$11,50))))</f>
        <v>100</v>
      </c>
      <c r="J158" s="30" cm="1">
        <f t="array" ref="J158">IFERROR(
 (SUMPRODUCT(ISNUMBER(SEARCH(","&amp;Справочник_ОКВЭД_НР!$A$3:$A$62&amp;".",","&amp;SUBSTITUTE(F158," ","")&amp;",")))*Справочник_ОКВЭД_НР!$L$9 +
  SUMPRODUCT(ISNUMBER(SEARCH(","&amp;Справочник_ОКВЭД_НР!$C$3:$C$62&amp;".",","&amp;SUBSTITUTE(F158," ","")&amp;",")))*Справочник_ОКВЭД_НР!$L$10 +
  SUMPRODUCT(ISNUMBER(SEARCH(","&amp;Справочник_ОКВЭД_НР!$E$3:$E$62&amp;".",","&amp;SUBSTITUTE(F158," ","")&amp;",")))*Справочник_ОКВЭД_НР!$L$11 +
  SUMPRODUCT(ISNUMBER(SEARCH(","&amp;Справочник_ОКВЭД_НР!$G$3:$G$62&amp;".",","&amp;SUBSTITUTE(F158," ","")&amp;",")))*Справочник_ОКВЭД_НР!$L$12) /
 (SUMPRODUCT(ISNUMBER(SEARCH(","&amp;Справочник_ОКВЭД_НР!$A$3:$A$62&amp;".",","&amp;SUBSTITUTE(F158," ","")&amp;","))) +
  SUMPRODUCT(ISNUMBER(SEARCH(","&amp;Справочник_ОКВЭД_НР!$C$3:$C$62&amp;".",","&amp;SUBSTITUTE(F158," ","")&amp;","))) +
  SUMPRODUCT(ISNUMBER(SEARCH(","&amp;Справочник_ОКВЭД_НР!$E$3:$E$62&amp;".",","&amp;SUBSTITUTE(F158," ","")&amp;","))) +
  SUMPRODUCT(ISNUMBER(SEARCH(","&amp;Справочник_ОКВЭД_НР!$G$3:$G$62&amp;".",","&amp;SUBSTITUTE(F158," ","")&amp;",")))),
50)</f>
        <v>50</v>
      </c>
      <c r="K158" s="30">
        <f>IFERROR(VLOOKUP(G158,Справочник_ОКВЭД_НР!$O:$P,2,FALSE()),50)</f>
        <v>100</v>
      </c>
      <c r="L158" s="45">
        <f>(I158*Справочник_ОКВЭД_НР!$L$2+J158*Справочник_ОКВЭД_НР!$L$3+K158*Справочник_ОКВЭД_НР!$L$4)*M158</f>
        <v>87.5</v>
      </c>
      <c r="M158" s="47">
        <f>IF(COUNTIF(Справочник_ОКВЭД_НР!$G$3:$G$62,H158)&gt;0,0,1)</f>
        <v>1</v>
      </c>
    </row>
    <row r="159" spans="1:13" x14ac:dyDescent="0.25">
      <c r="A159" s="4">
        <f>ЛИК_дляСкорингаДП!A159</f>
        <v>1036914003180</v>
      </c>
      <c r="B159" s="4">
        <f>ЛИК_дляСкорингаДП!B159</f>
        <v>6942007851</v>
      </c>
      <c r="C159" s="4" t="str">
        <f>ЛИК_дляСкорингаДП!C159</f>
        <v>ООО "СЕВЕРНЫЙ ЛЁН-СТАРИЦА"</v>
      </c>
      <c r="D159" s="5" t="str">
        <f>ЛИК_дляСкорингаДП!M159</f>
        <v>Выращивание зерновых (кроме риса), зернобобовых культур и семян масличных культур</v>
      </c>
      <c r="E159" s="4" t="str">
        <f>ЛИК_дляСкорингаДП!L159</f>
        <v>01.11</v>
      </c>
      <c r="F159" t="str">
        <f>ЛИК_дляСкорингаДП!N159</f>
        <v>01.11.1,01.11.2,01.11.3,01.13.12,01.16,01.19,01.19.1,01.19.21,01.29,01.61,10.91,13.10.4,13.10.9,46.21,46.21.14,49.41.1,49.41.2,68.10.23,77.31,93.21</v>
      </c>
      <c r="G159" s="25" t="str">
        <f>ЛИК_дляСкорингаДП!AG159</f>
        <v>ЕСХН</v>
      </c>
      <c r="H159" s="55" t="str">
        <f>IF(ISNUMBER(E159),E159,
IFERROR(LEFT(E159,FIND(".",E159)-1),E159))</f>
        <v>01</v>
      </c>
      <c r="I159" s="30">
        <f>IF(COUNTIF(Справочник_ОКВЭД_НР!$A$3:$A$62,H159)&gt;0,Справочник_ОКВЭД_НР!$L$8,
 IF(COUNTIF(Справочник_ОКВЭД_НР!$C$3:$C$62,H159)&gt;0,Справочник_ОКВЭД_НР!$L$9,
  IF(COUNTIF(Справочник_ОКВЭД_НР!$E$3:$E$62,H159)&gt;0,Справочник_ОКВЭД_НР!$L$10,
   IF(COUNTIF(Справочник_ОКВЭД_НР!$G$3:$G$62,H159)&gt;0,Справочник_ОКВЭД_НР!$L$11,50))))</f>
        <v>60</v>
      </c>
      <c r="J159" s="30" cm="1">
        <f t="array" ref="J159">IFERROR(
 (SUMPRODUCT(ISNUMBER(SEARCH(","&amp;Справочник_ОКВЭД_НР!$A$3:$A$62&amp;".",","&amp;SUBSTITUTE(F159," ","")&amp;",")))*Справочник_ОКВЭД_НР!$L$9 +
  SUMPRODUCT(ISNUMBER(SEARCH(","&amp;Справочник_ОКВЭД_НР!$C$3:$C$62&amp;".",","&amp;SUBSTITUTE(F159," ","")&amp;",")))*Справочник_ОКВЭД_НР!$L$10 +
  SUMPRODUCT(ISNUMBER(SEARCH(","&amp;Справочник_ОКВЭД_НР!$E$3:$E$62&amp;".",","&amp;SUBSTITUTE(F159," ","")&amp;",")))*Справочник_ОКВЭД_НР!$L$11 +
  SUMPRODUCT(ISNUMBER(SEARCH(","&amp;Справочник_ОКВЭД_НР!$G$3:$G$62&amp;".",","&amp;SUBSTITUTE(F159," ","")&amp;",")))*Справочник_ОКВЭД_НР!$L$12) /
 (SUMPRODUCT(ISNUMBER(SEARCH(","&amp;Справочник_ОКВЭД_НР!$A$3:$A$62&amp;".",","&amp;SUBSTITUTE(F159," ","")&amp;","))) +
  SUMPRODUCT(ISNUMBER(SEARCH(","&amp;Справочник_ОКВЭД_НР!$C$3:$C$62&amp;".",","&amp;SUBSTITUTE(F159," ","")&amp;","))) +
  SUMPRODUCT(ISNUMBER(SEARCH(","&amp;Справочник_ОКВЭД_НР!$E$3:$E$62&amp;".",","&amp;SUBSTITUTE(F159," ","")&amp;","))) +
  SUMPRODUCT(ISNUMBER(SEARCH(","&amp;Справочник_ОКВЭД_НР!$G$3:$G$62&amp;".",","&amp;SUBSTITUTE(F159," ","")&amp;",")))),
50)</f>
        <v>50</v>
      </c>
      <c r="K159" s="30">
        <f>IFERROR(VLOOKUP(G159,Справочник_ОКВЭД_НР!$O:$P,2,FALSE()),50)</f>
        <v>40</v>
      </c>
      <c r="L159" s="45">
        <f>(I159*Справочник_ОКВЭД_НР!$L$2+J159*Справочник_ОКВЭД_НР!$L$3+K159*Справочник_ОКВЭД_НР!$L$4)*M159</f>
        <v>54.5</v>
      </c>
      <c r="M159" s="47">
        <f>IF(COUNTIF(Справочник_ОКВЭД_НР!$G$3:$G$62,H159)&gt;0,0,1)</f>
        <v>1</v>
      </c>
    </row>
    <row r="160" spans="1:13" x14ac:dyDescent="0.25">
      <c r="A160" s="4">
        <f>ЛИК_дляСкорингаДП!A160</f>
        <v>1155004000381</v>
      </c>
      <c r="B160" s="4">
        <f>ЛИК_дляСкорингаДП!B160</f>
        <v>5079013409</v>
      </c>
      <c r="C160" s="4" t="str">
        <f>ЛИК_дляСкорингаДП!C160</f>
        <v>ООО "БАЗА ШАХОВСКАЯ"</v>
      </c>
      <c r="D160" s="5" t="str">
        <f>ЛИК_дляСкорингаДП!M160</f>
        <v>Аренда и управление собственным или арендованным недвижимым имуществом</v>
      </c>
      <c r="E160" s="4" t="str">
        <f>ЛИК_дляСкорингаДП!L160</f>
        <v>68.20</v>
      </c>
      <c r="F160" t="str">
        <f>ЛИК_дляСкорингаДП!N160</f>
        <v>41.20,42.11,42.91,42.99,43.11,43.12.3,43.21,43.22,43.29,43.31,43.32,43.33,43.39,43.91,43.99,43.99.1</v>
      </c>
      <c r="G160" s="25" t="str">
        <f>ЛИК_дляСкорингаДП!AG160</f>
        <v>ОСН</v>
      </c>
      <c r="H160" s="55" t="str">
        <f>IF(ISNUMBER(E160),E160,
IFERROR(LEFT(E160,FIND(".",E160)-1),E160))</f>
        <v>68</v>
      </c>
      <c r="I160" s="30">
        <f>IF(COUNTIF(Справочник_ОКВЭД_НР!$A$3:$A$62,H160)&gt;0,Справочник_ОКВЭД_НР!$L$8,
 IF(COUNTIF(Справочник_ОКВЭД_НР!$C$3:$C$62,H160)&gt;0,Справочник_ОКВЭД_НР!$L$9,
  IF(COUNTIF(Справочник_ОКВЭД_НР!$E$3:$E$62,H160)&gt;0,Справочник_ОКВЭД_НР!$L$10,
   IF(COUNTIF(Справочник_ОКВЭД_НР!$G$3:$G$62,H160)&gt;0,Справочник_ОКВЭД_НР!$L$11,50))))</f>
        <v>100</v>
      </c>
      <c r="J160" s="30" cm="1">
        <f t="array" ref="J160">IFERROR(
 (SUMPRODUCT(ISNUMBER(SEARCH(","&amp;Справочник_ОКВЭД_НР!$A$3:$A$62&amp;".",","&amp;SUBSTITUTE(F160," ","")&amp;",")))*Справочник_ОКВЭД_НР!$L$9 +
  SUMPRODUCT(ISNUMBER(SEARCH(","&amp;Справочник_ОКВЭД_НР!$C$3:$C$62&amp;".",","&amp;SUBSTITUTE(F160," ","")&amp;",")))*Справочник_ОКВЭД_НР!$L$10 +
  SUMPRODUCT(ISNUMBER(SEARCH(","&amp;Справочник_ОКВЭД_НР!$E$3:$E$62&amp;".",","&amp;SUBSTITUTE(F160," ","")&amp;",")))*Справочник_ОКВЭД_НР!$L$11 +
  SUMPRODUCT(ISNUMBER(SEARCH(","&amp;Справочник_ОКВЭД_НР!$G$3:$G$62&amp;".",","&amp;SUBSTITUTE(F160," ","")&amp;",")))*Справочник_ОКВЭД_НР!$L$12) /
 (SUMPRODUCT(ISNUMBER(SEARCH(","&amp;Справочник_ОКВЭД_НР!$A$3:$A$62&amp;".",","&amp;SUBSTITUTE(F160," ","")&amp;","))) +
  SUMPRODUCT(ISNUMBER(SEARCH(","&amp;Справочник_ОКВЭД_НР!$C$3:$C$62&amp;".",","&amp;SUBSTITUTE(F160," ","")&amp;","))) +
  SUMPRODUCT(ISNUMBER(SEARCH(","&amp;Справочник_ОКВЭД_НР!$E$3:$E$62&amp;".",","&amp;SUBSTITUTE(F160," ","")&amp;","))) +
  SUMPRODUCT(ISNUMBER(SEARCH(","&amp;Справочник_ОКВЭД_НР!$G$3:$G$62&amp;".",","&amp;SUBSTITUTE(F160," ","")&amp;",")))),
50)</f>
        <v>50</v>
      </c>
      <c r="K160" s="30">
        <f>IFERROR(VLOOKUP(G160,Справочник_ОКВЭД_НР!$O:$P,2,FALSE()),50)</f>
        <v>100</v>
      </c>
      <c r="L160" s="45">
        <f>(I160*Справочник_ОКВЭД_НР!$L$2+J160*Справочник_ОКВЭД_НР!$L$3+K160*Справочник_ОКВЭД_НР!$L$4)*M160</f>
        <v>87.5</v>
      </c>
      <c r="M160" s="47">
        <f>IF(COUNTIF(Справочник_ОКВЭД_НР!$G$3:$G$62,H160)&gt;0,0,1)</f>
        <v>1</v>
      </c>
    </row>
    <row r="161" spans="1:13" x14ac:dyDescent="0.25">
      <c r="A161" s="4">
        <f>ЛИК_дляСкорингаДП!A161</f>
        <v>1137746164742</v>
      </c>
      <c r="B161" s="4">
        <f>ЛИК_дляСкорингаДП!B161</f>
        <v>7704828876</v>
      </c>
      <c r="C161" s="4" t="str">
        <f>ЛИК_дляСкорингаДП!C161</f>
        <v>ООО "ЧАЙКА"</v>
      </c>
      <c r="D161" s="5" t="str">
        <f>ЛИК_дляСкорингаДП!M161</f>
        <v>Аренда судов внутреннего водного транспорта для перевозки пассажиров с экипажем</v>
      </c>
      <c r="E161" s="4" t="str">
        <f>ЛИК_дляСкорингаДП!L161</f>
        <v>50.30.2</v>
      </c>
      <c r="F161" t="str">
        <f>ЛИК_дляСкорингаДП!N161</f>
        <v>46.17,47.11,47.19,47.21,47.22,47.23,47.24,47.25,47.26,47.29,47.73,47.75,50.30,50.40,50.40.2,52.10,52.24,55.10,55.90,56.10,56.10.1,56.10.3,56.30,68.10,68.10.1,68.20,68.31,68.32,69.10,69.20,70.10.1,70.10.2,70.22,73.11,82.99</v>
      </c>
      <c r="G161" s="25" t="str">
        <f>ЛИК_дляСкорингаДП!AG161</f>
        <v>ОСН</v>
      </c>
      <c r="H161" s="55" t="str">
        <f>IF(ISNUMBER(E161),E161,
IFERROR(LEFT(E161,FIND(".",E161)-1),E161))</f>
        <v>50</v>
      </c>
      <c r="I161" s="30">
        <f>IF(COUNTIF(Справочник_ОКВЭД_НР!$A$3:$A$62,H161)&gt;0,Справочник_ОКВЭД_НР!$L$8,
 IF(COUNTIF(Справочник_ОКВЭД_НР!$C$3:$C$62,H161)&gt;0,Справочник_ОКВЭД_НР!$L$9,
  IF(COUNTIF(Справочник_ОКВЭД_НР!$E$3:$E$62,H161)&gt;0,Справочник_ОКВЭД_НР!$L$10,
   IF(COUNTIF(Справочник_ОКВЭД_НР!$G$3:$G$62,H161)&gt;0,Справочник_ОКВЭД_НР!$L$11,50))))</f>
        <v>60</v>
      </c>
      <c r="J161" s="30" cm="1">
        <f t="array" ref="J161">IFERROR(
 (SUMPRODUCT(ISNUMBER(SEARCH(","&amp;Справочник_ОКВЭД_НР!$A$3:$A$62&amp;".",","&amp;SUBSTITUTE(F161," ","")&amp;",")))*Справочник_ОКВЭД_НР!$L$9 +
  SUMPRODUCT(ISNUMBER(SEARCH(","&amp;Справочник_ОКВЭД_НР!$C$3:$C$62&amp;".",","&amp;SUBSTITUTE(F161," ","")&amp;",")))*Справочник_ОКВЭД_НР!$L$10 +
  SUMPRODUCT(ISNUMBER(SEARCH(","&amp;Справочник_ОКВЭД_НР!$E$3:$E$62&amp;".",","&amp;SUBSTITUTE(F161," ","")&amp;",")))*Справочник_ОКВЭД_НР!$L$11 +
  SUMPRODUCT(ISNUMBER(SEARCH(","&amp;Справочник_ОКВЭД_НР!$G$3:$G$62&amp;".",","&amp;SUBSTITUTE(F161," ","")&amp;",")))*Справочник_ОКВЭД_НР!$L$12) /
 (SUMPRODUCT(ISNUMBER(SEARCH(","&amp;Справочник_ОКВЭД_НР!$A$3:$A$62&amp;".",","&amp;SUBSTITUTE(F161," ","")&amp;","))) +
  SUMPRODUCT(ISNUMBER(SEARCH(","&amp;Справочник_ОКВЭД_НР!$C$3:$C$62&amp;".",","&amp;SUBSTITUTE(F161," ","")&amp;","))) +
  SUMPRODUCT(ISNUMBER(SEARCH(","&amp;Справочник_ОКВЭД_НР!$E$3:$E$62&amp;".",","&amp;SUBSTITUTE(F161," ","")&amp;","))) +
  SUMPRODUCT(ISNUMBER(SEARCH(","&amp;Справочник_ОКВЭД_НР!$G$3:$G$62&amp;".",","&amp;SUBSTITUTE(F161," ","")&amp;",")))),
50)</f>
        <v>50</v>
      </c>
      <c r="K161" s="30">
        <f>IFERROR(VLOOKUP(G161,Справочник_ОКВЭД_НР!$O:$P,2,FALSE()),50)</f>
        <v>100</v>
      </c>
      <c r="L161" s="45">
        <f>(I161*Справочник_ОКВЭД_НР!$L$2+J161*Справочник_ОКВЭД_НР!$L$3+K161*Справочник_ОКВЭД_НР!$L$4)*M161</f>
        <v>63.5</v>
      </c>
      <c r="M161" s="47">
        <f>IF(COUNTIF(Справочник_ОКВЭД_НР!$G$3:$G$62,H161)&gt;0,0,1)</f>
        <v>1</v>
      </c>
    </row>
    <row r="162" spans="1:13" x14ac:dyDescent="0.25">
      <c r="A162" s="4">
        <f>ЛИК_дляСкорингаДП!A162</f>
        <v>1145032011024</v>
      </c>
      <c r="B162" s="4">
        <f>ЛИК_дляСкорингаДП!B162</f>
        <v>5032287838</v>
      </c>
      <c r="C162" s="4" t="str">
        <f>ЛИК_дляСкорингаДП!C162</f>
        <v>ООО "РЕМЕЗ"</v>
      </c>
      <c r="D162" s="5" t="str">
        <f>ЛИК_дляСкорингаДП!M162</f>
        <v>Аренда и управление собственным или арендованным недвижимым имуществом</v>
      </c>
      <c r="E162" s="4" t="str">
        <f>ЛИК_дляСкорингаДП!L162</f>
        <v>68.20</v>
      </c>
      <c r="F162" t="str">
        <f>ЛИК_дляСкорингаДП!N162</f>
        <v>68.10,68.10.1,68.31,68.32</v>
      </c>
      <c r="G162" s="25" t="str">
        <f>ЛИК_дляСкорингаДП!AG162</f>
        <v>ОСН</v>
      </c>
      <c r="H162" s="55" t="str">
        <f>IF(ISNUMBER(E162),E162,
IFERROR(LEFT(E162,FIND(".",E162)-1),E162))</f>
        <v>68</v>
      </c>
      <c r="I162" s="30">
        <f>IF(COUNTIF(Справочник_ОКВЭД_НР!$A$3:$A$62,H162)&gt;0,Справочник_ОКВЭД_НР!$L$8,
 IF(COUNTIF(Справочник_ОКВЭД_НР!$C$3:$C$62,H162)&gt;0,Справочник_ОКВЭД_НР!$L$9,
  IF(COUNTIF(Справочник_ОКВЭД_НР!$E$3:$E$62,H162)&gt;0,Справочник_ОКВЭД_НР!$L$10,
   IF(COUNTIF(Справочник_ОКВЭД_НР!$G$3:$G$62,H162)&gt;0,Справочник_ОКВЭД_НР!$L$11,50))))</f>
        <v>100</v>
      </c>
      <c r="J162" s="30" cm="1">
        <f t="array" ref="J162">IFERROR(
 (SUMPRODUCT(ISNUMBER(SEARCH(","&amp;Справочник_ОКВЭД_НР!$A$3:$A$62&amp;".",","&amp;SUBSTITUTE(F162," ","")&amp;",")))*Справочник_ОКВЭД_НР!$L$9 +
  SUMPRODUCT(ISNUMBER(SEARCH(","&amp;Справочник_ОКВЭД_НР!$C$3:$C$62&amp;".",","&amp;SUBSTITUTE(F162," ","")&amp;",")))*Справочник_ОКВЭД_НР!$L$10 +
  SUMPRODUCT(ISNUMBER(SEARCH(","&amp;Справочник_ОКВЭД_НР!$E$3:$E$62&amp;".",","&amp;SUBSTITUTE(F162," ","")&amp;",")))*Справочник_ОКВЭД_НР!$L$11 +
  SUMPRODUCT(ISNUMBER(SEARCH(","&amp;Справочник_ОКВЭД_НР!$G$3:$G$62&amp;".",","&amp;SUBSTITUTE(F162," ","")&amp;",")))*Справочник_ОКВЭД_НР!$L$12) /
 (SUMPRODUCT(ISNUMBER(SEARCH(","&amp;Справочник_ОКВЭД_НР!$A$3:$A$62&amp;".",","&amp;SUBSTITUTE(F162," ","")&amp;","))) +
  SUMPRODUCT(ISNUMBER(SEARCH(","&amp;Справочник_ОКВЭД_НР!$C$3:$C$62&amp;".",","&amp;SUBSTITUTE(F162," ","")&amp;","))) +
  SUMPRODUCT(ISNUMBER(SEARCH(","&amp;Справочник_ОКВЭД_НР!$E$3:$E$62&amp;".",","&amp;SUBSTITUTE(F162," ","")&amp;","))) +
  SUMPRODUCT(ISNUMBER(SEARCH(","&amp;Справочник_ОКВЭД_НР!$G$3:$G$62&amp;".",","&amp;SUBSTITUTE(F162," ","")&amp;",")))),
50)</f>
        <v>50</v>
      </c>
      <c r="K162" s="30">
        <f>IFERROR(VLOOKUP(G162,Справочник_ОКВЭД_НР!$O:$P,2,FALSE()),50)</f>
        <v>100</v>
      </c>
      <c r="L162" s="45">
        <f>(I162*Справочник_ОКВЭД_НР!$L$2+J162*Справочник_ОКВЭД_НР!$L$3+K162*Справочник_ОКВЭД_НР!$L$4)*M162</f>
        <v>87.5</v>
      </c>
      <c r="M162" s="47">
        <f>IF(COUNTIF(Справочник_ОКВЭД_НР!$G$3:$G$62,H162)&gt;0,0,1)</f>
        <v>1</v>
      </c>
    </row>
    <row r="163" spans="1:13" x14ac:dyDescent="0.25">
      <c r="A163" s="4">
        <f>ЛИК_дляСкорингаДП!A163</f>
        <v>1207700318847</v>
      </c>
      <c r="B163" s="4">
        <f>ЛИК_дляСкорингаДП!B163</f>
        <v>9728011653</v>
      </c>
      <c r="C163" s="4" t="str">
        <f>ЛИК_дляСкорингаДП!C163</f>
        <v>ООО "ФЛИТ"</v>
      </c>
      <c r="D163" s="5" t="str">
        <f>ЛИК_дляСкорингаДП!M163</f>
        <v>Деятельность холдинговых компаний</v>
      </c>
      <c r="E163" s="4" t="str">
        <f>ЛИК_дляСкорингаДП!L163</f>
        <v>64.20</v>
      </c>
      <c r="F163" t="str">
        <f>ЛИК_дляСкорингаДП!N163</f>
        <v>64.91,64.99,64.99.2,64.99.3,66.22,69.10,69.20.2,69.20.3,70.22</v>
      </c>
      <c r="G163" s="25" t="str">
        <f>ЛИК_дляСкорингаДП!AG163</f>
        <v>ОСН</v>
      </c>
      <c r="H163" s="55" t="str">
        <f>IF(ISNUMBER(E163),E163,
IFERROR(LEFT(E163,FIND(".",E163)-1),E163))</f>
        <v>64</v>
      </c>
      <c r="I163" s="30">
        <f>IF(COUNTIF(Справочник_ОКВЭД_НР!$A$3:$A$62,H163)&gt;0,Справочник_ОКВЭД_НР!$L$8,
 IF(COUNTIF(Справочник_ОКВЭД_НР!$C$3:$C$62,H163)&gt;0,Справочник_ОКВЭД_НР!$L$9,
  IF(COUNTIF(Справочник_ОКВЭД_НР!$E$3:$E$62,H163)&gt;0,Справочник_ОКВЭД_НР!$L$10,
   IF(COUNTIF(Справочник_ОКВЭД_НР!$G$3:$G$62,H163)&gt;0,Справочник_ОКВЭД_НР!$L$11,50))))</f>
        <v>60</v>
      </c>
      <c r="J163" s="30" cm="1">
        <f t="array" ref="J163">IFERROR(
 (SUMPRODUCT(ISNUMBER(SEARCH(","&amp;Справочник_ОКВЭД_НР!$A$3:$A$62&amp;".",","&amp;SUBSTITUTE(F163," ","")&amp;",")))*Справочник_ОКВЭД_НР!$L$9 +
  SUMPRODUCT(ISNUMBER(SEARCH(","&amp;Справочник_ОКВЭД_НР!$C$3:$C$62&amp;".",","&amp;SUBSTITUTE(F163," ","")&amp;",")))*Справочник_ОКВЭД_НР!$L$10 +
  SUMPRODUCT(ISNUMBER(SEARCH(","&amp;Справочник_ОКВЭД_НР!$E$3:$E$62&amp;".",","&amp;SUBSTITUTE(F163," ","")&amp;",")))*Справочник_ОКВЭД_НР!$L$11 +
  SUMPRODUCT(ISNUMBER(SEARCH(","&amp;Справочник_ОКВЭД_НР!$G$3:$G$62&amp;".",","&amp;SUBSTITUTE(F163," ","")&amp;",")))*Справочник_ОКВЭД_НР!$L$12) /
 (SUMPRODUCT(ISNUMBER(SEARCH(","&amp;Справочник_ОКВЭД_НР!$A$3:$A$62&amp;".",","&amp;SUBSTITUTE(F163," ","")&amp;","))) +
  SUMPRODUCT(ISNUMBER(SEARCH(","&amp;Справочник_ОКВЭД_НР!$C$3:$C$62&amp;".",","&amp;SUBSTITUTE(F163," ","")&amp;","))) +
  SUMPRODUCT(ISNUMBER(SEARCH(","&amp;Справочник_ОКВЭД_НР!$E$3:$E$62&amp;".",","&amp;SUBSTITUTE(F163," ","")&amp;","))) +
  SUMPRODUCT(ISNUMBER(SEARCH(","&amp;Справочник_ОКВЭД_НР!$G$3:$G$62&amp;".",","&amp;SUBSTITUTE(F163," ","")&amp;",")))),
50)</f>
        <v>50</v>
      </c>
      <c r="K163" s="30">
        <f>IFERROR(VLOOKUP(G163,Справочник_ОКВЭД_НР!$O:$P,2,FALSE()),50)</f>
        <v>100</v>
      </c>
      <c r="L163" s="45">
        <f>(I163*Справочник_ОКВЭД_НР!$L$2+J163*Справочник_ОКВЭД_НР!$L$3+K163*Справочник_ОКВЭД_НР!$L$4)*M163</f>
        <v>63.5</v>
      </c>
      <c r="M163" s="47">
        <f>IF(COUNTIF(Справочник_ОКВЭД_НР!$G$3:$G$62,H163)&gt;0,0,1)</f>
        <v>1</v>
      </c>
    </row>
    <row r="164" spans="1:13" x14ac:dyDescent="0.25">
      <c r="A164" s="4">
        <f>ЛИК_дляСкорингаДП!A164</f>
        <v>1207700484782</v>
      </c>
      <c r="B164" s="4">
        <f>ЛИК_дляСкорингаДП!B164</f>
        <v>9703023632</v>
      </c>
      <c r="C164" s="4" t="str">
        <f>ЛИК_дляСкорингаДП!C164</f>
        <v>АО "КОРПОРАЦИЯ ТУРИЗМ.РФ"</v>
      </c>
      <c r="D164" s="5" t="str">
        <f>ЛИК_дляСкорингаДП!M164</f>
        <v>Предоставление прочих финансовых услуг, кроме услуг по страхованию и пенсионному обеспечению, не включенных в другие группировки</v>
      </c>
      <c r="E164" s="4" t="str">
        <f>ЛИК_дляСкорингаДП!L164</f>
        <v>64.99</v>
      </c>
      <c r="F164" t="str">
        <f>ЛИК_дляСкорингаДП!N164</f>
        <v>02.10,02.20,16.10,19.20,35.13,35.30,35.30.3,36.00,41.10,42.11,43.11,43.21,43.22,43.29,43.91,49.10,49.20,49.41,49.50,51.10,51.21,55.10,61.20,64.92,64.99.3,68.10,68.10.23,68.20,68.20.1,68.20.2,70.22,71.11,71.12,71.12.2,71.20,77.21,79.11,79.12,79.90.1,79.90.2,79.90.21,79.90.22,79.90.3,79.90.31,79.90.32,84.13,91.04.3</v>
      </c>
      <c r="G164" s="25" t="str">
        <f>ЛИК_дляСкорингаДП!AG164</f>
        <v>ОСН</v>
      </c>
      <c r="H164" s="55" t="str">
        <f>IF(ISNUMBER(E164),E164,
IFERROR(LEFT(E164,FIND(".",E164)-1),E164))</f>
        <v>64</v>
      </c>
      <c r="I164" s="30">
        <f>IF(COUNTIF(Справочник_ОКВЭД_НР!$A$3:$A$62,H164)&gt;0,Справочник_ОКВЭД_НР!$L$8,
 IF(COUNTIF(Справочник_ОКВЭД_НР!$C$3:$C$62,H164)&gt;0,Справочник_ОКВЭД_НР!$L$9,
  IF(COUNTIF(Справочник_ОКВЭД_НР!$E$3:$E$62,H164)&gt;0,Справочник_ОКВЭД_НР!$L$10,
   IF(COUNTIF(Справочник_ОКВЭД_НР!$G$3:$G$62,H164)&gt;0,Справочник_ОКВЭД_НР!$L$11,50))))</f>
        <v>60</v>
      </c>
      <c r="J164" s="30" cm="1">
        <f t="array" ref="J164">IFERROR(
 (SUMPRODUCT(ISNUMBER(SEARCH(","&amp;Справочник_ОКВЭД_НР!$A$3:$A$62&amp;".",","&amp;SUBSTITUTE(F164," ","")&amp;",")))*Справочник_ОКВЭД_НР!$L$9 +
  SUMPRODUCT(ISNUMBER(SEARCH(","&amp;Справочник_ОКВЭД_НР!$C$3:$C$62&amp;".",","&amp;SUBSTITUTE(F164," ","")&amp;",")))*Справочник_ОКВЭД_НР!$L$10 +
  SUMPRODUCT(ISNUMBER(SEARCH(","&amp;Справочник_ОКВЭД_НР!$E$3:$E$62&amp;".",","&amp;SUBSTITUTE(F164," ","")&amp;",")))*Справочник_ОКВЭД_НР!$L$11 +
  SUMPRODUCT(ISNUMBER(SEARCH(","&amp;Справочник_ОКВЭД_НР!$G$3:$G$62&amp;".",","&amp;SUBSTITUTE(F164," ","")&amp;",")))*Справочник_ОКВЭД_НР!$L$12) /
 (SUMPRODUCT(ISNUMBER(SEARCH(","&amp;Справочник_ОКВЭД_НР!$A$3:$A$62&amp;".",","&amp;SUBSTITUTE(F164," ","")&amp;","))) +
  SUMPRODUCT(ISNUMBER(SEARCH(","&amp;Справочник_ОКВЭД_НР!$C$3:$C$62&amp;".",","&amp;SUBSTITUTE(F164," ","")&amp;","))) +
  SUMPRODUCT(ISNUMBER(SEARCH(","&amp;Справочник_ОКВЭД_НР!$E$3:$E$62&amp;".",","&amp;SUBSTITUTE(F164," ","")&amp;","))) +
  SUMPRODUCT(ISNUMBER(SEARCH(","&amp;Справочник_ОКВЭД_НР!$G$3:$G$62&amp;".",","&amp;SUBSTITUTE(F164," ","")&amp;",")))),
50)</f>
        <v>50</v>
      </c>
      <c r="K164" s="30">
        <f>IFERROR(VLOOKUP(G164,Справочник_ОКВЭД_НР!$O:$P,2,FALSE()),50)</f>
        <v>100</v>
      </c>
      <c r="L164" s="45">
        <f>(I164*Справочник_ОКВЭД_НР!$L$2+J164*Справочник_ОКВЭД_НР!$L$3+K164*Справочник_ОКВЭД_НР!$L$4)*M164</f>
        <v>63.5</v>
      </c>
      <c r="M164" s="47">
        <f>IF(COUNTIF(Справочник_ОКВЭД_НР!$G$3:$G$62,H164)&gt;0,0,1)</f>
        <v>1</v>
      </c>
    </row>
    <row r="165" spans="1:13" x14ac:dyDescent="0.25">
      <c r="A165" s="4">
        <f>ЛИК_дляСкорингаДП!A165</f>
        <v>5167746253208</v>
      </c>
      <c r="B165" s="4">
        <f>ЛИК_дляСкорингаДП!B165</f>
        <v>7731333047</v>
      </c>
      <c r="C165" s="4" t="str">
        <f>ЛИК_дляСкорингаДП!C165</f>
        <v>ООО "КОМПЛЕКС К"</v>
      </c>
      <c r="D165" s="5" t="str">
        <f>ЛИК_дляСкорингаДП!M165</f>
        <v>Аренда и управление собственным или арендованным недвижимым имуществом</v>
      </c>
      <c r="E165" s="4" t="str">
        <f>ЛИК_дляСкорингаДП!L165</f>
        <v>68.20</v>
      </c>
      <c r="F165" t="str">
        <f>ЛИК_дляСкорингаДП!N165</f>
        <v>68.10.2,68.10.23,68.31,68.31.1,68.31.2,68.31.3,68.31.4,68.31.5</v>
      </c>
      <c r="G165" s="25" t="str">
        <f>ЛИК_дляСкорингаДП!AG165</f>
        <v>ОСН</v>
      </c>
      <c r="H165" s="55" t="str">
        <f>IF(ISNUMBER(E165),E165,
IFERROR(LEFT(E165,FIND(".",E165)-1),E165))</f>
        <v>68</v>
      </c>
      <c r="I165" s="30">
        <f>IF(COUNTIF(Справочник_ОКВЭД_НР!$A$3:$A$62,H165)&gt;0,Справочник_ОКВЭД_НР!$L$8,
 IF(COUNTIF(Справочник_ОКВЭД_НР!$C$3:$C$62,H165)&gt;0,Справочник_ОКВЭД_НР!$L$9,
  IF(COUNTIF(Справочник_ОКВЭД_НР!$E$3:$E$62,H165)&gt;0,Справочник_ОКВЭД_НР!$L$10,
   IF(COUNTIF(Справочник_ОКВЭД_НР!$G$3:$G$62,H165)&gt;0,Справочник_ОКВЭД_НР!$L$11,50))))</f>
        <v>100</v>
      </c>
      <c r="J165" s="30" cm="1">
        <f t="array" ref="J165">IFERROR(
 (SUMPRODUCT(ISNUMBER(SEARCH(","&amp;Справочник_ОКВЭД_НР!$A$3:$A$62&amp;".",","&amp;SUBSTITUTE(F165," ","")&amp;",")))*Справочник_ОКВЭД_НР!$L$9 +
  SUMPRODUCT(ISNUMBER(SEARCH(","&amp;Справочник_ОКВЭД_НР!$C$3:$C$62&amp;".",","&amp;SUBSTITUTE(F165," ","")&amp;",")))*Справочник_ОКВЭД_НР!$L$10 +
  SUMPRODUCT(ISNUMBER(SEARCH(","&amp;Справочник_ОКВЭД_НР!$E$3:$E$62&amp;".",","&amp;SUBSTITUTE(F165," ","")&amp;",")))*Справочник_ОКВЭД_НР!$L$11 +
  SUMPRODUCT(ISNUMBER(SEARCH(","&amp;Справочник_ОКВЭД_НР!$G$3:$G$62&amp;".",","&amp;SUBSTITUTE(F165," ","")&amp;",")))*Справочник_ОКВЭД_НР!$L$12) /
 (SUMPRODUCT(ISNUMBER(SEARCH(","&amp;Справочник_ОКВЭД_НР!$A$3:$A$62&amp;".",","&amp;SUBSTITUTE(F165," ","")&amp;","))) +
  SUMPRODUCT(ISNUMBER(SEARCH(","&amp;Справочник_ОКВЭД_НР!$C$3:$C$62&amp;".",","&amp;SUBSTITUTE(F165," ","")&amp;","))) +
  SUMPRODUCT(ISNUMBER(SEARCH(","&amp;Справочник_ОКВЭД_НР!$E$3:$E$62&amp;".",","&amp;SUBSTITUTE(F165," ","")&amp;","))) +
  SUMPRODUCT(ISNUMBER(SEARCH(","&amp;Справочник_ОКВЭД_НР!$G$3:$G$62&amp;".",","&amp;SUBSTITUTE(F165," ","")&amp;",")))),
50)</f>
        <v>50</v>
      </c>
      <c r="K165" s="30">
        <f>IFERROR(VLOOKUP(G165,Справочник_ОКВЭД_НР!$O:$P,2,FALSE()),50)</f>
        <v>100</v>
      </c>
      <c r="L165" s="45">
        <f>(I165*Справочник_ОКВЭД_НР!$L$2+J165*Справочник_ОКВЭД_НР!$L$3+K165*Справочник_ОКВЭД_НР!$L$4)*M165</f>
        <v>87.5</v>
      </c>
      <c r="M165" s="47">
        <f>IF(COUNTIF(Справочник_ОКВЭД_НР!$G$3:$G$62,H165)&gt;0,0,1)</f>
        <v>1</v>
      </c>
    </row>
    <row r="166" spans="1:13" x14ac:dyDescent="0.25">
      <c r="A166" s="4">
        <f>ЛИК_дляСкорингаДП!A166</f>
        <v>1177746427913</v>
      </c>
      <c r="B166" s="4">
        <f>ЛИК_дляСкорингаДП!B166</f>
        <v>7708316149</v>
      </c>
      <c r="C166" s="4" t="str">
        <f>ЛИК_дляСкорингаДП!C166</f>
        <v>ООО "ГРУППА АСТОН"</v>
      </c>
      <c r="D166" s="5" t="str">
        <f>ЛИК_дляСкорингаДП!M166</f>
        <v>Капиталовложения в уставные капиталы, венчурное инвестирование, в том числе посредством инвестиционных компаний</v>
      </c>
      <c r="E166" s="4" t="str">
        <f>ЛИК_дляСкорингаДП!L166</f>
        <v>64.99.3</v>
      </c>
      <c r="F166" t="str">
        <f>ЛИК_дляСкорингаДП!N166</f>
        <v>63.11.9,64.92.2,68.10,68.20,70.22,82.11</v>
      </c>
      <c r="G166" s="25" t="str">
        <f>ЛИК_дляСкорингаДП!AG166</f>
        <v>ОСН</v>
      </c>
      <c r="H166" s="55" t="str">
        <f>IF(ISNUMBER(E166),E166,
IFERROR(LEFT(E166,FIND(".",E166)-1),E166))</f>
        <v>64</v>
      </c>
      <c r="I166" s="30">
        <f>IF(COUNTIF(Справочник_ОКВЭД_НР!$A$3:$A$62,H166)&gt;0,Справочник_ОКВЭД_НР!$L$8,
 IF(COUNTIF(Справочник_ОКВЭД_НР!$C$3:$C$62,H166)&gt;0,Справочник_ОКВЭД_НР!$L$9,
  IF(COUNTIF(Справочник_ОКВЭД_НР!$E$3:$E$62,H166)&gt;0,Справочник_ОКВЭД_НР!$L$10,
   IF(COUNTIF(Справочник_ОКВЭД_НР!$G$3:$G$62,H166)&gt;0,Справочник_ОКВЭД_НР!$L$11,50))))</f>
        <v>60</v>
      </c>
      <c r="J166" s="30" cm="1">
        <f t="array" ref="J166">IFERROR(
 (SUMPRODUCT(ISNUMBER(SEARCH(","&amp;Справочник_ОКВЭД_НР!$A$3:$A$62&amp;".",","&amp;SUBSTITUTE(F166," ","")&amp;",")))*Справочник_ОКВЭД_НР!$L$9 +
  SUMPRODUCT(ISNUMBER(SEARCH(","&amp;Справочник_ОКВЭД_НР!$C$3:$C$62&amp;".",","&amp;SUBSTITUTE(F166," ","")&amp;",")))*Справочник_ОКВЭД_НР!$L$10 +
  SUMPRODUCT(ISNUMBER(SEARCH(","&amp;Справочник_ОКВЭД_НР!$E$3:$E$62&amp;".",","&amp;SUBSTITUTE(F166," ","")&amp;",")))*Справочник_ОКВЭД_НР!$L$11 +
  SUMPRODUCT(ISNUMBER(SEARCH(","&amp;Справочник_ОКВЭД_НР!$G$3:$G$62&amp;".",","&amp;SUBSTITUTE(F166," ","")&amp;",")))*Справочник_ОКВЭД_НР!$L$12) /
 (SUMPRODUCT(ISNUMBER(SEARCH(","&amp;Справочник_ОКВЭД_НР!$A$3:$A$62&amp;".",","&amp;SUBSTITUTE(F166," ","")&amp;","))) +
  SUMPRODUCT(ISNUMBER(SEARCH(","&amp;Справочник_ОКВЭД_НР!$C$3:$C$62&amp;".",","&amp;SUBSTITUTE(F166," ","")&amp;","))) +
  SUMPRODUCT(ISNUMBER(SEARCH(","&amp;Справочник_ОКВЭД_НР!$E$3:$E$62&amp;".",","&amp;SUBSTITUTE(F166," ","")&amp;","))) +
  SUMPRODUCT(ISNUMBER(SEARCH(","&amp;Справочник_ОКВЭД_НР!$G$3:$G$62&amp;".",","&amp;SUBSTITUTE(F166," ","")&amp;",")))),
50)</f>
        <v>50</v>
      </c>
      <c r="K166" s="30">
        <f>IFERROR(VLOOKUP(G166,Справочник_ОКВЭД_НР!$O:$P,2,FALSE()),50)</f>
        <v>100</v>
      </c>
      <c r="L166" s="45">
        <f>(I166*Справочник_ОКВЭД_НР!$L$2+J166*Справочник_ОКВЭД_НР!$L$3+K166*Справочник_ОКВЭД_НР!$L$4)*M166</f>
        <v>63.5</v>
      </c>
      <c r="M166" s="47">
        <f>IF(COUNTIF(Справочник_ОКВЭД_НР!$G$3:$G$62,H166)&gt;0,0,1)</f>
        <v>1</v>
      </c>
    </row>
    <row r="167" spans="1:13" x14ac:dyDescent="0.25">
      <c r="A167" s="4">
        <f>ЛИК_дляСкорингаДП!A167</f>
        <v>1217700220385</v>
      </c>
      <c r="B167" s="4">
        <f>ЛИК_дляСкорингаДП!B167</f>
        <v>7730264601</v>
      </c>
      <c r="C167" s="4" t="str">
        <f>ЛИК_дляСкорингаДП!C167</f>
        <v>ООО "ТЕРЕНСИС"</v>
      </c>
      <c r="D167" s="5" t="str">
        <f>ЛИК_дляСкорингаДП!M167</f>
        <v>Предоставление прочих финансовых услуг, кроме услуг по страхованию и пенсионному обеспечению, не включенных в другие группировки</v>
      </c>
      <c r="E167" s="4" t="str">
        <f>ЛИК_дляСкорингаДП!L167</f>
        <v>64.99</v>
      </c>
      <c r="F167" t="str">
        <f>ЛИК_дляСкорингаДП!N167</f>
        <v>64.20,68.20,70.10</v>
      </c>
      <c r="G167" s="25" t="str">
        <f>ЛИК_дляСкорингаДП!AG167</f>
        <v>ОСН</v>
      </c>
      <c r="H167" s="55" t="str">
        <f>IF(ISNUMBER(E167),E167,
IFERROR(LEFT(E167,FIND(".",E167)-1),E167))</f>
        <v>64</v>
      </c>
      <c r="I167" s="30">
        <f>IF(COUNTIF(Справочник_ОКВЭД_НР!$A$3:$A$62,H167)&gt;0,Справочник_ОКВЭД_НР!$L$8,
 IF(COUNTIF(Справочник_ОКВЭД_НР!$C$3:$C$62,H167)&gt;0,Справочник_ОКВЭД_НР!$L$9,
  IF(COUNTIF(Справочник_ОКВЭД_НР!$E$3:$E$62,H167)&gt;0,Справочник_ОКВЭД_НР!$L$10,
   IF(COUNTIF(Справочник_ОКВЭД_НР!$G$3:$G$62,H167)&gt;0,Справочник_ОКВЭД_НР!$L$11,50))))</f>
        <v>60</v>
      </c>
      <c r="J167" s="30" cm="1">
        <f t="array" ref="J167">IFERROR(
 (SUMPRODUCT(ISNUMBER(SEARCH(","&amp;Справочник_ОКВЭД_НР!$A$3:$A$62&amp;".",","&amp;SUBSTITUTE(F167," ","")&amp;",")))*Справочник_ОКВЭД_НР!$L$9 +
  SUMPRODUCT(ISNUMBER(SEARCH(","&amp;Справочник_ОКВЭД_НР!$C$3:$C$62&amp;".",","&amp;SUBSTITUTE(F167," ","")&amp;",")))*Справочник_ОКВЭД_НР!$L$10 +
  SUMPRODUCT(ISNUMBER(SEARCH(","&amp;Справочник_ОКВЭД_НР!$E$3:$E$62&amp;".",","&amp;SUBSTITUTE(F167," ","")&amp;",")))*Справочник_ОКВЭД_НР!$L$11 +
  SUMPRODUCT(ISNUMBER(SEARCH(","&amp;Справочник_ОКВЭД_НР!$G$3:$G$62&amp;".",","&amp;SUBSTITUTE(F167," ","")&amp;",")))*Справочник_ОКВЭД_НР!$L$12) /
 (SUMPRODUCT(ISNUMBER(SEARCH(","&amp;Справочник_ОКВЭД_НР!$A$3:$A$62&amp;".",","&amp;SUBSTITUTE(F167," ","")&amp;","))) +
  SUMPRODUCT(ISNUMBER(SEARCH(","&amp;Справочник_ОКВЭД_НР!$C$3:$C$62&amp;".",","&amp;SUBSTITUTE(F167," ","")&amp;","))) +
  SUMPRODUCT(ISNUMBER(SEARCH(","&amp;Справочник_ОКВЭД_НР!$E$3:$E$62&amp;".",","&amp;SUBSTITUTE(F167," ","")&amp;","))) +
  SUMPRODUCT(ISNUMBER(SEARCH(","&amp;Справочник_ОКВЭД_НР!$G$3:$G$62&amp;".",","&amp;SUBSTITUTE(F167," ","")&amp;",")))),
50)</f>
        <v>50</v>
      </c>
      <c r="K167" s="30">
        <f>IFERROR(VLOOKUP(G167,Справочник_ОКВЭД_НР!$O:$P,2,FALSE()),50)</f>
        <v>100</v>
      </c>
      <c r="L167" s="45">
        <f>(I167*Справочник_ОКВЭД_НР!$L$2+J167*Справочник_ОКВЭД_НР!$L$3+K167*Справочник_ОКВЭД_НР!$L$4)*M167</f>
        <v>63.5</v>
      </c>
      <c r="M167" s="47">
        <f>IF(COUNTIF(Справочник_ОКВЭД_НР!$G$3:$G$62,H167)&gt;0,0,1)</f>
        <v>1</v>
      </c>
    </row>
    <row r="168" spans="1:13" x14ac:dyDescent="0.25">
      <c r="A168" s="4">
        <f>ЛИК_дляСкорингаДП!A168</f>
        <v>5137746202886</v>
      </c>
      <c r="B168" s="4">
        <f>ЛИК_дляСкорингаДП!B168</f>
        <v>7725813207</v>
      </c>
      <c r="C168" s="4" t="str">
        <f>ЛИК_дляСкорингаДП!C168</f>
        <v>ООО "СПЕЦИАЛИЗИРОВАННЫЙ ЗАСТРОЙЩИК НАГАТИНО-2"</v>
      </c>
      <c r="D168" s="5" t="str">
        <f>ЛИК_дляСкорингаДП!M168</f>
        <v>Строительство жилых и нежилых зданий</v>
      </c>
      <c r="E168" s="4" t="str">
        <f>ЛИК_дляСкорингаДП!L168</f>
        <v>41.20</v>
      </c>
      <c r="F168" t="str">
        <f>ЛИК_дляСкорингаДП!N168</f>
        <v>43.11,43.12.3,43.29,43.99,61.10,68.10.1,68.20,68.31,68.32,70.22,82.99</v>
      </c>
      <c r="G168" s="25" t="str">
        <f>ЛИК_дляСкорингаДП!AG168</f>
        <v>ОСН</v>
      </c>
      <c r="H168" s="55" t="str">
        <f>IF(ISNUMBER(E168),E168,
IFERROR(LEFT(E168,FIND(".",E168)-1),E168))</f>
        <v>41</v>
      </c>
      <c r="I168" s="30">
        <f>IF(COUNTIF(Справочник_ОКВЭД_НР!$A$3:$A$62,H168)&gt;0,Справочник_ОКВЭД_НР!$L$8,
 IF(COUNTIF(Справочник_ОКВЭД_НР!$C$3:$C$62,H168)&gt;0,Справочник_ОКВЭД_НР!$L$9,
  IF(COUNTIF(Справочник_ОКВЭД_НР!$E$3:$E$62,H168)&gt;0,Справочник_ОКВЭД_НР!$L$10,
   IF(COUNTIF(Справочник_ОКВЭД_НР!$G$3:$G$62,H168)&gt;0,Справочник_ОКВЭД_НР!$L$11,50))))</f>
        <v>100</v>
      </c>
      <c r="J168" s="30" cm="1">
        <f t="array" ref="J168">IFERROR(
 (SUMPRODUCT(ISNUMBER(SEARCH(","&amp;Справочник_ОКВЭД_НР!$A$3:$A$62&amp;".",","&amp;SUBSTITUTE(F168," ","")&amp;",")))*Справочник_ОКВЭД_НР!$L$9 +
  SUMPRODUCT(ISNUMBER(SEARCH(","&amp;Справочник_ОКВЭД_НР!$C$3:$C$62&amp;".",","&amp;SUBSTITUTE(F168," ","")&amp;",")))*Справочник_ОКВЭД_НР!$L$10 +
  SUMPRODUCT(ISNUMBER(SEARCH(","&amp;Справочник_ОКВЭД_НР!$E$3:$E$62&amp;".",","&amp;SUBSTITUTE(F168," ","")&amp;",")))*Справочник_ОКВЭД_НР!$L$11 +
  SUMPRODUCT(ISNUMBER(SEARCH(","&amp;Справочник_ОКВЭД_НР!$G$3:$G$62&amp;".",","&amp;SUBSTITUTE(F168," ","")&amp;",")))*Справочник_ОКВЭД_НР!$L$12) /
 (SUMPRODUCT(ISNUMBER(SEARCH(","&amp;Справочник_ОКВЭД_НР!$A$3:$A$62&amp;".",","&amp;SUBSTITUTE(F168," ","")&amp;","))) +
  SUMPRODUCT(ISNUMBER(SEARCH(","&amp;Справочник_ОКВЭД_НР!$C$3:$C$62&amp;".",","&amp;SUBSTITUTE(F168," ","")&amp;","))) +
  SUMPRODUCT(ISNUMBER(SEARCH(","&amp;Справочник_ОКВЭД_НР!$E$3:$E$62&amp;".",","&amp;SUBSTITUTE(F168," ","")&amp;","))) +
  SUMPRODUCT(ISNUMBER(SEARCH(","&amp;Справочник_ОКВЭД_НР!$G$3:$G$62&amp;".",","&amp;SUBSTITUTE(F168," ","")&amp;",")))),
50)</f>
        <v>50</v>
      </c>
      <c r="K168" s="30">
        <f>IFERROR(VLOOKUP(G168,Справочник_ОКВЭД_НР!$O:$P,2,FALSE()),50)</f>
        <v>100</v>
      </c>
      <c r="L168" s="45">
        <f>(I168*Справочник_ОКВЭД_НР!$L$2+J168*Справочник_ОКВЭД_НР!$L$3+K168*Справочник_ОКВЭД_НР!$L$4)*M168</f>
        <v>87.5</v>
      </c>
      <c r="M168" s="47">
        <f>IF(COUNTIF(Справочник_ОКВЭД_НР!$G$3:$G$62,H168)&gt;0,0,1)</f>
        <v>1</v>
      </c>
    </row>
    <row r="169" spans="1:13" x14ac:dyDescent="0.25">
      <c r="A169" s="4">
        <f>ЛИК_дляСкорингаДП!A169</f>
        <v>5177746194720</v>
      </c>
      <c r="B169" s="4">
        <f>ЛИК_дляСкорингаДП!B169</f>
        <v>7722419114</v>
      </c>
      <c r="C169" s="4" t="str">
        <f>ЛИК_дляСкорингаДП!C169</f>
        <v>ООО "ТАГАНСКОЕ ПЛЮС"</v>
      </c>
      <c r="D169" s="5" t="str">
        <f>ЛИК_дляСкорингаДП!M169</f>
        <v>Аренда и управление собственным или арендованным жилым недвижимым имуществом</v>
      </c>
      <c r="E169" s="4" t="str">
        <f>ЛИК_дляСкорингаДП!L169</f>
        <v>68.20.1</v>
      </c>
      <c r="F169" t="str">
        <f>ЛИК_дляСкорингаДП!N169</f>
        <v>52.10,52.10.9,68.10,68.20,68.31,68.32,70.10,70.22</v>
      </c>
      <c r="G169" s="25" t="str">
        <f>ЛИК_дляСкорингаДП!AG169</f>
        <v>ОСН</v>
      </c>
      <c r="H169" s="55" t="str">
        <f>IF(ISNUMBER(E169),E169,
IFERROR(LEFT(E169,FIND(".",E169)-1),E169))</f>
        <v>68</v>
      </c>
      <c r="I169" s="30">
        <f>IF(COUNTIF(Справочник_ОКВЭД_НР!$A$3:$A$62,H169)&gt;0,Справочник_ОКВЭД_НР!$L$8,
 IF(COUNTIF(Справочник_ОКВЭД_НР!$C$3:$C$62,H169)&gt;0,Справочник_ОКВЭД_НР!$L$9,
  IF(COUNTIF(Справочник_ОКВЭД_НР!$E$3:$E$62,H169)&gt;0,Справочник_ОКВЭД_НР!$L$10,
   IF(COUNTIF(Справочник_ОКВЭД_НР!$G$3:$G$62,H169)&gt;0,Справочник_ОКВЭД_НР!$L$11,50))))</f>
        <v>100</v>
      </c>
      <c r="J169" s="30" cm="1">
        <f t="array" ref="J169">IFERROR(
 (SUMPRODUCT(ISNUMBER(SEARCH(","&amp;Справочник_ОКВЭД_НР!$A$3:$A$62&amp;".",","&amp;SUBSTITUTE(F169," ","")&amp;",")))*Справочник_ОКВЭД_НР!$L$9 +
  SUMPRODUCT(ISNUMBER(SEARCH(","&amp;Справочник_ОКВЭД_НР!$C$3:$C$62&amp;".",","&amp;SUBSTITUTE(F169," ","")&amp;",")))*Справочник_ОКВЭД_НР!$L$10 +
  SUMPRODUCT(ISNUMBER(SEARCH(","&amp;Справочник_ОКВЭД_НР!$E$3:$E$62&amp;".",","&amp;SUBSTITUTE(F169," ","")&amp;",")))*Справочник_ОКВЭД_НР!$L$11 +
  SUMPRODUCT(ISNUMBER(SEARCH(","&amp;Справочник_ОКВЭД_НР!$G$3:$G$62&amp;".",","&amp;SUBSTITUTE(F169," ","")&amp;",")))*Справочник_ОКВЭД_НР!$L$12) /
 (SUMPRODUCT(ISNUMBER(SEARCH(","&amp;Справочник_ОКВЭД_НР!$A$3:$A$62&amp;".",","&amp;SUBSTITUTE(F169," ","")&amp;","))) +
  SUMPRODUCT(ISNUMBER(SEARCH(","&amp;Справочник_ОКВЭД_НР!$C$3:$C$62&amp;".",","&amp;SUBSTITUTE(F169," ","")&amp;","))) +
  SUMPRODUCT(ISNUMBER(SEARCH(","&amp;Справочник_ОКВЭД_НР!$E$3:$E$62&amp;".",","&amp;SUBSTITUTE(F169," ","")&amp;","))) +
  SUMPRODUCT(ISNUMBER(SEARCH(","&amp;Справочник_ОКВЭД_НР!$G$3:$G$62&amp;".",","&amp;SUBSTITUTE(F169," ","")&amp;",")))),
50)</f>
        <v>50</v>
      </c>
      <c r="K169" s="30">
        <f>IFERROR(VLOOKUP(G169,Справочник_ОКВЭД_НР!$O:$P,2,FALSE()),50)</f>
        <v>100</v>
      </c>
      <c r="L169" s="45">
        <f>(I169*Справочник_ОКВЭД_НР!$L$2+J169*Справочник_ОКВЭД_НР!$L$3+K169*Справочник_ОКВЭД_НР!$L$4)*M169</f>
        <v>87.5</v>
      </c>
      <c r="M169" s="47">
        <f>IF(COUNTIF(Справочник_ОКВЭД_НР!$G$3:$G$62,H169)&gt;0,0,1)</f>
        <v>1</v>
      </c>
    </row>
    <row r="170" spans="1:13" x14ac:dyDescent="0.25">
      <c r="A170" s="4">
        <f>ЛИК_дляСкорингаДП!A170</f>
        <v>1055008712770</v>
      </c>
      <c r="B170" s="4">
        <f>ЛИК_дляСкорингаДП!B170</f>
        <v>5044048873</v>
      </c>
      <c r="C170" s="4" t="str">
        <f>ЛИК_дляСкорингаДП!C170</f>
        <v>ООО "ТКЕ ТРАНС"</v>
      </c>
      <c r="D170" s="5" t="str">
        <f>ЛИК_дляСкорингаДП!M170</f>
        <v>Аренда и лизинг прочих видов транспорта, оборудования и материальных средств, не включенных в другие группировки</v>
      </c>
      <c r="E170" s="4" t="str">
        <f>ЛИК_дляСкорингаДП!L170</f>
        <v>77.39</v>
      </c>
      <c r="F170" t="str">
        <f>ЛИК_дляСкорингаДП!N170</f>
        <v>46.18.99,46.49.49,46.69.2,46.76,49.20,52.24,77.39.2</v>
      </c>
      <c r="G170" s="25" t="str">
        <f>ЛИК_дляСкорингаДП!AG170</f>
        <v>УСН</v>
      </c>
      <c r="H170" s="55" t="str">
        <f>IF(ISNUMBER(E170),E170,
IFERROR(LEFT(E170,FIND(".",E170)-1),E170))</f>
        <v>77</v>
      </c>
      <c r="I170" s="30">
        <f>IF(COUNTIF(Справочник_ОКВЭД_НР!$A$3:$A$62,H170)&gt;0,Справочник_ОКВЭД_НР!$L$8,
 IF(COUNTIF(Справочник_ОКВЭД_НР!$C$3:$C$62,H170)&gt;0,Справочник_ОКВЭД_НР!$L$9,
  IF(COUNTIF(Справочник_ОКВЭД_НР!$E$3:$E$62,H170)&gt;0,Справочник_ОКВЭД_НР!$L$10,
   IF(COUNTIF(Справочник_ОКВЭД_НР!$G$3:$G$62,H170)&gt;0,Справочник_ОКВЭД_НР!$L$11,50))))</f>
        <v>60</v>
      </c>
      <c r="J170" s="30" cm="1">
        <f t="array" ref="J170">IFERROR(
 (SUMPRODUCT(ISNUMBER(SEARCH(","&amp;Справочник_ОКВЭД_НР!$A$3:$A$62&amp;".",","&amp;SUBSTITUTE(F170," ","")&amp;",")))*Справочник_ОКВЭД_НР!$L$9 +
  SUMPRODUCT(ISNUMBER(SEARCH(","&amp;Справочник_ОКВЭД_НР!$C$3:$C$62&amp;".",","&amp;SUBSTITUTE(F170," ","")&amp;",")))*Справочник_ОКВЭД_НР!$L$10 +
  SUMPRODUCT(ISNUMBER(SEARCH(","&amp;Справочник_ОКВЭД_НР!$E$3:$E$62&amp;".",","&amp;SUBSTITUTE(F170," ","")&amp;",")))*Справочник_ОКВЭД_НР!$L$11 +
  SUMPRODUCT(ISNUMBER(SEARCH(","&amp;Справочник_ОКВЭД_НР!$G$3:$G$62&amp;".",","&amp;SUBSTITUTE(F170," ","")&amp;",")))*Справочник_ОКВЭД_НР!$L$12) /
 (SUMPRODUCT(ISNUMBER(SEARCH(","&amp;Справочник_ОКВЭД_НР!$A$3:$A$62&amp;".",","&amp;SUBSTITUTE(F170," ","")&amp;","))) +
  SUMPRODUCT(ISNUMBER(SEARCH(","&amp;Справочник_ОКВЭД_НР!$C$3:$C$62&amp;".",","&amp;SUBSTITUTE(F170," ","")&amp;","))) +
  SUMPRODUCT(ISNUMBER(SEARCH(","&amp;Справочник_ОКВЭД_НР!$E$3:$E$62&amp;".",","&amp;SUBSTITUTE(F170," ","")&amp;","))) +
  SUMPRODUCT(ISNUMBER(SEARCH(","&amp;Справочник_ОКВЭД_НР!$G$3:$G$62&amp;".",","&amp;SUBSTITUTE(F170," ","")&amp;",")))),
50)</f>
        <v>50</v>
      </c>
      <c r="K170" s="30">
        <f>IFERROR(VLOOKUP(G170,Справочник_ОКВЭД_НР!$O:$P,2,FALSE()),50)</f>
        <v>50</v>
      </c>
      <c r="L170" s="45">
        <f>(I170*Справочник_ОКВЭД_НР!$L$2+J170*Справочник_ОКВЭД_НР!$L$3+K170*Справочник_ОКВЭД_НР!$L$4)*M170</f>
        <v>56</v>
      </c>
      <c r="M170" s="47">
        <f>IF(COUNTIF(Справочник_ОКВЭД_НР!$G$3:$G$62,H170)&gt;0,0,1)</f>
        <v>1</v>
      </c>
    </row>
    <row r="171" spans="1:13" x14ac:dyDescent="0.25">
      <c r="A171" s="4">
        <f>ЛИК_дляСкорингаДП!A171</f>
        <v>1027739648837</v>
      </c>
      <c r="B171" s="4">
        <f>ЛИК_дляСкорингаДП!B171</f>
        <v>7706131537</v>
      </c>
      <c r="C171" s="4" t="str">
        <f>ЛИК_дляСкорингаДП!C171</f>
        <v>АО "РТР-СИГНАЛ"</v>
      </c>
      <c r="D171" s="5" t="str">
        <f>ЛИК_дляСкорингаДП!M171</f>
        <v>Аренда и управление собственным или арендованным прочим нежилым недвижимым имуществом</v>
      </c>
      <c r="E171" s="4" t="str">
        <f>ЛИК_дляСкорингаДП!L171</f>
        <v>68.20.29</v>
      </c>
      <c r="F171" t="str">
        <f>ЛИК_дляСкорингаДП!N171</f>
        <v>46.19,46.49,46.69.9,46.90,47.9,58.13,58.14,58.19,59.11,59.13,59.20,60.10,60.20,61.10,62.01,62.02,63.11.1,63.91,68.20,71.1,71.12.12,71.12.5,71.12.6,77.39.24,77.39.29</v>
      </c>
      <c r="G171" s="25" t="str">
        <f>ЛИК_дляСкорингаДП!AG171</f>
        <v>ОСН</v>
      </c>
      <c r="H171" s="55" t="str">
        <f>IF(ISNUMBER(E171),E171,
IFERROR(LEFT(E171,FIND(".",E171)-1),E171))</f>
        <v>68</v>
      </c>
      <c r="I171" s="30">
        <f>IF(COUNTIF(Справочник_ОКВЭД_НР!$A$3:$A$62,H171)&gt;0,Справочник_ОКВЭД_НР!$L$8,
 IF(COUNTIF(Справочник_ОКВЭД_НР!$C$3:$C$62,H171)&gt;0,Справочник_ОКВЭД_НР!$L$9,
  IF(COUNTIF(Справочник_ОКВЭД_НР!$E$3:$E$62,H171)&gt;0,Справочник_ОКВЭД_НР!$L$10,
   IF(COUNTIF(Справочник_ОКВЭД_НР!$G$3:$G$62,H171)&gt;0,Справочник_ОКВЭД_НР!$L$11,50))))</f>
        <v>100</v>
      </c>
      <c r="J171" s="30" cm="1">
        <f t="array" ref="J171">IFERROR(
 (SUMPRODUCT(ISNUMBER(SEARCH(","&amp;Справочник_ОКВЭД_НР!$A$3:$A$62&amp;".",","&amp;SUBSTITUTE(F171," ","")&amp;",")))*Справочник_ОКВЭД_НР!$L$9 +
  SUMPRODUCT(ISNUMBER(SEARCH(","&amp;Справочник_ОКВЭД_НР!$C$3:$C$62&amp;".",","&amp;SUBSTITUTE(F171," ","")&amp;",")))*Справочник_ОКВЭД_НР!$L$10 +
  SUMPRODUCT(ISNUMBER(SEARCH(","&amp;Справочник_ОКВЭД_НР!$E$3:$E$62&amp;".",","&amp;SUBSTITUTE(F171," ","")&amp;",")))*Справочник_ОКВЭД_НР!$L$11 +
  SUMPRODUCT(ISNUMBER(SEARCH(","&amp;Справочник_ОКВЭД_НР!$G$3:$G$62&amp;".",","&amp;SUBSTITUTE(F171," ","")&amp;",")))*Справочник_ОКВЭД_НР!$L$12) /
 (SUMPRODUCT(ISNUMBER(SEARCH(","&amp;Справочник_ОКВЭД_НР!$A$3:$A$62&amp;".",","&amp;SUBSTITUTE(F171," ","")&amp;","))) +
  SUMPRODUCT(ISNUMBER(SEARCH(","&amp;Справочник_ОКВЭД_НР!$C$3:$C$62&amp;".",","&amp;SUBSTITUTE(F171," ","")&amp;","))) +
  SUMPRODUCT(ISNUMBER(SEARCH(","&amp;Справочник_ОКВЭД_НР!$E$3:$E$62&amp;".",","&amp;SUBSTITUTE(F171," ","")&amp;","))) +
  SUMPRODUCT(ISNUMBER(SEARCH(","&amp;Справочник_ОКВЭД_НР!$G$3:$G$62&amp;".",","&amp;SUBSTITUTE(F171," ","")&amp;",")))),
50)</f>
        <v>50</v>
      </c>
      <c r="K171" s="30">
        <f>IFERROR(VLOOKUP(G171,Справочник_ОКВЭД_НР!$O:$P,2,FALSE()),50)</f>
        <v>100</v>
      </c>
      <c r="L171" s="45">
        <f>(I171*Справочник_ОКВЭД_НР!$L$2+J171*Справочник_ОКВЭД_НР!$L$3+K171*Справочник_ОКВЭД_НР!$L$4)*M171</f>
        <v>87.5</v>
      </c>
      <c r="M171" s="47">
        <f>IF(COUNTIF(Справочник_ОКВЭД_НР!$G$3:$G$62,H171)&gt;0,0,1)</f>
        <v>1</v>
      </c>
    </row>
    <row r="172" spans="1:13" x14ac:dyDescent="0.25">
      <c r="A172" s="4">
        <f>ЛИК_дляСкорингаДП!A172</f>
        <v>1107746734446</v>
      </c>
      <c r="B172" s="4">
        <f>ЛИК_дляСкорингаДП!B172</f>
        <v>7729663312</v>
      </c>
      <c r="C172" s="4" t="str">
        <f>ЛИК_дляСкорингаДП!C172</f>
        <v>ООО "УСТ - ОФИСНАЯ НЕДВИЖИМОСТЬ"</v>
      </c>
      <c r="D172" s="5" t="str">
        <f>ЛИК_дляСкорингаДП!M172</f>
        <v>Покупка и продажа собственных нежилых зданий и помещений</v>
      </c>
      <c r="E172" s="4" t="str">
        <f>ЛИК_дляСкорингаДП!L172</f>
        <v>68.10.22</v>
      </c>
      <c r="F172" t="str">
        <f>ЛИК_дляСкорингаДП!N172</f>
        <v>77.39.11,41.20,42.21,42.22.2,43.11,43.12.1,43.12.3,43.21,43.22,43.31,43.32,43.33,43.91,43.99,43.99.1,43.99.2,43.99.5,43.99.6,68.10.21,68.10.22,68.20,68.31.3,68.31.4,70.22,71.11,74.90</v>
      </c>
      <c r="G172" s="25" t="str">
        <f>ЛИК_дляСкорингаДП!AG172</f>
        <v>ОСН</v>
      </c>
      <c r="H172" s="55" t="str">
        <f>IF(ISNUMBER(E172),E172,
IFERROR(LEFT(E172,FIND(".",E172)-1),E172))</f>
        <v>68</v>
      </c>
      <c r="I172" s="30">
        <f>IF(COUNTIF(Справочник_ОКВЭД_НР!$A$3:$A$62,H172)&gt;0,Справочник_ОКВЭД_НР!$L$8,
 IF(COUNTIF(Справочник_ОКВЭД_НР!$C$3:$C$62,H172)&gt;0,Справочник_ОКВЭД_НР!$L$9,
  IF(COUNTIF(Справочник_ОКВЭД_НР!$E$3:$E$62,H172)&gt;0,Справочник_ОКВЭД_НР!$L$10,
   IF(COUNTIF(Справочник_ОКВЭД_НР!$G$3:$G$62,H172)&gt;0,Справочник_ОКВЭД_НР!$L$11,50))))</f>
        <v>100</v>
      </c>
      <c r="J172" s="30" cm="1">
        <f t="array" ref="J172">IFERROR(
 (SUMPRODUCT(ISNUMBER(SEARCH(","&amp;Справочник_ОКВЭД_НР!$A$3:$A$62&amp;".",","&amp;SUBSTITUTE(F172," ","")&amp;",")))*Справочник_ОКВЭД_НР!$L$9 +
  SUMPRODUCT(ISNUMBER(SEARCH(","&amp;Справочник_ОКВЭД_НР!$C$3:$C$62&amp;".",","&amp;SUBSTITUTE(F172," ","")&amp;",")))*Справочник_ОКВЭД_НР!$L$10 +
  SUMPRODUCT(ISNUMBER(SEARCH(","&amp;Справочник_ОКВЭД_НР!$E$3:$E$62&amp;".",","&amp;SUBSTITUTE(F172," ","")&amp;",")))*Справочник_ОКВЭД_НР!$L$11 +
  SUMPRODUCT(ISNUMBER(SEARCH(","&amp;Справочник_ОКВЭД_НР!$G$3:$G$62&amp;".",","&amp;SUBSTITUTE(F172," ","")&amp;",")))*Справочник_ОКВЭД_НР!$L$12) /
 (SUMPRODUCT(ISNUMBER(SEARCH(","&amp;Справочник_ОКВЭД_НР!$A$3:$A$62&amp;".",","&amp;SUBSTITUTE(F172," ","")&amp;","))) +
  SUMPRODUCT(ISNUMBER(SEARCH(","&amp;Справочник_ОКВЭД_НР!$C$3:$C$62&amp;".",","&amp;SUBSTITUTE(F172," ","")&amp;","))) +
  SUMPRODUCT(ISNUMBER(SEARCH(","&amp;Справочник_ОКВЭД_НР!$E$3:$E$62&amp;".",","&amp;SUBSTITUTE(F172," ","")&amp;","))) +
  SUMPRODUCT(ISNUMBER(SEARCH(","&amp;Справочник_ОКВЭД_НР!$G$3:$G$62&amp;".",","&amp;SUBSTITUTE(F172," ","")&amp;",")))),
50)</f>
        <v>50</v>
      </c>
      <c r="K172" s="30">
        <f>IFERROR(VLOOKUP(G172,Справочник_ОКВЭД_НР!$O:$P,2,FALSE()),50)</f>
        <v>100</v>
      </c>
      <c r="L172" s="45">
        <f>(I172*Справочник_ОКВЭД_НР!$L$2+J172*Справочник_ОКВЭД_НР!$L$3+K172*Справочник_ОКВЭД_НР!$L$4)*M172</f>
        <v>87.5</v>
      </c>
      <c r="M172" s="47">
        <f>IF(COUNTIF(Справочник_ОКВЭД_НР!$G$3:$G$62,H172)&gt;0,0,1)</f>
        <v>1</v>
      </c>
    </row>
    <row r="173" spans="1:13" x14ac:dyDescent="0.25">
      <c r="A173" s="4">
        <f>ЛИК_дляСкорингаДП!A173</f>
        <v>1065029129318</v>
      </c>
      <c r="B173" s="4">
        <f>ЛИК_дляСкорингаДП!B173</f>
        <v>5029096061</v>
      </c>
      <c r="C173" s="4" t="str">
        <f>ЛИК_дляСкорингаДП!C173</f>
        <v>ООО "МАКСИМА"</v>
      </c>
      <c r="D173" s="5" t="str">
        <f>ЛИК_дляСкорингаДП!M173</f>
        <v>Покупка и продажа собственного недвижимого имущества</v>
      </c>
      <c r="E173" s="4" t="str">
        <f>ЛИК_дляСкорингаДП!L173</f>
        <v>68.1</v>
      </c>
      <c r="F173" t="str">
        <f>ЛИК_дляСкорингаДП!N173</f>
        <v>31.0,32.9,41.2,43.12,43.2,43.3,43.99,46.1,46.2,46.3,46.4,46.6,46.7,46.9,47.1,47.2,47.5,47.73,47.74,47.75,52.10,52.2,52.24,68.2,68.3</v>
      </c>
      <c r="G173" s="25" t="str">
        <f>ЛИК_дляСкорингаДП!AG173</f>
        <v>УСН</v>
      </c>
      <c r="H173" s="55" t="str">
        <f>IF(ISNUMBER(E173),E173,
IFERROR(LEFT(E173,FIND(".",E173)-1),E173))</f>
        <v>68</v>
      </c>
      <c r="I173" s="30">
        <f>IF(COUNTIF(Справочник_ОКВЭД_НР!$A$3:$A$62,H173)&gt;0,Справочник_ОКВЭД_НР!$L$8,
 IF(COUNTIF(Справочник_ОКВЭД_НР!$C$3:$C$62,H173)&gt;0,Справочник_ОКВЭД_НР!$L$9,
  IF(COUNTIF(Справочник_ОКВЭД_НР!$E$3:$E$62,H173)&gt;0,Справочник_ОКВЭД_НР!$L$10,
   IF(COUNTIF(Справочник_ОКВЭД_НР!$G$3:$G$62,H173)&gt;0,Справочник_ОКВЭД_НР!$L$11,50))))</f>
        <v>100</v>
      </c>
      <c r="J173" s="30" cm="1">
        <f t="array" ref="J173">IFERROR(
 (SUMPRODUCT(ISNUMBER(SEARCH(","&amp;Справочник_ОКВЭД_НР!$A$3:$A$62&amp;".",","&amp;SUBSTITUTE(F173," ","")&amp;",")))*Справочник_ОКВЭД_НР!$L$9 +
  SUMPRODUCT(ISNUMBER(SEARCH(","&amp;Справочник_ОКВЭД_НР!$C$3:$C$62&amp;".",","&amp;SUBSTITUTE(F173," ","")&amp;",")))*Справочник_ОКВЭД_НР!$L$10 +
  SUMPRODUCT(ISNUMBER(SEARCH(","&amp;Справочник_ОКВЭД_НР!$E$3:$E$62&amp;".",","&amp;SUBSTITUTE(F173," ","")&amp;",")))*Справочник_ОКВЭД_НР!$L$11 +
  SUMPRODUCT(ISNUMBER(SEARCH(","&amp;Справочник_ОКВЭД_НР!$G$3:$G$62&amp;".",","&amp;SUBSTITUTE(F173," ","")&amp;",")))*Справочник_ОКВЭД_НР!$L$12) /
 (SUMPRODUCT(ISNUMBER(SEARCH(","&amp;Справочник_ОКВЭД_НР!$A$3:$A$62&amp;".",","&amp;SUBSTITUTE(F173," ","")&amp;","))) +
  SUMPRODUCT(ISNUMBER(SEARCH(","&amp;Справочник_ОКВЭД_НР!$C$3:$C$62&amp;".",","&amp;SUBSTITUTE(F173," ","")&amp;","))) +
  SUMPRODUCT(ISNUMBER(SEARCH(","&amp;Справочник_ОКВЭД_НР!$E$3:$E$62&amp;".",","&amp;SUBSTITUTE(F173," ","")&amp;","))) +
  SUMPRODUCT(ISNUMBER(SEARCH(","&amp;Справочник_ОКВЭД_НР!$G$3:$G$62&amp;".",","&amp;SUBSTITUTE(F173," ","")&amp;",")))),
50)</f>
        <v>50</v>
      </c>
      <c r="K173" s="30">
        <f>IFERROR(VLOOKUP(G173,Справочник_ОКВЭД_НР!$O:$P,2,FALSE()),50)</f>
        <v>50</v>
      </c>
      <c r="L173" s="45">
        <f>(I173*Справочник_ОКВЭД_НР!$L$2+J173*Справочник_ОКВЭД_НР!$L$3+K173*Справочник_ОКВЭД_НР!$L$4)*M173</f>
        <v>80</v>
      </c>
      <c r="M173" s="47">
        <f>IF(COUNTIF(Справочник_ОКВЭД_НР!$G$3:$G$62,H173)&gt;0,0,1)</f>
        <v>1</v>
      </c>
    </row>
    <row r="174" spans="1:13" x14ac:dyDescent="0.25">
      <c r="A174" s="4">
        <f>ЛИК_дляСкорингаДП!A174</f>
        <v>1097746862355</v>
      </c>
      <c r="B174" s="4">
        <f>ЛИК_дляСкорингаДП!B174</f>
        <v>7736612446</v>
      </c>
      <c r="C174" s="4" t="str">
        <f>ЛИК_дляСкорингаДП!C174</f>
        <v>ООО "КЛИНИКА "ЛИНЛАЙН"</v>
      </c>
      <c r="D174" s="5" t="str">
        <f>ЛИК_дляСкорингаДП!M174</f>
        <v>Деятельность в области здравоохранения</v>
      </c>
      <c r="E174" s="4" t="str">
        <f>ЛИК_дляСкорингаДП!L174</f>
        <v>86</v>
      </c>
      <c r="F174" t="str">
        <f>ЛИК_дляСкорингаДП!N174</f>
        <v>72.19,73.11,96.02</v>
      </c>
      <c r="G174" s="25" t="str">
        <f>ЛИК_дляСкорингаДП!AG174</f>
        <v>ОСН</v>
      </c>
      <c r="H174" s="55" t="str">
        <f>IF(ISNUMBER(E174),E174,
IFERROR(LEFT(E174,FIND(".",E174)-1),E174))</f>
        <v>86</v>
      </c>
      <c r="I174" s="30">
        <f>IF(COUNTIF(Справочник_ОКВЭД_НР!$A$3:$A$62,H174)&gt;0,Справочник_ОКВЭД_НР!$L$8,
 IF(COUNTIF(Справочник_ОКВЭД_НР!$C$3:$C$62,H174)&gt;0,Справочник_ОКВЭД_НР!$L$9,
  IF(COUNTIF(Справочник_ОКВЭД_НР!$E$3:$E$62,H174)&gt;0,Справочник_ОКВЭД_НР!$L$10,
   IF(COUNTIF(Справочник_ОКВЭД_НР!$G$3:$G$62,H174)&gt;0,Справочник_ОКВЭД_НР!$L$11,50))))</f>
        <v>100</v>
      </c>
      <c r="J174" s="30" cm="1">
        <f t="array" ref="J174">IFERROR(
 (SUMPRODUCT(ISNUMBER(SEARCH(","&amp;Справочник_ОКВЭД_НР!$A$3:$A$62&amp;".",","&amp;SUBSTITUTE(F174," ","")&amp;",")))*Справочник_ОКВЭД_НР!$L$9 +
  SUMPRODUCT(ISNUMBER(SEARCH(","&amp;Справочник_ОКВЭД_НР!$C$3:$C$62&amp;".",","&amp;SUBSTITUTE(F174," ","")&amp;",")))*Справочник_ОКВЭД_НР!$L$10 +
  SUMPRODUCT(ISNUMBER(SEARCH(","&amp;Справочник_ОКВЭД_НР!$E$3:$E$62&amp;".",","&amp;SUBSTITUTE(F174," ","")&amp;",")))*Справочник_ОКВЭД_НР!$L$11 +
  SUMPRODUCT(ISNUMBER(SEARCH(","&amp;Справочник_ОКВЭД_НР!$G$3:$G$62&amp;".",","&amp;SUBSTITUTE(F174," ","")&amp;",")))*Справочник_ОКВЭД_НР!$L$12) /
 (SUMPRODUCT(ISNUMBER(SEARCH(","&amp;Справочник_ОКВЭД_НР!$A$3:$A$62&amp;".",","&amp;SUBSTITUTE(F174," ","")&amp;","))) +
  SUMPRODUCT(ISNUMBER(SEARCH(","&amp;Справочник_ОКВЭД_НР!$C$3:$C$62&amp;".",","&amp;SUBSTITUTE(F174," ","")&amp;","))) +
  SUMPRODUCT(ISNUMBER(SEARCH(","&amp;Справочник_ОКВЭД_НР!$E$3:$E$62&amp;".",","&amp;SUBSTITUTE(F174," ","")&amp;","))) +
  SUMPRODUCT(ISNUMBER(SEARCH(","&amp;Справочник_ОКВЭД_НР!$G$3:$G$62&amp;".",","&amp;SUBSTITUTE(F174," ","")&amp;",")))),
50)</f>
        <v>50</v>
      </c>
      <c r="K174" s="30">
        <f>IFERROR(VLOOKUP(G174,Справочник_ОКВЭД_НР!$O:$P,2,FALSE()),50)</f>
        <v>100</v>
      </c>
      <c r="L174" s="45">
        <f>(I174*Справочник_ОКВЭД_НР!$L$2+J174*Справочник_ОКВЭД_НР!$L$3+K174*Справочник_ОКВЭД_НР!$L$4)*M174</f>
        <v>87.5</v>
      </c>
      <c r="M174" s="47">
        <f>IF(COUNTIF(Справочник_ОКВЭД_НР!$G$3:$G$62,H174)&gt;0,0,1)</f>
        <v>1</v>
      </c>
    </row>
    <row r="175" spans="1:13" x14ac:dyDescent="0.25">
      <c r="A175" s="4">
        <f>ЛИК_дляСкорингаДП!A175</f>
        <v>1027739043023</v>
      </c>
      <c r="B175" s="4">
        <f>ЛИК_дляСкорингаДП!B175</f>
        <v>7710293280</v>
      </c>
      <c r="C175" s="4" t="str">
        <f>ЛИК_дляСкорингаДП!C175</f>
        <v>ООО "ФИТ"</v>
      </c>
      <c r="D175" s="5" t="str">
        <f>ЛИК_дляСкорингаДП!M175</f>
        <v>Деятельность вспомогательная прочая, связанная с перевозками</v>
      </c>
      <c r="E175" s="4" t="str">
        <f>ЛИК_дляСкорингаДП!L175</f>
        <v>52.29</v>
      </c>
      <c r="F175" t="str">
        <f>ЛИК_дляСкорингаДП!N175</f>
        <v>33.20,45.20.2,49.41.2,49.41.3,50.20,50.40,52.10.9,52.21.1,52.21.2,52.24.1,52.24.2,52.29,77.39.1,77.39.12</v>
      </c>
      <c r="G175" s="25" t="str">
        <f>ЛИК_дляСкорингаДП!AG175</f>
        <v>ОСН</v>
      </c>
      <c r="H175" s="55" t="str">
        <f>IF(ISNUMBER(E175),E175,
IFERROR(LEFT(E175,FIND(".",E175)-1),E175))</f>
        <v>52</v>
      </c>
      <c r="I175" s="30">
        <f>IF(COUNTIF(Справочник_ОКВЭД_НР!$A$3:$A$62,H175)&gt;0,Справочник_ОКВЭД_НР!$L$8,
 IF(COUNTIF(Справочник_ОКВЭД_НР!$C$3:$C$62,H175)&gt;0,Справочник_ОКВЭД_НР!$L$9,
  IF(COUNTIF(Справочник_ОКВЭД_НР!$E$3:$E$62,H175)&gt;0,Справочник_ОКВЭД_НР!$L$10,
   IF(COUNTIF(Справочник_ОКВЭД_НР!$G$3:$G$62,H175)&gt;0,Справочник_ОКВЭД_НР!$L$11,50))))</f>
        <v>60</v>
      </c>
      <c r="J175" s="30" cm="1">
        <f t="array" ref="J175">IFERROR(
 (SUMPRODUCT(ISNUMBER(SEARCH(","&amp;Справочник_ОКВЭД_НР!$A$3:$A$62&amp;".",","&amp;SUBSTITUTE(F175," ","")&amp;",")))*Справочник_ОКВЭД_НР!$L$9 +
  SUMPRODUCT(ISNUMBER(SEARCH(","&amp;Справочник_ОКВЭД_НР!$C$3:$C$62&amp;".",","&amp;SUBSTITUTE(F175," ","")&amp;",")))*Справочник_ОКВЭД_НР!$L$10 +
  SUMPRODUCT(ISNUMBER(SEARCH(","&amp;Справочник_ОКВЭД_НР!$E$3:$E$62&amp;".",","&amp;SUBSTITUTE(F175," ","")&amp;",")))*Справочник_ОКВЭД_НР!$L$11 +
  SUMPRODUCT(ISNUMBER(SEARCH(","&amp;Справочник_ОКВЭД_НР!$G$3:$G$62&amp;".",","&amp;SUBSTITUTE(F175," ","")&amp;",")))*Справочник_ОКВЭД_НР!$L$12) /
 (SUMPRODUCT(ISNUMBER(SEARCH(","&amp;Справочник_ОКВЭД_НР!$A$3:$A$62&amp;".",","&amp;SUBSTITUTE(F175," ","")&amp;","))) +
  SUMPRODUCT(ISNUMBER(SEARCH(","&amp;Справочник_ОКВЭД_НР!$C$3:$C$62&amp;".",","&amp;SUBSTITUTE(F175," ","")&amp;","))) +
  SUMPRODUCT(ISNUMBER(SEARCH(","&amp;Справочник_ОКВЭД_НР!$E$3:$E$62&amp;".",","&amp;SUBSTITUTE(F175," ","")&amp;","))) +
  SUMPRODUCT(ISNUMBER(SEARCH(","&amp;Справочник_ОКВЭД_НР!$G$3:$G$62&amp;".",","&amp;SUBSTITUTE(F175," ","")&amp;",")))),
50)</f>
        <v>50</v>
      </c>
      <c r="K175" s="30">
        <f>IFERROR(VLOOKUP(G175,Справочник_ОКВЭД_НР!$O:$P,2,FALSE()),50)</f>
        <v>100</v>
      </c>
      <c r="L175" s="45">
        <f>(I175*Справочник_ОКВЭД_НР!$L$2+J175*Справочник_ОКВЭД_НР!$L$3+K175*Справочник_ОКВЭД_НР!$L$4)*M175</f>
        <v>63.5</v>
      </c>
      <c r="M175" s="47">
        <f>IF(COUNTIF(Справочник_ОКВЭД_НР!$G$3:$G$62,H175)&gt;0,0,1)</f>
        <v>1</v>
      </c>
    </row>
    <row r="176" spans="1:13" x14ac:dyDescent="0.25">
      <c r="A176" s="4">
        <f>ЛИК_дляСкорингаДП!A176</f>
        <v>1067746158083</v>
      </c>
      <c r="B176" s="4">
        <f>ЛИК_дляСкорингаДП!B176</f>
        <v>7701639976</v>
      </c>
      <c r="C176" s="4" t="str">
        <f>ЛИК_дляСкорингаДП!C176</f>
        <v>ООО "ПРОКТЕР ЭНД ГЭМБЛ ДИСТРИБЬЮТОРСКАЯ КОМПАНИЯ"</v>
      </c>
      <c r="D176" s="5" t="str">
        <f>ЛИК_дляСкорингаДП!M176</f>
        <v>Торговля оптовая прочими бытовыми товарами</v>
      </c>
      <c r="E176" s="4" t="str">
        <f>ЛИК_дляСкорингаДП!L176</f>
        <v>46.49</v>
      </c>
      <c r="F176" t="str">
        <f>ЛИК_дляСкорингаДП!N176</f>
        <v>46.4,46.90</v>
      </c>
      <c r="G176" s="25" t="str">
        <f>ЛИК_дляСкорингаДП!AG176</f>
        <v>ОСН</v>
      </c>
      <c r="H176" s="55" t="str">
        <f>IF(ISNUMBER(E176),E176,
IFERROR(LEFT(E176,FIND(".",E176)-1),E176))</f>
        <v>46</v>
      </c>
      <c r="I176" s="30">
        <f>IF(COUNTIF(Справочник_ОКВЭД_НР!$A$3:$A$62,H176)&gt;0,Справочник_ОКВЭД_НР!$L$8,
 IF(COUNTIF(Справочник_ОКВЭД_НР!$C$3:$C$62,H176)&gt;0,Справочник_ОКВЭД_НР!$L$9,
  IF(COUNTIF(Справочник_ОКВЭД_НР!$E$3:$E$62,H176)&gt;0,Справочник_ОКВЭД_НР!$L$10,
   IF(COUNTIF(Справочник_ОКВЭД_НР!$G$3:$G$62,H176)&gt;0,Справочник_ОКВЭД_НР!$L$11,50))))</f>
        <v>60</v>
      </c>
      <c r="J176" s="30" cm="1">
        <f t="array" ref="J176">IFERROR(
 (SUMPRODUCT(ISNUMBER(SEARCH(","&amp;Справочник_ОКВЭД_НР!$A$3:$A$62&amp;".",","&amp;SUBSTITUTE(F176," ","")&amp;",")))*Справочник_ОКВЭД_НР!$L$9 +
  SUMPRODUCT(ISNUMBER(SEARCH(","&amp;Справочник_ОКВЭД_НР!$C$3:$C$62&amp;".",","&amp;SUBSTITUTE(F176," ","")&amp;",")))*Справочник_ОКВЭД_НР!$L$10 +
  SUMPRODUCT(ISNUMBER(SEARCH(","&amp;Справочник_ОКВЭД_НР!$E$3:$E$62&amp;".",","&amp;SUBSTITUTE(F176," ","")&amp;",")))*Справочник_ОКВЭД_НР!$L$11 +
  SUMPRODUCT(ISNUMBER(SEARCH(","&amp;Справочник_ОКВЭД_НР!$G$3:$G$62&amp;".",","&amp;SUBSTITUTE(F176," ","")&amp;",")))*Справочник_ОКВЭД_НР!$L$12) /
 (SUMPRODUCT(ISNUMBER(SEARCH(","&amp;Справочник_ОКВЭД_НР!$A$3:$A$62&amp;".",","&amp;SUBSTITUTE(F176," ","")&amp;","))) +
  SUMPRODUCT(ISNUMBER(SEARCH(","&amp;Справочник_ОКВЭД_НР!$C$3:$C$62&amp;".",","&amp;SUBSTITUTE(F176," ","")&amp;","))) +
  SUMPRODUCT(ISNUMBER(SEARCH(","&amp;Справочник_ОКВЭД_НР!$E$3:$E$62&amp;".",","&amp;SUBSTITUTE(F176," ","")&amp;","))) +
  SUMPRODUCT(ISNUMBER(SEARCH(","&amp;Справочник_ОКВЭД_НР!$G$3:$G$62&amp;".",","&amp;SUBSTITUTE(F176," ","")&amp;",")))),
50)</f>
        <v>50</v>
      </c>
      <c r="K176" s="30">
        <f>IFERROR(VLOOKUP(G176,Справочник_ОКВЭД_НР!$O:$P,2,FALSE()),50)</f>
        <v>100</v>
      </c>
      <c r="L176" s="45">
        <f>(I176*Справочник_ОКВЭД_НР!$L$2+J176*Справочник_ОКВЭД_НР!$L$3+K176*Справочник_ОКВЭД_НР!$L$4)*M176</f>
        <v>63.5</v>
      </c>
      <c r="M176" s="47">
        <f>IF(COUNTIF(Справочник_ОКВЭД_НР!$G$3:$G$62,H176)&gt;0,0,1)</f>
        <v>1</v>
      </c>
    </row>
    <row r="177" spans="1:13" x14ac:dyDescent="0.25">
      <c r="A177" s="4">
        <f>ЛИК_дляСкорингаДП!A177</f>
        <v>1025002032384</v>
      </c>
      <c r="B177" s="4">
        <f>ЛИК_дляСкорингаДП!B177</f>
        <v>5018053524</v>
      </c>
      <c r="C177" s="4" t="str">
        <f>ЛИК_дляСкорингаДП!C177</f>
        <v>ООО "СВЕТЛАНА"-К</v>
      </c>
      <c r="D177" s="5" t="str">
        <f>ЛИК_дляСкорингаДП!M177</f>
        <v>Хранение и складирование прочих грузов</v>
      </c>
      <c r="E177" s="4" t="str">
        <f>ЛИК_дляСкорингаДП!L177</f>
        <v>52.10.9</v>
      </c>
      <c r="F177" t="str">
        <f>ЛИК_дляСкорингаДП!N177</f>
        <v>49.41.1,52.29,68.20.29,82.92,45.1,45.11.1,45.11.4,45.19.1,45.19.4,46.43,46.45,46.49,46.71,46.73,46.76,49.41,52.10,52.10.9,52.24.2,52.29,53.20.3,68.20,78.1,82.92</v>
      </c>
      <c r="G177" s="25" t="str">
        <f>ЛИК_дляСкорингаДП!AG177</f>
        <v>ОСН</v>
      </c>
      <c r="H177" s="55" t="str">
        <f>IF(ISNUMBER(E177),E177,
IFERROR(LEFT(E177,FIND(".",E177)-1),E177))</f>
        <v>52</v>
      </c>
      <c r="I177" s="30">
        <f>IF(COUNTIF(Справочник_ОКВЭД_НР!$A$3:$A$62,H177)&gt;0,Справочник_ОКВЭД_НР!$L$8,
 IF(COUNTIF(Справочник_ОКВЭД_НР!$C$3:$C$62,H177)&gt;0,Справочник_ОКВЭД_НР!$L$9,
  IF(COUNTIF(Справочник_ОКВЭД_НР!$E$3:$E$62,H177)&gt;0,Справочник_ОКВЭД_НР!$L$10,
   IF(COUNTIF(Справочник_ОКВЭД_НР!$G$3:$G$62,H177)&gt;0,Справочник_ОКВЭД_НР!$L$11,50))))</f>
        <v>60</v>
      </c>
      <c r="J177" s="30" cm="1">
        <f t="array" ref="J177">IFERROR(
 (SUMPRODUCT(ISNUMBER(SEARCH(","&amp;Справочник_ОКВЭД_НР!$A$3:$A$62&amp;".",","&amp;SUBSTITUTE(F177," ","")&amp;",")))*Справочник_ОКВЭД_НР!$L$9 +
  SUMPRODUCT(ISNUMBER(SEARCH(","&amp;Справочник_ОКВЭД_НР!$C$3:$C$62&amp;".",","&amp;SUBSTITUTE(F177," ","")&amp;",")))*Справочник_ОКВЭД_НР!$L$10 +
  SUMPRODUCT(ISNUMBER(SEARCH(","&amp;Справочник_ОКВЭД_НР!$E$3:$E$62&amp;".",","&amp;SUBSTITUTE(F177," ","")&amp;",")))*Справочник_ОКВЭД_НР!$L$11 +
  SUMPRODUCT(ISNUMBER(SEARCH(","&amp;Справочник_ОКВЭД_НР!$G$3:$G$62&amp;".",","&amp;SUBSTITUTE(F177," ","")&amp;",")))*Справочник_ОКВЭД_НР!$L$12) /
 (SUMPRODUCT(ISNUMBER(SEARCH(","&amp;Справочник_ОКВЭД_НР!$A$3:$A$62&amp;".",","&amp;SUBSTITUTE(F177," ","")&amp;","))) +
  SUMPRODUCT(ISNUMBER(SEARCH(","&amp;Справочник_ОКВЭД_НР!$C$3:$C$62&amp;".",","&amp;SUBSTITUTE(F177," ","")&amp;","))) +
  SUMPRODUCT(ISNUMBER(SEARCH(","&amp;Справочник_ОКВЭД_НР!$E$3:$E$62&amp;".",","&amp;SUBSTITUTE(F177," ","")&amp;","))) +
  SUMPRODUCT(ISNUMBER(SEARCH(","&amp;Справочник_ОКВЭД_НР!$G$3:$G$62&amp;".",","&amp;SUBSTITUTE(F177," ","")&amp;",")))),
50)</f>
        <v>50</v>
      </c>
      <c r="K177" s="30">
        <f>IFERROR(VLOOKUP(G177,Справочник_ОКВЭД_НР!$O:$P,2,FALSE()),50)</f>
        <v>100</v>
      </c>
      <c r="L177" s="45">
        <f>(I177*Справочник_ОКВЭД_НР!$L$2+J177*Справочник_ОКВЭД_НР!$L$3+K177*Справочник_ОКВЭД_НР!$L$4)*M177</f>
        <v>63.5</v>
      </c>
      <c r="M177" s="47">
        <f>IF(COUNTIF(Справочник_ОКВЭД_НР!$G$3:$G$62,H177)&gt;0,0,1)</f>
        <v>1</v>
      </c>
    </row>
    <row r="178" spans="1:13" x14ac:dyDescent="0.25">
      <c r="A178" s="4">
        <f>ЛИК_дляСкорингаДП!A178</f>
        <v>1047796485626</v>
      </c>
      <c r="B178" s="4">
        <f>ЛИК_дляСкорингаДП!B178</f>
        <v>7705606435</v>
      </c>
      <c r="C178" s="4" t="str">
        <f>ЛИК_дляСкорингаДП!C178</f>
        <v>ООО "ВАРИАНТ"</v>
      </c>
      <c r="D178" s="5" t="str">
        <f>ЛИК_дляСкорингаДП!M178</f>
        <v>Торговля розничная прочая в неспециализированных магазинах</v>
      </c>
      <c r="E178" s="4" t="str">
        <f>ЛИК_дляСкорингаДП!L178</f>
        <v>47.19</v>
      </c>
      <c r="F178" t="str">
        <f>ЛИК_дляСкорингаДП!N178</f>
        <v>41.20,43.29,43.99.7,46.19,46.90,47.11.1,47.11.2,56.10,56.10.1,56.10.3,62.01,62.02,69.10,70.22,73.11,73.20.1,79.11,79.90.1,79.90.2,79.90.3,82.99</v>
      </c>
      <c r="G178" s="25" t="str">
        <f>ЛИК_дляСкорингаДП!AG178</f>
        <v>ОСН</v>
      </c>
      <c r="H178" s="55" t="str">
        <f>IF(ISNUMBER(E178),E178,
IFERROR(LEFT(E178,FIND(".",E178)-1),E178))</f>
        <v>47</v>
      </c>
      <c r="I178" s="30">
        <f>IF(COUNTIF(Справочник_ОКВЭД_НР!$A$3:$A$62,H178)&gt;0,Справочник_ОКВЭД_НР!$L$8,
 IF(COUNTIF(Справочник_ОКВЭД_НР!$C$3:$C$62,H178)&gt;0,Справочник_ОКВЭД_НР!$L$9,
  IF(COUNTIF(Справочник_ОКВЭД_НР!$E$3:$E$62,H178)&gt;0,Справочник_ОКВЭД_НР!$L$10,
   IF(COUNTIF(Справочник_ОКВЭД_НР!$G$3:$G$62,H178)&gt;0,Справочник_ОКВЭД_НР!$L$11,50))))</f>
        <v>60</v>
      </c>
      <c r="J178" s="30" cm="1">
        <f t="array" ref="J178">IFERROR(
 (SUMPRODUCT(ISNUMBER(SEARCH(","&amp;Справочник_ОКВЭД_НР!$A$3:$A$62&amp;".",","&amp;SUBSTITUTE(F178," ","")&amp;",")))*Справочник_ОКВЭД_НР!$L$9 +
  SUMPRODUCT(ISNUMBER(SEARCH(","&amp;Справочник_ОКВЭД_НР!$C$3:$C$62&amp;".",","&amp;SUBSTITUTE(F178," ","")&amp;",")))*Справочник_ОКВЭД_НР!$L$10 +
  SUMPRODUCT(ISNUMBER(SEARCH(","&amp;Справочник_ОКВЭД_НР!$E$3:$E$62&amp;".",","&amp;SUBSTITUTE(F178," ","")&amp;",")))*Справочник_ОКВЭД_НР!$L$11 +
  SUMPRODUCT(ISNUMBER(SEARCH(","&amp;Справочник_ОКВЭД_НР!$G$3:$G$62&amp;".",","&amp;SUBSTITUTE(F178," ","")&amp;",")))*Справочник_ОКВЭД_НР!$L$12) /
 (SUMPRODUCT(ISNUMBER(SEARCH(","&amp;Справочник_ОКВЭД_НР!$A$3:$A$62&amp;".",","&amp;SUBSTITUTE(F178," ","")&amp;","))) +
  SUMPRODUCT(ISNUMBER(SEARCH(","&amp;Справочник_ОКВЭД_НР!$C$3:$C$62&amp;".",","&amp;SUBSTITUTE(F178," ","")&amp;","))) +
  SUMPRODUCT(ISNUMBER(SEARCH(","&amp;Справочник_ОКВЭД_НР!$E$3:$E$62&amp;".",","&amp;SUBSTITUTE(F178," ","")&amp;","))) +
  SUMPRODUCT(ISNUMBER(SEARCH(","&amp;Справочник_ОКВЭД_НР!$G$3:$G$62&amp;".",","&amp;SUBSTITUTE(F178," ","")&amp;",")))),
50)</f>
        <v>50</v>
      </c>
      <c r="K178" s="30">
        <f>IFERROR(VLOOKUP(G178,Справочник_ОКВЭД_НР!$O:$P,2,FALSE()),50)</f>
        <v>100</v>
      </c>
      <c r="L178" s="45">
        <f>(I178*Справочник_ОКВЭД_НР!$L$2+J178*Справочник_ОКВЭД_НР!$L$3+K178*Справочник_ОКВЭД_НР!$L$4)*M178</f>
        <v>63.5</v>
      </c>
      <c r="M178" s="47">
        <f>IF(COUNTIF(Справочник_ОКВЭД_НР!$G$3:$G$62,H178)&gt;0,0,1)</f>
        <v>1</v>
      </c>
    </row>
    <row r="179" spans="1:13" x14ac:dyDescent="0.25">
      <c r="A179" s="4">
        <f>ЛИК_дляСкорингаДП!A179</f>
        <v>1027700166636</v>
      </c>
      <c r="B179" s="4">
        <f>ЛИК_дляСкорингаДП!B179</f>
        <v>7713076301</v>
      </c>
      <c r="C179" s="4" t="str">
        <f>ЛИК_дляСкорингаДП!C179</f>
        <v>ПАО "ВЫМПЕЛКОМ"</v>
      </c>
      <c r="D179" s="5" t="str">
        <f>ЛИК_дляСкорингаДП!M179</f>
        <v>Деятельность по предоставлению услуг подвижной связи для целей передачи голоса</v>
      </c>
      <c r="E179" s="4" t="str">
        <f>ЛИК_дляСкорингаДП!L179</f>
        <v>61.20.1</v>
      </c>
      <c r="F179" t="str">
        <f>ЛИК_дляСкорингаДП!N179</f>
        <v>26.11,26.30.15,26.30.17,42.22.3,43.12.3,43.21,43.99,47.19.2,47.9,47.91.3,49.31,49.41,49.41.1,52.21.2,52.21.24,52.24,52.24.2,52.29,53.20.1,59.14,61.10,61.10.1,61.10.3,61.10.5,61.10.6,61.10.8,61.10.9,61.20.2,61.20.3,62.01,62.09,63.11,63.11.1,63.91,63.99.1,64.19,64.92,64.99,66.19.4,68.20,68.32,69.20,69.20.3,70.10.1,70.22,71.11,71.12,71.12.1,71.12.12,71.12.3,71.12.57,71.12.6,71.20.2,72.19,73.11,73.20.1,74.20,74.30,74.90.9,80.10,82.92,82.99,84.13,84.21,84.22,84.23,84.24,84.25,84.25.1,84.25.9,86.90.1,88.99,91.01,95.12</v>
      </c>
      <c r="G179" s="25" t="str">
        <f>ЛИК_дляСкорингаДП!AG179</f>
        <v>ОСН</v>
      </c>
      <c r="H179" s="55" t="str">
        <f>IF(ISNUMBER(E179),E179,
IFERROR(LEFT(E179,FIND(".",E179)-1),E179))</f>
        <v>61</v>
      </c>
      <c r="I179" s="30">
        <f>IF(COUNTIF(Справочник_ОКВЭД_НР!$A$3:$A$62,H179)&gt;0,Справочник_ОКВЭД_НР!$L$8,
 IF(COUNTIF(Справочник_ОКВЭД_НР!$C$3:$C$62,H179)&gt;0,Справочник_ОКВЭД_НР!$L$9,
  IF(COUNTIF(Справочник_ОКВЭД_НР!$E$3:$E$62,H179)&gt;0,Справочник_ОКВЭД_НР!$L$10,
   IF(COUNTIF(Справочник_ОКВЭД_НР!$G$3:$G$62,H179)&gt;0,Справочник_ОКВЭД_НР!$L$11,50))))</f>
        <v>60</v>
      </c>
      <c r="J179" s="30" cm="1">
        <f t="array" ref="J179">IFERROR(
 (SUMPRODUCT(ISNUMBER(SEARCH(","&amp;Справочник_ОКВЭД_НР!$A$3:$A$62&amp;".",","&amp;SUBSTITUTE(F179," ","")&amp;",")))*Справочник_ОКВЭД_НР!$L$9 +
  SUMPRODUCT(ISNUMBER(SEARCH(","&amp;Справочник_ОКВЭД_НР!$C$3:$C$62&amp;".",","&amp;SUBSTITUTE(F179," ","")&amp;",")))*Справочник_ОКВЭД_НР!$L$10 +
  SUMPRODUCT(ISNUMBER(SEARCH(","&amp;Справочник_ОКВЭД_НР!$E$3:$E$62&amp;".",","&amp;SUBSTITUTE(F179," ","")&amp;",")))*Справочник_ОКВЭД_НР!$L$11 +
  SUMPRODUCT(ISNUMBER(SEARCH(","&amp;Справочник_ОКВЭД_НР!$G$3:$G$62&amp;".",","&amp;SUBSTITUTE(F179," ","")&amp;",")))*Справочник_ОКВЭД_НР!$L$12) /
 (SUMPRODUCT(ISNUMBER(SEARCH(","&amp;Справочник_ОКВЭД_НР!$A$3:$A$62&amp;".",","&amp;SUBSTITUTE(F179," ","")&amp;","))) +
  SUMPRODUCT(ISNUMBER(SEARCH(","&amp;Справочник_ОКВЭД_НР!$C$3:$C$62&amp;".",","&amp;SUBSTITUTE(F179," ","")&amp;","))) +
  SUMPRODUCT(ISNUMBER(SEARCH(","&amp;Справочник_ОКВЭД_НР!$E$3:$E$62&amp;".",","&amp;SUBSTITUTE(F179," ","")&amp;","))) +
  SUMPRODUCT(ISNUMBER(SEARCH(","&amp;Справочник_ОКВЭД_НР!$G$3:$G$62&amp;".",","&amp;SUBSTITUTE(F179," ","")&amp;",")))),
50)</f>
        <v>50</v>
      </c>
      <c r="K179" s="30">
        <f>IFERROR(VLOOKUP(G179,Справочник_ОКВЭД_НР!$O:$P,2,FALSE()),50)</f>
        <v>100</v>
      </c>
      <c r="L179" s="45">
        <f>(I179*Справочник_ОКВЭД_НР!$L$2+J179*Справочник_ОКВЭД_НР!$L$3+K179*Справочник_ОКВЭД_НР!$L$4)*M179</f>
        <v>63.5</v>
      </c>
      <c r="M179" s="47">
        <f>IF(COUNTIF(Справочник_ОКВЭД_НР!$G$3:$G$62,H179)&gt;0,0,1)</f>
        <v>1</v>
      </c>
    </row>
    <row r="180" spans="1:13" x14ac:dyDescent="0.25">
      <c r="A180" s="4">
        <f>ЛИК_дляСкорингаДП!A180</f>
        <v>1037739918039</v>
      </c>
      <c r="B180" s="4">
        <f>ЛИК_дляСкорингаДП!B180</f>
        <v>7709510808</v>
      </c>
      <c r="C180" s="4" t="str">
        <f>ЛИК_дляСкорингаДП!C180</f>
        <v>ООО "ДАНСТРОЙ"</v>
      </c>
      <c r="D180" s="5" t="str">
        <f>ЛИК_дляСкорингаДП!M180</f>
        <v>Аренда и управление собственным или арендованным нежилым недвижимым имуществом</v>
      </c>
      <c r="E180" s="4" t="str">
        <f>ЛИК_дляСкорингаДП!L180</f>
        <v>68.20.2</v>
      </c>
      <c r="F180" t="str">
        <f>ЛИК_дляСкорингаДП!N180</f>
        <v>68.31.1,68.31.2,68.31.3,68.31.4,68.32.2</v>
      </c>
      <c r="G180" s="25" t="str">
        <f>ЛИК_дляСкорингаДП!AG180</f>
        <v>УСН</v>
      </c>
      <c r="H180" s="55" t="str">
        <f>IF(ISNUMBER(E180),E180,
IFERROR(LEFT(E180,FIND(".",E180)-1),E180))</f>
        <v>68</v>
      </c>
      <c r="I180" s="30">
        <f>IF(COUNTIF(Справочник_ОКВЭД_НР!$A$3:$A$62,H180)&gt;0,Справочник_ОКВЭД_НР!$L$8,
 IF(COUNTIF(Справочник_ОКВЭД_НР!$C$3:$C$62,H180)&gt;0,Справочник_ОКВЭД_НР!$L$9,
  IF(COUNTIF(Справочник_ОКВЭД_НР!$E$3:$E$62,H180)&gt;0,Справочник_ОКВЭД_НР!$L$10,
   IF(COUNTIF(Справочник_ОКВЭД_НР!$G$3:$G$62,H180)&gt;0,Справочник_ОКВЭД_НР!$L$11,50))))</f>
        <v>100</v>
      </c>
      <c r="J180" s="30" cm="1">
        <f t="array" ref="J180">IFERROR(
 (SUMPRODUCT(ISNUMBER(SEARCH(","&amp;Справочник_ОКВЭД_НР!$A$3:$A$62&amp;".",","&amp;SUBSTITUTE(F180," ","")&amp;",")))*Справочник_ОКВЭД_НР!$L$9 +
  SUMPRODUCT(ISNUMBER(SEARCH(","&amp;Справочник_ОКВЭД_НР!$C$3:$C$62&amp;".",","&amp;SUBSTITUTE(F180," ","")&amp;",")))*Справочник_ОКВЭД_НР!$L$10 +
  SUMPRODUCT(ISNUMBER(SEARCH(","&amp;Справочник_ОКВЭД_НР!$E$3:$E$62&amp;".",","&amp;SUBSTITUTE(F180," ","")&amp;",")))*Справочник_ОКВЭД_НР!$L$11 +
  SUMPRODUCT(ISNUMBER(SEARCH(","&amp;Справочник_ОКВЭД_НР!$G$3:$G$62&amp;".",","&amp;SUBSTITUTE(F180," ","")&amp;",")))*Справочник_ОКВЭД_НР!$L$12) /
 (SUMPRODUCT(ISNUMBER(SEARCH(","&amp;Справочник_ОКВЭД_НР!$A$3:$A$62&amp;".",","&amp;SUBSTITUTE(F180," ","")&amp;","))) +
  SUMPRODUCT(ISNUMBER(SEARCH(","&amp;Справочник_ОКВЭД_НР!$C$3:$C$62&amp;".",","&amp;SUBSTITUTE(F180," ","")&amp;","))) +
  SUMPRODUCT(ISNUMBER(SEARCH(","&amp;Справочник_ОКВЭД_НР!$E$3:$E$62&amp;".",","&amp;SUBSTITUTE(F180," ","")&amp;","))) +
  SUMPRODUCT(ISNUMBER(SEARCH(","&amp;Справочник_ОКВЭД_НР!$G$3:$G$62&amp;".",","&amp;SUBSTITUTE(F180," ","")&amp;",")))),
50)</f>
        <v>50</v>
      </c>
      <c r="K180" s="30">
        <f>IFERROR(VLOOKUP(G180,Справочник_ОКВЭД_НР!$O:$P,2,FALSE()),50)</f>
        <v>50</v>
      </c>
      <c r="L180" s="45">
        <f>(I180*Справочник_ОКВЭД_НР!$L$2+J180*Справочник_ОКВЭД_НР!$L$3+K180*Справочник_ОКВЭД_НР!$L$4)*M180</f>
        <v>80</v>
      </c>
      <c r="M180" s="47">
        <f>IF(COUNTIF(Справочник_ОКВЭД_НР!$G$3:$G$62,H180)&gt;0,0,1)</f>
        <v>1</v>
      </c>
    </row>
    <row r="181" spans="1:13" x14ac:dyDescent="0.25">
      <c r="A181" s="4">
        <f>ЛИК_дляСкорингаДП!A181</f>
        <v>1105263009422</v>
      </c>
      <c r="B181" s="4">
        <f>ЛИК_дляСкорингаДП!B181</f>
        <v>5263083180</v>
      </c>
      <c r="C181" s="4" t="str">
        <f>ЛИК_дляСкорингаДП!C181</f>
        <v>ООО "АРКТУР"</v>
      </c>
      <c r="D181" s="5" t="str">
        <f>ЛИК_дляСкорингаДП!M181</f>
        <v>Разработка компьютерного программного обеспечения</v>
      </c>
      <c r="E181" s="4" t="str">
        <f>ЛИК_дляСкорингаДП!L181</f>
        <v>62.01</v>
      </c>
      <c r="F181" t="str">
        <f>ЛИК_дляСкорингаДП!N181</f>
        <v>46.1,46.4,46.6,46.9,47.1,47.9,52.10,52.2,52.24,52.29,56.1,56.3,62.02,62.03,62.09,63.11,63.12,63.99,64.9,68.2,68.3,69,73.1,73.11,73.12,73.20,74.20,74.30,77.39,82.92,85.41.9,85.42,93.1,93.2</v>
      </c>
      <c r="G181" s="25" t="str">
        <f>ЛИК_дляСкорингаДП!AG181</f>
        <v>УСН</v>
      </c>
      <c r="H181" s="55" t="str">
        <f>IF(ISNUMBER(E181),E181,
IFERROR(LEFT(E181,FIND(".",E181)-1),E181))</f>
        <v>62</v>
      </c>
      <c r="I181" s="30">
        <f>IF(COUNTIF(Справочник_ОКВЭД_НР!$A$3:$A$62,H181)&gt;0,Справочник_ОКВЭД_НР!$L$8,
 IF(COUNTIF(Справочник_ОКВЭД_НР!$C$3:$C$62,H181)&gt;0,Справочник_ОКВЭД_НР!$L$9,
  IF(COUNTIF(Справочник_ОКВЭД_НР!$E$3:$E$62,H181)&gt;0,Справочник_ОКВЭД_НР!$L$10,
   IF(COUNTIF(Справочник_ОКВЭД_НР!$G$3:$G$62,H181)&gt;0,Справочник_ОКВЭД_НР!$L$11,50))))</f>
        <v>100</v>
      </c>
      <c r="J181" s="30" cm="1">
        <f t="array" ref="J181">IFERROR(
 (SUMPRODUCT(ISNUMBER(SEARCH(","&amp;Справочник_ОКВЭД_НР!$A$3:$A$62&amp;".",","&amp;SUBSTITUTE(F181," ","")&amp;",")))*Справочник_ОКВЭД_НР!$L$9 +
  SUMPRODUCT(ISNUMBER(SEARCH(","&amp;Справочник_ОКВЭД_НР!$C$3:$C$62&amp;".",","&amp;SUBSTITUTE(F181," ","")&amp;",")))*Справочник_ОКВЭД_НР!$L$10 +
  SUMPRODUCT(ISNUMBER(SEARCH(","&amp;Справочник_ОКВЭД_НР!$E$3:$E$62&amp;".",","&amp;SUBSTITUTE(F181," ","")&amp;",")))*Справочник_ОКВЭД_НР!$L$11 +
  SUMPRODUCT(ISNUMBER(SEARCH(","&amp;Справочник_ОКВЭД_НР!$G$3:$G$62&amp;".",","&amp;SUBSTITUTE(F181," ","")&amp;",")))*Справочник_ОКВЭД_НР!$L$12) /
 (SUMPRODUCT(ISNUMBER(SEARCH(","&amp;Справочник_ОКВЭД_НР!$A$3:$A$62&amp;".",","&amp;SUBSTITUTE(F181," ","")&amp;","))) +
  SUMPRODUCT(ISNUMBER(SEARCH(","&amp;Справочник_ОКВЭД_НР!$C$3:$C$62&amp;".",","&amp;SUBSTITUTE(F181," ","")&amp;","))) +
  SUMPRODUCT(ISNUMBER(SEARCH(","&amp;Справочник_ОКВЭД_НР!$E$3:$E$62&amp;".",","&amp;SUBSTITUTE(F181," ","")&amp;","))) +
  SUMPRODUCT(ISNUMBER(SEARCH(","&amp;Справочник_ОКВЭД_НР!$G$3:$G$62&amp;".",","&amp;SUBSTITUTE(F181," ","")&amp;",")))),
50)</f>
        <v>50</v>
      </c>
      <c r="K181" s="30">
        <f>IFERROR(VLOOKUP(G181,Справочник_ОКВЭД_НР!$O:$P,2,FALSE()),50)</f>
        <v>50</v>
      </c>
      <c r="L181" s="45">
        <f>(I181*Справочник_ОКВЭД_НР!$L$2+J181*Справочник_ОКВЭД_НР!$L$3+K181*Справочник_ОКВЭД_НР!$L$4)*M181</f>
        <v>80</v>
      </c>
      <c r="M181" s="47">
        <f>IF(COUNTIF(Справочник_ОКВЭД_НР!$G$3:$G$62,H181)&gt;0,0,1)</f>
        <v>1</v>
      </c>
    </row>
    <row r="182" spans="1:13" x14ac:dyDescent="0.25">
      <c r="A182" s="4">
        <f>ЛИК_дляСкорингаДП!A182</f>
        <v>1067746362397</v>
      </c>
      <c r="B182" s="4">
        <f>ЛИК_дляСкорингаДП!B182</f>
        <v>7730537866</v>
      </c>
      <c r="C182" s="4" t="str">
        <f>ЛИК_дляСкорингаДП!C182</f>
        <v>ООО "ОПТТОРГ"</v>
      </c>
      <c r="D182" s="5" t="str">
        <f>ЛИК_дляСкорингаДП!M182</f>
        <v>Производство мясных (мясосодержащих) полуфабрикатов</v>
      </c>
      <c r="E182" s="4" t="str">
        <f>ЛИК_дляСкорингаДП!L182</f>
        <v>10.13.4</v>
      </c>
      <c r="F182" t="str">
        <f>ЛИК_дляСкорингаДП!N182</f>
        <v>01.41,01.46,01.62,10.11,10.12,10.13,10.13.1,10.13.2,10.13.3,10.13.5,10.13.6,10.13.7,10.13.9,10.20,10.86,10.89,46.11.1,46.23,46.24,46.32.1,46.32.2,46.32.3,46.34.1,46.38.1,46.41.2,46.44.2,46.62,46.64,46.66,46.69,46.75,46.76,47.11.1,47.11.2,47.22.1,47.22.2,47.25.12,47.26</v>
      </c>
      <c r="G182" s="25" t="str">
        <f>ЛИК_дляСкорингаДП!AG182</f>
        <v>ОСН</v>
      </c>
      <c r="H182" s="55" t="str">
        <f>IF(ISNUMBER(E182),E182,
IFERROR(LEFT(E182,FIND(".",E182)-1),E182))</f>
        <v>10</v>
      </c>
      <c r="I182" s="30">
        <f>IF(COUNTIF(Справочник_ОКВЭД_НР!$A$3:$A$62,H182)&gt;0,Справочник_ОКВЭД_НР!$L$8,
 IF(COUNTIF(Справочник_ОКВЭД_НР!$C$3:$C$62,H182)&gt;0,Справочник_ОКВЭД_НР!$L$9,
  IF(COUNTIF(Справочник_ОКВЭД_НР!$E$3:$E$62,H182)&gt;0,Справочник_ОКВЭД_НР!$L$10,
   IF(COUNTIF(Справочник_ОКВЭД_НР!$G$3:$G$62,H182)&gt;0,Справочник_ОКВЭД_НР!$L$11,50))))</f>
        <v>100</v>
      </c>
      <c r="J182" s="30" cm="1">
        <f t="array" ref="J182">IFERROR(
 (SUMPRODUCT(ISNUMBER(SEARCH(","&amp;Справочник_ОКВЭД_НР!$A$3:$A$62&amp;".",","&amp;SUBSTITUTE(F182," ","")&amp;",")))*Справочник_ОКВЭД_НР!$L$9 +
  SUMPRODUCT(ISNUMBER(SEARCH(","&amp;Справочник_ОКВЭД_НР!$C$3:$C$62&amp;".",","&amp;SUBSTITUTE(F182," ","")&amp;",")))*Справочник_ОКВЭД_НР!$L$10 +
  SUMPRODUCT(ISNUMBER(SEARCH(","&amp;Справочник_ОКВЭД_НР!$E$3:$E$62&amp;".",","&amp;SUBSTITUTE(F182," ","")&amp;",")))*Справочник_ОКВЭД_НР!$L$11 +
  SUMPRODUCT(ISNUMBER(SEARCH(","&amp;Справочник_ОКВЭД_НР!$G$3:$G$62&amp;".",","&amp;SUBSTITUTE(F182," ","")&amp;",")))*Справочник_ОКВЭД_НР!$L$12) /
 (SUMPRODUCT(ISNUMBER(SEARCH(","&amp;Справочник_ОКВЭД_НР!$A$3:$A$62&amp;".",","&amp;SUBSTITUTE(F182," ","")&amp;","))) +
  SUMPRODUCT(ISNUMBER(SEARCH(","&amp;Справочник_ОКВЭД_НР!$C$3:$C$62&amp;".",","&amp;SUBSTITUTE(F182," ","")&amp;","))) +
  SUMPRODUCT(ISNUMBER(SEARCH(","&amp;Справочник_ОКВЭД_НР!$E$3:$E$62&amp;".",","&amp;SUBSTITUTE(F182," ","")&amp;","))) +
  SUMPRODUCT(ISNUMBER(SEARCH(","&amp;Справочник_ОКВЭД_НР!$G$3:$G$62&amp;".",","&amp;SUBSTITUTE(F182," ","")&amp;",")))),
50)</f>
        <v>50</v>
      </c>
      <c r="K182" s="30">
        <f>IFERROR(VLOOKUP(G182,Справочник_ОКВЭД_НР!$O:$P,2,FALSE()),50)</f>
        <v>100</v>
      </c>
      <c r="L182" s="45">
        <f>(I182*Справочник_ОКВЭД_НР!$L$2+J182*Справочник_ОКВЭД_НР!$L$3+K182*Справочник_ОКВЭД_НР!$L$4)*M182</f>
        <v>87.5</v>
      </c>
      <c r="M182" s="47">
        <f>IF(COUNTIF(Справочник_ОКВЭД_НР!$G$3:$G$62,H182)&gt;0,0,1)</f>
        <v>1</v>
      </c>
    </row>
    <row r="183" spans="1:13" x14ac:dyDescent="0.25">
      <c r="A183" s="4">
        <f>ЛИК_дляСкорингаДП!A183</f>
        <v>1035003052424</v>
      </c>
      <c r="B183" s="4">
        <f>ЛИК_дляСкорингаДП!B183</f>
        <v>5017041886</v>
      </c>
      <c r="C183" s="4" t="str">
        <f>ЛИК_дляСкорингаДП!C183</f>
        <v>ООО "ДАО-ФАРМ ИСТРА"</v>
      </c>
      <c r="D183" s="5" t="str">
        <f>ЛИК_дляСкорингаДП!M183</f>
        <v>Производство прочей мебели</v>
      </c>
      <c r="E183" s="4" t="str">
        <f>ЛИК_дляСкорингаДП!L183</f>
        <v>31.09</v>
      </c>
      <c r="F183" t="str">
        <f>ЛИК_дляСкорингаДП!N183</f>
        <v>16.21,16.29.1,21.20,22.29,31.0,31.01,46.15,46.18,46.49,62.02,68.20,77.3</v>
      </c>
      <c r="G183" s="25" t="str">
        <f>ЛИК_дляСкорингаДП!AG183</f>
        <v>ОСН</v>
      </c>
      <c r="H183" s="55" t="str">
        <f>IF(ISNUMBER(E183),E183,
IFERROR(LEFT(E183,FIND(".",E183)-1),E183))</f>
        <v>31</v>
      </c>
      <c r="I183" s="30">
        <f>IF(COUNTIF(Справочник_ОКВЭД_НР!$A$3:$A$62,H183)&gt;0,Справочник_ОКВЭД_НР!$L$8,
 IF(COUNTIF(Справочник_ОКВЭД_НР!$C$3:$C$62,H183)&gt;0,Справочник_ОКВЭД_НР!$L$9,
  IF(COUNTIF(Справочник_ОКВЭД_НР!$E$3:$E$62,H183)&gt;0,Справочник_ОКВЭД_НР!$L$10,
   IF(COUNTIF(Справочник_ОКВЭД_НР!$G$3:$G$62,H183)&gt;0,Справочник_ОКВЭД_НР!$L$11,50))))</f>
        <v>30</v>
      </c>
      <c r="J183" s="30" cm="1">
        <f t="array" ref="J183">IFERROR(
 (SUMPRODUCT(ISNUMBER(SEARCH(","&amp;Справочник_ОКВЭД_НР!$A$3:$A$62&amp;".",","&amp;SUBSTITUTE(F183," ","")&amp;",")))*Справочник_ОКВЭД_НР!$L$9 +
  SUMPRODUCT(ISNUMBER(SEARCH(","&amp;Справочник_ОКВЭД_НР!$C$3:$C$62&amp;".",","&amp;SUBSTITUTE(F183," ","")&amp;",")))*Справочник_ОКВЭД_НР!$L$10 +
  SUMPRODUCT(ISNUMBER(SEARCH(","&amp;Справочник_ОКВЭД_НР!$E$3:$E$62&amp;".",","&amp;SUBSTITUTE(F183," ","")&amp;",")))*Справочник_ОКВЭД_НР!$L$11 +
  SUMPRODUCT(ISNUMBER(SEARCH(","&amp;Справочник_ОКВЭД_НР!$G$3:$G$62&amp;".",","&amp;SUBSTITUTE(F183," ","")&amp;",")))*Справочник_ОКВЭД_НР!$L$12) /
 (SUMPRODUCT(ISNUMBER(SEARCH(","&amp;Справочник_ОКВЭД_НР!$A$3:$A$62&amp;".",","&amp;SUBSTITUTE(F183," ","")&amp;","))) +
  SUMPRODUCT(ISNUMBER(SEARCH(","&amp;Справочник_ОКВЭД_НР!$C$3:$C$62&amp;".",","&amp;SUBSTITUTE(F183," ","")&amp;","))) +
  SUMPRODUCT(ISNUMBER(SEARCH(","&amp;Справочник_ОКВЭД_НР!$E$3:$E$62&amp;".",","&amp;SUBSTITUTE(F183," ","")&amp;","))) +
  SUMPRODUCT(ISNUMBER(SEARCH(","&amp;Справочник_ОКВЭД_НР!$G$3:$G$62&amp;".",","&amp;SUBSTITUTE(F183," ","")&amp;",")))),
50)</f>
        <v>50</v>
      </c>
      <c r="K183" s="30">
        <f>IFERROR(VLOOKUP(G183,Справочник_ОКВЭД_НР!$O:$P,2,FALSE()),50)</f>
        <v>100</v>
      </c>
      <c r="L183" s="45">
        <f>(I183*Справочник_ОКВЭД_НР!$L$2+J183*Справочник_ОКВЭД_НР!$L$3+K183*Справочник_ОКВЭД_НР!$L$4)*M183</f>
        <v>45.5</v>
      </c>
      <c r="M183" s="47">
        <f>IF(COUNTIF(Справочник_ОКВЭД_НР!$G$3:$G$62,H183)&gt;0,0,1)</f>
        <v>1</v>
      </c>
    </row>
    <row r="184" spans="1:13" x14ac:dyDescent="0.25">
      <c r="A184" s="4">
        <f>ЛИК_дляСкорингаДП!A184</f>
        <v>1035002455388</v>
      </c>
      <c r="B184" s="4">
        <f>ЛИК_дляСкорингаДП!B184</f>
        <v>5012021741</v>
      </c>
      <c r="C184" s="4" t="str">
        <f>ЛИК_дляСкорингаДП!C184</f>
        <v>ООО "СПЕЦИАЛИЗИРОВАННЫЙ ЗАСТРОЙЩИК "ЯМАЛ-Ф"</v>
      </c>
      <c r="D184" s="5" t="str">
        <f>ЛИК_дляСкорингаДП!M184</f>
        <v>Строительство жилых и нежилых зданий</v>
      </c>
      <c r="E184" s="4" t="str">
        <f>ЛИК_дляСкорингаДП!L184</f>
        <v>41.20</v>
      </c>
      <c r="F184" t="str">
        <f>ЛИК_дляСкорингаДП!N184</f>
        <v>33.12,35.11,35.13,35.3,36.00,42.11,42.12,42.13,42.21,42.22.2,43.22,43.31,43.32,43.33,43.34,43.39,43.99.7,43.99.9,52.21.2,62.09,68.31.1,68.31.2,68.31.3,68.31.4,73.20</v>
      </c>
      <c r="G184" s="25" t="str">
        <f>ЛИК_дляСкорингаДП!AG184</f>
        <v>ОСН</v>
      </c>
      <c r="H184" s="55" t="str">
        <f>IF(ISNUMBER(E184),E184,
IFERROR(LEFT(E184,FIND(".",E184)-1),E184))</f>
        <v>41</v>
      </c>
      <c r="I184" s="30">
        <f>IF(COUNTIF(Справочник_ОКВЭД_НР!$A$3:$A$62,H184)&gt;0,Справочник_ОКВЭД_НР!$L$8,
 IF(COUNTIF(Справочник_ОКВЭД_НР!$C$3:$C$62,H184)&gt;0,Справочник_ОКВЭД_НР!$L$9,
  IF(COUNTIF(Справочник_ОКВЭД_НР!$E$3:$E$62,H184)&gt;0,Справочник_ОКВЭД_НР!$L$10,
   IF(COUNTIF(Справочник_ОКВЭД_НР!$G$3:$G$62,H184)&gt;0,Справочник_ОКВЭД_НР!$L$11,50))))</f>
        <v>100</v>
      </c>
      <c r="J184" s="30" cm="1">
        <f t="array" ref="J184">IFERROR(
 (SUMPRODUCT(ISNUMBER(SEARCH(","&amp;Справочник_ОКВЭД_НР!$A$3:$A$62&amp;".",","&amp;SUBSTITUTE(F184," ","")&amp;",")))*Справочник_ОКВЭД_НР!$L$9 +
  SUMPRODUCT(ISNUMBER(SEARCH(","&amp;Справочник_ОКВЭД_НР!$C$3:$C$62&amp;".",","&amp;SUBSTITUTE(F184," ","")&amp;",")))*Справочник_ОКВЭД_НР!$L$10 +
  SUMPRODUCT(ISNUMBER(SEARCH(","&amp;Справочник_ОКВЭД_НР!$E$3:$E$62&amp;".",","&amp;SUBSTITUTE(F184," ","")&amp;",")))*Справочник_ОКВЭД_НР!$L$11 +
  SUMPRODUCT(ISNUMBER(SEARCH(","&amp;Справочник_ОКВЭД_НР!$G$3:$G$62&amp;".",","&amp;SUBSTITUTE(F184," ","")&amp;",")))*Справочник_ОКВЭД_НР!$L$12) /
 (SUMPRODUCT(ISNUMBER(SEARCH(","&amp;Справочник_ОКВЭД_НР!$A$3:$A$62&amp;".",","&amp;SUBSTITUTE(F184," ","")&amp;","))) +
  SUMPRODUCT(ISNUMBER(SEARCH(","&amp;Справочник_ОКВЭД_НР!$C$3:$C$62&amp;".",","&amp;SUBSTITUTE(F184," ","")&amp;","))) +
  SUMPRODUCT(ISNUMBER(SEARCH(","&amp;Справочник_ОКВЭД_НР!$E$3:$E$62&amp;".",","&amp;SUBSTITUTE(F184," ","")&amp;","))) +
  SUMPRODUCT(ISNUMBER(SEARCH(","&amp;Справочник_ОКВЭД_НР!$G$3:$G$62&amp;".",","&amp;SUBSTITUTE(F184," ","")&amp;",")))),
50)</f>
        <v>50</v>
      </c>
      <c r="K184" s="30">
        <f>IFERROR(VLOOKUP(G184,Справочник_ОКВЭД_НР!$O:$P,2,FALSE()),50)</f>
        <v>100</v>
      </c>
      <c r="L184" s="45">
        <f>(I184*Справочник_ОКВЭД_НР!$L$2+J184*Справочник_ОКВЭД_НР!$L$3+K184*Справочник_ОКВЭД_НР!$L$4)*M184</f>
        <v>87.5</v>
      </c>
      <c r="M184" s="47">
        <f>IF(COUNTIF(Справочник_ОКВЭД_НР!$G$3:$G$62,H184)&gt;0,0,1)</f>
        <v>1</v>
      </c>
    </row>
    <row r="185" spans="1:13" x14ac:dyDescent="0.25">
      <c r="A185" s="4">
        <f>ЛИК_дляСкорингаДП!A185</f>
        <v>1067746399929</v>
      </c>
      <c r="B185" s="4">
        <f>ЛИК_дляСкорингаДП!B185</f>
        <v>7709666234</v>
      </c>
      <c r="C185" s="4" t="str">
        <f>ЛИК_дляСкорингаДП!C185</f>
        <v>АО "НТЦ "ПРОМЫШЛЕННАЯ БЕЗОПАСНОСТЬ"</v>
      </c>
      <c r="D185" s="5" t="str">
        <f>ЛИК_дляСкорингаДП!M185</f>
        <v>Деятельность в области аккредитации</v>
      </c>
      <c r="E185" s="4" t="str">
        <f>ЛИК_дляСкорингаДП!L185</f>
        <v>71.12.63</v>
      </c>
      <c r="F185" t="str">
        <f>ЛИК_дляСкорингаДП!N185</f>
        <v>58.14,58.19,62.01,62.02,63.11.1,69.20.1,70.22,71.11.1,71.12,71.12.1,71.12.13,71.12.61,72.19,73.20.1,74.90.31</v>
      </c>
      <c r="G185" s="25" t="str">
        <f>ЛИК_дляСкорингаДП!AG185</f>
        <v>ОСН</v>
      </c>
      <c r="H185" s="55" t="str">
        <f>IF(ISNUMBER(E185),E185,
IFERROR(LEFT(E185,FIND(".",E185)-1),E185))</f>
        <v>71</v>
      </c>
      <c r="I185" s="30">
        <f>IF(COUNTIF(Справочник_ОКВЭД_НР!$A$3:$A$62,H185)&gt;0,Справочник_ОКВЭД_НР!$L$8,
 IF(COUNTIF(Справочник_ОКВЭД_НР!$C$3:$C$62,H185)&gt;0,Справочник_ОКВЭД_НР!$L$9,
  IF(COUNTIF(Справочник_ОКВЭД_НР!$E$3:$E$62,H185)&gt;0,Справочник_ОКВЭД_НР!$L$10,
   IF(COUNTIF(Справочник_ОКВЭД_НР!$G$3:$G$62,H185)&gt;0,Справочник_ОКВЭД_НР!$L$11,50))))</f>
        <v>100</v>
      </c>
      <c r="J185" s="30" cm="1">
        <f t="array" ref="J185">IFERROR(
 (SUMPRODUCT(ISNUMBER(SEARCH(","&amp;Справочник_ОКВЭД_НР!$A$3:$A$62&amp;".",","&amp;SUBSTITUTE(F185," ","")&amp;",")))*Справочник_ОКВЭД_НР!$L$9 +
  SUMPRODUCT(ISNUMBER(SEARCH(","&amp;Справочник_ОКВЭД_НР!$C$3:$C$62&amp;".",","&amp;SUBSTITUTE(F185," ","")&amp;",")))*Справочник_ОКВЭД_НР!$L$10 +
  SUMPRODUCT(ISNUMBER(SEARCH(","&amp;Справочник_ОКВЭД_НР!$E$3:$E$62&amp;".",","&amp;SUBSTITUTE(F185," ","")&amp;",")))*Справочник_ОКВЭД_НР!$L$11 +
  SUMPRODUCT(ISNUMBER(SEARCH(","&amp;Справочник_ОКВЭД_НР!$G$3:$G$62&amp;".",","&amp;SUBSTITUTE(F185," ","")&amp;",")))*Справочник_ОКВЭД_НР!$L$12) /
 (SUMPRODUCT(ISNUMBER(SEARCH(","&amp;Справочник_ОКВЭД_НР!$A$3:$A$62&amp;".",","&amp;SUBSTITUTE(F185," ","")&amp;","))) +
  SUMPRODUCT(ISNUMBER(SEARCH(","&amp;Справочник_ОКВЭД_НР!$C$3:$C$62&amp;".",","&amp;SUBSTITUTE(F185," ","")&amp;","))) +
  SUMPRODUCT(ISNUMBER(SEARCH(","&amp;Справочник_ОКВЭД_НР!$E$3:$E$62&amp;".",","&amp;SUBSTITUTE(F185," ","")&amp;","))) +
  SUMPRODUCT(ISNUMBER(SEARCH(","&amp;Справочник_ОКВЭД_НР!$G$3:$G$62&amp;".",","&amp;SUBSTITUTE(F185," ","")&amp;",")))),
50)</f>
        <v>50</v>
      </c>
      <c r="K185" s="30">
        <f>IFERROR(VLOOKUP(G185,Справочник_ОКВЭД_НР!$O:$P,2,FALSE()),50)</f>
        <v>100</v>
      </c>
      <c r="L185" s="45">
        <f>(I185*Справочник_ОКВЭД_НР!$L$2+J185*Справочник_ОКВЭД_НР!$L$3+K185*Справочник_ОКВЭД_НР!$L$4)*M185</f>
        <v>87.5</v>
      </c>
      <c r="M185" s="47">
        <f>IF(COUNTIF(Справочник_ОКВЭД_НР!$G$3:$G$62,H185)&gt;0,0,1)</f>
        <v>1</v>
      </c>
    </row>
    <row r="186" spans="1:13" x14ac:dyDescent="0.25">
      <c r="A186" s="4">
        <f>ЛИК_дляСкорингаДП!A186</f>
        <v>1037739703110</v>
      </c>
      <c r="B186" s="4">
        <f>ЛИК_дляСкорингаДП!B186</f>
        <v>7721112120</v>
      </c>
      <c r="C186" s="4" t="str">
        <f>ЛИК_дляСкорингаДП!C186</f>
        <v>ООО "РДС"</v>
      </c>
      <c r="D186" s="5" t="str">
        <f>ЛИК_дляСкорингаДП!M186</f>
        <v>Деятельность вспомогательная прочая, связанная с перевозками</v>
      </c>
      <c r="E186" s="4" t="str">
        <f>ЛИК_дляСкорингаДП!L186</f>
        <v>52.29</v>
      </c>
      <c r="F186" t="str">
        <f>ЛИК_дляСкорингаДП!N186</f>
        <v>41.20,42.11,46.19,46.47.2,46.52,46.63,46.69,46.71,46.72,46.73.6,46.75,46.90,49.20,49.41,52.10,52.24,77.11,77.12,77.39</v>
      </c>
      <c r="G186" s="25" t="str">
        <f>ЛИК_дляСкорингаДП!AG186</f>
        <v>ОСН</v>
      </c>
      <c r="H186" s="55" t="str">
        <f>IF(ISNUMBER(E186),E186,
IFERROR(LEFT(E186,FIND(".",E186)-1),E186))</f>
        <v>52</v>
      </c>
      <c r="I186" s="30">
        <f>IF(COUNTIF(Справочник_ОКВЭД_НР!$A$3:$A$62,H186)&gt;0,Справочник_ОКВЭД_НР!$L$8,
 IF(COUNTIF(Справочник_ОКВЭД_НР!$C$3:$C$62,H186)&gt;0,Справочник_ОКВЭД_НР!$L$9,
  IF(COUNTIF(Справочник_ОКВЭД_НР!$E$3:$E$62,H186)&gt;0,Справочник_ОКВЭД_НР!$L$10,
   IF(COUNTIF(Справочник_ОКВЭД_НР!$G$3:$G$62,H186)&gt;0,Справочник_ОКВЭД_НР!$L$11,50))))</f>
        <v>60</v>
      </c>
      <c r="J186" s="30" cm="1">
        <f t="array" ref="J186">IFERROR(
 (SUMPRODUCT(ISNUMBER(SEARCH(","&amp;Справочник_ОКВЭД_НР!$A$3:$A$62&amp;".",","&amp;SUBSTITUTE(F186," ","")&amp;",")))*Справочник_ОКВЭД_НР!$L$9 +
  SUMPRODUCT(ISNUMBER(SEARCH(","&amp;Справочник_ОКВЭД_НР!$C$3:$C$62&amp;".",","&amp;SUBSTITUTE(F186," ","")&amp;",")))*Справочник_ОКВЭД_НР!$L$10 +
  SUMPRODUCT(ISNUMBER(SEARCH(","&amp;Справочник_ОКВЭД_НР!$E$3:$E$62&amp;".",","&amp;SUBSTITUTE(F186," ","")&amp;",")))*Справочник_ОКВЭД_НР!$L$11 +
  SUMPRODUCT(ISNUMBER(SEARCH(","&amp;Справочник_ОКВЭД_НР!$G$3:$G$62&amp;".",","&amp;SUBSTITUTE(F186," ","")&amp;",")))*Справочник_ОКВЭД_НР!$L$12) /
 (SUMPRODUCT(ISNUMBER(SEARCH(","&amp;Справочник_ОКВЭД_НР!$A$3:$A$62&amp;".",","&amp;SUBSTITUTE(F186," ","")&amp;","))) +
  SUMPRODUCT(ISNUMBER(SEARCH(","&amp;Справочник_ОКВЭД_НР!$C$3:$C$62&amp;".",","&amp;SUBSTITUTE(F186," ","")&amp;","))) +
  SUMPRODUCT(ISNUMBER(SEARCH(","&amp;Справочник_ОКВЭД_НР!$E$3:$E$62&amp;".",","&amp;SUBSTITUTE(F186," ","")&amp;","))) +
  SUMPRODUCT(ISNUMBER(SEARCH(","&amp;Справочник_ОКВЭД_НР!$G$3:$G$62&amp;".",","&amp;SUBSTITUTE(F186," ","")&amp;",")))),
50)</f>
        <v>50</v>
      </c>
      <c r="K186" s="30">
        <f>IFERROR(VLOOKUP(G186,Справочник_ОКВЭД_НР!$O:$P,2,FALSE()),50)</f>
        <v>100</v>
      </c>
      <c r="L186" s="45">
        <f>(I186*Справочник_ОКВЭД_НР!$L$2+J186*Справочник_ОКВЭД_НР!$L$3+K186*Справочник_ОКВЭД_НР!$L$4)*M186</f>
        <v>63.5</v>
      </c>
      <c r="M186" s="47">
        <f>IF(COUNTIF(Справочник_ОКВЭД_НР!$G$3:$G$62,H186)&gt;0,0,1)</f>
        <v>1</v>
      </c>
    </row>
    <row r="187" spans="1:13" x14ac:dyDescent="0.25">
      <c r="A187" s="4">
        <f>ЛИК_дляСкорингаДП!A187</f>
        <v>1037789050166</v>
      </c>
      <c r="B187" s="4">
        <f>ЛИК_дляСкорингаДП!B187</f>
        <v>7730501436</v>
      </c>
      <c r="C187" s="4" t="str">
        <f>ЛИК_дляСкорингаДП!C187</f>
        <v>ООО  "ДА ВИНЧИ-АКРОПОЛЬ"</v>
      </c>
      <c r="D187" s="5" t="str">
        <f>ЛИК_дляСкорингаДП!M187</f>
        <v>Торговля розничная часами и ювелирными изделиями в специализированных магазинах</v>
      </c>
      <c r="E187" s="4" t="str">
        <f>ЛИК_дляСкорингаДП!L187</f>
        <v>47.77</v>
      </c>
      <c r="F187" t="str">
        <f>ЛИК_дляСкорингаДП!N187</f>
        <v>46.18.2,46.48,47.77.2,47.79,47.79.3,47.91,47.91.2,74.90,95.25</v>
      </c>
      <c r="G187" s="25" t="str">
        <f>ЛИК_дляСкорингаДП!AG187</f>
        <v>ОСН</v>
      </c>
      <c r="H187" s="55" t="str">
        <f>IF(ISNUMBER(E187),E187,
IFERROR(LEFT(E187,FIND(".",E187)-1),E187))</f>
        <v>47</v>
      </c>
      <c r="I187" s="30">
        <f>IF(COUNTIF(Справочник_ОКВЭД_НР!$A$3:$A$62,H187)&gt;0,Справочник_ОКВЭД_НР!$L$8,
 IF(COUNTIF(Справочник_ОКВЭД_НР!$C$3:$C$62,H187)&gt;0,Справочник_ОКВЭД_НР!$L$9,
  IF(COUNTIF(Справочник_ОКВЭД_НР!$E$3:$E$62,H187)&gt;0,Справочник_ОКВЭД_НР!$L$10,
   IF(COUNTIF(Справочник_ОКВЭД_НР!$G$3:$G$62,H187)&gt;0,Справочник_ОКВЭД_НР!$L$11,50))))</f>
        <v>60</v>
      </c>
      <c r="J187" s="30" cm="1">
        <f t="array" ref="J187">IFERROR(
 (SUMPRODUCT(ISNUMBER(SEARCH(","&amp;Справочник_ОКВЭД_НР!$A$3:$A$62&amp;".",","&amp;SUBSTITUTE(F187," ","")&amp;",")))*Справочник_ОКВЭД_НР!$L$9 +
  SUMPRODUCT(ISNUMBER(SEARCH(","&amp;Справочник_ОКВЭД_НР!$C$3:$C$62&amp;".",","&amp;SUBSTITUTE(F187," ","")&amp;",")))*Справочник_ОКВЭД_НР!$L$10 +
  SUMPRODUCT(ISNUMBER(SEARCH(","&amp;Справочник_ОКВЭД_НР!$E$3:$E$62&amp;".",","&amp;SUBSTITUTE(F187," ","")&amp;",")))*Справочник_ОКВЭД_НР!$L$11 +
  SUMPRODUCT(ISNUMBER(SEARCH(","&amp;Справочник_ОКВЭД_НР!$G$3:$G$62&amp;".",","&amp;SUBSTITUTE(F187," ","")&amp;",")))*Справочник_ОКВЭД_НР!$L$12) /
 (SUMPRODUCT(ISNUMBER(SEARCH(","&amp;Справочник_ОКВЭД_НР!$A$3:$A$62&amp;".",","&amp;SUBSTITUTE(F187," ","")&amp;","))) +
  SUMPRODUCT(ISNUMBER(SEARCH(","&amp;Справочник_ОКВЭД_НР!$C$3:$C$62&amp;".",","&amp;SUBSTITUTE(F187," ","")&amp;","))) +
  SUMPRODUCT(ISNUMBER(SEARCH(","&amp;Справочник_ОКВЭД_НР!$E$3:$E$62&amp;".",","&amp;SUBSTITUTE(F187," ","")&amp;","))) +
  SUMPRODUCT(ISNUMBER(SEARCH(","&amp;Справочник_ОКВЭД_НР!$G$3:$G$62&amp;".",","&amp;SUBSTITUTE(F187," ","")&amp;",")))),
50)</f>
        <v>50</v>
      </c>
      <c r="K187" s="30">
        <f>IFERROR(VLOOKUP(G187,Справочник_ОКВЭД_НР!$O:$P,2,FALSE()),50)</f>
        <v>100</v>
      </c>
      <c r="L187" s="45">
        <f>(I187*Справочник_ОКВЭД_НР!$L$2+J187*Справочник_ОКВЭД_НР!$L$3+K187*Справочник_ОКВЭД_НР!$L$4)*M187</f>
        <v>63.5</v>
      </c>
      <c r="M187" s="47">
        <f>IF(COUNTIF(Справочник_ОКВЭД_НР!$G$3:$G$62,H187)&gt;0,0,1)</f>
        <v>1</v>
      </c>
    </row>
    <row r="188" spans="1:13" x14ac:dyDescent="0.25">
      <c r="A188" s="4">
        <f>ЛИК_дляСкорингаДП!A188</f>
        <v>1147746052475</v>
      </c>
      <c r="B188" s="4">
        <f>ЛИК_дляСкорингаДП!B188</f>
        <v>7716764909</v>
      </c>
      <c r="C188" s="4" t="str">
        <f>ЛИК_дляСкорингаДП!C188</f>
        <v>ООО ПКО "ЭВЕРЕСТ"</v>
      </c>
      <c r="D188" s="5" t="str">
        <f>ЛИК_дляСкорингаДП!M188</f>
        <v>Деятельность по организации торговли на финансовых рынках</v>
      </c>
      <c r="E188" s="4" t="str">
        <f>ЛИК_дляСкорингаДП!L188</f>
        <v>66.11.1</v>
      </c>
      <c r="F188" t="str">
        <f>ЛИК_дляСкорингаДП!N188</f>
        <v>53.20.3,62.01,62.02,62.09,63.11,63.91,63.99.1,64.91,64.92,64.99,66.11,66.12,66.19,66.19.4,69.10,69.20,69.20.2,69.20.3,70.22,74.30,82.19,82.30,82.91,82.99,95.11</v>
      </c>
      <c r="G188" s="25" t="str">
        <f>ЛИК_дляСкорингаДП!AG188</f>
        <v>ОСН</v>
      </c>
      <c r="H188" s="55" t="str">
        <f>IF(ISNUMBER(E188),E188,
IFERROR(LEFT(E188,FIND(".",E188)-1),E188))</f>
        <v>66</v>
      </c>
      <c r="I188" s="30">
        <f>IF(COUNTIF(Справочник_ОКВЭД_НР!$A$3:$A$62,H188)&gt;0,Справочник_ОКВЭД_НР!$L$8,
 IF(COUNTIF(Справочник_ОКВЭД_НР!$C$3:$C$62,H188)&gt;0,Справочник_ОКВЭД_НР!$L$9,
  IF(COUNTIF(Справочник_ОКВЭД_НР!$E$3:$E$62,H188)&gt;0,Справочник_ОКВЭД_НР!$L$10,
   IF(COUNTIF(Справочник_ОКВЭД_НР!$G$3:$G$62,H188)&gt;0,Справочник_ОКВЭД_НР!$L$11,50))))</f>
        <v>60</v>
      </c>
      <c r="J188" s="30" cm="1">
        <f t="array" ref="J188">IFERROR(
 (SUMPRODUCT(ISNUMBER(SEARCH(","&amp;Справочник_ОКВЭД_НР!$A$3:$A$62&amp;".",","&amp;SUBSTITUTE(F188," ","")&amp;",")))*Справочник_ОКВЭД_НР!$L$9 +
  SUMPRODUCT(ISNUMBER(SEARCH(","&amp;Справочник_ОКВЭД_НР!$C$3:$C$62&amp;".",","&amp;SUBSTITUTE(F188," ","")&amp;",")))*Справочник_ОКВЭД_НР!$L$10 +
  SUMPRODUCT(ISNUMBER(SEARCH(","&amp;Справочник_ОКВЭД_НР!$E$3:$E$62&amp;".",","&amp;SUBSTITUTE(F188," ","")&amp;",")))*Справочник_ОКВЭД_НР!$L$11 +
  SUMPRODUCT(ISNUMBER(SEARCH(","&amp;Справочник_ОКВЭД_НР!$G$3:$G$62&amp;".",","&amp;SUBSTITUTE(F188," ","")&amp;",")))*Справочник_ОКВЭД_НР!$L$12) /
 (SUMPRODUCT(ISNUMBER(SEARCH(","&amp;Справочник_ОКВЭД_НР!$A$3:$A$62&amp;".",","&amp;SUBSTITUTE(F188," ","")&amp;","))) +
  SUMPRODUCT(ISNUMBER(SEARCH(","&amp;Справочник_ОКВЭД_НР!$C$3:$C$62&amp;".",","&amp;SUBSTITUTE(F188," ","")&amp;","))) +
  SUMPRODUCT(ISNUMBER(SEARCH(","&amp;Справочник_ОКВЭД_НР!$E$3:$E$62&amp;".",","&amp;SUBSTITUTE(F188," ","")&amp;","))) +
  SUMPRODUCT(ISNUMBER(SEARCH(","&amp;Справочник_ОКВЭД_НР!$G$3:$G$62&amp;".",","&amp;SUBSTITUTE(F188," ","")&amp;",")))),
50)</f>
        <v>50</v>
      </c>
      <c r="K188" s="30">
        <f>IFERROR(VLOOKUP(G188,Справочник_ОКВЭД_НР!$O:$P,2,FALSE()),50)</f>
        <v>100</v>
      </c>
      <c r="L188" s="45">
        <f>(I188*Справочник_ОКВЭД_НР!$L$2+J188*Справочник_ОКВЭД_НР!$L$3+K188*Справочник_ОКВЭД_НР!$L$4)*M188</f>
        <v>63.5</v>
      </c>
      <c r="M188" s="47">
        <f>IF(COUNTIF(Справочник_ОКВЭД_НР!$G$3:$G$62,H188)&gt;0,0,1)</f>
        <v>1</v>
      </c>
    </row>
    <row r="189" spans="1:13" x14ac:dyDescent="0.25">
      <c r="A189" s="4">
        <f>ЛИК_дляСкорингаДП!A189</f>
        <v>1035005007421</v>
      </c>
      <c r="B189" s="4">
        <f>ЛИК_дляСкорингаДП!B189</f>
        <v>5027067266</v>
      </c>
      <c r="C189" s="4" t="str">
        <f>ЛИК_дляСкорингаДП!C189</f>
        <v>ООО "СЗ "СТРОЙСОЮЗ"</v>
      </c>
      <c r="D189" s="5" t="str">
        <f>ЛИК_дляСкорингаДП!M189</f>
        <v>Деятельность заказчика-застройщика, генерального подрядчика</v>
      </c>
      <c r="E189" s="4" t="str">
        <f>ЛИК_дляСкорингаДП!L189</f>
        <v>71.12.2</v>
      </c>
      <c r="F189" t="str">
        <f>ЛИК_дляСкорингаДП!N189</f>
        <v>68.10.1,68.10.11,68.10.12,68.10.2,68.10.21,68.10.22,68.10.23,68.20.1,68.20.2,68.31.1,68.31.11,68.31.12,68.31.2,68.31.21,68.31.22,68.31.3,68.31.31,68.31.32,68.31.4,68.31.41,68.31.42</v>
      </c>
      <c r="G189" s="25" t="str">
        <f>ЛИК_дляСкорингаДП!AG189</f>
        <v>ОСН</v>
      </c>
      <c r="H189" s="55" t="str">
        <f>IF(ISNUMBER(E189),E189,
IFERROR(LEFT(E189,FIND(".",E189)-1),E189))</f>
        <v>71</v>
      </c>
      <c r="I189" s="30">
        <f>IF(COUNTIF(Справочник_ОКВЭД_НР!$A$3:$A$62,H189)&gt;0,Справочник_ОКВЭД_НР!$L$8,
 IF(COUNTIF(Справочник_ОКВЭД_НР!$C$3:$C$62,H189)&gt;0,Справочник_ОКВЭД_НР!$L$9,
  IF(COUNTIF(Справочник_ОКВЭД_НР!$E$3:$E$62,H189)&gt;0,Справочник_ОКВЭД_НР!$L$10,
   IF(COUNTIF(Справочник_ОКВЭД_НР!$G$3:$G$62,H189)&gt;0,Справочник_ОКВЭД_НР!$L$11,50))))</f>
        <v>100</v>
      </c>
      <c r="J189" s="30" cm="1">
        <f t="array" ref="J189">IFERROR(
 (SUMPRODUCT(ISNUMBER(SEARCH(","&amp;Справочник_ОКВЭД_НР!$A$3:$A$62&amp;".",","&amp;SUBSTITUTE(F189," ","")&amp;",")))*Справочник_ОКВЭД_НР!$L$9 +
  SUMPRODUCT(ISNUMBER(SEARCH(","&amp;Справочник_ОКВЭД_НР!$C$3:$C$62&amp;".",","&amp;SUBSTITUTE(F189," ","")&amp;",")))*Справочник_ОКВЭД_НР!$L$10 +
  SUMPRODUCT(ISNUMBER(SEARCH(","&amp;Справочник_ОКВЭД_НР!$E$3:$E$62&amp;".",","&amp;SUBSTITUTE(F189," ","")&amp;",")))*Справочник_ОКВЭД_НР!$L$11 +
  SUMPRODUCT(ISNUMBER(SEARCH(","&amp;Справочник_ОКВЭД_НР!$G$3:$G$62&amp;".",","&amp;SUBSTITUTE(F189," ","")&amp;",")))*Справочник_ОКВЭД_НР!$L$12) /
 (SUMPRODUCT(ISNUMBER(SEARCH(","&amp;Справочник_ОКВЭД_НР!$A$3:$A$62&amp;".",","&amp;SUBSTITUTE(F189," ","")&amp;","))) +
  SUMPRODUCT(ISNUMBER(SEARCH(","&amp;Справочник_ОКВЭД_НР!$C$3:$C$62&amp;".",","&amp;SUBSTITUTE(F189," ","")&amp;","))) +
  SUMPRODUCT(ISNUMBER(SEARCH(","&amp;Справочник_ОКВЭД_НР!$E$3:$E$62&amp;".",","&amp;SUBSTITUTE(F189," ","")&amp;","))) +
  SUMPRODUCT(ISNUMBER(SEARCH(","&amp;Справочник_ОКВЭД_НР!$G$3:$G$62&amp;".",","&amp;SUBSTITUTE(F189," ","")&amp;",")))),
50)</f>
        <v>50</v>
      </c>
      <c r="K189" s="30">
        <f>IFERROR(VLOOKUP(G189,Справочник_ОКВЭД_НР!$O:$P,2,FALSE()),50)</f>
        <v>100</v>
      </c>
      <c r="L189" s="45">
        <f>(I189*Справочник_ОКВЭД_НР!$L$2+J189*Справочник_ОКВЭД_НР!$L$3+K189*Справочник_ОКВЭД_НР!$L$4)*M189</f>
        <v>87.5</v>
      </c>
      <c r="M189" s="47">
        <f>IF(COUNTIF(Справочник_ОКВЭД_НР!$G$3:$G$62,H189)&gt;0,0,1)</f>
        <v>1</v>
      </c>
    </row>
    <row r="190" spans="1:13" x14ac:dyDescent="0.25">
      <c r="A190" s="4">
        <f>ЛИК_дляСкорингаДП!A190</f>
        <v>1061105006456</v>
      </c>
      <c r="B190" s="4">
        <f>ЛИК_дляСкорингаДП!B190</f>
        <v>1105018198</v>
      </c>
      <c r="C190" s="4" t="str">
        <f>ЛИК_дляСкорингаДП!C190</f>
        <v>ООО "ПТК-ИНВЕСТ"</v>
      </c>
      <c r="D190" s="5" t="str">
        <f>ЛИК_дляСкорингаДП!M190</f>
        <v>Деятельность ресторанов и услуги по доставке продуктов питания</v>
      </c>
      <c r="E190" s="4" t="str">
        <f>ЛИК_дляСкорингаДП!L190</f>
        <v>56.10</v>
      </c>
      <c r="F190" t="str">
        <f>ЛИК_дляСкорингаДП!N190</f>
        <v>47.25.1,49.41,56.10.1,56.10.21,56.29.1,56.30,68.20,77.11,77.39.1,82.99</v>
      </c>
      <c r="G190" s="25" t="str">
        <f>ЛИК_дляСкорингаДП!AG190</f>
        <v>УСН</v>
      </c>
      <c r="H190" s="55" t="str">
        <f>IF(ISNUMBER(E190),E190,
IFERROR(LEFT(E190,FIND(".",E190)-1),E190))</f>
        <v>56</v>
      </c>
      <c r="I190" s="30">
        <f>IF(COUNTIF(Справочник_ОКВЭД_НР!$A$3:$A$62,H190)&gt;0,Справочник_ОКВЭД_НР!$L$8,
 IF(COUNTIF(Справочник_ОКВЭД_НР!$C$3:$C$62,H190)&gt;0,Справочник_ОКВЭД_НР!$L$9,
  IF(COUNTIF(Справочник_ОКВЭД_НР!$E$3:$E$62,H190)&gt;0,Справочник_ОКВЭД_НР!$L$10,
   IF(COUNTIF(Справочник_ОКВЭД_НР!$G$3:$G$62,H190)&gt;0,Справочник_ОКВЭД_НР!$L$11,50))))</f>
        <v>30</v>
      </c>
      <c r="J190" s="30" cm="1">
        <f t="array" ref="J190">IFERROR(
 (SUMPRODUCT(ISNUMBER(SEARCH(","&amp;Справочник_ОКВЭД_НР!$A$3:$A$62&amp;".",","&amp;SUBSTITUTE(F190," ","")&amp;",")))*Справочник_ОКВЭД_НР!$L$9 +
  SUMPRODUCT(ISNUMBER(SEARCH(","&amp;Справочник_ОКВЭД_НР!$C$3:$C$62&amp;".",","&amp;SUBSTITUTE(F190," ","")&amp;",")))*Справочник_ОКВЭД_НР!$L$10 +
  SUMPRODUCT(ISNUMBER(SEARCH(","&amp;Справочник_ОКВЭД_НР!$E$3:$E$62&amp;".",","&amp;SUBSTITUTE(F190," ","")&amp;",")))*Справочник_ОКВЭД_НР!$L$11 +
  SUMPRODUCT(ISNUMBER(SEARCH(","&amp;Справочник_ОКВЭД_НР!$G$3:$G$62&amp;".",","&amp;SUBSTITUTE(F190," ","")&amp;",")))*Справочник_ОКВЭД_НР!$L$12) /
 (SUMPRODUCT(ISNUMBER(SEARCH(","&amp;Справочник_ОКВЭД_НР!$A$3:$A$62&amp;".",","&amp;SUBSTITUTE(F190," ","")&amp;","))) +
  SUMPRODUCT(ISNUMBER(SEARCH(","&amp;Справочник_ОКВЭД_НР!$C$3:$C$62&amp;".",","&amp;SUBSTITUTE(F190," ","")&amp;","))) +
  SUMPRODUCT(ISNUMBER(SEARCH(","&amp;Справочник_ОКВЭД_НР!$E$3:$E$62&amp;".",","&amp;SUBSTITUTE(F190," ","")&amp;","))) +
  SUMPRODUCT(ISNUMBER(SEARCH(","&amp;Справочник_ОКВЭД_НР!$G$3:$G$62&amp;".",","&amp;SUBSTITUTE(F190," ","")&amp;",")))),
50)</f>
        <v>50</v>
      </c>
      <c r="K190" s="30">
        <f>IFERROR(VLOOKUP(G190,Справочник_ОКВЭД_НР!$O:$P,2,FALSE()),50)</f>
        <v>50</v>
      </c>
      <c r="L190" s="45">
        <f>(I190*Справочник_ОКВЭД_НР!$L$2+J190*Справочник_ОКВЭД_НР!$L$3+K190*Справочник_ОКВЭД_НР!$L$4)*M190</f>
        <v>38</v>
      </c>
      <c r="M190" s="47">
        <f>IF(COUNTIF(Справочник_ОКВЭД_НР!$G$3:$G$62,H190)&gt;0,0,1)</f>
        <v>1</v>
      </c>
    </row>
    <row r="191" spans="1:13" x14ac:dyDescent="0.25">
      <c r="A191" s="4">
        <f>ЛИК_дляСкорингаДП!A191</f>
        <v>1035004250380</v>
      </c>
      <c r="B191" s="4">
        <f>ЛИК_дляСкорингаДП!B191</f>
        <v>5022028545</v>
      </c>
      <c r="C191" s="4" t="str">
        <f>ЛИК_дляСкорингаДП!C191</f>
        <v>ООО ФИРМА "КОЛОМЕНСКИЙ ДС"</v>
      </c>
      <c r="D191" s="5" t="str">
        <f>ЛИК_дляСкорингаДП!M191</f>
        <v>Строительство жилых и нежилых зданий</v>
      </c>
      <c r="E191" s="4" t="str">
        <f>ЛИК_дляСкорингаДП!L191</f>
        <v>41.20</v>
      </c>
      <c r="F191">
        <f>ЛИК_дляСкорингаДП!N191</f>
        <v>0</v>
      </c>
      <c r="G191" s="25" t="str">
        <f>ЛИК_дляСкорингаДП!AG191</f>
        <v>УСН</v>
      </c>
      <c r="H191" s="55" t="str">
        <f>IF(ISNUMBER(E191),E191,
IFERROR(LEFT(E191,FIND(".",E191)-1),E191))</f>
        <v>41</v>
      </c>
      <c r="I191" s="30">
        <f>IF(COUNTIF(Справочник_ОКВЭД_НР!$A$3:$A$62,H191)&gt;0,Справочник_ОКВЭД_НР!$L$8,
 IF(COUNTIF(Справочник_ОКВЭД_НР!$C$3:$C$62,H191)&gt;0,Справочник_ОКВЭД_НР!$L$9,
  IF(COUNTIF(Справочник_ОКВЭД_НР!$E$3:$E$62,H191)&gt;0,Справочник_ОКВЭД_НР!$L$10,
   IF(COUNTIF(Справочник_ОКВЭД_НР!$G$3:$G$62,H191)&gt;0,Справочник_ОКВЭД_НР!$L$11,50))))</f>
        <v>100</v>
      </c>
      <c r="J191" s="30" cm="1">
        <f t="array" ref="J191">IFERROR(
 (SUMPRODUCT(ISNUMBER(SEARCH(","&amp;Справочник_ОКВЭД_НР!$A$3:$A$62&amp;".",","&amp;SUBSTITUTE(F191," ","")&amp;",")))*Справочник_ОКВЭД_НР!$L$9 +
  SUMPRODUCT(ISNUMBER(SEARCH(","&amp;Справочник_ОКВЭД_НР!$C$3:$C$62&amp;".",","&amp;SUBSTITUTE(F191," ","")&amp;",")))*Справочник_ОКВЭД_НР!$L$10 +
  SUMPRODUCT(ISNUMBER(SEARCH(","&amp;Справочник_ОКВЭД_НР!$E$3:$E$62&amp;".",","&amp;SUBSTITUTE(F191," ","")&amp;",")))*Справочник_ОКВЭД_НР!$L$11 +
  SUMPRODUCT(ISNUMBER(SEARCH(","&amp;Справочник_ОКВЭД_НР!$G$3:$G$62&amp;".",","&amp;SUBSTITUTE(F191," ","")&amp;",")))*Справочник_ОКВЭД_НР!$L$12) /
 (SUMPRODUCT(ISNUMBER(SEARCH(","&amp;Справочник_ОКВЭД_НР!$A$3:$A$62&amp;".",","&amp;SUBSTITUTE(F191," ","")&amp;","))) +
  SUMPRODUCT(ISNUMBER(SEARCH(","&amp;Справочник_ОКВЭД_НР!$C$3:$C$62&amp;".",","&amp;SUBSTITUTE(F191," ","")&amp;","))) +
  SUMPRODUCT(ISNUMBER(SEARCH(","&amp;Справочник_ОКВЭД_НР!$E$3:$E$62&amp;".",","&amp;SUBSTITUTE(F191," ","")&amp;","))) +
  SUMPRODUCT(ISNUMBER(SEARCH(","&amp;Справочник_ОКВЭД_НР!$G$3:$G$62&amp;".",","&amp;SUBSTITUTE(F191," ","")&amp;",")))),
50)</f>
        <v>50</v>
      </c>
      <c r="K191" s="30">
        <f>IFERROR(VLOOKUP(G191,Справочник_ОКВЭД_НР!$O:$P,2,FALSE()),50)</f>
        <v>50</v>
      </c>
      <c r="L191" s="45">
        <f>(I191*Справочник_ОКВЭД_НР!$L$2+J191*Справочник_ОКВЭД_НР!$L$3+K191*Справочник_ОКВЭД_НР!$L$4)*M191</f>
        <v>80</v>
      </c>
      <c r="M191" s="47">
        <f>IF(COUNTIF(Справочник_ОКВЭД_НР!$G$3:$G$62,H191)&gt;0,0,1)</f>
        <v>1</v>
      </c>
    </row>
    <row r="192" spans="1:13" x14ac:dyDescent="0.25">
      <c r="A192" s="4">
        <f>ЛИК_дляСкорингаДП!A192</f>
        <v>1037739581318</v>
      </c>
      <c r="B192" s="4">
        <f>ЛИК_дляСкорингаДП!B192</f>
        <v>7716078071</v>
      </c>
      <c r="C192" s="4" t="str">
        <f>ЛИК_дляСкорингаДП!C192</f>
        <v>ООО "ОЗДОРОВИТЕЛЬНЫЙ КОМПЛЕКС "ЛОСИНЫЙ ОСТРОВ"</v>
      </c>
      <c r="D192" s="5" t="str">
        <f>ЛИК_дляСкорингаДП!M192</f>
        <v>Деятельность больничных организаций</v>
      </c>
      <c r="E192" s="4" t="str">
        <f>ЛИК_дляСкорингаДП!L192</f>
        <v>86.10</v>
      </c>
      <c r="F192" t="str">
        <f>ЛИК_дляСкорингаДП!N192</f>
        <v>46.19,46.46,46.90,47.73,47.74,47.75,47.78.9,52.24,52.29,70.22,73.11,77.39.26,79.11,82.99,86.90.9,93.19,96.02,96.04,96.09</v>
      </c>
      <c r="G192" s="25" t="str">
        <f>ЛИК_дляСкорингаДП!AG192</f>
        <v>ОСН</v>
      </c>
      <c r="H192" s="55" t="str">
        <f>IF(ISNUMBER(E192),E192,
IFERROR(LEFT(E192,FIND(".",E192)-1),E192))</f>
        <v>86</v>
      </c>
      <c r="I192" s="30">
        <f>IF(COUNTIF(Справочник_ОКВЭД_НР!$A$3:$A$62,H192)&gt;0,Справочник_ОКВЭД_НР!$L$8,
 IF(COUNTIF(Справочник_ОКВЭД_НР!$C$3:$C$62,H192)&gt;0,Справочник_ОКВЭД_НР!$L$9,
  IF(COUNTIF(Справочник_ОКВЭД_НР!$E$3:$E$62,H192)&gt;0,Справочник_ОКВЭД_НР!$L$10,
   IF(COUNTIF(Справочник_ОКВЭД_НР!$G$3:$G$62,H192)&gt;0,Справочник_ОКВЭД_НР!$L$11,50))))</f>
        <v>100</v>
      </c>
      <c r="J192" s="30" cm="1">
        <f t="array" ref="J192">IFERROR(
 (SUMPRODUCT(ISNUMBER(SEARCH(","&amp;Справочник_ОКВЭД_НР!$A$3:$A$62&amp;".",","&amp;SUBSTITUTE(F192," ","")&amp;",")))*Справочник_ОКВЭД_НР!$L$9 +
  SUMPRODUCT(ISNUMBER(SEARCH(","&amp;Справочник_ОКВЭД_НР!$C$3:$C$62&amp;".",","&amp;SUBSTITUTE(F192," ","")&amp;",")))*Справочник_ОКВЭД_НР!$L$10 +
  SUMPRODUCT(ISNUMBER(SEARCH(","&amp;Справочник_ОКВЭД_НР!$E$3:$E$62&amp;".",","&amp;SUBSTITUTE(F192," ","")&amp;",")))*Справочник_ОКВЭД_НР!$L$11 +
  SUMPRODUCT(ISNUMBER(SEARCH(","&amp;Справочник_ОКВЭД_НР!$G$3:$G$62&amp;".",","&amp;SUBSTITUTE(F192," ","")&amp;",")))*Справочник_ОКВЭД_НР!$L$12) /
 (SUMPRODUCT(ISNUMBER(SEARCH(","&amp;Справочник_ОКВЭД_НР!$A$3:$A$62&amp;".",","&amp;SUBSTITUTE(F192," ","")&amp;","))) +
  SUMPRODUCT(ISNUMBER(SEARCH(","&amp;Справочник_ОКВЭД_НР!$C$3:$C$62&amp;".",","&amp;SUBSTITUTE(F192," ","")&amp;","))) +
  SUMPRODUCT(ISNUMBER(SEARCH(","&amp;Справочник_ОКВЭД_НР!$E$3:$E$62&amp;".",","&amp;SUBSTITUTE(F192," ","")&amp;","))) +
  SUMPRODUCT(ISNUMBER(SEARCH(","&amp;Справочник_ОКВЭД_НР!$G$3:$G$62&amp;".",","&amp;SUBSTITUTE(F192," ","")&amp;",")))),
50)</f>
        <v>50</v>
      </c>
      <c r="K192" s="30">
        <f>IFERROR(VLOOKUP(G192,Справочник_ОКВЭД_НР!$O:$P,2,FALSE()),50)</f>
        <v>100</v>
      </c>
      <c r="L192" s="45">
        <f>(I192*Справочник_ОКВЭД_НР!$L$2+J192*Справочник_ОКВЭД_НР!$L$3+K192*Справочник_ОКВЭД_НР!$L$4)*M192</f>
        <v>87.5</v>
      </c>
      <c r="M192" s="47">
        <f>IF(COUNTIF(Справочник_ОКВЭД_НР!$G$3:$G$62,H192)&gt;0,0,1)</f>
        <v>1</v>
      </c>
    </row>
    <row r="193" spans="1:13" x14ac:dyDescent="0.25">
      <c r="A193" s="4">
        <f>ЛИК_дляСкорингаДП!A193</f>
        <v>1035005518020</v>
      </c>
      <c r="B193" s="4">
        <f>ЛИК_дляСкорингаДП!B193</f>
        <v>5029070497</v>
      </c>
      <c r="C193" s="4" t="str">
        <f>ЛИК_дляСкорингаДП!C193</f>
        <v>ООО "СЗ "КВАРТАЛ-ИНВЕСТСТРОЙ"</v>
      </c>
      <c r="D193" s="5" t="str">
        <f>ЛИК_дляСкорингаДП!M193</f>
        <v>Торговля оптовая прочими строительными материалами и изделиями</v>
      </c>
      <c r="E193" s="4" t="str">
        <f>ЛИК_дляСкорингаДП!L193</f>
        <v>46.73.6</v>
      </c>
      <c r="F193" t="str">
        <f>ЛИК_дляСкорингаДП!N193</f>
        <v>46.90,41.10,41.20,42.11,42.21,42.22,42.99,43.11,43.12,43.21,43.22,43.29,43.31,43.32,43.33,43.34,43.39,43.99,68.10,68.20,68.31,68.32,71.11,71.12</v>
      </c>
      <c r="G193" s="25" t="str">
        <f>ЛИК_дляСкорингаДП!AG193</f>
        <v>ОСН</v>
      </c>
      <c r="H193" s="55" t="str">
        <f>IF(ISNUMBER(E193),E193,
IFERROR(LEFT(E193,FIND(".",E193)-1),E193))</f>
        <v>46</v>
      </c>
      <c r="I193" s="30">
        <f>IF(COUNTIF(Справочник_ОКВЭД_НР!$A$3:$A$62,H193)&gt;0,Справочник_ОКВЭД_НР!$L$8,
 IF(COUNTIF(Справочник_ОКВЭД_НР!$C$3:$C$62,H193)&gt;0,Справочник_ОКВЭД_НР!$L$9,
  IF(COUNTIF(Справочник_ОКВЭД_НР!$E$3:$E$62,H193)&gt;0,Справочник_ОКВЭД_НР!$L$10,
   IF(COUNTIF(Справочник_ОКВЭД_НР!$G$3:$G$62,H193)&gt;0,Справочник_ОКВЭД_НР!$L$11,50))))</f>
        <v>60</v>
      </c>
      <c r="J193" s="30" cm="1">
        <f t="array" ref="J193">IFERROR(
 (SUMPRODUCT(ISNUMBER(SEARCH(","&amp;Справочник_ОКВЭД_НР!$A$3:$A$62&amp;".",","&amp;SUBSTITUTE(F193," ","")&amp;",")))*Справочник_ОКВЭД_НР!$L$9 +
  SUMPRODUCT(ISNUMBER(SEARCH(","&amp;Справочник_ОКВЭД_НР!$C$3:$C$62&amp;".",","&amp;SUBSTITUTE(F193," ","")&amp;",")))*Справочник_ОКВЭД_НР!$L$10 +
  SUMPRODUCT(ISNUMBER(SEARCH(","&amp;Справочник_ОКВЭД_НР!$E$3:$E$62&amp;".",","&amp;SUBSTITUTE(F193," ","")&amp;",")))*Справочник_ОКВЭД_НР!$L$11 +
  SUMPRODUCT(ISNUMBER(SEARCH(","&amp;Справочник_ОКВЭД_НР!$G$3:$G$62&amp;".",","&amp;SUBSTITUTE(F193," ","")&amp;",")))*Справочник_ОКВЭД_НР!$L$12) /
 (SUMPRODUCT(ISNUMBER(SEARCH(","&amp;Справочник_ОКВЭД_НР!$A$3:$A$62&amp;".",","&amp;SUBSTITUTE(F193," ","")&amp;","))) +
  SUMPRODUCT(ISNUMBER(SEARCH(","&amp;Справочник_ОКВЭД_НР!$C$3:$C$62&amp;".",","&amp;SUBSTITUTE(F193," ","")&amp;","))) +
  SUMPRODUCT(ISNUMBER(SEARCH(","&amp;Справочник_ОКВЭД_НР!$E$3:$E$62&amp;".",","&amp;SUBSTITUTE(F193," ","")&amp;","))) +
  SUMPRODUCT(ISNUMBER(SEARCH(","&amp;Справочник_ОКВЭД_НР!$G$3:$G$62&amp;".",","&amp;SUBSTITUTE(F193," ","")&amp;",")))),
50)</f>
        <v>50</v>
      </c>
      <c r="K193" s="30">
        <f>IFERROR(VLOOKUP(G193,Справочник_ОКВЭД_НР!$O:$P,2,FALSE()),50)</f>
        <v>100</v>
      </c>
      <c r="L193" s="45">
        <f>(I193*Справочник_ОКВЭД_НР!$L$2+J193*Справочник_ОКВЭД_НР!$L$3+K193*Справочник_ОКВЭД_НР!$L$4)*M193</f>
        <v>63.5</v>
      </c>
      <c r="M193" s="47">
        <f>IF(COUNTIF(Справочник_ОКВЭД_НР!$G$3:$G$62,H193)&gt;0,0,1)</f>
        <v>1</v>
      </c>
    </row>
    <row r="194" spans="1:13" x14ac:dyDescent="0.25">
      <c r="A194" s="4">
        <f>ЛИК_дляСкорингаДП!A194</f>
        <v>1037739405725</v>
      </c>
      <c r="B194" s="4">
        <f>ЛИК_дляСкорингаДП!B194</f>
        <v>7737055082</v>
      </c>
      <c r="C194" s="4" t="str">
        <f>ЛИК_дляСкорингаДП!C194</f>
        <v>АО "САК"</v>
      </c>
      <c r="D194" s="5" t="str">
        <f>ЛИК_дляСкорингаДП!M194</f>
        <v>Деятельность в области радиовещания</v>
      </c>
      <c r="E194" s="4" t="str">
        <f>ЛИК_дляСкорингаДП!L194</f>
        <v>60.10</v>
      </c>
      <c r="F194" t="str">
        <f>ЛИК_дляСкорингаДП!N194</f>
        <v>62.01,62.02,62.02.1,62.02.4,62.03.13,62.09,63.11,63.11.1,63.11.9,63.12.1,63.91,63.99,63.99.1,63.99.2,90.01</v>
      </c>
      <c r="G194" s="25" t="str">
        <f>ЛИК_дляСкорингаДП!AG194</f>
        <v>ОСН</v>
      </c>
      <c r="H194" s="55" t="str">
        <f>IF(ISNUMBER(E194),E194,
IFERROR(LEFT(E194,FIND(".",E194)-1),E194))</f>
        <v>60</v>
      </c>
      <c r="I194" s="30">
        <f>IF(COUNTIF(Справочник_ОКВЭД_НР!$A$3:$A$62,H194)&gt;0,Справочник_ОКВЭД_НР!$L$8,
 IF(COUNTIF(Справочник_ОКВЭД_НР!$C$3:$C$62,H194)&gt;0,Справочник_ОКВЭД_НР!$L$9,
  IF(COUNTIF(Справочник_ОКВЭД_НР!$E$3:$E$62,H194)&gt;0,Справочник_ОКВЭД_НР!$L$10,
   IF(COUNTIF(Справочник_ОКВЭД_НР!$G$3:$G$62,H194)&gt;0,Справочник_ОКВЭД_НР!$L$11,50))))</f>
        <v>30</v>
      </c>
      <c r="J194" s="30" cm="1">
        <f t="array" ref="J194">IFERROR(
 (SUMPRODUCT(ISNUMBER(SEARCH(","&amp;Справочник_ОКВЭД_НР!$A$3:$A$62&amp;".",","&amp;SUBSTITUTE(F194," ","")&amp;",")))*Справочник_ОКВЭД_НР!$L$9 +
  SUMPRODUCT(ISNUMBER(SEARCH(","&amp;Справочник_ОКВЭД_НР!$C$3:$C$62&amp;".",","&amp;SUBSTITUTE(F194," ","")&amp;",")))*Справочник_ОКВЭД_НР!$L$10 +
  SUMPRODUCT(ISNUMBER(SEARCH(","&amp;Справочник_ОКВЭД_НР!$E$3:$E$62&amp;".",","&amp;SUBSTITUTE(F194," ","")&amp;",")))*Справочник_ОКВЭД_НР!$L$11 +
  SUMPRODUCT(ISNUMBER(SEARCH(","&amp;Справочник_ОКВЭД_НР!$G$3:$G$62&amp;".",","&amp;SUBSTITUTE(F194," ","")&amp;",")))*Справочник_ОКВЭД_НР!$L$12) /
 (SUMPRODUCT(ISNUMBER(SEARCH(","&amp;Справочник_ОКВЭД_НР!$A$3:$A$62&amp;".",","&amp;SUBSTITUTE(F194," ","")&amp;","))) +
  SUMPRODUCT(ISNUMBER(SEARCH(","&amp;Справочник_ОКВЭД_НР!$C$3:$C$62&amp;".",","&amp;SUBSTITUTE(F194," ","")&amp;","))) +
  SUMPRODUCT(ISNUMBER(SEARCH(","&amp;Справочник_ОКВЭД_НР!$E$3:$E$62&amp;".",","&amp;SUBSTITUTE(F194," ","")&amp;","))) +
  SUMPRODUCT(ISNUMBER(SEARCH(","&amp;Справочник_ОКВЭД_НР!$G$3:$G$62&amp;".",","&amp;SUBSTITUTE(F194," ","")&amp;",")))),
50)</f>
        <v>50</v>
      </c>
      <c r="K194" s="30">
        <f>IFERROR(VLOOKUP(G194,Справочник_ОКВЭД_НР!$O:$P,2,FALSE()),50)</f>
        <v>100</v>
      </c>
      <c r="L194" s="45">
        <f>(I194*Справочник_ОКВЭД_НР!$L$2+J194*Справочник_ОКВЭД_НР!$L$3+K194*Справочник_ОКВЭД_НР!$L$4)*M194</f>
        <v>45.5</v>
      </c>
      <c r="M194" s="47">
        <f>IF(COUNTIF(Справочник_ОКВЭД_НР!$G$3:$G$62,H194)&gt;0,0,1)</f>
        <v>1</v>
      </c>
    </row>
    <row r="195" spans="1:13" x14ac:dyDescent="0.25">
      <c r="A195" s="4">
        <f>ЛИК_дляСкорингаДП!A195</f>
        <v>1127746467419</v>
      </c>
      <c r="B195" s="4">
        <f>ЛИК_дляСкорингаДП!B195</f>
        <v>7725759535</v>
      </c>
      <c r="C195" s="4" t="str">
        <f>ЛИК_дляСкорингаДП!C195</f>
        <v>ООО  "ИМПРЕКС"</v>
      </c>
      <c r="D195" s="5" t="str">
        <f>ЛИК_дляСкорингаДП!M195</f>
        <v>Торговля оптовая спортивными товарами, включая велосипеды</v>
      </c>
      <c r="E195" s="4" t="str">
        <f>ЛИК_дляСкорингаДП!L195</f>
        <v>46.49.43</v>
      </c>
      <c r="F195" t="str">
        <f>ЛИК_дляСкорингаДП!N195</f>
        <v>46.1,46.18.99,46.4,46.9,47.64,47.71.5</v>
      </c>
      <c r="G195" s="25" t="str">
        <f>ЛИК_дляСкорингаДП!AG195</f>
        <v>ОСН</v>
      </c>
      <c r="H195" s="55" t="str">
        <f>IF(ISNUMBER(E195),E195,
IFERROR(LEFT(E195,FIND(".",E195)-1),E195))</f>
        <v>46</v>
      </c>
      <c r="I195" s="30">
        <f>IF(COUNTIF(Справочник_ОКВЭД_НР!$A$3:$A$62,H195)&gt;0,Справочник_ОКВЭД_НР!$L$8,
 IF(COUNTIF(Справочник_ОКВЭД_НР!$C$3:$C$62,H195)&gt;0,Справочник_ОКВЭД_НР!$L$9,
  IF(COUNTIF(Справочник_ОКВЭД_НР!$E$3:$E$62,H195)&gt;0,Справочник_ОКВЭД_НР!$L$10,
   IF(COUNTIF(Справочник_ОКВЭД_НР!$G$3:$G$62,H195)&gt;0,Справочник_ОКВЭД_НР!$L$11,50))))</f>
        <v>60</v>
      </c>
      <c r="J195" s="30" cm="1">
        <f t="array" ref="J195">IFERROR(
 (SUMPRODUCT(ISNUMBER(SEARCH(","&amp;Справочник_ОКВЭД_НР!$A$3:$A$62&amp;".",","&amp;SUBSTITUTE(F195," ","")&amp;",")))*Справочник_ОКВЭД_НР!$L$9 +
  SUMPRODUCT(ISNUMBER(SEARCH(","&amp;Справочник_ОКВЭД_НР!$C$3:$C$62&amp;".",","&amp;SUBSTITUTE(F195," ","")&amp;",")))*Справочник_ОКВЭД_НР!$L$10 +
  SUMPRODUCT(ISNUMBER(SEARCH(","&amp;Справочник_ОКВЭД_НР!$E$3:$E$62&amp;".",","&amp;SUBSTITUTE(F195," ","")&amp;",")))*Справочник_ОКВЭД_НР!$L$11 +
  SUMPRODUCT(ISNUMBER(SEARCH(","&amp;Справочник_ОКВЭД_НР!$G$3:$G$62&amp;".",","&amp;SUBSTITUTE(F195," ","")&amp;",")))*Справочник_ОКВЭД_НР!$L$12) /
 (SUMPRODUCT(ISNUMBER(SEARCH(","&amp;Справочник_ОКВЭД_НР!$A$3:$A$62&amp;".",","&amp;SUBSTITUTE(F195," ","")&amp;","))) +
  SUMPRODUCT(ISNUMBER(SEARCH(","&amp;Справочник_ОКВЭД_НР!$C$3:$C$62&amp;".",","&amp;SUBSTITUTE(F195," ","")&amp;","))) +
  SUMPRODUCT(ISNUMBER(SEARCH(","&amp;Справочник_ОКВЭД_НР!$E$3:$E$62&amp;".",","&amp;SUBSTITUTE(F195," ","")&amp;","))) +
  SUMPRODUCT(ISNUMBER(SEARCH(","&amp;Справочник_ОКВЭД_НР!$G$3:$G$62&amp;".",","&amp;SUBSTITUTE(F195," ","")&amp;",")))),
50)</f>
        <v>50</v>
      </c>
      <c r="K195" s="30">
        <f>IFERROR(VLOOKUP(G195,Справочник_ОКВЭД_НР!$O:$P,2,FALSE()),50)</f>
        <v>100</v>
      </c>
      <c r="L195" s="45">
        <f>(I195*Справочник_ОКВЭД_НР!$L$2+J195*Справочник_ОКВЭД_НР!$L$3+K195*Справочник_ОКВЭД_НР!$L$4)*M195</f>
        <v>63.5</v>
      </c>
      <c r="M195" s="47">
        <f>IF(COUNTIF(Справочник_ОКВЭД_НР!$G$3:$G$62,H195)&gt;0,0,1)</f>
        <v>1</v>
      </c>
    </row>
    <row r="196" spans="1:13" x14ac:dyDescent="0.25">
      <c r="A196" s="4">
        <f>ЛИК_дляСкорингаДП!A196</f>
        <v>1127746545090</v>
      </c>
      <c r="B196" s="4">
        <f>ЛИК_дляСкорингаДП!B196</f>
        <v>7703771881</v>
      </c>
      <c r="C196" s="4" t="str">
        <f>ЛИК_дляСкорингаДП!C196</f>
        <v>ООО "ВОСЬМАЯ  ПЛАНЕТА"</v>
      </c>
      <c r="D196" s="5" t="str">
        <f>ЛИК_дляСкорингаДП!M196</f>
        <v>Торговля оптовая соками, минеральной водой и прочими безалкогольными напитками</v>
      </c>
      <c r="E196" s="4" t="str">
        <f>ЛИК_дляСкорингаДП!L196</f>
        <v>46.34.1</v>
      </c>
      <c r="F196" t="str">
        <f>ЛИК_дляСкорингаДП!N196</f>
        <v>46.31.2,46.33.1,46.34,46.35,46.38,46.71,46.73.1,46.73.2,46.9,47.25,49.41.2,52.10.9,58.29,61.20,62.01,62.02,62.03,62.09,63.11,63.11.1,63.12,63.99</v>
      </c>
      <c r="G196" s="25" t="str">
        <f>ЛИК_дляСкорингаДП!AG196</f>
        <v>ОСН</v>
      </c>
      <c r="H196" s="55" t="str">
        <f>IF(ISNUMBER(E196),E196,
IFERROR(LEFT(E196,FIND(".",E196)-1),E196))</f>
        <v>46</v>
      </c>
      <c r="I196" s="30">
        <f>IF(COUNTIF(Справочник_ОКВЭД_НР!$A$3:$A$62,H196)&gt;0,Справочник_ОКВЭД_НР!$L$8,
 IF(COUNTIF(Справочник_ОКВЭД_НР!$C$3:$C$62,H196)&gt;0,Справочник_ОКВЭД_НР!$L$9,
  IF(COUNTIF(Справочник_ОКВЭД_НР!$E$3:$E$62,H196)&gt;0,Справочник_ОКВЭД_НР!$L$10,
   IF(COUNTIF(Справочник_ОКВЭД_НР!$G$3:$G$62,H196)&gt;0,Справочник_ОКВЭД_НР!$L$11,50))))</f>
        <v>60</v>
      </c>
      <c r="J196" s="30" cm="1">
        <f t="array" ref="J196">IFERROR(
 (SUMPRODUCT(ISNUMBER(SEARCH(","&amp;Справочник_ОКВЭД_НР!$A$3:$A$62&amp;".",","&amp;SUBSTITUTE(F196," ","")&amp;",")))*Справочник_ОКВЭД_НР!$L$9 +
  SUMPRODUCT(ISNUMBER(SEARCH(","&amp;Справочник_ОКВЭД_НР!$C$3:$C$62&amp;".",","&amp;SUBSTITUTE(F196," ","")&amp;",")))*Справочник_ОКВЭД_НР!$L$10 +
  SUMPRODUCT(ISNUMBER(SEARCH(","&amp;Справочник_ОКВЭД_НР!$E$3:$E$62&amp;".",","&amp;SUBSTITUTE(F196," ","")&amp;",")))*Справочник_ОКВЭД_НР!$L$11 +
  SUMPRODUCT(ISNUMBER(SEARCH(","&amp;Справочник_ОКВЭД_НР!$G$3:$G$62&amp;".",","&amp;SUBSTITUTE(F196," ","")&amp;",")))*Справочник_ОКВЭД_НР!$L$12) /
 (SUMPRODUCT(ISNUMBER(SEARCH(","&amp;Справочник_ОКВЭД_НР!$A$3:$A$62&amp;".",","&amp;SUBSTITUTE(F196," ","")&amp;","))) +
  SUMPRODUCT(ISNUMBER(SEARCH(","&amp;Справочник_ОКВЭД_НР!$C$3:$C$62&amp;".",","&amp;SUBSTITUTE(F196," ","")&amp;","))) +
  SUMPRODUCT(ISNUMBER(SEARCH(","&amp;Справочник_ОКВЭД_НР!$E$3:$E$62&amp;".",","&amp;SUBSTITUTE(F196," ","")&amp;","))) +
  SUMPRODUCT(ISNUMBER(SEARCH(","&amp;Справочник_ОКВЭД_НР!$G$3:$G$62&amp;".",","&amp;SUBSTITUTE(F196," ","")&amp;",")))),
50)</f>
        <v>50</v>
      </c>
      <c r="K196" s="30">
        <f>IFERROR(VLOOKUP(G196,Справочник_ОКВЭД_НР!$O:$P,2,FALSE()),50)</f>
        <v>100</v>
      </c>
      <c r="L196" s="45">
        <f>(I196*Справочник_ОКВЭД_НР!$L$2+J196*Справочник_ОКВЭД_НР!$L$3+K196*Справочник_ОКВЭД_НР!$L$4)*M196</f>
        <v>63.5</v>
      </c>
      <c r="M196" s="47">
        <f>IF(COUNTIF(Справочник_ОКВЭД_НР!$G$3:$G$62,H196)&gt;0,0,1)</f>
        <v>1</v>
      </c>
    </row>
    <row r="197" spans="1:13" x14ac:dyDescent="0.25">
      <c r="A197" s="4">
        <f>ЛИК_дляСкорингаДП!A197</f>
        <v>1037739819721</v>
      </c>
      <c r="B197" s="4">
        <f>ЛИК_дляСкорингаДП!B197</f>
        <v>7743504064</v>
      </c>
      <c r="C197" s="4" t="str">
        <f>ЛИК_дляСкорингаДП!C197</f>
        <v>ООО "ИСК "АРТУРСКАПИТАЛ""</v>
      </c>
      <c r="D197" s="5" t="str">
        <f>ЛИК_дляСкорингаДП!M197</f>
        <v>Аренда и управление собственным или арендованным недвижимым имуществом</v>
      </c>
      <c r="E197" s="4" t="str">
        <f>ЛИК_дляСкорингаДП!L197</f>
        <v>68.20</v>
      </c>
      <c r="F197" t="str">
        <f>ЛИК_дляСкорингаДП!N197</f>
        <v>68.10,68.10.1,68.32</v>
      </c>
      <c r="G197" s="25" t="str">
        <f>ЛИК_дляСкорингаДП!AG197</f>
        <v>УСН</v>
      </c>
      <c r="H197" s="55" t="str">
        <f>IF(ISNUMBER(E197),E197,
IFERROR(LEFT(E197,FIND(".",E197)-1),E197))</f>
        <v>68</v>
      </c>
      <c r="I197" s="30">
        <f>IF(COUNTIF(Справочник_ОКВЭД_НР!$A$3:$A$62,H197)&gt;0,Справочник_ОКВЭД_НР!$L$8,
 IF(COUNTIF(Справочник_ОКВЭД_НР!$C$3:$C$62,H197)&gt;0,Справочник_ОКВЭД_НР!$L$9,
  IF(COUNTIF(Справочник_ОКВЭД_НР!$E$3:$E$62,H197)&gt;0,Справочник_ОКВЭД_НР!$L$10,
   IF(COUNTIF(Справочник_ОКВЭД_НР!$G$3:$G$62,H197)&gt;0,Справочник_ОКВЭД_НР!$L$11,50))))</f>
        <v>100</v>
      </c>
      <c r="J197" s="30" cm="1">
        <f t="array" ref="J197">IFERROR(
 (SUMPRODUCT(ISNUMBER(SEARCH(","&amp;Справочник_ОКВЭД_НР!$A$3:$A$62&amp;".",","&amp;SUBSTITUTE(F197," ","")&amp;",")))*Справочник_ОКВЭД_НР!$L$9 +
  SUMPRODUCT(ISNUMBER(SEARCH(","&amp;Справочник_ОКВЭД_НР!$C$3:$C$62&amp;".",","&amp;SUBSTITUTE(F197," ","")&amp;",")))*Справочник_ОКВЭД_НР!$L$10 +
  SUMPRODUCT(ISNUMBER(SEARCH(","&amp;Справочник_ОКВЭД_НР!$E$3:$E$62&amp;".",","&amp;SUBSTITUTE(F197," ","")&amp;",")))*Справочник_ОКВЭД_НР!$L$11 +
  SUMPRODUCT(ISNUMBER(SEARCH(","&amp;Справочник_ОКВЭД_НР!$G$3:$G$62&amp;".",","&amp;SUBSTITUTE(F197," ","")&amp;",")))*Справочник_ОКВЭД_НР!$L$12) /
 (SUMPRODUCT(ISNUMBER(SEARCH(","&amp;Справочник_ОКВЭД_НР!$A$3:$A$62&amp;".",","&amp;SUBSTITUTE(F197," ","")&amp;","))) +
  SUMPRODUCT(ISNUMBER(SEARCH(","&amp;Справочник_ОКВЭД_НР!$C$3:$C$62&amp;".",","&amp;SUBSTITUTE(F197," ","")&amp;","))) +
  SUMPRODUCT(ISNUMBER(SEARCH(","&amp;Справочник_ОКВЭД_НР!$E$3:$E$62&amp;".",","&amp;SUBSTITUTE(F197," ","")&amp;","))) +
  SUMPRODUCT(ISNUMBER(SEARCH(","&amp;Справочник_ОКВЭД_НР!$G$3:$G$62&amp;".",","&amp;SUBSTITUTE(F197," ","")&amp;",")))),
50)</f>
        <v>50</v>
      </c>
      <c r="K197" s="30">
        <f>IFERROR(VLOOKUP(G197,Справочник_ОКВЭД_НР!$O:$P,2,FALSE()),50)</f>
        <v>50</v>
      </c>
      <c r="L197" s="45">
        <f>(I197*Справочник_ОКВЭД_НР!$L$2+J197*Справочник_ОКВЭД_НР!$L$3+K197*Справочник_ОКВЭД_НР!$L$4)*M197</f>
        <v>80</v>
      </c>
      <c r="M197" s="47">
        <f>IF(COUNTIF(Справочник_ОКВЭД_НР!$G$3:$G$62,H197)&gt;0,0,1)</f>
        <v>1</v>
      </c>
    </row>
    <row r="198" spans="1:13" x14ac:dyDescent="0.25">
      <c r="A198" s="4">
        <f>ЛИК_дляСкорингаДП!A198</f>
        <v>5077746928089</v>
      </c>
      <c r="B198" s="4">
        <f>ЛИК_дляСкорингаДП!B198</f>
        <v>7728624328</v>
      </c>
      <c r="C198" s="4" t="str">
        <f>ЛИК_дляСкорингаДП!C198</f>
        <v>ООО "Т-ИНВЕСТ"</v>
      </c>
      <c r="D198" s="5" t="str">
        <f>ЛИК_дляСкорингаДП!M198</f>
        <v>Капиталовложения в уставные капиталы, венчурное инвестирование, в том числе посредством инвестиционных компаний</v>
      </c>
      <c r="E198" s="4" t="str">
        <f>ЛИК_дляСкорингаДП!L198</f>
        <v>64.99.3</v>
      </c>
      <c r="F198" t="str">
        <f>ЛИК_дляСкорингаДП!N198</f>
        <v>64.99.11</v>
      </c>
      <c r="G198" s="25" t="str">
        <f>ЛИК_дляСкорингаДП!AG198</f>
        <v>УСН</v>
      </c>
      <c r="H198" s="55" t="str">
        <f>IF(ISNUMBER(E198),E198,
IFERROR(LEFT(E198,FIND(".",E198)-1),E198))</f>
        <v>64</v>
      </c>
      <c r="I198" s="30">
        <f>IF(COUNTIF(Справочник_ОКВЭД_НР!$A$3:$A$62,H198)&gt;0,Справочник_ОКВЭД_НР!$L$8,
 IF(COUNTIF(Справочник_ОКВЭД_НР!$C$3:$C$62,H198)&gt;0,Справочник_ОКВЭД_НР!$L$9,
  IF(COUNTIF(Справочник_ОКВЭД_НР!$E$3:$E$62,H198)&gt;0,Справочник_ОКВЭД_НР!$L$10,
   IF(COUNTIF(Справочник_ОКВЭД_НР!$G$3:$G$62,H198)&gt;0,Справочник_ОКВЭД_НР!$L$11,50))))</f>
        <v>60</v>
      </c>
      <c r="J198" s="30" cm="1">
        <f t="array" ref="J198">IFERROR(
 (SUMPRODUCT(ISNUMBER(SEARCH(","&amp;Справочник_ОКВЭД_НР!$A$3:$A$62&amp;".",","&amp;SUBSTITUTE(F198," ","")&amp;",")))*Справочник_ОКВЭД_НР!$L$9 +
  SUMPRODUCT(ISNUMBER(SEARCH(","&amp;Справочник_ОКВЭД_НР!$C$3:$C$62&amp;".",","&amp;SUBSTITUTE(F198," ","")&amp;",")))*Справочник_ОКВЭД_НР!$L$10 +
  SUMPRODUCT(ISNUMBER(SEARCH(","&amp;Справочник_ОКВЭД_НР!$E$3:$E$62&amp;".",","&amp;SUBSTITUTE(F198," ","")&amp;",")))*Справочник_ОКВЭД_НР!$L$11 +
  SUMPRODUCT(ISNUMBER(SEARCH(","&amp;Справочник_ОКВЭД_НР!$G$3:$G$62&amp;".",","&amp;SUBSTITUTE(F198," ","")&amp;",")))*Справочник_ОКВЭД_НР!$L$12) /
 (SUMPRODUCT(ISNUMBER(SEARCH(","&amp;Справочник_ОКВЭД_НР!$A$3:$A$62&amp;".",","&amp;SUBSTITUTE(F198," ","")&amp;","))) +
  SUMPRODUCT(ISNUMBER(SEARCH(","&amp;Справочник_ОКВЭД_НР!$C$3:$C$62&amp;".",","&amp;SUBSTITUTE(F198," ","")&amp;","))) +
  SUMPRODUCT(ISNUMBER(SEARCH(","&amp;Справочник_ОКВЭД_НР!$E$3:$E$62&amp;".",","&amp;SUBSTITUTE(F198," ","")&amp;","))) +
  SUMPRODUCT(ISNUMBER(SEARCH(","&amp;Справочник_ОКВЭД_НР!$G$3:$G$62&amp;".",","&amp;SUBSTITUTE(F198," ","")&amp;",")))),
50)</f>
        <v>50</v>
      </c>
      <c r="K198" s="30">
        <f>IFERROR(VLOOKUP(G198,Справочник_ОКВЭД_НР!$O:$P,2,FALSE()),50)</f>
        <v>50</v>
      </c>
      <c r="L198" s="45">
        <f>(I198*Справочник_ОКВЭД_НР!$L$2+J198*Справочник_ОКВЭД_НР!$L$3+K198*Справочник_ОКВЭД_НР!$L$4)*M198</f>
        <v>56</v>
      </c>
      <c r="M198" s="47">
        <f>IF(COUNTIF(Справочник_ОКВЭД_НР!$G$3:$G$62,H198)&gt;0,0,1)</f>
        <v>1</v>
      </c>
    </row>
    <row r="199" spans="1:13" x14ac:dyDescent="0.25">
      <c r="A199" s="4">
        <f>ЛИК_дляСкорингаДП!A199</f>
        <v>1035006495171</v>
      </c>
      <c r="B199" s="4">
        <f>ЛИК_дляСкорингаДП!B199</f>
        <v>5032094681</v>
      </c>
      <c r="C199" s="4" t="str">
        <f>ЛИК_дляСкорингаДП!C199</f>
        <v>ООО "ПКО "КРЕДИТ ИНКАСО РУС"</v>
      </c>
      <c r="D199" s="5" t="str">
        <f>ЛИК_дляСкорингаДП!M199</f>
        <v>Деятельность по предоставлению прочих вспомогательных услуг для бизнеса, не включенная в другие группировки</v>
      </c>
      <c r="E199" s="4" t="str">
        <f>ЛИК_дляСкорингаДП!L199</f>
        <v>82.99</v>
      </c>
      <c r="F199" t="str">
        <f>ЛИК_дляСкорингаДП!N199</f>
        <v>45.20,45.3,46.1,46.4,46.73,46.90,47.5,52.29,56.10,56.10.1,56.10.3,64.99,64.99.11,69.10,70.22,73.11,82.99</v>
      </c>
      <c r="G199" s="25" t="str">
        <f>ЛИК_дляСкорингаДП!AG199</f>
        <v>ОСН</v>
      </c>
      <c r="H199" s="55" t="str">
        <f>IF(ISNUMBER(E199),E199,
IFERROR(LEFT(E199,FIND(".",E199)-1),E199))</f>
        <v>82</v>
      </c>
      <c r="I199" s="30">
        <f>IF(COUNTIF(Справочник_ОКВЭД_НР!$A$3:$A$62,H199)&gt;0,Справочник_ОКВЭД_НР!$L$8,
 IF(COUNTIF(Справочник_ОКВЭД_НР!$C$3:$C$62,H199)&gt;0,Справочник_ОКВЭД_НР!$L$9,
  IF(COUNTIF(Справочник_ОКВЭД_НР!$E$3:$E$62,H199)&gt;0,Справочник_ОКВЭД_НР!$L$10,
   IF(COUNTIF(Справочник_ОКВЭД_НР!$G$3:$G$62,H199)&gt;0,Справочник_ОКВЭД_НР!$L$11,50))))</f>
        <v>30</v>
      </c>
      <c r="J199" s="30" cm="1">
        <f t="array" ref="J199">IFERROR(
 (SUMPRODUCT(ISNUMBER(SEARCH(","&amp;Справочник_ОКВЭД_НР!$A$3:$A$62&amp;".",","&amp;SUBSTITUTE(F199," ","")&amp;",")))*Справочник_ОКВЭД_НР!$L$9 +
  SUMPRODUCT(ISNUMBER(SEARCH(","&amp;Справочник_ОКВЭД_НР!$C$3:$C$62&amp;".",","&amp;SUBSTITUTE(F199," ","")&amp;",")))*Справочник_ОКВЭД_НР!$L$10 +
  SUMPRODUCT(ISNUMBER(SEARCH(","&amp;Справочник_ОКВЭД_НР!$E$3:$E$62&amp;".",","&amp;SUBSTITUTE(F199," ","")&amp;",")))*Справочник_ОКВЭД_НР!$L$11 +
  SUMPRODUCT(ISNUMBER(SEARCH(","&amp;Справочник_ОКВЭД_НР!$G$3:$G$62&amp;".",","&amp;SUBSTITUTE(F199," ","")&amp;",")))*Справочник_ОКВЭД_НР!$L$12) /
 (SUMPRODUCT(ISNUMBER(SEARCH(","&amp;Справочник_ОКВЭД_НР!$A$3:$A$62&amp;".",","&amp;SUBSTITUTE(F199," ","")&amp;","))) +
  SUMPRODUCT(ISNUMBER(SEARCH(","&amp;Справочник_ОКВЭД_НР!$C$3:$C$62&amp;".",","&amp;SUBSTITUTE(F199," ","")&amp;","))) +
  SUMPRODUCT(ISNUMBER(SEARCH(","&amp;Справочник_ОКВЭД_НР!$E$3:$E$62&amp;".",","&amp;SUBSTITUTE(F199," ","")&amp;","))) +
  SUMPRODUCT(ISNUMBER(SEARCH(","&amp;Справочник_ОКВЭД_НР!$G$3:$G$62&amp;".",","&amp;SUBSTITUTE(F199," ","")&amp;",")))),
50)</f>
        <v>50</v>
      </c>
      <c r="K199" s="30">
        <f>IFERROR(VLOOKUP(G199,Справочник_ОКВЭД_НР!$O:$P,2,FALSE()),50)</f>
        <v>100</v>
      </c>
      <c r="L199" s="45">
        <f>(I199*Справочник_ОКВЭД_НР!$L$2+J199*Справочник_ОКВЭД_НР!$L$3+K199*Справочник_ОКВЭД_НР!$L$4)*M199</f>
        <v>45.5</v>
      </c>
      <c r="M199" s="47">
        <f>IF(COUNTIF(Справочник_ОКВЭД_НР!$G$3:$G$62,H199)&gt;0,0,1)</f>
        <v>1</v>
      </c>
    </row>
    <row r="200" spans="1:13" x14ac:dyDescent="0.25">
      <c r="A200" s="4">
        <f>ЛИК_дляСкорингаДП!A200</f>
        <v>1035006464767</v>
      </c>
      <c r="B200" s="4">
        <f>ЛИК_дляСкорингаДП!B200</f>
        <v>5032015016</v>
      </c>
      <c r="C200" s="4" t="str">
        <f>ЛИК_дляСкорингаДП!C200</f>
        <v>ООО "АКОС"</v>
      </c>
      <c r="D200" s="5" t="str">
        <f>ЛИК_дляСкорингаДП!M200</f>
        <v>Аренда и управление собственным или арендованным нежилым недвижимым имуществом</v>
      </c>
      <c r="E200" s="4" t="str">
        <f>ЛИК_дляСкорингаДП!L200</f>
        <v>68.20.2</v>
      </c>
      <c r="F200" t="str">
        <f>ЛИК_дляСкорингаДП!N200</f>
        <v>46.73,47.52,49.4,52.10,52.24,52.29,82.92</v>
      </c>
      <c r="G200" s="25" t="str">
        <f>ЛИК_дляСкорингаДП!AG200</f>
        <v>УСН</v>
      </c>
      <c r="H200" s="55" t="str">
        <f>IF(ISNUMBER(E200),E200,
IFERROR(LEFT(E200,FIND(".",E200)-1),E200))</f>
        <v>68</v>
      </c>
      <c r="I200" s="30">
        <f>IF(COUNTIF(Справочник_ОКВЭД_НР!$A$3:$A$62,H200)&gt;0,Справочник_ОКВЭД_НР!$L$8,
 IF(COUNTIF(Справочник_ОКВЭД_НР!$C$3:$C$62,H200)&gt;0,Справочник_ОКВЭД_НР!$L$9,
  IF(COUNTIF(Справочник_ОКВЭД_НР!$E$3:$E$62,H200)&gt;0,Справочник_ОКВЭД_НР!$L$10,
   IF(COUNTIF(Справочник_ОКВЭД_НР!$G$3:$G$62,H200)&gt;0,Справочник_ОКВЭД_НР!$L$11,50))))</f>
        <v>100</v>
      </c>
      <c r="J200" s="30" cm="1">
        <f t="array" ref="J200">IFERROR(
 (SUMPRODUCT(ISNUMBER(SEARCH(","&amp;Справочник_ОКВЭД_НР!$A$3:$A$62&amp;".",","&amp;SUBSTITUTE(F200," ","")&amp;",")))*Справочник_ОКВЭД_НР!$L$9 +
  SUMPRODUCT(ISNUMBER(SEARCH(","&amp;Справочник_ОКВЭД_НР!$C$3:$C$62&amp;".",","&amp;SUBSTITUTE(F200," ","")&amp;",")))*Справочник_ОКВЭД_НР!$L$10 +
  SUMPRODUCT(ISNUMBER(SEARCH(","&amp;Справочник_ОКВЭД_НР!$E$3:$E$62&amp;".",","&amp;SUBSTITUTE(F200," ","")&amp;",")))*Справочник_ОКВЭД_НР!$L$11 +
  SUMPRODUCT(ISNUMBER(SEARCH(","&amp;Справочник_ОКВЭД_НР!$G$3:$G$62&amp;".",","&amp;SUBSTITUTE(F200," ","")&amp;",")))*Справочник_ОКВЭД_НР!$L$12) /
 (SUMPRODUCT(ISNUMBER(SEARCH(","&amp;Справочник_ОКВЭД_НР!$A$3:$A$62&amp;".",","&amp;SUBSTITUTE(F200," ","")&amp;","))) +
  SUMPRODUCT(ISNUMBER(SEARCH(","&amp;Справочник_ОКВЭД_НР!$C$3:$C$62&amp;".",","&amp;SUBSTITUTE(F200," ","")&amp;","))) +
  SUMPRODUCT(ISNUMBER(SEARCH(","&amp;Справочник_ОКВЭД_НР!$E$3:$E$62&amp;".",","&amp;SUBSTITUTE(F200," ","")&amp;","))) +
  SUMPRODUCT(ISNUMBER(SEARCH(","&amp;Справочник_ОКВЭД_НР!$G$3:$G$62&amp;".",","&amp;SUBSTITUTE(F200," ","")&amp;",")))),
50)</f>
        <v>50</v>
      </c>
      <c r="K200" s="30">
        <f>IFERROR(VLOOKUP(G200,Справочник_ОКВЭД_НР!$O:$P,2,FALSE()),50)</f>
        <v>50</v>
      </c>
      <c r="L200" s="45">
        <f>(I200*Справочник_ОКВЭД_НР!$L$2+J200*Справочник_ОКВЭД_НР!$L$3+K200*Справочник_ОКВЭД_НР!$L$4)*M200</f>
        <v>80</v>
      </c>
      <c r="M200" s="47">
        <f>IF(COUNTIF(Справочник_ОКВЭД_НР!$G$3:$G$62,H200)&gt;0,0,1)</f>
        <v>1</v>
      </c>
    </row>
    <row r="201" spans="1:13" x14ac:dyDescent="0.25">
      <c r="A201" s="4">
        <f>ЛИК_дляСкорингаДП!A201</f>
        <v>1127746718703</v>
      </c>
      <c r="B201" s="4">
        <f>ЛИК_дляСкорингаДП!B201</f>
        <v>7734686668</v>
      </c>
      <c r="C201" s="4" t="str">
        <f>ЛИК_дляСкорингаДП!C201</f>
        <v>ООО "РЕММЕРС"</v>
      </c>
      <c r="D201" s="5" t="str">
        <f>ЛИК_дляСкорингаДП!M201</f>
        <v>Торговля оптовая прочими строительными материалами и изделиями</v>
      </c>
      <c r="E201" s="4" t="str">
        <f>ЛИК_дляСкорингаДП!L201</f>
        <v>46.73.6</v>
      </c>
      <c r="F201" t="str">
        <f>ЛИК_дляСкорингаДП!N201</f>
        <v>16.10.9,20.12,20.13,20.14,20.30,20.30.1,20.30.2,20.59,47.19,47.52,47.91,49.41,52.24,52.29,70.22,73.1,74.90.6,82.92,82.99</v>
      </c>
      <c r="G201" s="25" t="str">
        <f>ЛИК_дляСкорингаДП!AG201</f>
        <v>ОСН</v>
      </c>
      <c r="H201" s="55" t="str">
        <f>IF(ISNUMBER(E201),E201,
IFERROR(LEFT(E201,FIND(".",E201)-1),E201))</f>
        <v>46</v>
      </c>
      <c r="I201" s="30">
        <f>IF(COUNTIF(Справочник_ОКВЭД_НР!$A$3:$A$62,H201)&gt;0,Справочник_ОКВЭД_НР!$L$8,
 IF(COUNTIF(Справочник_ОКВЭД_НР!$C$3:$C$62,H201)&gt;0,Справочник_ОКВЭД_НР!$L$9,
  IF(COUNTIF(Справочник_ОКВЭД_НР!$E$3:$E$62,H201)&gt;0,Справочник_ОКВЭД_НР!$L$10,
   IF(COUNTIF(Справочник_ОКВЭД_НР!$G$3:$G$62,H201)&gt;0,Справочник_ОКВЭД_НР!$L$11,50))))</f>
        <v>60</v>
      </c>
      <c r="J201" s="30" cm="1">
        <f t="array" ref="J201">IFERROR(
 (SUMPRODUCT(ISNUMBER(SEARCH(","&amp;Справочник_ОКВЭД_НР!$A$3:$A$62&amp;".",","&amp;SUBSTITUTE(F201," ","")&amp;",")))*Справочник_ОКВЭД_НР!$L$9 +
  SUMPRODUCT(ISNUMBER(SEARCH(","&amp;Справочник_ОКВЭД_НР!$C$3:$C$62&amp;".",","&amp;SUBSTITUTE(F201," ","")&amp;",")))*Справочник_ОКВЭД_НР!$L$10 +
  SUMPRODUCT(ISNUMBER(SEARCH(","&amp;Справочник_ОКВЭД_НР!$E$3:$E$62&amp;".",","&amp;SUBSTITUTE(F201," ","")&amp;",")))*Справочник_ОКВЭД_НР!$L$11 +
  SUMPRODUCT(ISNUMBER(SEARCH(","&amp;Справочник_ОКВЭД_НР!$G$3:$G$62&amp;".",","&amp;SUBSTITUTE(F201," ","")&amp;",")))*Справочник_ОКВЭД_НР!$L$12) /
 (SUMPRODUCT(ISNUMBER(SEARCH(","&amp;Справочник_ОКВЭД_НР!$A$3:$A$62&amp;".",","&amp;SUBSTITUTE(F201," ","")&amp;","))) +
  SUMPRODUCT(ISNUMBER(SEARCH(","&amp;Справочник_ОКВЭД_НР!$C$3:$C$62&amp;".",","&amp;SUBSTITUTE(F201," ","")&amp;","))) +
  SUMPRODUCT(ISNUMBER(SEARCH(","&amp;Справочник_ОКВЭД_НР!$E$3:$E$62&amp;".",","&amp;SUBSTITUTE(F201," ","")&amp;","))) +
  SUMPRODUCT(ISNUMBER(SEARCH(","&amp;Справочник_ОКВЭД_НР!$G$3:$G$62&amp;".",","&amp;SUBSTITUTE(F201," ","")&amp;",")))),
50)</f>
        <v>50</v>
      </c>
      <c r="K201" s="30">
        <f>IFERROR(VLOOKUP(G201,Справочник_ОКВЭД_НР!$O:$P,2,FALSE()),50)</f>
        <v>100</v>
      </c>
      <c r="L201" s="45">
        <f>(I201*Справочник_ОКВЭД_НР!$L$2+J201*Справочник_ОКВЭД_НР!$L$3+K201*Справочник_ОКВЭД_НР!$L$4)*M201</f>
        <v>63.5</v>
      </c>
      <c r="M201" s="47">
        <f>IF(COUNTIF(Справочник_ОКВЭД_НР!$G$3:$G$62,H201)&gt;0,0,1)</f>
        <v>1</v>
      </c>
    </row>
    <row r="202" spans="1:13" x14ac:dyDescent="0.25">
      <c r="A202" s="4">
        <f>ЛИК_дляСкорингаДП!A202</f>
        <v>1125003004741</v>
      </c>
      <c r="B202" s="4">
        <f>ЛИК_дляСкорингаДП!B202</f>
        <v>5046075713</v>
      </c>
      <c r="C202" s="4" t="str">
        <f>ЛИК_дляСкорингаДП!C202</f>
        <v>ООО "НЦ ТЕХНОСПАРК"</v>
      </c>
      <c r="D202" s="5" t="str">
        <f>ЛИК_дляСкорингаДП!M202</f>
        <v>Деятельность по предоставлению прочих финансовых услуг, кроме услуг по страхованию и пенсионному обеспечению</v>
      </c>
      <c r="E202" s="4" t="str">
        <f>ЛИК_дляСкорингаДП!L202</f>
        <v>64.9</v>
      </c>
      <c r="F202" t="str">
        <f>ЛИК_дляСкорингаДП!N202</f>
        <v>46.90,64.92,68.20,70.22,72.19,73.20,77.39.29</v>
      </c>
      <c r="G202" s="25" t="str">
        <f>ЛИК_дляСкорингаДП!AG202</f>
        <v>ОСН</v>
      </c>
      <c r="H202" s="55" t="str">
        <f>IF(ISNUMBER(E202),E202,
IFERROR(LEFT(E202,FIND(".",E202)-1),E202))</f>
        <v>64</v>
      </c>
      <c r="I202" s="30">
        <f>IF(COUNTIF(Справочник_ОКВЭД_НР!$A$3:$A$62,H202)&gt;0,Справочник_ОКВЭД_НР!$L$8,
 IF(COUNTIF(Справочник_ОКВЭД_НР!$C$3:$C$62,H202)&gt;0,Справочник_ОКВЭД_НР!$L$9,
  IF(COUNTIF(Справочник_ОКВЭД_НР!$E$3:$E$62,H202)&gt;0,Справочник_ОКВЭД_НР!$L$10,
   IF(COUNTIF(Справочник_ОКВЭД_НР!$G$3:$G$62,H202)&gt;0,Справочник_ОКВЭД_НР!$L$11,50))))</f>
        <v>60</v>
      </c>
      <c r="J202" s="30" cm="1">
        <f t="array" ref="J202">IFERROR(
 (SUMPRODUCT(ISNUMBER(SEARCH(","&amp;Справочник_ОКВЭД_НР!$A$3:$A$62&amp;".",","&amp;SUBSTITUTE(F202," ","")&amp;",")))*Справочник_ОКВЭД_НР!$L$9 +
  SUMPRODUCT(ISNUMBER(SEARCH(","&amp;Справочник_ОКВЭД_НР!$C$3:$C$62&amp;".",","&amp;SUBSTITUTE(F202," ","")&amp;",")))*Справочник_ОКВЭД_НР!$L$10 +
  SUMPRODUCT(ISNUMBER(SEARCH(","&amp;Справочник_ОКВЭД_НР!$E$3:$E$62&amp;".",","&amp;SUBSTITUTE(F202," ","")&amp;",")))*Справочник_ОКВЭД_НР!$L$11 +
  SUMPRODUCT(ISNUMBER(SEARCH(","&amp;Справочник_ОКВЭД_НР!$G$3:$G$62&amp;".",","&amp;SUBSTITUTE(F202," ","")&amp;",")))*Справочник_ОКВЭД_НР!$L$12) /
 (SUMPRODUCT(ISNUMBER(SEARCH(","&amp;Справочник_ОКВЭД_НР!$A$3:$A$62&amp;".",","&amp;SUBSTITUTE(F202," ","")&amp;","))) +
  SUMPRODUCT(ISNUMBER(SEARCH(","&amp;Справочник_ОКВЭД_НР!$C$3:$C$62&amp;".",","&amp;SUBSTITUTE(F202," ","")&amp;","))) +
  SUMPRODUCT(ISNUMBER(SEARCH(","&amp;Справочник_ОКВЭД_НР!$E$3:$E$62&amp;".",","&amp;SUBSTITUTE(F202," ","")&amp;","))) +
  SUMPRODUCT(ISNUMBER(SEARCH(","&amp;Справочник_ОКВЭД_НР!$G$3:$G$62&amp;".",","&amp;SUBSTITUTE(F202," ","")&amp;",")))),
50)</f>
        <v>50</v>
      </c>
      <c r="K202" s="30">
        <f>IFERROR(VLOOKUP(G202,Справочник_ОКВЭД_НР!$O:$P,2,FALSE()),50)</f>
        <v>100</v>
      </c>
      <c r="L202" s="45">
        <f>(I202*Справочник_ОКВЭД_НР!$L$2+J202*Справочник_ОКВЭД_НР!$L$3+K202*Справочник_ОКВЭД_НР!$L$4)*M202</f>
        <v>63.5</v>
      </c>
      <c r="M202" s="47">
        <f>IF(COUNTIF(Справочник_ОКВЭД_НР!$G$3:$G$62,H202)&gt;0,0,1)</f>
        <v>1</v>
      </c>
    </row>
    <row r="203" spans="1:13" x14ac:dyDescent="0.25">
      <c r="A203" s="4">
        <f>ЛИК_дляСкорингаДП!A203</f>
        <v>1137746856565</v>
      </c>
      <c r="B203" s="4">
        <f>ЛИК_дляСкорингаДП!B203</f>
        <v>7736664814</v>
      </c>
      <c r="C203" s="4" t="str">
        <f>ЛИК_дляСкорингаДП!C203</f>
        <v>ООО "МИДАС"</v>
      </c>
      <c r="D203" s="5" t="str">
        <f>ЛИК_дляСкорингаДП!M203</f>
        <v>Деятельность консультативная и работы в области компьютерных технологий</v>
      </c>
      <c r="E203" s="4" t="str">
        <f>ЛИК_дляСкорингаДП!L203</f>
        <v>62.02</v>
      </c>
      <c r="F203" t="str">
        <f>ЛИК_дляСкорингаДП!N203</f>
        <v>26.20,62.01,62.09,63.11,63.11.1,85.30,85.42</v>
      </c>
      <c r="G203" s="25" t="str">
        <f>ЛИК_дляСкорингаДП!AG203</f>
        <v>ОСН</v>
      </c>
      <c r="H203" s="55" t="str">
        <f>IF(ISNUMBER(E203),E203,
IFERROR(LEFT(E203,FIND(".",E203)-1),E203))</f>
        <v>62</v>
      </c>
      <c r="I203" s="30">
        <f>IF(COUNTIF(Справочник_ОКВЭД_НР!$A$3:$A$62,H203)&gt;0,Справочник_ОКВЭД_НР!$L$8,
 IF(COUNTIF(Справочник_ОКВЭД_НР!$C$3:$C$62,H203)&gt;0,Справочник_ОКВЭД_НР!$L$9,
  IF(COUNTIF(Справочник_ОКВЭД_НР!$E$3:$E$62,H203)&gt;0,Справочник_ОКВЭД_НР!$L$10,
   IF(COUNTIF(Справочник_ОКВЭД_НР!$G$3:$G$62,H203)&gt;0,Справочник_ОКВЭД_НР!$L$11,50))))</f>
        <v>100</v>
      </c>
      <c r="J203" s="30" cm="1">
        <f t="array" ref="J203">IFERROR(
 (SUMPRODUCT(ISNUMBER(SEARCH(","&amp;Справочник_ОКВЭД_НР!$A$3:$A$62&amp;".",","&amp;SUBSTITUTE(F203," ","")&amp;",")))*Справочник_ОКВЭД_НР!$L$9 +
  SUMPRODUCT(ISNUMBER(SEARCH(","&amp;Справочник_ОКВЭД_НР!$C$3:$C$62&amp;".",","&amp;SUBSTITUTE(F203," ","")&amp;",")))*Справочник_ОКВЭД_НР!$L$10 +
  SUMPRODUCT(ISNUMBER(SEARCH(","&amp;Справочник_ОКВЭД_НР!$E$3:$E$62&amp;".",","&amp;SUBSTITUTE(F203," ","")&amp;",")))*Справочник_ОКВЭД_НР!$L$11 +
  SUMPRODUCT(ISNUMBER(SEARCH(","&amp;Справочник_ОКВЭД_НР!$G$3:$G$62&amp;".",","&amp;SUBSTITUTE(F203," ","")&amp;",")))*Справочник_ОКВЭД_НР!$L$12) /
 (SUMPRODUCT(ISNUMBER(SEARCH(","&amp;Справочник_ОКВЭД_НР!$A$3:$A$62&amp;".",","&amp;SUBSTITUTE(F203," ","")&amp;","))) +
  SUMPRODUCT(ISNUMBER(SEARCH(","&amp;Справочник_ОКВЭД_НР!$C$3:$C$62&amp;".",","&amp;SUBSTITUTE(F203," ","")&amp;","))) +
  SUMPRODUCT(ISNUMBER(SEARCH(","&amp;Справочник_ОКВЭД_НР!$E$3:$E$62&amp;".",","&amp;SUBSTITUTE(F203," ","")&amp;","))) +
  SUMPRODUCT(ISNUMBER(SEARCH(","&amp;Справочник_ОКВЭД_НР!$G$3:$G$62&amp;".",","&amp;SUBSTITUTE(F203," ","")&amp;",")))),
50)</f>
        <v>50</v>
      </c>
      <c r="K203" s="30">
        <f>IFERROR(VLOOKUP(G203,Справочник_ОКВЭД_НР!$O:$P,2,FALSE()),50)</f>
        <v>100</v>
      </c>
      <c r="L203" s="45">
        <f>(I203*Справочник_ОКВЭД_НР!$L$2+J203*Справочник_ОКВЭД_НР!$L$3+K203*Справочник_ОКВЭД_НР!$L$4)*M203</f>
        <v>87.5</v>
      </c>
      <c r="M203" s="47">
        <f>IF(COUNTIF(Справочник_ОКВЭД_НР!$G$3:$G$62,H203)&gt;0,0,1)</f>
        <v>1</v>
      </c>
    </row>
    <row r="204" spans="1:13" x14ac:dyDescent="0.25">
      <c r="A204" s="4">
        <f>ЛИК_дляСкорингаДП!A204</f>
        <v>1047796842356</v>
      </c>
      <c r="B204" s="4">
        <f>ЛИК_дляСкорингаДП!B204</f>
        <v>7710562960</v>
      </c>
      <c r="C204" s="4" t="str">
        <f>ЛИК_дляСкорингаДП!C204</f>
        <v>ООО "АБЕТ"</v>
      </c>
      <c r="D204" s="5" t="str">
        <f>ЛИК_дляСкорингаДП!M204</f>
        <v>Торговля оптовая прочими промежуточными продуктами</v>
      </c>
      <c r="E204" s="4" t="str">
        <f>ЛИК_дляСкорингаДП!L204</f>
        <v>46.76</v>
      </c>
      <c r="F204" t="str">
        <f>ЛИК_дляСкорингаДП!N204</f>
        <v>31.09,46.1,46.47.3,46.90,47.78.9,52.29,68.10,68.20,69.10,69.20,70.22,73.11,73.20,74.30,82.19,82.99</v>
      </c>
      <c r="G204" s="25" t="str">
        <f>ЛИК_дляСкорингаДП!AG204</f>
        <v>ОСН</v>
      </c>
      <c r="H204" s="55" t="str">
        <f>IF(ISNUMBER(E204),E204,
IFERROR(LEFT(E204,FIND(".",E204)-1),E204))</f>
        <v>46</v>
      </c>
      <c r="I204" s="30">
        <f>IF(COUNTIF(Справочник_ОКВЭД_НР!$A$3:$A$62,H204)&gt;0,Справочник_ОКВЭД_НР!$L$8,
 IF(COUNTIF(Справочник_ОКВЭД_НР!$C$3:$C$62,H204)&gt;0,Справочник_ОКВЭД_НР!$L$9,
  IF(COUNTIF(Справочник_ОКВЭД_НР!$E$3:$E$62,H204)&gt;0,Справочник_ОКВЭД_НР!$L$10,
   IF(COUNTIF(Справочник_ОКВЭД_НР!$G$3:$G$62,H204)&gt;0,Справочник_ОКВЭД_НР!$L$11,50))))</f>
        <v>60</v>
      </c>
      <c r="J204" s="30" cm="1">
        <f t="array" ref="J204">IFERROR(
 (SUMPRODUCT(ISNUMBER(SEARCH(","&amp;Справочник_ОКВЭД_НР!$A$3:$A$62&amp;".",","&amp;SUBSTITUTE(F204," ","")&amp;",")))*Справочник_ОКВЭД_НР!$L$9 +
  SUMPRODUCT(ISNUMBER(SEARCH(","&amp;Справочник_ОКВЭД_НР!$C$3:$C$62&amp;".",","&amp;SUBSTITUTE(F204," ","")&amp;",")))*Справочник_ОКВЭД_НР!$L$10 +
  SUMPRODUCT(ISNUMBER(SEARCH(","&amp;Справочник_ОКВЭД_НР!$E$3:$E$62&amp;".",","&amp;SUBSTITUTE(F204," ","")&amp;",")))*Справочник_ОКВЭД_НР!$L$11 +
  SUMPRODUCT(ISNUMBER(SEARCH(","&amp;Справочник_ОКВЭД_НР!$G$3:$G$62&amp;".",","&amp;SUBSTITUTE(F204," ","")&amp;",")))*Справочник_ОКВЭД_НР!$L$12) /
 (SUMPRODUCT(ISNUMBER(SEARCH(","&amp;Справочник_ОКВЭД_НР!$A$3:$A$62&amp;".",","&amp;SUBSTITUTE(F204," ","")&amp;","))) +
  SUMPRODUCT(ISNUMBER(SEARCH(","&amp;Справочник_ОКВЭД_НР!$C$3:$C$62&amp;".",","&amp;SUBSTITUTE(F204," ","")&amp;","))) +
  SUMPRODUCT(ISNUMBER(SEARCH(","&amp;Справочник_ОКВЭД_НР!$E$3:$E$62&amp;".",","&amp;SUBSTITUTE(F204," ","")&amp;","))) +
  SUMPRODUCT(ISNUMBER(SEARCH(","&amp;Справочник_ОКВЭД_НР!$G$3:$G$62&amp;".",","&amp;SUBSTITUTE(F204," ","")&amp;",")))),
50)</f>
        <v>50</v>
      </c>
      <c r="K204" s="30">
        <f>IFERROR(VLOOKUP(G204,Справочник_ОКВЭД_НР!$O:$P,2,FALSE()),50)</f>
        <v>100</v>
      </c>
      <c r="L204" s="45">
        <f>(I204*Справочник_ОКВЭД_НР!$L$2+J204*Справочник_ОКВЭД_НР!$L$3+K204*Справочник_ОКВЭД_НР!$L$4)*M204</f>
        <v>63.5</v>
      </c>
      <c r="M204" s="47">
        <f>IF(COUNTIF(Справочник_ОКВЭД_НР!$G$3:$G$62,H204)&gt;0,0,1)</f>
        <v>1</v>
      </c>
    </row>
    <row r="205" spans="1:13" x14ac:dyDescent="0.25">
      <c r="A205" s="4">
        <f>ЛИК_дляСкорингаДП!A205</f>
        <v>1027700039894</v>
      </c>
      <c r="B205" s="4">
        <f>ЛИК_дляСкорингаДП!B205</f>
        <v>7714280363</v>
      </c>
      <c r="C205" s="4" t="str">
        <f>ЛИК_дляСкорингаДП!C205</f>
        <v>ООО "СУПЕРОЙЛ"</v>
      </c>
      <c r="D205" s="5" t="str">
        <f>ЛИК_дляСкорингаДП!M205</f>
        <v>Торговля оптовая твердым, жидким и газообразным топливом и подобными продуктами</v>
      </c>
      <c r="E205" s="4" t="str">
        <f>ЛИК_дляСкорингаДП!L205</f>
        <v>46.71</v>
      </c>
      <c r="F205" t="str">
        <f>ЛИК_дляСкорингаДП!N205</f>
        <v>08.12,08.12.1,42.11,46.73,47.11,47.30,47.52,47.52.79,47.81,49.20,49.20.1,49.20.9,49.41,50.20,50.40,52.21,68.10,79.90,88.99</v>
      </c>
      <c r="G205" s="25" t="str">
        <f>ЛИК_дляСкорингаДП!AG205</f>
        <v>ОСН</v>
      </c>
      <c r="H205" s="55" t="str">
        <f>IF(ISNUMBER(E205),E205,
IFERROR(LEFT(E205,FIND(".",E205)-1),E205))</f>
        <v>46</v>
      </c>
      <c r="I205" s="30">
        <f>IF(COUNTIF(Справочник_ОКВЭД_НР!$A$3:$A$62,H205)&gt;0,Справочник_ОКВЭД_НР!$L$8,
 IF(COUNTIF(Справочник_ОКВЭД_НР!$C$3:$C$62,H205)&gt;0,Справочник_ОКВЭД_НР!$L$9,
  IF(COUNTIF(Справочник_ОКВЭД_НР!$E$3:$E$62,H205)&gt;0,Справочник_ОКВЭД_НР!$L$10,
   IF(COUNTIF(Справочник_ОКВЭД_НР!$G$3:$G$62,H205)&gt;0,Справочник_ОКВЭД_НР!$L$11,50))))</f>
        <v>60</v>
      </c>
      <c r="J205" s="30" cm="1">
        <f t="array" ref="J205">IFERROR(
 (SUMPRODUCT(ISNUMBER(SEARCH(","&amp;Справочник_ОКВЭД_НР!$A$3:$A$62&amp;".",","&amp;SUBSTITUTE(F205," ","")&amp;",")))*Справочник_ОКВЭД_НР!$L$9 +
  SUMPRODUCT(ISNUMBER(SEARCH(","&amp;Справочник_ОКВЭД_НР!$C$3:$C$62&amp;".",","&amp;SUBSTITUTE(F205," ","")&amp;",")))*Справочник_ОКВЭД_НР!$L$10 +
  SUMPRODUCT(ISNUMBER(SEARCH(","&amp;Справочник_ОКВЭД_НР!$E$3:$E$62&amp;".",","&amp;SUBSTITUTE(F205," ","")&amp;",")))*Справочник_ОКВЭД_НР!$L$11 +
  SUMPRODUCT(ISNUMBER(SEARCH(","&amp;Справочник_ОКВЭД_НР!$G$3:$G$62&amp;".",","&amp;SUBSTITUTE(F205," ","")&amp;",")))*Справочник_ОКВЭД_НР!$L$12) /
 (SUMPRODUCT(ISNUMBER(SEARCH(","&amp;Справочник_ОКВЭД_НР!$A$3:$A$62&amp;".",","&amp;SUBSTITUTE(F205," ","")&amp;","))) +
  SUMPRODUCT(ISNUMBER(SEARCH(","&amp;Справочник_ОКВЭД_НР!$C$3:$C$62&amp;".",","&amp;SUBSTITUTE(F205," ","")&amp;","))) +
  SUMPRODUCT(ISNUMBER(SEARCH(","&amp;Справочник_ОКВЭД_НР!$E$3:$E$62&amp;".",","&amp;SUBSTITUTE(F205," ","")&amp;","))) +
  SUMPRODUCT(ISNUMBER(SEARCH(","&amp;Справочник_ОКВЭД_НР!$G$3:$G$62&amp;".",","&amp;SUBSTITUTE(F205," ","")&amp;",")))),
50)</f>
        <v>50</v>
      </c>
      <c r="K205" s="30">
        <f>IFERROR(VLOOKUP(G205,Справочник_ОКВЭД_НР!$O:$P,2,FALSE()),50)</f>
        <v>100</v>
      </c>
      <c r="L205" s="45">
        <f>(I205*Справочник_ОКВЭД_НР!$L$2+J205*Справочник_ОКВЭД_НР!$L$3+K205*Справочник_ОКВЭД_НР!$L$4)*M205</f>
        <v>63.5</v>
      </c>
      <c r="M205" s="47">
        <f>IF(COUNTIF(Справочник_ОКВЭД_НР!$G$3:$G$62,H205)&gt;0,0,1)</f>
        <v>1</v>
      </c>
    </row>
    <row r="206" spans="1:13" x14ac:dyDescent="0.25">
      <c r="A206" s="4">
        <f>ЛИК_дляСкорингаДП!A206</f>
        <v>1047796786366</v>
      </c>
      <c r="B206" s="4">
        <f>ЛИК_дляСкорингаДП!B206</f>
        <v>7708540616</v>
      </c>
      <c r="C206" s="4" t="str">
        <f>ЛИК_дляСкорингаДП!C206</f>
        <v>ООО "ИМА ИНДАСТРИЗ"</v>
      </c>
      <c r="D206" s="5" t="str">
        <f>ЛИК_дляСкорингаДП!M206</f>
        <v>Торговля оптовая машинами и оборудованием для производства пищевых продуктов, напитков и табачных изделий</v>
      </c>
      <c r="E206" s="4" t="str">
        <f>ЛИК_дляСкорингаДП!L206</f>
        <v>46.69.4</v>
      </c>
      <c r="F206" t="str">
        <f>ЛИК_дляСкорингаДП!N206</f>
        <v>32.99.9,33.12,46.14.9,46.18.99,46.19,46.6,46.69,46.69.2,46.69.4,46.69.9,46.90,52.29,73.20.1</v>
      </c>
      <c r="G206" s="25" t="str">
        <f>ЛИК_дляСкорингаДП!AG206</f>
        <v>ОСН</v>
      </c>
      <c r="H206" s="55" t="str">
        <f>IF(ISNUMBER(E206),E206,
IFERROR(LEFT(E206,FIND(".",E206)-1),E206))</f>
        <v>46</v>
      </c>
      <c r="I206" s="30">
        <f>IF(COUNTIF(Справочник_ОКВЭД_НР!$A$3:$A$62,H206)&gt;0,Справочник_ОКВЭД_НР!$L$8,
 IF(COUNTIF(Справочник_ОКВЭД_НР!$C$3:$C$62,H206)&gt;0,Справочник_ОКВЭД_НР!$L$9,
  IF(COUNTIF(Справочник_ОКВЭД_НР!$E$3:$E$62,H206)&gt;0,Справочник_ОКВЭД_НР!$L$10,
   IF(COUNTIF(Справочник_ОКВЭД_НР!$G$3:$G$62,H206)&gt;0,Справочник_ОКВЭД_НР!$L$11,50))))</f>
        <v>60</v>
      </c>
      <c r="J206" s="30" cm="1">
        <f t="array" ref="J206">IFERROR(
 (SUMPRODUCT(ISNUMBER(SEARCH(","&amp;Справочник_ОКВЭД_НР!$A$3:$A$62&amp;".",","&amp;SUBSTITUTE(F206," ","")&amp;",")))*Справочник_ОКВЭД_НР!$L$9 +
  SUMPRODUCT(ISNUMBER(SEARCH(","&amp;Справочник_ОКВЭД_НР!$C$3:$C$62&amp;".",","&amp;SUBSTITUTE(F206," ","")&amp;",")))*Справочник_ОКВЭД_НР!$L$10 +
  SUMPRODUCT(ISNUMBER(SEARCH(","&amp;Справочник_ОКВЭД_НР!$E$3:$E$62&amp;".",","&amp;SUBSTITUTE(F206," ","")&amp;",")))*Справочник_ОКВЭД_НР!$L$11 +
  SUMPRODUCT(ISNUMBER(SEARCH(","&amp;Справочник_ОКВЭД_НР!$G$3:$G$62&amp;".",","&amp;SUBSTITUTE(F206," ","")&amp;",")))*Справочник_ОКВЭД_НР!$L$12) /
 (SUMPRODUCT(ISNUMBER(SEARCH(","&amp;Справочник_ОКВЭД_НР!$A$3:$A$62&amp;".",","&amp;SUBSTITUTE(F206," ","")&amp;","))) +
  SUMPRODUCT(ISNUMBER(SEARCH(","&amp;Справочник_ОКВЭД_НР!$C$3:$C$62&amp;".",","&amp;SUBSTITUTE(F206," ","")&amp;","))) +
  SUMPRODUCT(ISNUMBER(SEARCH(","&amp;Справочник_ОКВЭД_НР!$E$3:$E$62&amp;".",","&amp;SUBSTITUTE(F206," ","")&amp;","))) +
  SUMPRODUCT(ISNUMBER(SEARCH(","&amp;Справочник_ОКВЭД_НР!$G$3:$G$62&amp;".",","&amp;SUBSTITUTE(F206," ","")&amp;",")))),
50)</f>
        <v>50</v>
      </c>
      <c r="K206" s="30">
        <f>IFERROR(VLOOKUP(G206,Справочник_ОКВЭД_НР!$O:$P,2,FALSE()),50)</f>
        <v>100</v>
      </c>
      <c r="L206" s="45">
        <f>(I206*Справочник_ОКВЭД_НР!$L$2+J206*Справочник_ОКВЭД_НР!$L$3+K206*Справочник_ОКВЭД_НР!$L$4)*M206</f>
        <v>63.5</v>
      </c>
      <c r="M206" s="47">
        <f>IF(COUNTIF(Справочник_ОКВЭД_НР!$G$3:$G$62,H206)&gt;0,0,1)</f>
        <v>1</v>
      </c>
    </row>
    <row r="207" spans="1:13" x14ac:dyDescent="0.25">
      <c r="A207" s="4">
        <f>ЛИК_дляСкорингаДП!A207</f>
        <v>1047796777236</v>
      </c>
      <c r="B207" s="4">
        <f>ЛИК_дляСкорингаДП!B207</f>
        <v>7743540746</v>
      </c>
      <c r="C207" s="4" t="str">
        <f>ЛИК_дляСкорингаДП!C207</f>
        <v>ООО "КИНТЕТЦУ (РУС)"</v>
      </c>
      <c r="D207" s="5" t="str">
        <f>ЛИК_дляСкорингаДП!M207</f>
        <v>Деятельность вспомогательная прочая, связанная с перевозками</v>
      </c>
      <c r="E207" s="4" t="str">
        <f>ЛИК_дляСкорингаДП!L207</f>
        <v>52.29</v>
      </c>
      <c r="F207" t="str">
        <f>ЛИК_дляСкорингаДП!N207</f>
        <v>49.41.2,52.29</v>
      </c>
      <c r="G207" s="25" t="str">
        <f>ЛИК_дляСкорингаДП!AG207</f>
        <v>ОСН</v>
      </c>
      <c r="H207" s="55" t="str">
        <f>IF(ISNUMBER(E207),E207,
IFERROR(LEFT(E207,FIND(".",E207)-1),E207))</f>
        <v>52</v>
      </c>
      <c r="I207" s="30">
        <f>IF(COUNTIF(Справочник_ОКВЭД_НР!$A$3:$A$62,H207)&gt;0,Справочник_ОКВЭД_НР!$L$8,
 IF(COUNTIF(Справочник_ОКВЭД_НР!$C$3:$C$62,H207)&gt;0,Справочник_ОКВЭД_НР!$L$9,
  IF(COUNTIF(Справочник_ОКВЭД_НР!$E$3:$E$62,H207)&gt;0,Справочник_ОКВЭД_НР!$L$10,
   IF(COUNTIF(Справочник_ОКВЭД_НР!$G$3:$G$62,H207)&gt;0,Справочник_ОКВЭД_НР!$L$11,50))))</f>
        <v>60</v>
      </c>
      <c r="J207" s="30" cm="1">
        <f t="array" ref="J207">IFERROR(
 (SUMPRODUCT(ISNUMBER(SEARCH(","&amp;Справочник_ОКВЭД_НР!$A$3:$A$62&amp;".",","&amp;SUBSTITUTE(F207," ","")&amp;",")))*Справочник_ОКВЭД_НР!$L$9 +
  SUMPRODUCT(ISNUMBER(SEARCH(","&amp;Справочник_ОКВЭД_НР!$C$3:$C$62&amp;".",","&amp;SUBSTITUTE(F207," ","")&amp;",")))*Справочник_ОКВЭД_НР!$L$10 +
  SUMPRODUCT(ISNUMBER(SEARCH(","&amp;Справочник_ОКВЭД_НР!$E$3:$E$62&amp;".",","&amp;SUBSTITUTE(F207," ","")&amp;",")))*Справочник_ОКВЭД_НР!$L$11 +
  SUMPRODUCT(ISNUMBER(SEARCH(","&amp;Справочник_ОКВЭД_НР!$G$3:$G$62&amp;".",","&amp;SUBSTITUTE(F207," ","")&amp;",")))*Справочник_ОКВЭД_НР!$L$12) /
 (SUMPRODUCT(ISNUMBER(SEARCH(","&amp;Справочник_ОКВЭД_НР!$A$3:$A$62&amp;".",","&amp;SUBSTITUTE(F207," ","")&amp;","))) +
  SUMPRODUCT(ISNUMBER(SEARCH(","&amp;Справочник_ОКВЭД_НР!$C$3:$C$62&amp;".",","&amp;SUBSTITUTE(F207," ","")&amp;","))) +
  SUMPRODUCT(ISNUMBER(SEARCH(","&amp;Справочник_ОКВЭД_НР!$E$3:$E$62&amp;".",","&amp;SUBSTITUTE(F207," ","")&amp;","))) +
  SUMPRODUCT(ISNUMBER(SEARCH(","&amp;Справочник_ОКВЭД_НР!$G$3:$G$62&amp;".",","&amp;SUBSTITUTE(F207," ","")&amp;",")))),
50)</f>
        <v>50</v>
      </c>
      <c r="K207" s="30">
        <f>IFERROR(VLOOKUP(G207,Справочник_ОКВЭД_НР!$O:$P,2,FALSE()),50)</f>
        <v>100</v>
      </c>
      <c r="L207" s="45">
        <f>(I207*Справочник_ОКВЭД_НР!$L$2+J207*Справочник_ОКВЭД_НР!$L$3+K207*Справочник_ОКВЭД_НР!$L$4)*M207</f>
        <v>63.5</v>
      </c>
      <c r="M207" s="47">
        <f>IF(COUNTIF(Справочник_ОКВЭД_НР!$G$3:$G$62,H207)&gt;0,0,1)</f>
        <v>1</v>
      </c>
    </row>
    <row r="208" spans="1:13" x14ac:dyDescent="0.25">
      <c r="A208" s="4">
        <f>ЛИК_дляСкорингаДП!A208</f>
        <v>5077746791788</v>
      </c>
      <c r="B208" s="4">
        <f>ЛИК_дляСкорингаДП!B208</f>
        <v>7728621180</v>
      </c>
      <c r="C208" s="4" t="str">
        <f>ЛИК_дляСкорингаДП!C208</f>
        <v>ООО "ВОСТОКГОРМАШ"</v>
      </c>
      <c r="D208" s="5" t="str">
        <f>ЛИК_дляСкорингаДП!M208</f>
        <v>Торговля оптовая прочими машинами, приборами, аппаратурой и оборудованием общепромышленного и специального назначения</v>
      </c>
      <c r="E208" s="4" t="str">
        <f>ЛИК_дляСкорингаДП!L208</f>
        <v>46.69.9</v>
      </c>
      <c r="F208" t="str">
        <f>ЛИК_дляСкорингаДП!N208</f>
        <v>46.1,46.14,46.6,46.61,46.62,46.63,46.64,46.69,46.69.3,46.69.5,46.69.9,46.73.3,46.74.2,74.20,74.30,82.92</v>
      </c>
      <c r="G208" s="25" t="str">
        <f>ЛИК_дляСкорингаДП!AG208</f>
        <v>ОСН</v>
      </c>
      <c r="H208" s="55" t="str">
        <f>IF(ISNUMBER(E208),E208,
IFERROR(LEFT(E208,FIND(".",E208)-1),E208))</f>
        <v>46</v>
      </c>
      <c r="I208" s="30">
        <f>IF(COUNTIF(Справочник_ОКВЭД_НР!$A$3:$A$62,H208)&gt;0,Справочник_ОКВЭД_НР!$L$8,
 IF(COUNTIF(Справочник_ОКВЭД_НР!$C$3:$C$62,H208)&gt;0,Справочник_ОКВЭД_НР!$L$9,
  IF(COUNTIF(Справочник_ОКВЭД_НР!$E$3:$E$62,H208)&gt;0,Справочник_ОКВЭД_НР!$L$10,
   IF(COUNTIF(Справочник_ОКВЭД_НР!$G$3:$G$62,H208)&gt;0,Справочник_ОКВЭД_НР!$L$11,50))))</f>
        <v>60</v>
      </c>
      <c r="J208" s="30" cm="1">
        <f t="array" ref="J208">IFERROR(
 (SUMPRODUCT(ISNUMBER(SEARCH(","&amp;Справочник_ОКВЭД_НР!$A$3:$A$62&amp;".",","&amp;SUBSTITUTE(F208," ","")&amp;",")))*Справочник_ОКВЭД_НР!$L$9 +
  SUMPRODUCT(ISNUMBER(SEARCH(","&amp;Справочник_ОКВЭД_НР!$C$3:$C$62&amp;".",","&amp;SUBSTITUTE(F208," ","")&amp;",")))*Справочник_ОКВЭД_НР!$L$10 +
  SUMPRODUCT(ISNUMBER(SEARCH(","&amp;Справочник_ОКВЭД_НР!$E$3:$E$62&amp;".",","&amp;SUBSTITUTE(F208," ","")&amp;",")))*Справочник_ОКВЭД_НР!$L$11 +
  SUMPRODUCT(ISNUMBER(SEARCH(","&amp;Справочник_ОКВЭД_НР!$G$3:$G$62&amp;".",","&amp;SUBSTITUTE(F208," ","")&amp;",")))*Справочник_ОКВЭД_НР!$L$12) /
 (SUMPRODUCT(ISNUMBER(SEARCH(","&amp;Справочник_ОКВЭД_НР!$A$3:$A$62&amp;".",","&amp;SUBSTITUTE(F208," ","")&amp;","))) +
  SUMPRODUCT(ISNUMBER(SEARCH(","&amp;Справочник_ОКВЭД_НР!$C$3:$C$62&amp;".",","&amp;SUBSTITUTE(F208," ","")&amp;","))) +
  SUMPRODUCT(ISNUMBER(SEARCH(","&amp;Справочник_ОКВЭД_НР!$E$3:$E$62&amp;".",","&amp;SUBSTITUTE(F208," ","")&amp;","))) +
  SUMPRODUCT(ISNUMBER(SEARCH(","&amp;Справочник_ОКВЭД_НР!$G$3:$G$62&amp;".",","&amp;SUBSTITUTE(F208," ","")&amp;",")))),
50)</f>
        <v>50</v>
      </c>
      <c r="K208" s="30">
        <f>IFERROR(VLOOKUP(G208,Справочник_ОКВЭД_НР!$O:$P,2,FALSE()),50)</f>
        <v>100</v>
      </c>
      <c r="L208" s="45">
        <f>(I208*Справочник_ОКВЭД_НР!$L$2+J208*Справочник_ОКВЭД_НР!$L$3+K208*Справочник_ОКВЭД_НР!$L$4)*M208</f>
        <v>63.5</v>
      </c>
      <c r="M208" s="47">
        <f>IF(COUNTIF(Справочник_ОКВЭД_НР!$G$3:$G$62,H208)&gt;0,0,1)</f>
        <v>1</v>
      </c>
    </row>
    <row r="209" spans="1:13" x14ac:dyDescent="0.25">
      <c r="A209" s="4">
        <f>ЛИК_дляСкорингаДП!A209</f>
        <v>5077746256451</v>
      </c>
      <c r="B209" s="4">
        <f>ЛИК_дляСкорингаДП!B209</f>
        <v>7704639188</v>
      </c>
      <c r="C209" s="4" t="str">
        <f>ЛИК_дляСкорингаДП!C209</f>
        <v>ООО "ШТИБЕЛЬ ЭЛЬТРОН"</v>
      </c>
      <c r="D209" s="5" t="str">
        <f>ЛИК_дляСкорингаДП!M209</f>
        <v>Торговля оптовая электрической бытовой техникой</v>
      </c>
      <c r="E209" s="4" t="str">
        <f>ЛИК_дляСкорингаДП!L209</f>
        <v>46.43.1</v>
      </c>
      <c r="F209" t="str">
        <f>ЛИК_дляСкорингаДП!N209</f>
        <v>27.51,33.12,33.13,33.14,46.47.1,46.49.5,46.69,46.73.3,47.19,47.59.9,47.91.2,47.91.4,49.41.2,49.41.3,52.29,73.20,82.99,95.22</v>
      </c>
      <c r="G209" s="25" t="str">
        <f>ЛИК_дляСкорингаДП!AG209</f>
        <v>ОСН</v>
      </c>
      <c r="H209" s="55" t="str">
        <f>IF(ISNUMBER(E209),E209,
IFERROR(LEFT(E209,FIND(".",E209)-1),E209))</f>
        <v>46</v>
      </c>
      <c r="I209" s="30">
        <f>IF(COUNTIF(Справочник_ОКВЭД_НР!$A$3:$A$62,H209)&gt;0,Справочник_ОКВЭД_НР!$L$8,
 IF(COUNTIF(Справочник_ОКВЭД_НР!$C$3:$C$62,H209)&gt;0,Справочник_ОКВЭД_НР!$L$9,
  IF(COUNTIF(Справочник_ОКВЭД_НР!$E$3:$E$62,H209)&gt;0,Справочник_ОКВЭД_НР!$L$10,
   IF(COUNTIF(Справочник_ОКВЭД_НР!$G$3:$G$62,H209)&gt;0,Справочник_ОКВЭД_НР!$L$11,50))))</f>
        <v>60</v>
      </c>
      <c r="J209" s="30" cm="1">
        <f t="array" ref="J209">IFERROR(
 (SUMPRODUCT(ISNUMBER(SEARCH(","&amp;Справочник_ОКВЭД_НР!$A$3:$A$62&amp;".",","&amp;SUBSTITUTE(F209," ","")&amp;",")))*Справочник_ОКВЭД_НР!$L$9 +
  SUMPRODUCT(ISNUMBER(SEARCH(","&amp;Справочник_ОКВЭД_НР!$C$3:$C$62&amp;".",","&amp;SUBSTITUTE(F209," ","")&amp;",")))*Справочник_ОКВЭД_НР!$L$10 +
  SUMPRODUCT(ISNUMBER(SEARCH(","&amp;Справочник_ОКВЭД_НР!$E$3:$E$62&amp;".",","&amp;SUBSTITUTE(F209," ","")&amp;",")))*Справочник_ОКВЭД_НР!$L$11 +
  SUMPRODUCT(ISNUMBER(SEARCH(","&amp;Справочник_ОКВЭД_НР!$G$3:$G$62&amp;".",","&amp;SUBSTITUTE(F209," ","")&amp;",")))*Справочник_ОКВЭД_НР!$L$12) /
 (SUMPRODUCT(ISNUMBER(SEARCH(","&amp;Справочник_ОКВЭД_НР!$A$3:$A$62&amp;".",","&amp;SUBSTITUTE(F209," ","")&amp;","))) +
  SUMPRODUCT(ISNUMBER(SEARCH(","&amp;Справочник_ОКВЭД_НР!$C$3:$C$62&amp;".",","&amp;SUBSTITUTE(F209," ","")&amp;","))) +
  SUMPRODUCT(ISNUMBER(SEARCH(","&amp;Справочник_ОКВЭД_НР!$E$3:$E$62&amp;".",","&amp;SUBSTITUTE(F209," ","")&amp;","))) +
  SUMPRODUCT(ISNUMBER(SEARCH(","&amp;Справочник_ОКВЭД_НР!$G$3:$G$62&amp;".",","&amp;SUBSTITUTE(F209," ","")&amp;",")))),
50)</f>
        <v>50</v>
      </c>
      <c r="K209" s="30">
        <f>IFERROR(VLOOKUP(G209,Справочник_ОКВЭД_НР!$O:$P,2,FALSE()),50)</f>
        <v>100</v>
      </c>
      <c r="L209" s="45">
        <f>(I209*Справочник_ОКВЭД_НР!$L$2+J209*Справочник_ОКВЭД_НР!$L$3+K209*Справочник_ОКВЭД_НР!$L$4)*M209</f>
        <v>63.5</v>
      </c>
      <c r="M209" s="47">
        <f>IF(COUNTIF(Справочник_ОКВЭД_НР!$G$3:$G$62,H209)&gt;0,0,1)</f>
        <v>1</v>
      </c>
    </row>
    <row r="210" spans="1:13" x14ac:dyDescent="0.25">
      <c r="A210" s="4">
        <f>ЛИК_дляСкорингаДП!A210</f>
        <v>5087746057504</v>
      </c>
      <c r="B210" s="4">
        <f>ЛИК_дляСкорингаДП!B210</f>
        <v>7710727001</v>
      </c>
      <c r="C210" s="4" t="str">
        <f>ЛИК_дляСкорингаДП!C210</f>
        <v>ЗАО "ПРОФЭСТЕЙТ"</v>
      </c>
      <c r="D210" s="5" t="str">
        <f>ЛИК_дляСкорингаДП!M210</f>
        <v>Аренда и управление собственным или арендованным прочим нежилым недвижимым имуществом</v>
      </c>
      <c r="E210" s="4" t="str">
        <f>ЛИК_дляСкорингаДП!L210</f>
        <v>68.20.29</v>
      </c>
      <c r="F210" t="str">
        <f>ЛИК_дляСкорингаДП!N210</f>
        <v>41.20,41.20,43.21,43.39,64.99.3,68.10.22,68.20,68.32,68.32.2,70.22</v>
      </c>
      <c r="G210" s="25" t="str">
        <f>ЛИК_дляСкорингаДП!AG210</f>
        <v>ОСН</v>
      </c>
      <c r="H210" s="55" t="str">
        <f>IF(ISNUMBER(E210),E210,
IFERROR(LEFT(E210,FIND(".",E210)-1),E210))</f>
        <v>68</v>
      </c>
      <c r="I210" s="30">
        <f>IF(COUNTIF(Справочник_ОКВЭД_НР!$A$3:$A$62,H210)&gt;0,Справочник_ОКВЭД_НР!$L$8,
 IF(COUNTIF(Справочник_ОКВЭД_НР!$C$3:$C$62,H210)&gt;0,Справочник_ОКВЭД_НР!$L$9,
  IF(COUNTIF(Справочник_ОКВЭД_НР!$E$3:$E$62,H210)&gt;0,Справочник_ОКВЭД_НР!$L$10,
   IF(COUNTIF(Справочник_ОКВЭД_НР!$G$3:$G$62,H210)&gt;0,Справочник_ОКВЭД_НР!$L$11,50))))</f>
        <v>100</v>
      </c>
      <c r="J210" s="30" cm="1">
        <f t="array" ref="J210">IFERROR(
 (SUMPRODUCT(ISNUMBER(SEARCH(","&amp;Справочник_ОКВЭД_НР!$A$3:$A$62&amp;".",","&amp;SUBSTITUTE(F210," ","")&amp;",")))*Справочник_ОКВЭД_НР!$L$9 +
  SUMPRODUCT(ISNUMBER(SEARCH(","&amp;Справочник_ОКВЭД_НР!$C$3:$C$62&amp;".",","&amp;SUBSTITUTE(F210," ","")&amp;",")))*Справочник_ОКВЭД_НР!$L$10 +
  SUMPRODUCT(ISNUMBER(SEARCH(","&amp;Справочник_ОКВЭД_НР!$E$3:$E$62&amp;".",","&amp;SUBSTITUTE(F210," ","")&amp;",")))*Справочник_ОКВЭД_НР!$L$11 +
  SUMPRODUCT(ISNUMBER(SEARCH(","&amp;Справочник_ОКВЭД_НР!$G$3:$G$62&amp;".",","&amp;SUBSTITUTE(F210," ","")&amp;",")))*Справочник_ОКВЭД_НР!$L$12) /
 (SUMPRODUCT(ISNUMBER(SEARCH(","&amp;Справочник_ОКВЭД_НР!$A$3:$A$62&amp;".",","&amp;SUBSTITUTE(F210," ","")&amp;","))) +
  SUMPRODUCT(ISNUMBER(SEARCH(","&amp;Справочник_ОКВЭД_НР!$C$3:$C$62&amp;".",","&amp;SUBSTITUTE(F210," ","")&amp;","))) +
  SUMPRODUCT(ISNUMBER(SEARCH(","&amp;Справочник_ОКВЭД_НР!$E$3:$E$62&amp;".",","&amp;SUBSTITUTE(F210," ","")&amp;","))) +
  SUMPRODUCT(ISNUMBER(SEARCH(","&amp;Справочник_ОКВЭД_НР!$G$3:$G$62&amp;".",","&amp;SUBSTITUTE(F210," ","")&amp;",")))),
50)</f>
        <v>50</v>
      </c>
      <c r="K210" s="30">
        <f>IFERROR(VLOOKUP(G210,Справочник_ОКВЭД_НР!$O:$P,2,FALSE()),50)</f>
        <v>100</v>
      </c>
      <c r="L210" s="45">
        <f>(I210*Справочник_ОКВЭД_НР!$L$2+J210*Справочник_ОКВЭД_НР!$L$3+K210*Справочник_ОКВЭД_НР!$L$4)*M210</f>
        <v>87.5</v>
      </c>
      <c r="M210" s="47">
        <f>IF(COUNTIF(Справочник_ОКВЭД_НР!$G$3:$G$62,H210)&gt;0,0,1)</f>
        <v>1</v>
      </c>
    </row>
    <row r="211" spans="1:13" x14ac:dyDescent="0.25">
      <c r="A211" s="4">
        <f>ЛИК_дляСкорингаДП!A211</f>
        <v>1027739363376</v>
      </c>
      <c r="B211" s="4">
        <f>ЛИК_дляСкорингаДП!B211</f>
        <v>7727006174</v>
      </c>
      <c r="C211" s="4" t="str">
        <f>ЛИК_дляСкорингаДП!C211</f>
        <v>ООО КОМПАНИЯ "МЕГАПЬЮТЕР ИНТЕЛЛИДЖЕНС"</v>
      </c>
      <c r="D211" s="5" t="str">
        <f>ЛИК_дляСкорингаДП!M211</f>
        <v>Разработка компьютерного программного обеспечения</v>
      </c>
      <c r="E211" s="4" t="str">
        <f>ЛИК_дляСкорингаДП!L211</f>
        <v>62.01</v>
      </c>
      <c r="F211" t="str">
        <f>ЛИК_дляСкорингаДП!N211</f>
        <v>18.20,46.15,46.43,47.41,47.41.4,47.59.1,47.78.1,62.02,63.11.1,69.10,72.19,82.99</v>
      </c>
      <c r="G211" s="25" t="str">
        <f>ЛИК_дляСкорингаДП!AG211</f>
        <v>УСН</v>
      </c>
      <c r="H211" s="55" t="str">
        <f>IF(ISNUMBER(E211),E211,
IFERROR(LEFT(E211,FIND(".",E211)-1),E211))</f>
        <v>62</v>
      </c>
      <c r="I211" s="30">
        <f>IF(COUNTIF(Справочник_ОКВЭД_НР!$A$3:$A$62,H211)&gt;0,Справочник_ОКВЭД_НР!$L$8,
 IF(COUNTIF(Справочник_ОКВЭД_НР!$C$3:$C$62,H211)&gt;0,Справочник_ОКВЭД_НР!$L$9,
  IF(COUNTIF(Справочник_ОКВЭД_НР!$E$3:$E$62,H211)&gt;0,Справочник_ОКВЭД_НР!$L$10,
   IF(COUNTIF(Справочник_ОКВЭД_НР!$G$3:$G$62,H211)&gt;0,Справочник_ОКВЭД_НР!$L$11,50))))</f>
        <v>100</v>
      </c>
      <c r="J211" s="30" cm="1">
        <f t="array" ref="J211">IFERROR(
 (SUMPRODUCT(ISNUMBER(SEARCH(","&amp;Справочник_ОКВЭД_НР!$A$3:$A$62&amp;".",","&amp;SUBSTITUTE(F211," ","")&amp;",")))*Справочник_ОКВЭД_НР!$L$9 +
  SUMPRODUCT(ISNUMBER(SEARCH(","&amp;Справочник_ОКВЭД_НР!$C$3:$C$62&amp;".",","&amp;SUBSTITUTE(F211," ","")&amp;",")))*Справочник_ОКВЭД_НР!$L$10 +
  SUMPRODUCT(ISNUMBER(SEARCH(","&amp;Справочник_ОКВЭД_НР!$E$3:$E$62&amp;".",","&amp;SUBSTITUTE(F211," ","")&amp;",")))*Справочник_ОКВЭД_НР!$L$11 +
  SUMPRODUCT(ISNUMBER(SEARCH(","&amp;Справочник_ОКВЭД_НР!$G$3:$G$62&amp;".",","&amp;SUBSTITUTE(F211," ","")&amp;",")))*Справочник_ОКВЭД_НР!$L$12) /
 (SUMPRODUCT(ISNUMBER(SEARCH(","&amp;Справочник_ОКВЭД_НР!$A$3:$A$62&amp;".",","&amp;SUBSTITUTE(F211," ","")&amp;","))) +
  SUMPRODUCT(ISNUMBER(SEARCH(","&amp;Справочник_ОКВЭД_НР!$C$3:$C$62&amp;".",","&amp;SUBSTITUTE(F211," ","")&amp;","))) +
  SUMPRODUCT(ISNUMBER(SEARCH(","&amp;Справочник_ОКВЭД_НР!$E$3:$E$62&amp;".",","&amp;SUBSTITUTE(F211," ","")&amp;","))) +
  SUMPRODUCT(ISNUMBER(SEARCH(","&amp;Справочник_ОКВЭД_НР!$G$3:$G$62&amp;".",","&amp;SUBSTITUTE(F211," ","")&amp;",")))),
50)</f>
        <v>50</v>
      </c>
      <c r="K211" s="30">
        <f>IFERROR(VLOOKUP(G211,Справочник_ОКВЭД_НР!$O:$P,2,FALSE()),50)</f>
        <v>50</v>
      </c>
      <c r="L211" s="45">
        <f>(I211*Справочник_ОКВЭД_НР!$L$2+J211*Справочник_ОКВЭД_НР!$L$3+K211*Справочник_ОКВЭД_НР!$L$4)*M211</f>
        <v>80</v>
      </c>
      <c r="M211" s="47">
        <f>IF(COUNTIF(Справочник_ОКВЭД_НР!$G$3:$G$62,H211)&gt;0,0,1)</f>
        <v>1</v>
      </c>
    </row>
    <row r="212" spans="1:13" x14ac:dyDescent="0.25">
      <c r="A212" s="4">
        <f>ЛИК_дляСкорингаДП!A212</f>
        <v>1027739326042</v>
      </c>
      <c r="B212" s="4">
        <f>ЛИК_дляСкорингаДП!B212</f>
        <v>7713299467</v>
      </c>
      <c r="C212" s="4" t="str">
        <f>ЛИК_дляСкорингаДП!C212</f>
        <v>ООО "А-РИЭЛТИ"</v>
      </c>
      <c r="D212" s="5" t="str">
        <f>ЛИК_дляСкорингаДП!M212</f>
        <v>Аренда и управление собственным или арендованным нежилым недвижимым имуществом</v>
      </c>
      <c r="E212" s="4" t="str">
        <f>ЛИК_дляСкорингаДП!L212</f>
        <v>68.20.2</v>
      </c>
      <c r="F212" t="str">
        <f>ЛИК_дляСкорингаДП!N212</f>
        <v>68.10,68.10.1,68.10.11,68.10.12,68.10.21,68.10.23,68.20.1,68.31</v>
      </c>
      <c r="G212" s="25" t="str">
        <f>ЛИК_дляСкорингаДП!AG212</f>
        <v>УСН</v>
      </c>
      <c r="H212" s="55" t="str">
        <f>IF(ISNUMBER(E212),E212,
IFERROR(LEFT(E212,FIND(".",E212)-1),E212))</f>
        <v>68</v>
      </c>
      <c r="I212" s="30">
        <f>IF(COUNTIF(Справочник_ОКВЭД_НР!$A$3:$A$62,H212)&gt;0,Справочник_ОКВЭД_НР!$L$8,
 IF(COUNTIF(Справочник_ОКВЭД_НР!$C$3:$C$62,H212)&gt;0,Справочник_ОКВЭД_НР!$L$9,
  IF(COUNTIF(Справочник_ОКВЭД_НР!$E$3:$E$62,H212)&gt;0,Справочник_ОКВЭД_НР!$L$10,
   IF(COUNTIF(Справочник_ОКВЭД_НР!$G$3:$G$62,H212)&gt;0,Справочник_ОКВЭД_НР!$L$11,50))))</f>
        <v>100</v>
      </c>
      <c r="J212" s="30" cm="1">
        <f t="array" ref="J212">IFERROR(
 (SUMPRODUCT(ISNUMBER(SEARCH(","&amp;Справочник_ОКВЭД_НР!$A$3:$A$62&amp;".",","&amp;SUBSTITUTE(F212," ","")&amp;",")))*Справочник_ОКВЭД_НР!$L$9 +
  SUMPRODUCT(ISNUMBER(SEARCH(","&amp;Справочник_ОКВЭД_НР!$C$3:$C$62&amp;".",","&amp;SUBSTITUTE(F212," ","")&amp;",")))*Справочник_ОКВЭД_НР!$L$10 +
  SUMPRODUCT(ISNUMBER(SEARCH(","&amp;Справочник_ОКВЭД_НР!$E$3:$E$62&amp;".",","&amp;SUBSTITUTE(F212," ","")&amp;",")))*Справочник_ОКВЭД_НР!$L$11 +
  SUMPRODUCT(ISNUMBER(SEARCH(","&amp;Справочник_ОКВЭД_НР!$G$3:$G$62&amp;".",","&amp;SUBSTITUTE(F212," ","")&amp;",")))*Справочник_ОКВЭД_НР!$L$12) /
 (SUMPRODUCT(ISNUMBER(SEARCH(","&amp;Справочник_ОКВЭД_НР!$A$3:$A$62&amp;".",","&amp;SUBSTITUTE(F212," ","")&amp;","))) +
  SUMPRODUCT(ISNUMBER(SEARCH(","&amp;Справочник_ОКВЭД_НР!$C$3:$C$62&amp;".",","&amp;SUBSTITUTE(F212," ","")&amp;","))) +
  SUMPRODUCT(ISNUMBER(SEARCH(","&amp;Справочник_ОКВЭД_НР!$E$3:$E$62&amp;".",","&amp;SUBSTITUTE(F212," ","")&amp;","))) +
  SUMPRODUCT(ISNUMBER(SEARCH(","&amp;Справочник_ОКВЭД_НР!$G$3:$G$62&amp;".",","&amp;SUBSTITUTE(F212," ","")&amp;",")))),
50)</f>
        <v>50</v>
      </c>
      <c r="K212" s="30">
        <f>IFERROR(VLOOKUP(G212,Справочник_ОКВЭД_НР!$O:$P,2,FALSE()),50)</f>
        <v>50</v>
      </c>
      <c r="L212" s="45">
        <f>(I212*Справочник_ОКВЭД_НР!$L$2+J212*Справочник_ОКВЭД_НР!$L$3+K212*Справочник_ОКВЭД_НР!$L$4)*M212</f>
        <v>80</v>
      </c>
      <c r="M212" s="47">
        <f>IF(COUNTIF(Справочник_ОКВЭД_НР!$G$3:$G$62,H212)&gt;0,0,1)</f>
        <v>1</v>
      </c>
    </row>
    <row r="213" spans="1:13" x14ac:dyDescent="0.25">
      <c r="A213" s="4">
        <f>ЛИК_дляСкорингаДП!A213</f>
        <v>1167746677977</v>
      </c>
      <c r="B213" s="4">
        <f>ЛИК_дляСкорингаДП!B213</f>
        <v>7720347217</v>
      </c>
      <c r="C213" s="4" t="str">
        <f>ЛИК_дляСкорингаДП!C213</f>
        <v>ООО "АВАНС"</v>
      </c>
      <c r="D213" s="5" t="str">
        <f>ЛИК_дляСкорингаДП!M213</f>
        <v>Производство мебели для офисов и предприятий торговли</v>
      </c>
      <c r="E213" s="4" t="str">
        <f>ЛИК_дляСкорингаДП!L213</f>
        <v>31.01</v>
      </c>
      <c r="F213" t="str">
        <f>ЛИК_дляСкорингаДП!N213</f>
        <v>31.02,31.09,46.15.1,46.47.1,46.49.4,47.59.1,47.91.2</v>
      </c>
      <c r="G213" s="25" t="str">
        <f>ЛИК_дляСкорингаДП!AG213</f>
        <v>ОСН</v>
      </c>
      <c r="H213" s="55" t="str">
        <f>IF(ISNUMBER(E213),E213,
IFERROR(LEFT(E213,FIND(".",E213)-1),E213))</f>
        <v>31</v>
      </c>
      <c r="I213" s="30">
        <f>IF(COUNTIF(Справочник_ОКВЭД_НР!$A$3:$A$62,H213)&gt;0,Справочник_ОКВЭД_НР!$L$8,
 IF(COUNTIF(Справочник_ОКВЭД_НР!$C$3:$C$62,H213)&gt;0,Справочник_ОКВЭД_НР!$L$9,
  IF(COUNTIF(Справочник_ОКВЭД_НР!$E$3:$E$62,H213)&gt;0,Справочник_ОКВЭД_НР!$L$10,
   IF(COUNTIF(Справочник_ОКВЭД_НР!$G$3:$G$62,H213)&gt;0,Справочник_ОКВЭД_НР!$L$11,50))))</f>
        <v>30</v>
      </c>
      <c r="J213" s="30" cm="1">
        <f t="array" ref="J213">IFERROR(
 (SUMPRODUCT(ISNUMBER(SEARCH(","&amp;Справочник_ОКВЭД_НР!$A$3:$A$62&amp;".",","&amp;SUBSTITUTE(F213," ","")&amp;",")))*Справочник_ОКВЭД_НР!$L$9 +
  SUMPRODUCT(ISNUMBER(SEARCH(","&amp;Справочник_ОКВЭД_НР!$C$3:$C$62&amp;".",","&amp;SUBSTITUTE(F213," ","")&amp;",")))*Справочник_ОКВЭД_НР!$L$10 +
  SUMPRODUCT(ISNUMBER(SEARCH(","&amp;Справочник_ОКВЭД_НР!$E$3:$E$62&amp;".",","&amp;SUBSTITUTE(F213," ","")&amp;",")))*Справочник_ОКВЭД_НР!$L$11 +
  SUMPRODUCT(ISNUMBER(SEARCH(","&amp;Справочник_ОКВЭД_НР!$G$3:$G$62&amp;".",","&amp;SUBSTITUTE(F213," ","")&amp;",")))*Справочник_ОКВЭД_НР!$L$12) /
 (SUMPRODUCT(ISNUMBER(SEARCH(","&amp;Справочник_ОКВЭД_НР!$A$3:$A$62&amp;".",","&amp;SUBSTITUTE(F213," ","")&amp;","))) +
  SUMPRODUCT(ISNUMBER(SEARCH(","&amp;Справочник_ОКВЭД_НР!$C$3:$C$62&amp;".",","&amp;SUBSTITUTE(F213," ","")&amp;","))) +
  SUMPRODUCT(ISNUMBER(SEARCH(","&amp;Справочник_ОКВЭД_НР!$E$3:$E$62&amp;".",","&amp;SUBSTITUTE(F213," ","")&amp;","))) +
  SUMPRODUCT(ISNUMBER(SEARCH(","&amp;Справочник_ОКВЭД_НР!$G$3:$G$62&amp;".",","&amp;SUBSTITUTE(F213," ","")&amp;",")))),
50)</f>
        <v>50</v>
      </c>
      <c r="K213" s="30">
        <f>IFERROR(VLOOKUP(G213,Справочник_ОКВЭД_НР!$O:$P,2,FALSE()),50)</f>
        <v>100</v>
      </c>
      <c r="L213" s="45">
        <f>(I213*Справочник_ОКВЭД_НР!$L$2+J213*Справочник_ОКВЭД_НР!$L$3+K213*Справочник_ОКВЭД_НР!$L$4)*M213</f>
        <v>45.5</v>
      </c>
      <c r="M213" s="47">
        <f>IF(COUNTIF(Справочник_ОКВЭД_НР!$G$3:$G$62,H213)&gt;0,0,1)</f>
        <v>1</v>
      </c>
    </row>
    <row r="214" spans="1:13" x14ac:dyDescent="0.25">
      <c r="A214" s="4">
        <f>ЛИК_дляСкорингаДП!A214</f>
        <v>1147748156720</v>
      </c>
      <c r="B214" s="4">
        <f>ЛИК_дляСкорингаДП!B214</f>
        <v>7723371698</v>
      </c>
      <c r="C214" s="4" t="str">
        <f>ЛИК_дляСкорингаДП!C214</f>
        <v>ООО "ЛИКСИ"</v>
      </c>
      <c r="D214" s="5" t="str">
        <f>ЛИК_дляСкорингаДП!M214</f>
        <v>Торговля оптовая скобяными изделиями, водопроводным и отопительным оборудованием и принадлежностями</v>
      </c>
      <c r="E214" s="4" t="str">
        <f>ЛИК_дляСкорингаДП!L214</f>
        <v>46.74</v>
      </c>
      <c r="F214" t="str">
        <f>ЛИК_дляСкорингаДП!N214</f>
        <v>25.72,25.73,25.93,25.94,25.99,28.24,46.43,46.49,46.62,46.63,46.69,46.72,46.72.21,46.72.22,46.73,46.75,46.90,47.43,47.52,47.54,47.91,52.10,52.24,52.29,53.20,62.09,68.10,68.20,68.32,77.11,77.12,77.29,77.32,77.39,82.92</v>
      </c>
      <c r="G214" s="25" t="str">
        <f>ЛИК_дляСкорингаДП!AG214</f>
        <v>ОСН</v>
      </c>
      <c r="H214" s="55" t="str">
        <f>IF(ISNUMBER(E214),E214,
IFERROR(LEFT(E214,FIND(".",E214)-1),E214))</f>
        <v>46</v>
      </c>
      <c r="I214" s="30">
        <f>IF(COUNTIF(Справочник_ОКВЭД_НР!$A$3:$A$62,H214)&gt;0,Справочник_ОКВЭД_НР!$L$8,
 IF(COUNTIF(Справочник_ОКВЭД_НР!$C$3:$C$62,H214)&gt;0,Справочник_ОКВЭД_НР!$L$9,
  IF(COUNTIF(Справочник_ОКВЭД_НР!$E$3:$E$62,H214)&gt;0,Справочник_ОКВЭД_НР!$L$10,
   IF(COUNTIF(Справочник_ОКВЭД_НР!$G$3:$G$62,H214)&gt;0,Справочник_ОКВЭД_НР!$L$11,50))))</f>
        <v>60</v>
      </c>
      <c r="J214" s="30" cm="1">
        <f t="array" ref="J214">IFERROR(
 (SUMPRODUCT(ISNUMBER(SEARCH(","&amp;Справочник_ОКВЭД_НР!$A$3:$A$62&amp;".",","&amp;SUBSTITUTE(F214," ","")&amp;",")))*Справочник_ОКВЭД_НР!$L$9 +
  SUMPRODUCT(ISNUMBER(SEARCH(","&amp;Справочник_ОКВЭД_НР!$C$3:$C$62&amp;".",","&amp;SUBSTITUTE(F214," ","")&amp;",")))*Справочник_ОКВЭД_НР!$L$10 +
  SUMPRODUCT(ISNUMBER(SEARCH(","&amp;Справочник_ОКВЭД_НР!$E$3:$E$62&amp;".",","&amp;SUBSTITUTE(F214," ","")&amp;",")))*Справочник_ОКВЭД_НР!$L$11 +
  SUMPRODUCT(ISNUMBER(SEARCH(","&amp;Справочник_ОКВЭД_НР!$G$3:$G$62&amp;".",","&amp;SUBSTITUTE(F214," ","")&amp;",")))*Справочник_ОКВЭД_НР!$L$12) /
 (SUMPRODUCT(ISNUMBER(SEARCH(","&amp;Справочник_ОКВЭД_НР!$A$3:$A$62&amp;".",","&amp;SUBSTITUTE(F214," ","")&amp;","))) +
  SUMPRODUCT(ISNUMBER(SEARCH(","&amp;Справочник_ОКВЭД_НР!$C$3:$C$62&amp;".",","&amp;SUBSTITUTE(F214," ","")&amp;","))) +
  SUMPRODUCT(ISNUMBER(SEARCH(","&amp;Справочник_ОКВЭД_НР!$E$3:$E$62&amp;".",","&amp;SUBSTITUTE(F214," ","")&amp;","))) +
  SUMPRODUCT(ISNUMBER(SEARCH(","&amp;Справочник_ОКВЭД_НР!$G$3:$G$62&amp;".",","&amp;SUBSTITUTE(F214," ","")&amp;",")))),
50)</f>
        <v>50</v>
      </c>
      <c r="K214" s="30">
        <f>IFERROR(VLOOKUP(G214,Справочник_ОКВЭД_НР!$O:$P,2,FALSE()),50)</f>
        <v>100</v>
      </c>
      <c r="L214" s="45">
        <f>(I214*Справочник_ОКВЭД_НР!$L$2+J214*Справочник_ОКВЭД_НР!$L$3+K214*Справочник_ОКВЭД_НР!$L$4)*M214</f>
        <v>63.5</v>
      </c>
      <c r="M214" s="47">
        <f>IF(COUNTIF(Справочник_ОКВЭД_НР!$G$3:$G$62,H214)&gt;0,0,1)</f>
        <v>1</v>
      </c>
    </row>
    <row r="215" spans="1:13" x14ac:dyDescent="0.25">
      <c r="A215" s="4">
        <f>ЛИК_дляСкорингаДП!A215</f>
        <v>1117746767236</v>
      </c>
      <c r="B215" s="4">
        <f>ЛИК_дляСкорингаДП!B215</f>
        <v>7743830533</v>
      </c>
      <c r="C215" s="4" t="str">
        <f>ЛИК_дляСкорингаДП!C215</f>
        <v>ООО "ШАРОН-ИНВЕСТ"</v>
      </c>
      <c r="D215" s="5" t="str">
        <f>ЛИК_дляСкорингаДП!M215</f>
        <v>Покупка и продажа собственного жилого недвижимого имущества</v>
      </c>
      <c r="E215" s="4" t="str">
        <f>ЛИК_дляСкорингаДП!L215</f>
        <v>68.10.21</v>
      </c>
      <c r="F215" t="str">
        <f>ЛИК_дляСкорингаДП!N215</f>
        <v>64.99.11,64.99.3,68.10,68.10.1,68.20,68.32,69.10,70.10.2,70.22,82.99</v>
      </c>
      <c r="G215" s="25" t="str">
        <f>ЛИК_дляСкорингаДП!AG215</f>
        <v>ОСН</v>
      </c>
      <c r="H215" s="55" t="str">
        <f>IF(ISNUMBER(E215),E215,
IFERROR(LEFT(E215,FIND(".",E215)-1),E215))</f>
        <v>68</v>
      </c>
      <c r="I215" s="30">
        <f>IF(COUNTIF(Справочник_ОКВЭД_НР!$A$3:$A$62,H215)&gt;0,Справочник_ОКВЭД_НР!$L$8,
 IF(COUNTIF(Справочник_ОКВЭД_НР!$C$3:$C$62,H215)&gt;0,Справочник_ОКВЭД_НР!$L$9,
  IF(COUNTIF(Справочник_ОКВЭД_НР!$E$3:$E$62,H215)&gt;0,Справочник_ОКВЭД_НР!$L$10,
   IF(COUNTIF(Справочник_ОКВЭД_НР!$G$3:$G$62,H215)&gt;0,Справочник_ОКВЭД_НР!$L$11,50))))</f>
        <v>100</v>
      </c>
      <c r="J215" s="30" cm="1">
        <f t="array" ref="J215">IFERROR(
 (SUMPRODUCT(ISNUMBER(SEARCH(","&amp;Справочник_ОКВЭД_НР!$A$3:$A$62&amp;".",","&amp;SUBSTITUTE(F215," ","")&amp;",")))*Справочник_ОКВЭД_НР!$L$9 +
  SUMPRODUCT(ISNUMBER(SEARCH(","&amp;Справочник_ОКВЭД_НР!$C$3:$C$62&amp;".",","&amp;SUBSTITUTE(F215," ","")&amp;",")))*Справочник_ОКВЭД_НР!$L$10 +
  SUMPRODUCT(ISNUMBER(SEARCH(","&amp;Справочник_ОКВЭД_НР!$E$3:$E$62&amp;".",","&amp;SUBSTITUTE(F215," ","")&amp;",")))*Справочник_ОКВЭД_НР!$L$11 +
  SUMPRODUCT(ISNUMBER(SEARCH(","&amp;Справочник_ОКВЭД_НР!$G$3:$G$62&amp;".",","&amp;SUBSTITUTE(F215," ","")&amp;",")))*Справочник_ОКВЭД_НР!$L$12) /
 (SUMPRODUCT(ISNUMBER(SEARCH(","&amp;Справочник_ОКВЭД_НР!$A$3:$A$62&amp;".",","&amp;SUBSTITUTE(F215," ","")&amp;","))) +
  SUMPRODUCT(ISNUMBER(SEARCH(","&amp;Справочник_ОКВЭД_НР!$C$3:$C$62&amp;".",","&amp;SUBSTITUTE(F215," ","")&amp;","))) +
  SUMPRODUCT(ISNUMBER(SEARCH(","&amp;Справочник_ОКВЭД_НР!$E$3:$E$62&amp;".",","&amp;SUBSTITUTE(F215," ","")&amp;","))) +
  SUMPRODUCT(ISNUMBER(SEARCH(","&amp;Справочник_ОКВЭД_НР!$G$3:$G$62&amp;".",","&amp;SUBSTITUTE(F215," ","")&amp;",")))),
50)</f>
        <v>50</v>
      </c>
      <c r="K215" s="30">
        <f>IFERROR(VLOOKUP(G215,Справочник_ОКВЭД_НР!$O:$P,2,FALSE()),50)</f>
        <v>100</v>
      </c>
      <c r="L215" s="45">
        <f>(I215*Справочник_ОКВЭД_НР!$L$2+J215*Справочник_ОКВЭД_НР!$L$3+K215*Справочник_ОКВЭД_НР!$L$4)*M215</f>
        <v>87.5</v>
      </c>
      <c r="M215" s="47">
        <f>IF(COUNTIF(Справочник_ОКВЭД_НР!$G$3:$G$62,H215)&gt;0,0,1)</f>
        <v>1</v>
      </c>
    </row>
    <row r="216" spans="1:13" x14ac:dyDescent="0.25">
      <c r="A216" s="4">
        <f>ЛИК_дляСкорингаДП!A216</f>
        <v>1172536019116</v>
      </c>
      <c r="B216" s="4">
        <f>ЛИК_дляСкорингаДП!B216</f>
        <v>2543112751</v>
      </c>
      <c r="C216" s="4" t="str">
        <f>ЛИК_дляСкорингаДП!C216</f>
        <v>ООО "БОСТОК ДВ"</v>
      </c>
      <c r="D216" s="5" t="str">
        <f>ЛИК_дляСкорингаДП!M216</f>
        <v>Торговля оптовая свежими фруктами и орехами</v>
      </c>
      <c r="E216" s="4" t="str">
        <f>ЛИК_дляСкорингаДП!L216</f>
        <v>46.31.13</v>
      </c>
      <c r="F216" t="str">
        <f>ЛИК_дляСкорингаДП!N216</f>
        <v>01.24,10.32,10.39.2,10.82.5,10.86.2,47.21,70.22</v>
      </c>
      <c r="G216" s="25" t="str">
        <f>ЛИК_дляСкорингаДП!AG216</f>
        <v>ОСН</v>
      </c>
      <c r="H216" s="55" t="str">
        <f>IF(ISNUMBER(E216),E216,
IFERROR(LEFT(E216,FIND(".",E216)-1),E216))</f>
        <v>46</v>
      </c>
      <c r="I216" s="30">
        <f>IF(COUNTIF(Справочник_ОКВЭД_НР!$A$3:$A$62,H216)&gt;0,Справочник_ОКВЭД_НР!$L$8,
 IF(COUNTIF(Справочник_ОКВЭД_НР!$C$3:$C$62,H216)&gt;0,Справочник_ОКВЭД_НР!$L$9,
  IF(COUNTIF(Справочник_ОКВЭД_НР!$E$3:$E$62,H216)&gt;0,Справочник_ОКВЭД_НР!$L$10,
   IF(COUNTIF(Справочник_ОКВЭД_НР!$G$3:$G$62,H216)&gt;0,Справочник_ОКВЭД_НР!$L$11,50))))</f>
        <v>60</v>
      </c>
      <c r="J216" s="30" cm="1">
        <f t="array" ref="J216">IFERROR(
 (SUMPRODUCT(ISNUMBER(SEARCH(","&amp;Справочник_ОКВЭД_НР!$A$3:$A$62&amp;".",","&amp;SUBSTITUTE(F216," ","")&amp;",")))*Справочник_ОКВЭД_НР!$L$9 +
  SUMPRODUCT(ISNUMBER(SEARCH(","&amp;Справочник_ОКВЭД_НР!$C$3:$C$62&amp;".",","&amp;SUBSTITUTE(F216," ","")&amp;",")))*Справочник_ОКВЭД_НР!$L$10 +
  SUMPRODUCT(ISNUMBER(SEARCH(","&amp;Справочник_ОКВЭД_НР!$E$3:$E$62&amp;".",","&amp;SUBSTITUTE(F216," ","")&amp;",")))*Справочник_ОКВЭД_НР!$L$11 +
  SUMPRODUCT(ISNUMBER(SEARCH(","&amp;Справочник_ОКВЭД_НР!$G$3:$G$62&amp;".",","&amp;SUBSTITUTE(F216," ","")&amp;",")))*Справочник_ОКВЭД_НР!$L$12) /
 (SUMPRODUCT(ISNUMBER(SEARCH(","&amp;Справочник_ОКВЭД_НР!$A$3:$A$62&amp;".",","&amp;SUBSTITUTE(F216," ","")&amp;","))) +
  SUMPRODUCT(ISNUMBER(SEARCH(","&amp;Справочник_ОКВЭД_НР!$C$3:$C$62&amp;".",","&amp;SUBSTITUTE(F216," ","")&amp;","))) +
  SUMPRODUCT(ISNUMBER(SEARCH(","&amp;Справочник_ОКВЭД_НР!$E$3:$E$62&amp;".",","&amp;SUBSTITUTE(F216," ","")&amp;","))) +
  SUMPRODUCT(ISNUMBER(SEARCH(","&amp;Справочник_ОКВЭД_НР!$G$3:$G$62&amp;".",","&amp;SUBSTITUTE(F216," ","")&amp;",")))),
50)</f>
        <v>50</v>
      </c>
      <c r="K216" s="30">
        <f>IFERROR(VLOOKUP(G216,Справочник_ОКВЭД_НР!$O:$P,2,FALSE()),50)</f>
        <v>100</v>
      </c>
      <c r="L216" s="45">
        <f>(I216*Справочник_ОКВЭД_НР!$L$2+J216*Справочник_ОКВЭД_НР!$L$3+K216*Справочник_ОКВЭД_НР!$L$4)*M216</f>
        <v>63.5</v>
      </c>
      <c r="M216" s="47">
        <f>IF(COUNTIF(Справочник_ОКВЭД_НР!$G$3:$G$62,H216)&gt;0,0,1)</f>
        <v>1</v>
      </c>
    </row>
    <row r="217" spans="1:13" x14ac:dyDescent="0.25">
      <c r="A217" s="4">
        <f>ЛИК_дляСкорингаДП!A217</f>
        <v>1187746284725</v>
      </c>
      <c r="B217" s="4">
        <f>ЛИК_дляСкорингаДП!B217</f>
        <v>7743247709</v>
      </c>
      <c r="C217" s="4" t="str">
        <f>ЛИК_дляСкорингаДП!C217</f>
        <v>ООО "МАРТИН БРАУН"</v>
      </c>
      <c r="D217" s="5" t="str">
        <f>ЛИК_дляСкорингаДП!M217</f>
        <v>Торговля оптовая прочими пищевыми продуктами</v>
      </c>
      <c r="E217" s="4" t="str">
        <f>ЛИК_дляСкорингаДП!L217</f>
        <v>46.38.2</v>
      </c>
      <c r="F217" t="str">
        <f>ЛИК_дляСкорингаДП!N217</f>
        <v>10.32,10.72.31,10.82,10.89.9,46.36.2,46.36.3,46.38.21,46.38.29</v>
      </c>
      <c r="G217" s="25" t="str">
        <f>ЛИК_дляСкорингаДП!AG217</f>
        <v>ОСН</v>
      </c>
      <c r="H217" s="55" t="str">
        <f>IF(ISNUMBER(E217),E217,
IFERROR(LEFT(E217,FIND(".",E217)-1),E217))</f>
        <v>46</v>
      </c>
      <c r="I217" s="30">
        <f>IF(COUNTIF(Справочник_ОКВЭД_НР!$A$3:$A$62,H217)&gt;0,Справочник_ОКВЭД_НР!$L$8,
 IF(COUNTIF(Справочник_ОКВЭД_НР!$C$3:$C$62,H217)&gt;0,Справочник_ОКВЭД_НР!$L$9,
  IF(COUNTIF(Справочник_ОКВЭД_НР!$E$3:$E$62,H217)&gt;0,Справочник_ОКВЭД_НР!$L$10,
   IF(COUNTIF(Справочник_ОКВЭД_НР!$G$3:$G$62,H217)&gt;0,Справочник_ОКВЭД_НР!$L$11,50))))</f>
        <v>60</v>
      </c>
      <c r="J217" s="30" cm="1">
        <f t="array" ref="J217">IFERROR(
 (SUMPRODUCT(ISNUMBER(SEARCH(","&amp;Справочник_ОКВЭД_НР!$A$3:$A$62&amp;".",","&amp;SUBSTITUTE(F217," ","")&amp;",")))*Справочник_ОКВЭД_НР!$L$9 +
  SUMPRODUCT(ISNUMBER(SEARCH(","&amp;Справочник_ОКВЭД_НР!$C$3:$C$62&amp;".",","&amp;SUBSTITUTE(F217," ","")&amp;",")))*Справочник_ОКВЭД_НР!$L$10 +
  SUMPRODUCT(ISNUMBER(SEARCH(","&amp;Справочник_ОКВЭД_НР!$E$3:$E$62&amp;".",","&amp;SUBSTITUTE(F217," ","")&amp;",")))*Справочник_ОКВЭД_НР!$L$11 +
  SUMPRODUCT(ISNUMBER(SEARCH(","&amp;Справочник_ОКВЭД_НР!$G$3:$G$62&amp;".",","&amp;SUBSTITUTE(F217," ","")&amp;",")))*Справочник_ОКВЭД_НР!$L$12) /
 (SUMPRODUCT(ISNUMBER(SEARCH(","&amp;Справочник_ОКВЭД_НР!$A$3:$A$62&amp;".",","&amp;SUBSTITUTE(F217," ","")&amp;","))) +
  SUMPRODUCT(ISNUMBER(SEARCH(","&amp;Справочник_ОКВЭД_НР!$C$3:$C$62&amp;".",","&amp;SUBSTITUTE(F217," ","")&amp;","))) +
  SUMPRODUCT(ISNUMBER(SEARCH(","&amp;Справочник_ОКВЭД_НР!$E$3:$E$62&amp;".",","&amp;SUBSTITUTE(F217," ","")&amp;","))) +
  SUMPRODUCT(ISNUMBER(SEARCH(","&amp;Справочник_ОКВЭД_НР!$G$3:$G$62&amp;".",","&amp;SUBSTITUTE(F217," ","")&amp;",")))),
50)</f>
        <v>50</v>
      </c>
      <c r="K217" s="30">
        <f>IFERROR(VLOOKUP(G217,Справочник_ОКВЭД_НР!$O:$P,2,FALSE()),50)</f>
        <v>100</v>
      </c>
      <c r="L217" s="45">
        <f>(I217*Справочник_ОКВЭД_НР!$L$2+J217*Справочник_ОКВЭД_НР!$L$3+K217*Справочник_ОКВЭД_НР!$L$4)*M217</f>
        <v>63.5</v>
      </c>
      <c r="M217" s="47">
        <f>IF(COUNTIF(Справочник_ОКВЭД_НР!$G$3:$G$62,H217)&gt;0,0,1)</f>
        <v>1</v>
      </c>
    </row>
    <row r="218" spans="1:13" x14ac:dyDescent="0.25">
      <c r="A218" s="4">
        <f>ЛИК_дляСкорингаДП!A218</f>
        <v>1187847049257</v>
      </c>
      <c r="B218" s="4">
        <f>ЛИК_дляСкорингаДП!B218</f>
        <v>7841071563</v>
      </c>
      <c r="C218" s="4" t="str">
        <f>ЛИК_дляСкорингаДП!C218</f>
        <v>ООО "СК ГЕНЕЗИС"</v>
      </c>
      <c r="D218" s="5" t="str">
        <f>ЛИК_дляСкорингаДП!M218</f>
        <v>Строительство жилых и нежилых зданий</v>
      </c>
      <c r="E218" s="4" t="str">
        <f>ЛИК_дляСкорингаДП!L218</f>
        <v>41.20</v>
      </c>
      <c r="F218" t="str">
        <f>ЛИК_дляСкорингаДП!N218</f>
        <v>49.42,52.21,52.29,68.20,69.10,69.20,96.09</v>
      </c>
      <c r="G218" s="25" t="str">
        <f>ЛИК_дляСкорингаДП!AG218</f>
        <v>ОСН</v>
      </c>
      <c r="H218" s="55" t="str">
        <f>IF(ISNUMBER(E218),E218,
IFERROR(LEFT(E218,FIND(".",E218)-1),E218))</f>
        <v>41</v>
      </c>
      <c r="I218" s="30">
        <f>IF(COUNTIF(Справочник_ОКВЭД_НР!$A$3:$A$62,H218)&gt;0,Справочник_ОКВЭД_НР!$L$8,
 IF(COUNTIF(Справочник_ОКВЭД_НР!$C$3:$C$62,H218)&gt;0,Справочник_ОКВЭД_НР!$L$9,
  IF(COUNTIF(Справочник_ОКВЭД_НР!$E$3:$E$62,H218)&gt;0,Справочник_ОКВЭД_НР!$L$10,
   IF(COUNTIF(Справочник_ОКВЭД_НР!$G$3:$G$62,H218)&gt;0,Справочник_ОКВЭД_НР!$L$11,50))))</f>
        <v>100</v>
      </c>
      <c r="J218" s="30" cm="1">
        <f t="array" ref="J218">IFERROR(
 (SUMPRODUCT(ISNUMBER(SEARCH(","&amp;Справочник_ОКВЭД_НР!$A$3:$A$62&amp;".",","&amp;SUBSTITUTE(F218," ","")&amp;",")))*Справочник_ОКВЭД_НР!$L$9 +
  SUMPRODUCT(ISNUMBER(SEARCH(","&amp;Справочник_ОКВЭД_НР!$C$3:$C$62&amp;".",","&amp;SUBSTITUTE(F218," ","")&amp;",")))*Справочник_ОКВЭД_НР!$L$10 +
  SUMPRODUCT(ISNUMBER(SEARCH(","&amp;Справочник_ОКВЭД_НР!$E$3:$E$62&amp;".",","&amp;SUBSTITUTE(F218," ","")&amp;",")))*Справочник_ОКВЭД_НР!$L$11 +
  SUMPRODUCT(ISNUMBER(SEARCH(","&amp;Справочник_ОКВЭД_НР!$G$3:$G$62&amp;".",","&amp;SUBSTITUTE(F218," ","")&amp;",")))*Справочник_ОКВЭД_НР!$L$12) /
 (SUMPRODUCT(ISNUMBER(SEARCH(","&amp;Справочник_ОКВЭД_НР!$A$3:$A$62&amp;".",","&amp;SUBSTITUTE(F218," ","")&amp;","))) +
  SUMPRODUCT(ISNUMBER(SEARCH(","&amp;Справочник_ОКВЭД_НР!$C$3:$C$62&amp;".",","&amp;SUBSTITUTE(F218," ","")&amp;","))) +
  SUMPRODUCT(ISNUMBER(SEARCH(","&amp;Справочник_ОКВЭД_НР!$E$3:$E$62&amp;".",","&amp;SUBSTITUTE(F218," ","")&amp;","))) +
  SUMPRODUCT(ISNUMBER(SEARCH(","&amp;Справочник_ОКВЭД_НР!$G$3:$G$62&amp;".",","&amp;SUBSTITUTE(F218," ","")&amp;",")))),
50)</f>
        <v>50</v>
      </c>
      <c r="K218" s="30">
        <f>IFERROR(VLOOKUP(G218,Справочник_ОКВЭД_НР!$O:$P,2,FALSE()),50)</f>
        <v>100</v>
      </c>
      <c r="L218" s="45">
        <f>(I218*Справочник_ОКВЭД_НР!$L$2+J218*Справочник_ОКВЭД_НР!$L$3+K218*Справочник_ОКВЭД_НР!$L$4)*M218</f>
        <v>87.5</v>
      </c>
      <c r="M218" s="47">
        <f>IF(COUNTIF(Справочник_ОКВЭД_НР!$G$3:$G$62,H218)&gt;0,0,1)</f>
        <v>1</v>
      </c>
    </row>
    <row r="219" spans="1:13" x14ac:dyDescent="0.25">
      <c r="A219" s="4">
        <f>ЛИК_дляСкорингаДП!A219</f>
        <v>1175050009144</v>
      </c>
      <c r="B219" s="4">
        <f>ЛИК_дляСкорингаДП!B219</f>
        <v>5050134520</v>
      </c>
      <c r="C219" s="4" t="str">
        <f>ЛИК_дляСкорингаДП!C219</f>
        <v>ООО "МПМ УПАКОВКА"</v>
      </c>
      <c r="D219" s="5" t="str">
        <f>ЛИК_дляСкорингаДП!M219</f>
        <v>Производство гофрированной бумаги и картона, бумажной и картонной тары</v>
      </c>
      <c r="E219" s="4" t="str">
        <f>ЛИК_дляСкорингаДП!L219</f>
        <v>17.21</v>
      </c>
      <c r="F219" t="str">
        <f>ЛИК_дляСкорингаДП!N219</f>
        <v>17.12,17.29,46.76.1</v>
      </c>
      <c r="G219" s="25" t="str">
        <f>ЛИК_дляСкорингаДП!AG219</f>
        <v>ОСН</v>
      </c>
      <c r="H219" s="55" t="str">
        <f>IF(ISNUMBER(E219),E219,
IFERROR(LEFT(E219,FIND(".",E219)-1),E219))</f>
        <v>17</v>
      </c>
      <c r="I219" s="30">
        <f>IF(COUNTIF(Справочник_ОКВЭД_НР!$A$3:$A$62,H219)&gt;0,Справочник_ОКВЭД_НР!$L$8,
 IF(COUNTIF(Справочник_ОКВЭД_НР!$C$3:$C$62,H219)&gt;0,Справочник_ОКВЭД_НР!$L$9,
  IF(COUNTIF(Справочник_ОКВЭД_НР!$E$3:$E$62,H219)&gt;0,Справочник_ОКВЭД_НР!$L$10,
   IF(COUNTIF(Справочник_ОКВЭД_НР!$G$3:$G$62,H219)&gt;0,Справочник_ОКВЭД_НР!$L$11,50))))</f>
        <v>60</v>
      </c>
      <c r="J219" s="30" cm="1">
        <f t="array" ref="J219">IFERROR(
 (SUMPRODUCT(ISNUMBER(SEARCH(","&amp;Справочник_ОКВЭД_НР!$A$3:$A$62&amp;".",","&amp;SUBSTITUTE(F219," ","")&amp;",")))*Справочник_ОКВЭД_НР!$L$9 +
  SUMPRODUCT(ISNUMBER(SEARCH(","&amp;Справочник_ОКВЭД_НР!$C$3:$C$62&amp;".",","&amp;SUBSTITUTE(F219," ","")&amp;",")))*Справочник_ОКВЭД_НР!$L$10 +
  SUMPRODUCT(ISNUMBER(SEARCH(","&amp;Справочник_ОКВЭД_НР!$E$3:$E$62&amp;".",","&amp;SUBSTITUTE(F219," ","")&amp;",")))*Справочник_ОКВЭД_НР!$L$11 +
  SUMPRODUCT(ISNUMBER(SEARCH(","&amp;Справочник_ОКВЭД_НР!$G$3:$G$62&amp;".",","&amp;SUBSTITUTE(F219," ","")&amp;",")))*Справочник_ОКВЭД_НР!$L$12) /
 (SUMPRODUCT(ISNUMBER(SEARCH(","&amp;Справочник_ОКВЭД_НР!$A$3:$A$62&amp;".",","&amp;SUBSTITUTE(F219," ","")&amp;","))) +
  SUMPRODUCT(ISNUMBER(SEARCH(","&amp;Справочник_ОКВЭД_НР!$C$3:$C$62&amp;".",","&amp;SUBSTITUTE(F219," ","")&amp;","))) +
  SUMPRODUCT(ISNUMBER(SEARCH(","&amp;Справочник_ОКВЭД_НР!$E$3:$E$62&amp;".",","&amp;SUBSTITUTE(F219," ","")&amp;","))) +
  SUMPRODUCT(ISNUMBER(SEARCH(","&amp;Справочник_ОКВЭД_НР!$G$3:$G$62&amp;".",","&amp;SUBSTITUTE(F219," ","")&amp;",")))),
50)</f>
        <v>50</v>
      </c>
      <c r="K219" s="30">
        <f>IFERROR(VLOOKUP(G219,Справочник_ОКВЭД_НР!$O:$P,2,FALSE()),50)</f>
        <v>100</v>
      </c>
      <c r="L219" s="45">
        <f>(I219*Справочник_ОКВЭД_НР!$L$2+J219*Справочник_ОКВЭД_НР!$L$3+K219*Справочник_ОКВЭД_НР!$L$4)*M219</f>
        <v>63.5</v>
      </c>
      <c r="M219" s="47">
        <f>IF(COUNTIF(Справочник_ОКВЭД_НР!$G$3:$G$62,H219)&gt;0,0,1)</f>
        <v>1</v>
      </c>
    </row>
    <row r="220" spans="1:13" x14ac:dyDescent="0.25">
      <c r="A220" s="4">
        <f>ЛИК_дляСкорингаДП!A220</f>
        <v>1177746096109</v>
      </c>
      <c r="B220" s="4">
        <f>ЛИК_дляСкорингаДП!B220</f>
        <v>7722389445</v>
      </c>
      <c r="C220" s="4" t="str">
        <f>ЛИК_дляСкорингаДП!C220</f>
        <v>ООО "АБК-ГРУПП"</v>
      </c>
      <c r="D220" s="5" t="str">
        <f>ЛИК_дляСкорингаДП!M220</f>
        <v>Аренда и управление собственным или арендованным нежилым недвижимым имуществом</v>
      </c>
      <c r="E220" s="4" t="str">
        <f>ЛИК_дляСкорингаДП!L220</f>
        <v>68.20.2</v>
      </c>
      <c r="F220" t="str">
        <f>ЛИК_дляСкорингаДП!N220</f>
        <v>43.29,43.39,68.10.12,68.10.22,68.31.21,81.21</v>
      </c>
      <c r="G220" s="25" t="str">
        <f>ЛИК_дляСкорингаДП!AG220</f>
        <v>ОСН</v>
      </c>
      <c r="H220" s="55" t="str">
        <f>IF(ISNUMBER(E220),E220,
IFERROR(LEFT(E220,FIND(".",E220)-1),E220))</f>
        <v>68</v>
      </c>
      <c r="I220" s="30">
        <f>IF(COUNTIF(Справочник_ОКВЭД_НР!$A$3:$A$62,H220)&gt;0,Справочник_ОКВЭД_НР!$L$8,
 IF(COUNTIF(Справочник_ОКВЭД_НР!$C$3:$C$62,H220)&gt;0,Справочник_ОКВЭД_НР!$L$9,
  IF(COUNTIF(Справочник_ОКВЭД_НР!$E$3:$E$62,H220)&gt;0,Справочник_ОКВЭД_НР!$L$10,
   IF(COUNTIF(Справочник_ОКВЭД_НР!$G$3:$G$62,H220)&gt;0,Справочник_ОКВЭД_НР!$L$11,50))))</f>
        <v>100</v>
      </c>
      <c r="J220" s="30" cm="1">
        <f t="array" ref="J220">IFERROR(
 (SUMPRODUCT(ISNUMBER(SEARCH(","&amp;Справочник_ОКВЭД_НР!$A$3:$A$62&amp;".",","&amp;SUBSTITUTE(F220," ","")&amp;",")))*Справочник_ОКВЭД_НР!$L$9 +
  SUMPRODUCT(ISNUMBER(SEARCH(","&amp;Справочник_ОКВЭД_НР!$C$3:$C$62&amp;".",","&amp;SUBSTITUTE(F220," ","")&amp;",")))*Справочник_ОКВЭД_НР!$L$10 +
  SUMPRODUCT(ISNUMBER(SEARCH(","&amp;Справочник_ОКВЭД_НР!$E$3:$E$62&amp;".",","&amp;SUBSTITUTE(F220," ","")&amp;",")))*Справочник_ОКВЭД_НР!$L$11 +
  SUMPRODUCT(ISNUMBER(SEARCH(","&amp;Справочник_ОКВЭД_НР!$G$3:$G$62&amp;".",","&amp;SUBSTITUTE(F220," ","")&amp;",")))*Справочник_ОКВЭД_НР!$L$12) /
 (SUMPRODUCT(ISNUMBER(SEARCH(","&amp;Справочник_ОКВЭД_НР!$A$3:$A$62&amp;".",","&amp;SUBSTITUTE(F220," ","")&amp;","))) +
  SUMPRODUCT(ISNUMBER(SEARCH(","&amp;Справочник_ОКВЭД_НР!$C$3:$C$62&amp;".",","&amp;SUBSTITUTE(F220," ","")&amp;","))) +
  SUMPRODUCT(ISNUMBER(SEARCH(","&amp;Справочник_ОКВЭД_НР!$E$3:$E$62&amp;".",","&amp;SUBSTITUTE(F220," ","")&amp;","))) +
  SUMPRODUCT(ISNUMBER(SEARCH(","&amp;Справочник_ОКВЭД_НР!$G$3:$G$62&amp;".",","&amp;SUBSTITUTE(F220," ","")&amp;",")))),
50)</f>
        <v>50</v>
      </c>
      <c r="K220" s="30">
        <f>IFERROR(VLOOKUP(G220,Справочник_ОКВЭД_НР!$O:$P,2,FALSE()),50)</f>
        <v>100</v>
      </c>
      <c r="L220" s="45">
        <f>(I220*Справочник_ОКВЭД_НР!$L$2+J220*Справочник_ОКВЭД_НР!$L$3+K220*Справочник_ОКВЭД_НР!$L$4)*M220</f>
        <v>87.5</v>
      </c>
      <c r="M220" s="47">
        <f>IF(COUNTIF(Справочник_ОКВЭД_НР!$G$3:$G$62,H220)&gt;0,0,1)</f>
        <v>1</v>
      </c>
    </row>
    <row r="221" spans="1:13" x14ac:dyDescent="0.25">
      <c r="A221" s="4">
        <f>ЛИК_дляСкорингаДП!A221</f>
        <v>1227700378751</v>
      </c>
      <c r="B221" s="4">
        <f>ЛИК_дляСкорингаДП!B221</f>
        <v>9701210884</v>
      </c>
      <c r="C221" s="4" t="str">
        <f>ЛИК_дляСкорингаДП!C221</f>
        <v>ООО "АКСИОМА"</v>
      </c>
      <c r="D221" s="5" t="str">
        <f>ЛИК_дляСкорингаДП!M221</f>
        <v>Деятельность по упаковыванию товаров</v>
      </c>
      <c r="E221" s="4" t="str">
        <f>ЛИК_дляСкорингаДП!L221</f>
        <v>82.92</v>
      </c>
      <c r="F221" t="str">
        <f>ЛИК_дляСкорингаДП!N221</f>
        <v>45.11,45.20,45.32,45.40,46.73.4,46.90,47.30,47.52.2,52.10,52.10.2,52.10.9,52.21,52.24,52.24.1,52.24.2,63.12</v>
      </c>
      <c r="G221" s="25" t="str">
        <f>ЛИК_дляСкорингаДП!AG221</f>
        <v>ОСН</v>
      </c>
      <c r="H221" s="55" t="str">
        <f>IF(ISNUMBER(E221),E221,
IFERROR(LEFT(E221,FIND(".",E221)-1),E221))</f>
        <v>82</v>
      </c>
      <c r="I221" s="30">
        <f>IF(COUNTIF(Справочник_ОКВЭД_НР!$A$3:$A$62,H221)&gt;0,Справочник_ОКВЭД_НР!$L$8,
 IF(COUNTIF(Справочник_ОКВЭД_НР!$C$3:$C$62,H221)&gt;0,Справочник_ОКВЭД_НР!$L$9,
  IF(COUNTIF(Справочник_ОКВЭД_НР!$E$3:$E$62,H221)&gt;0,Справочник_ОКВЭД_НР!$L$10,
   IF(COUNTIF(Справочник_ОКВЭД_НР!$G$3:$G$62,H221)&gt;0,Справочник_ОКВЭД_НР!$L$11,50))))</f>
        <v>30</v>
      </c>
      <c r="J221" s="30" cm="1">
        <f t="array" ref="J221">IFERROR(
 (SUMPRODUCT(ISNUMBER(SEARCH(","&amp;Справочник_ОКВЭД_НР!$A$3:$A$62&amp;".",","&amp;SUBSTITUTE(F221," ","")&amp;",")))*Справочник_ОКВЭД_НР!$L$9 +
  SUMPRODUCT(ISNUMBER(SEARCH(","&amp;Справочник_ОКВЭД_НР!$C$3:$C$62&amp;".",","&amp;SUBSTITUTE(F221," ","")&amp;",")))*Справочник_ОКВЭД_НР!$L$10 +
  SUMPRODUCT(ISNUMBER(SEARCH(","&amp;Справочник_ОКВЭД_НР!$E$3:$E$62&amp;".",","&amp;SUBSTITUTE(F221," ","")&amp;",")))*Справочник_ОКВЭД_НР!$L$11 +
  SUMPRODUCT(ISNUMBER(SEARCH(","&amp;Справочник_ОКВЭД_НР!$G$3:$G$62&amp;".",","&amp;SUBSTITUTE(F221," ","")&amp;",")))*Справочник_ОКВЭД_НР!$L$12) /
 (SUMPRODUCT(ISNUMBER(SEARCH(","&amp;Справочник_ОКВЭД_НР!$A$3:$A$62&amp;".",","&amp;SUBSTITUTE(F221," ","")&amp;","))) +
  SUMPRODUCT(ISNUMBER(SEARCH(","&amp;Справочник_ОКВЭД_НР!$C$3:$C$62&amp;".",","&amp;SUBSTITUTE(F221," ","")&amp;","))) +
  SUMPRODUCT(ISNUMBER(SEARCH(","&amp;Справочник_ОКВЭД_НР!$E$3:$E$62&amp;".",","&amp;SUBSTITUTE(F221," ","")&amp;","))) +
  SUMPRODUCT(ISNUMBER(SEARCH(","&amp;Справочник_ОКВЭД_НР!$G$3:$G$62&amp;".",","&amp;SUBSTITUTE(F221," ","")&amp;",")))),
50)</f>
        <v>50</v>
      </c>
      <c r="K221" s="30">
        <f>IFERROR(VLOOKUP(G221,Справочник_ОКВЭД_НР!$O:$P,2,FALSE()),50)</f>
        <v>100</v>
      </c>
      <c r="L221" s="45">
        <f>(I221*Справочник_ОКВЭД_НР!$L$2+J221*Справочник_ОКВЭД_НР!$L$3+K221*Справочник_ОКВЭД_НР!$L$4)*M221</f>
        <v>45.5</v>
      </c>
      <c r="M221" s="47">
        <f>IF(COUNTIF(Справочник_ОКВЭД_НР!$G$3:$G$62,H221)&gt;0,0,1)</f>
        <v>1</v>
      </c>
    </row>
    <row r="222" spans="1:13" x14ac:dyDescent="0.25">
      <c r="A222" s="4">
        <f>ЛИК_дляСкорингаДП!A222</f>
        <v>1177746798492</v>
      </c>
      <c r="B222" s="4">
        <f>ЛИК_дляСкорингаДП!B222</f>
        <v>7728376178</v>
      </c>
      <c r="C222" s="4" t="str">
        <f>ЛИК_дляСкорингаДП!C222</f>
        <v>ООО "ИНТЕРПАМП ГИДРАВЛИКС РУС"</v>
      </c>
      <c r="D222" s="5" t="str">
        <f>ЛИК_дляСкорингаДП!M222</f>
        <v>Торговля оптовая транспортными средствами, кроме автомобилей, мотоциклов и велосипедов</v>
      </c>
      <c r="E222" s="4" t="str">
        <f>ЛИК_дляСкорингаДП!L222</f>
        <v>46.69.1</v>
      </c>
      <c r="F222" t="str">
        <f>ЛИК_дляСкорингаДП!N222</f>
        <v>45.31,45.31.1,45.32,45.32.1,46.69,46.69.3,46.69.9</v>
      </c>
      <c r="G222" s="25" t="str">
        <f>ЛИК_дляСкорингаДП!AG222</f>
        <v>ОСН</v>
      </c>
      <c r="H222" s="55" t="str">
        <f>IF(ISNUMBER(E222),E222,
IFERROR(LEFT(E222,FIND(".",E222)-1),E222))</f>
        <v>46</v>
      </c>
      <c r="I222" s="30">
        <f>IF(COUNTIF(Справочник_ОКВЭД_НР!$A$3:$A$62,H222)&gt;0,Справочник_ОКВЭД_НР!$L$8,
 IF(COUNTIF(Справочник_ОКВЭД_НР!$C$3:$C$62,H222)&gt;0,Справочник_ОКВЭД_НР!$L$9,
  IF(COUNTIF(Справочник_ОКВЭД_НР!$E$3:$E$62,H222)&gt;0,Справочник_ОКВЭД_НР!$L$10,
   IF(COUNTIF(Справочник_ОКВЭД_НР!$G$3:$G$62,H222)&gt;0,Справочник_ОКВЭД_НР!$L$11,50))))</f>
        <v>60</v>
      </c>
      <c r="J222" s="30" cm="1">
        <f t="array" ref="J222">IFERROR(
 (SUMPRODUCT(ISNUMBER(SEARCH(","&amp;Справочник_ОКВЭД_НР!$A$3:$A$62&amp;".",","&amp;SUBSTITUTE(F222," ","")&amp;",")))*Справочник_ОКВЭД_НР!$L$9 +
  SUMPRODUCT(ISNUMBER(SEARCH(","&amp;Справочник_ОКВЭД_НР!$C$3:$C$62&amp;".",","&amp;SUBSTITUTE(F222," ","")&amp;",")))*Справочник_ОКВЭД_НР!$L$10 +
  SUMPRODUCT(ISNUMBER(SEARCH(","&amp;Справочник_ОКВЭД_НР!$E$3:$E$62&amp;".",","&amp;SUBSTITUTE(F222," ","")&amp;",")))*Справочник_ОКВЭД_НР!$L$11 +
  SUMPRODUCT(ISNUMBER(SEARCH(","&amp;Справочник_ОКВЭД_НР!$G$3:$G$62&amp;".",","&amp;SUBSTITUTE(F222," ","")&amp;",")))*Справочник_ОКВЭД_НР!$L$12) /
 (SUMPRODUCT(ISNUMBER(SEARCH(","&amp;Справочник_ОКВЭД_НР!$A$3:$A$62&amp;".",","&amp;SUBSTITUTE(F222," ","")&amp;","))) +
  SUMPRODUCT(ISNUMBER(SEARCH(","&amp;Справочник_ОКВЭД_НР!$C$3:$C$62&amp;".",","&amp;SUBSTITUTE(F222," ","")&amp;","))) +
  SUMPRODUCT(ISNUMBER(SEARCH(","&amp;Справочник_ОКВЭД_НР!$E$3:$E$62&amp;".",","&amp;SUBSTITUTE(F222," ","")&amp;","))) +
  SUMPRODUCT(ISNUMBER(SEARCH(","&amp;Справочник_ОКВЭД_НР!$G$3:$G$62&amp;".",","&amp;SUBSTITUTE(F222," ","")&amp;",")))),
50)</f>
        <v>50</v>
      </c>
      <c r="K222" s="30">
        <f>IFERROR(VLOOKUP(G222,Справочник_ОКВЭД_НР!$O:$P,2,FALSE()),50)</f>
        <v>100</v>
      </c>
      <c r="L222" s="45">
        <f>(I222*Справочник_ОКВЭД_НР!$L$2+J222*Справочник_ОКВЭД_НР!$L$3+K222*Справочник_ОКВЭД_НР!$L$4)*M222</f>
        <v>63.5</v>
      </c>
      <c r="M222" s="47">
        <f>IF(COUNTIF(Справочник_ОКВЭД_НР!$G$3:$G$62,H222)&gt;0,0,1)</f>
        <v>1</v>
      </c>
    </row>
    <row r="223" spans="1:13" x14ac:dyDescent="0.25">
      <c r="A223" s="4">
        <f>ЛИК_дляСкорингаДП!A223</f>
        <v>1185007002707</v>
      </c>
      <c r="B223" s="4">
        <f>ЛИК_дляСкорингаДП!B223</f>
        <v>5044111557</v>
      </c>
      <c r="C223" s="4" t="str">
        <f>ЛИК_дляСкорингаДП!C223</f>
        <v>ООО "СОЛЕРАМИЧИ"</v>
      </c>
      <c r="D223" s="5" t="str">
        <f>ЛИК_дляСкорингаДП!M223</f>
        <v>Производство колбасных изделий</v>
      </c>
      <c r="E223" s="4" t="str">
        <f>ЛИК_дляСкорингаДП!L223</f>
        <v>10.13.2</v>
      </c>
      <c r="F223" t="str">
        <f>ЛИК_дляСкорингаДП!N223</f>
        <v>10.11.3,10.12.1,10.12.2,10.12.4,10.13.1,10.13.3,10.13.4,10.13.5,10.13.6,10.13.7,10.85,10.89.1,45.20,46.33.3,46.36.3,46.38.2,47.19,47.22,49.41,52.10,52.21.24,52.24</v>
      </c>
      <c r="G223" s="25" t="str">
        <f>ЛИК_дляСкорингаДП!AG223</f>
        <v>ОСН</v>
      </c>
      <c r="H223" s="55" t="str">
        <f>IF(ISNUMBER(E223),E223,
IFERROR(LEFT(E223,FIND(".",E223)-1),E223))</f>
        <v>10</v>
      </c>
      <c r="I223" s="30">
        <f>IF(COUNTIF(Справочник_ОКВЭД_НР!$A$3:$A$62,H223)&gt;0,Справочник_ОКВЭД_НР!$L$8,
 IF(COUNTIF(Справочник_ОКВЭД_НР!$C$3:$C$62,H223)&gt;0,Справочник_ОКВЭД_НР!$L$9,
  IF(COUNTIF(Справочник_ОКВЭД_НР!$E$3:$E$62,H223)&gt;0,Справочник_ОКВЭД_НР!$L$10,
   IF(COUNTIF(Справочник_ОКВЭД_НР!$G$3:$G$62,H223)&gt;0,Справочник_ОКВЭД_НР!$L$11,50))))</f>
        <v>100</v>
      </c>
      <c r="J223" s="30" cm="1">
        <f t="array" ref="J223">IFERROR(
 (SUMPRODUCT(ISNUMBER(SEARCH(","&amp;Справочник_ОКВЭД_НР!$A$3:$A$62&amp;".",","&amp;SUBSTITUTE(F223," ","")&amp;",")))*Справочник_ОКВЭД_НР!$L$9 +
  SUMPRODUCT(ISNUMBER(SEARCH(","&amp;Справочник_ОКВЭД_НР!$C$3:$C$62&amp;".",","&amp;SUBSTITUTE(F223," ","")&amp;",")))*Справочник_ОКВЭД_НР!$L$10 +
  SUMPRODUCT(ISNUMBER(SEARCH(","&amp;Справочник_ОКВЭД_НР!$E$3:$E$62&amp;".",","&amp;SUBSTITUTE(F223," ","")&amp;",")))*Справочник_ОКВЭД_НР!$L$11 +
  SUMPRODUCT(ISNUMBER(SEARCH(","&amp;Справочник_ОКВЭД_НР!$G$3:$G$62&amp;".",","&amp;SUBSTITUTE(F223," ","")&amp;",")))*Справочник_ОКВЭД_НР!$L$12) /
 (SUMPRODUCT(ISNUMBER(SEARCH(","&amp;Справочник_ОКВЭД_НР!$A$3:$A$62&amp;".",","&amp;SUBSTITUTE(F223," ","")&amp;","))) +
  SUMPRODUCT(ISNUMBER(SEARCH(","&amp;Справочник_ОКВЭД_НР!$C$3:$C$62&amp;".",","&amp;SUBSTITUTE(F223," ","")&amp;","))) +
  SUMPRODUCT(ISNUMBER(SEARCH(","&amp;Справочник_ОКВЭД_НР!$E$3:$E$62&amp;".",","&amp;SUBSTITUTE(F223," ","")&amp;","))) +
  SUMPRODUCT(ISNUMBER(SEARCH(","&amp;Справочник_ОКВЭД_НР!$G$3:$G$62&amp;".",","&amp;SUBSTITUTE(F223," ","")&amp;",")))),
50)</f>
        <v>50</v>
      </c>
      <c r="K223" s="30">
        <f>IFERROR(VLOOKUP(G223,Справочник_ОКВЭД_НР!$O:$P,2,FALSE()),50)</f>
        <v>100</v>
      </c>
      <c r="L223" s="45">
        <f>(I223*Справочник_ОКВЭД_НР!$L$2+J223*Справочник_ОКВЭД_НР!$L$3+K223*Справочник_ОКВЭД_НР!$L$4)*M223</f>
        <v>87.5</v>
      </c>
      <c r="M223" s="47">
        <f>IF(COUNTIF(Справочник_ОКВЭД_НР!$G$3:$G$62,H223)&gt;0,0,1)</f>
        <v>1</v>
      </c>
    </row>
    <row r="224" spans="1:13" x14ac:dyDescent="0.25">
      <c r="A224" s="4">
        <f>ЛИК_дляСкорингаДП!A224</f>
        <v>1247700661988</v>
      </c>
      <c r="B224" s="4">
        <f>ЛИК_дляСкорингаДП!B224</f>
        <v>9727088244</v>
      </c>
      <c r="C224" s="4" t="str">
        <f>ЛИК_дляСкорингаДП!C224</f>
        <v>АО "АЙТИ-ЛАБ"</v>
      </c>
      <c r="D224" s="5" t="str">
        <f>ЛИК_дляСкорингаДП!M224</f>
        <v>Деятельность по обработке данных, предоставление услуг по размещению информации и связанная с этим деятельность</v>
      </c>
      <c r="E224" s="4" t="str">
        <f>ЛИК_дляСкорингаДП!L224</f>
        <v>63.11</v>
      </c>
      <c r="F224" t="str">
        <f>ЛИК_дляСкорингаДП!N224</f>
        <v>46.51,62.01,62.03,77.33</v>
      </c>
      <c r="G224" s="25" t="str">
        <f>ЛИК_дляСкорингаДП!AG224</f>
        <v>ОСН</v>
      </c>
      <c r="H224" s="55" t="str">
        <f>IF(ISNUMBER(E224),E224,
IFERROR(LEFT(E224,FIND(".",E224)-1),E224))</f>
        <v>63</v>
      </c>
      <c r="I224" s="30">
        <f>IF(COUNTIF(Справочник_ОКВЭД_НР!$A$3:$A$62,H224)&gt;0,Справочник_ОКВЭД_НР!$L$8,
 IF(COUNTIF(Справочник_ОКВЭД_НР!$C$3:$C$62,H224)&gt;0,Справочник_ОКВЭД_НР!$L$9,
  IF(COUNTIF(Справочник_ОКВЭД_НР!$E$3:$E$62,H224)&gt;0,Справочник_ОКВЭД_НР!$L$10,
   IF(COUNTIF(Справочник_ОКВЭД_НР!$G$3:$G$62,H224)&gt;0,Справочник_ОКВЭД_НР!$L$11,50))))</f>
        <v>100</v>
      </c>
      <c r="J224" s="30" cm="1">
        <f t="array" ref="J224">IFERROR(
 (SUMPRODUCT(ISNUMBER(SEARCH(","&amp;Справочник_ОКВЭД_НР!$A$3:$A$62&amp;".",","&amp;SUBSTITUTE(F224," ","")&amp;",")))*Справочник_ОКВЭД_НР!$L$9 +
  SUMPRODUCT(ISNUMBER(SEARCH(","&amp;Справочник_ОКВЭД_НР!$C$3:$C$62&amp;".",","&amp;SUBSTITUTE(F224," ","")&amp;",")))*Справочник_ОКВЭД_НР!$L$10 +
  SUMPRODUCT(ISNUMBER(SEARCH(","&amp;Справочник_ОКВЭД_НР!$E$3:$E$62&amp;".",","&amp;SUBSTITUTE(F224," ","")&amp;",")))*Справочник_ОКВЭД_НР!$L$11 +
  SUMPRODUCT(ISNUMBER(SEARCH(","&amp;Справочник_ОКВЭД_НР!$G$3:$G$62&amp;".",","&amp;SUBSTITUTE(F224," ","")&amp;",")))*Справочник_ОКВЭД_НР!$L$12) /
 (SUMPRODUCT(ISNUMBER(SEARCH(","&amp;Справочник_ОКВЭД_НР!$A$3:$A$62&amp;".",","&amp;SUBSTITUTE(F224," ","")&amp;","))) +
  SUMPRODUCT(ISNUMBER(SEARCH(","&amp;Справочник_ОКВЭД_НР!$C$3:$C$62&amp;".",","&amp;SUBSTITUTE(F224," ","")&amp;","))) +
  SUMPRODUCT(ISNUMBER(SEARCH(","&amp;Справочник_ОКВЭД_НР!$E$3:$E$62&amp;".",","&amp;SUBSTITUTE(F224," ","")&amp;","))) +
  SUMPRODUCT(ISNUMBER(SEARCH(","&amp;Справочник_ОКВЭД_НР!$G$3:$G$62&amp;".",","&amp;SUBSTITUTE(F224," ","")&amp;",")))),
50)</f>
        <v>50</v>
      </c>
      <c r="K224" s="30">
        <f>IFERROR(VLOOKUP(G224,Справочник_ОКВЭД_НР!$O:$P,2,FALSE()),50)</f>
        <v>100</v>
      </c>
      <c r="L224" s="45">
        <f>(I224*Справочник_ОКВЭД_НР!$L$2+J224*Справочник_ОКВЭД_НР!$L$3+K224*Справочник_ОКВЭД_НР!$L$4)*M224</f>
        <v>87.5</v>
      </c>
      <c r="M224" s="47">
        <f>IF(COUNTIF(Справочник_ОКВЭД_НР!$G$3:$G$62,H224)&gt;0,0,1)</f>
        <v>1</v>
      </c>
    </row>
    <row r="225" spans="1:13" x14ac:dyDescent="0.25">
      <c r="A225" s="4">
        <f>ЛИК_дляСкорингаДП!A225</f>
        <v>1227700252845</v>
      </c>
      <c r="B225" s="4">
        <f>ЛИК_дляСкорингаДП!B225</f>
        <v>9704136364</v>
      </c>
      <c r="C225" s="4" t="str">
        <f>ЛИК_дляСкорингаДП!C225</f>
        <v>ООО "РОБУСТА ТЕХНОЛОГИИ"</v>
      </c>
      <c r="D225" s="5" t="str">
        <f>ЛИК_дляСкорингаДП!M225</f>
        <v>Разработка компьютерного программного обеспечения</v>
      </c>
      <c r="E225" s="4" t="str">
        <f>ЛИК_дляСкорингаДП!L225</f>
        <v>62.01</v>
      </c>
      <c r="F225" t="str">
        <f>ЛИК_дляСкорингаДП!N225</f>
        <v>62.02,62.03,62.09,63.11,63.12,69.20.2,70.22,73.11,73.12,73.20</v>
      </c>
      <c r="G225" s="25" t="str">
        <f>ЛИК_дляСкорингаДП!AG225</f>
        <v>ОСН</v>
      </c>
      <c r="H225" s="55" t="str">
        <f>IF(ISNUMBER(E225),E225,
IFERROR(LEFT(E225,FIND(".",E225)-1),E225))</f>
        <v>62</v>
      </c>
      <c r="I225" s="30">
        <f>IF(COUNTIF(Справочник_ОКВЭД_НР!$A$3:$A$62,H225)&gt;0,Справочник_ОКВЭД_НР!$L$8,
 IF(COUNTIF(Справочник_ОКВЭД_НР!$C$3:$C$62,H225)&gt;0,Справочник_ОКВЭД_НР!$L$9,
  IF(COUNTIF(Справочник_ОКВЭД_НР!$E$3:$E$62,H225)&gt;0,Справочник_ОКВЭД_НР!$L$10,
   IF(COUNTIF(Справочник_ОКВЭД_НР!$G$3:$G$62,H225)&gt;0,Справочник_ОКВЭД_НР!$L$11,50))))</f>
        <v>100</v>
      </c>
      <c r="J225" s="30" cm="1">
        <f t="array" ref="J225">IFERROR(
 (SUMPRODUCT(ISNUMBER(SEARCH(","&amp;Справочник_ОКВЭД_НР!$A$3:$A$62&amp;".",","&amp;SUBSTITUTE(F225," ","")&amp;",")))*Справочник_ОКВЭД_НР!$L$9 +
  SUMPRODUCT(ISNUMBER(SEARCH(","&amp;Справочник_ОКВЭД_НР!$C$3:$C$62&amp;".",","&amp;SUBSTITUTE(F225," ","")&amp;",")))*Справочник_ОКВЭД_НР!$L$10 +
  SUMPRODUCT(ISNUMBER(SEARCH(","&amp;Справочник_ОКВЭД_НР!$E$3:$E$62&amp;".",","&amp;SUBSTITUTE(F225," ","")&amp;",")))*Справочник_ОКВЭД_НР!$L$11 +
  SUMPRODUCT(ISNUMBER(SEARCH(","&amp;Справочник_ОКВЭД_НР!$G$3:$G$62&amp;".",","&amp;SUBSTITUTE(F225," ","")&amp;",")))*Справочник_ОКВЭД_НР!$L$12) /
 (SUMPRODUCT(ISNUMBER(SEARCH(","&amp;Справочник_ОКВЭД_НР!$A$3:$A$62&amp;".",","&amp;SUBSTITUTE(F225," ","")&amp;","))) +
  SUMPRODUCT(ISNUMBER(SEARCH(","&amp;Справочник_ОКВЭД_НР!$C$3:$C$62&amp;".",","&amp;SUBSTITUTE(F225," ","")&amp;","))) +
  SUMPRODUCT(ISNUMBER(SEARCH(","&amp;Справочник_ОКВЭД_НР!$E$3:$E$62&amp;".",","&amp;SUBSTITUTE(F225," ","")&amp;","))) +
  SUMPRODUCT(ISNUMBER(SEARCH(","&amp;Справочник_ОКВЭД_НР!$G$3:$G$62&amp;".",","&amp;SUBSTITUTE(F225," ","")&amp;",")))),
50)</f>
        <v>50</v>
      </c>
      <c r="K225" s="30">
        <f>IFERROR(VLOOKUP(G225,Справочник_ОКВЭД_НР!$O:$P,2,FALSE()),50)</f>
        <v>100</v>
      </c>
      <c r="L225" s="45">
        <f>(I225*Справочник_ОКВЭД_НР!$L$2+J225*Справочник_ОКВЭД_НР!$L$3+K225*Справочник_ОКВЭД_НР!$L$4)*M225</f>
        <v>87.5</v>
      </c>
      <c r="M225" s="47">
        <f>IF(COUNTIF(Справочник_ОКВЭД_НР!$G$3:$G$62,H225)&gt;0,0,1)</f>
        <v>1</v>
      </c>
    </row>
    <row r="226" spans="1:13" x14ac:dyDescent="0.25">
      <c r="A226" s="4">
        <f>ЛИК_дляСкорингаДП!A226</f>
        <v>1227700911294</v>
      </c>
      <c r="B226" s="4">
        <f>ЛИК_дляСкорингаДП!B226</f>
        <v>9715437363</v>
      </c>
      <c r="C226" s="4" t="str">
        <f>ЛИК_дляСкорингаДП!C226</f>
        <v>ООО ГК "МПА"</v>
      </c>
      <c r="D226" s="5" t="str">
        <f>ЛИК_дляСкорингаДП!M226</f>
        <v>Производство электрической распределительной и регулирующей аппаратуры</v>
      </c>
      <c r="E226" s="4" t="str">
        <f>ЛИК_дляСкорингаДП!L226</f>
        <v>27.12</v>
      </c>
      <c r="F226" t="str">
        <f>ЛИК_дляСкорингаДП!N226</f>
        <v>27.90.9,33.14,33.20,41.20,43.21,43.22,43.29,43.39,43.91,43.99.1,46.43,46.44,46.49,46.61,46.62,46.63,46.64,46.69,46.69.5,46.73,46.74,46.90,62.01,62.02,71.12.1,71.12.12,71.20.4,82.99</v>
      </c>
      <c r="G226" s="25" t="str">
        <f>ЛИК_дляСкорингаДП!AG226</f>
        <v>ОСН</v>
      </c>
      <c r="H226" s="55" t="str">
        <f>IF(ISNUMBER(E226),E226,
IFERROR(LEFT(E226,FIND(".",E226)-1),E226))</f>
        <v>27</v>
      </c>
      <c r="I226" s="30">
        <f>IF(COUNTIF(Справочник_ОКВЭД_НР!$A$3:$A$62,H226)&gt;0,Справочник_ОКВЭД_НР!$L$8,
 IF(COUNTIF(Справочник_ОКВЭД_НР!$C$3:$C$62,H226)&gt;0,Справочник_ОКВЭД_НР!$L$9,
  IF(COUNTIF(Справочник_ОКВЭД_НР!$E$3:$E$62,H226)&gt;0,Справочник_ОКВЭД_НР!$L$10,
   IF(COUNTIF(Справочник_ОКВЭД_НР!$G$3:$G$62,H226)&gt;0,Справочник_ОКВЭД_НР!$L$11,50))))</f>
        <v>100</v>
      </c>
      <c r="J226" s="30" cm="1">
        <f t="array" ref="J226">IFERROR(
 (SUMPRODUCT(ISNUMBER(SEARCH(","&amp;Справочник_ОКВЭД_НР!$A$3:$A$62&amp;".",","&amp;SUBSTITUTE(F226," ","")&amp;",")))*Справочник_ОКВЭД_НР!$L$9 +
  SUMPRODUCT(ISNUMBER(SEARCH(","&amp;Справочник_ОКВЭД_НР!$C$3:$C$62&amp;".",","&amp;SUBSTITUTE(F226," ","")&amp;",")))*Справочник_ОКВЭД_НР!$L$10 +
  SUMPRODUCT(ISNUMBER(SEARCH(","&amp;Справочник_ОКВЭД_НР!$E$3:$E$62&amp;".",","&amp;SUBSTITUTE(F226," ","")&amp;",")))*Справочник_ОКВЭД_НР!$L$11 +
  SUMPRODUCT(ISNUMBER(SEARCH(","&amp;Справочник_ОКВЭД_НР!$G$3:$G$62&amp;".",","&amp;SUBSTITUTE(F226," ","")&amp;",")))*Справочник_ОКВЭД_НР!$L$12) /
 (SUMPRODUCT(ISNUMBER(SEARCH(","&amp;Справочник_ОКВЭД_НР!$A$3:$A$62&amp;".",","&amp;SUBSTITUTE(F226," ","")&amp;","))) +
  SUMPRODUCT(ISNUMBER(SEARCH(","&amp;Справочник_ОКВЭД_НР!$C$3:$C$62&amp;".",","&amp;SUBSTITUTE(F226," ","")&amp;","))) +
  SUMPRODUCT(ISNUMBER(SEARCH(","&amp;Справочник_ОКВЭД_НР!$E$3:$E$62&amp;".",","&amp;SUBSTITUTE(F226," ","")&amp;","))) +
  SUMPRODUCT(ISNUMBER(SEARCH(","&amp;Справочник_ОКВЭД_НР!$G$3:$G$62&amp;".",","&amp;SUBSTITUTE(F226," ","")&amp;",")))),
50)</f>
        <v>50</v>
      </c>
      <c r="K226" s="30">
        <f>IFERROR(VLOOKUP(G226,Справочник_ОКВЭД_НР!$O:$P,2,FALSE()),50)</f>
        <v>100</v>
      </c>
      <c r="L226" s="45">
        <f>(I226*Справочник_ОКВЭД_НР!$L$2+J226*Справочник_ОКВЭД_НР!$L$3+K226*Справочник_ОКВЭД_НР!$L$4)*M226</f>
        <v>87.5</v>
      </c>
      <c r="M226" s="47">
        <f>IF(COUNTIF(Справочник_ОКВЭД_НР!$G$3:$G$62,H226)&gt;0,0,1)</f>
        <v>1</v>
      </c>
    </row>
    <row r="227" spans="1:13" x14ac:dyDescent="0.25">
      <c r="A227" s="4">
        <f>ЛИК_дляСкорингаДП!A227</f>
        <v>1237700386417</v>
      </c>
      <c r="B227" s="4">
        <f>ЛИК_дляСкорингаДП!B227</f>
        <v>7708420238</v>
      </c>
      <c r="C227" s="4" t="str">
        <f>ЛИК_дляСкорингаДП!C227</f>
        <v>АО "АГРОПРОМЦИФРА"</v>
      </c>
      <c r="D227" s="5" t="str">
        <f>ЛИК_дляСкорингаДП!M227</f>
        <v>Разработка компьютерного программного обеспечения</v>
      </c>
      <c r="E227" s="4" t="str">
        <f>ЛИК_дляСкорингаДП!L227</f>
        <v>62.01</v>
      </c>
      <c r="F227" t="str">
        <f>ЛИК_дляСкорингаДП!N227</f>
        <v>18.11,18.12,18.13,18.14,43.21,46.51,46.51.2,46.52,56.10,56.30,58.14,58.19,58.29,59.11,59.20,62.01,62.02,62.02.1,62.02.2,62.02.3,62.02.4,62.02.9,62.03,62.03.1,62.03.11,62.03.12,62.03.13,62.03.19,62.09,63.11,63.11.1,63.11.9,63.12,63.91,63.99.1,70.22,72.19,72.19.4,73.11,74.10,74.20,74.90.4,74.90.9,77.33,77.40,78.10,79.90,82.11,82.30,82.99,85.42,93.29,95.11,95.12,96.09</v>
      </c>
      <c r="G227" s="25" t="str">
        <f>ЛИК_дляСкорингаДП!AG227</f>
        <v>ОСН</v>
      </c>
      <c r="H227" s="55" t="str">
        <f>IF(ISNUMBER(E227),E227,
IFERROR(LEFT(E227,FIND(".",E227)-1),E227))</f>
        <v>62</v>
      </c>
      <c r="I227" s="30">
        <f>IF(COUNTIF(Справочник_ОКВЭД_НР!$A$3:$A$62,H227)&gt;0,Справочник_ОКВЭД_НР!$L$8,
 IF(COUNTIF(Справочник_ОКВЭД_НР!$C$3:$C$62,H227)&gt;0,Справочник_ОКВЭД_НР!$L$9,
  IF(COUNTIF(Справочник_ОКВЭД_НР!$E$3:$E$62,H227)&gt;0,Справочник_ОКВЭД_НР!$L$10,
   IF(COUNTIF(Справочник_ОКВЭД_НР!$G$3:$G$62,H227)&gt;0,Справочник_ОКВЭД_НР!$L$11,50))))</f>
        <v>100</v>
      </c>
      <c r="J227" s="30" cm="1">
        <f t="array" ref="J227">IFERROR(
 (SUMPRODUCT(ISNUMBER(SEARCH(","&amp;Справочник_ОКВЭД_НР!$A$3:$A$62&amp;".",","&amp;SUBSTITUTE(F227," ","")&amp;",")))*Справочник_ОКВЭД_НР!$L$9 +
  SUMPRODUCT(ISNUMBER(SEARCH(","&amp;Справочник_ОКВЭД_НР!$C$3:$C$62&amp;".",","&amp;SUBSTITUTE(F227," ","")&amp;",")))*Справочник_ОКВЭД_НР!$L$10 +
  SUMPRODUCT(ISNUMBER(SEARCH(","&amp;Справочник_ОКВЭД_НР!$E$3:$E$62&amp;".",","&amp;SUBSTITUTE(F227," ","")&amp;",")))*Справочник_ОКВЭД_НР!$L$11 +
  SUMPRODUCT(ISNUMBER(SEARCH(","&amp;Справочник_ОКВЭД_НР!$G$3:$G$62&amp;".",","&amp;SUBSTITUTE(F227," ","")&amp;",")))*Справочник_ОКВЭД_НР!$L$12) /
 (SUMPRODUCT(ISNUMBER(SEARCH(","&amp;Справочник_ОКВЭД_НР!$A$3:$A$62&amp;".",","&amp;SUBSTITUTE(F227," ","")&amp;","))) +
  SUMPRODUCT(ISNUMBER(SEARCH(","&amp;Справочник_ОКВЭД_НР!$C$3:$C$62&amp;".",","&amp;SUBSTITUTE(F227," ","")&amp;","))) +
  SUMPRODUCT(ISNUMBER(SEARCH(","&amp;Справочник_ОКВЭД_НР!$E$3:$E$62&amp;".",","&amp;SUBSTITUTE(F227," ","")&amp;","))) +
  SUMPRODUCT(ISNUMBER(SEARCH(","&amp;Справочник_ОКВЭД_НР!$G$3:$G$62&amp;".",","&amp;SUBSTITUTE(F227," ","")&amp;",")))),
50)</f>
        <v>50</v>
      </c>
      <c r="K227" s="30">
        <f>IFERROR(VLOOKUP(G227,Справочник_ОКВЭД_НР!$O:$P,2,FALSE()),50)</f>
        <v>100</v>
      </c>
      <c r="L227" s="45">
        <f>(I227*Справочник_ОКВЭД_НР!$L$2+J227*Справочник_ОКВЭД_НР!$L$3+K227*Справочник_ОКВЭД_НР!$L$4)*M227</f>
        <v>87.5</v>
      </c>
      <c r="M227" s="47">
        <f>IF(COUNTIF(Справочник_ОКВЭД_НР!$G$3:$G$62,H227)&gt;0,0,1)</f>
        <v>1</v>
      </c>
    </row>
    <row r="228" spans="1:13" x14ac:dyDescent="0.25">
      <c r="A228" s="4">
        <f>ЛИК_дляСкорингаДП!A228</f>
        <v>1227700493525</v>
      </c>
      <c r="B228" s="4">
        <f>ЛИК_дляСкорингаДП!B228</f>
        <v>9704156995</v>
      </c>
      <c r="C228" s="4" t="str">
        <f>ЛИК_дляСкорингаДП!C228</f>
        <v>ООО "СИЛ"</v>
      </c>
      <c r="D228" s="5" t="str">
        <f>ЛИК_дляСкорингаДП!M228</f>
        <v>Деятельность железнодорожного транспорта: грузовые перевозки</v>
      </c>
      <c r="E228" s="4" t="str">
        <f>ЛИК_дляСкорингаДП!L228</f>
        <v>49.20</v>
      </c>
      <c r="F228" t="str">
        <f>ЛИК_дляСкорингаДП!N228</f>
        <v>46.21</v>
      </c>
      <c r="G228" s="25" t="str">
        <f>ЛИК_дляСкорингаДП!AG228</f>
        <v>ОСН</v>
      </c>
      <c r="H228" s="55" t="str">
        <f>IF(ISNUMBER(E228),E228,
IFERROR(LEFT(E228,FIND(".",E228)-1),E228))</f>
        <v>49</v>
      </c>
      <c r="I228" s="30">
        <f>IF(COUNTIF(Справочник_ОКВЭД_НР!$A$3:$A$62,H228)&gt;0,Справочник_ОКВЭД_НР!$L$8,
 IF(COUNTIF(Справочник_ОКВЭД_НР!$C$3:$C$62,H228)&gt;0,Справочник_ОКВЭД_НР!$L$9,
  IF(COUNTIF(Справочник_ОКВЭД_НР!$E$3:$E$62,H228)&gt;0,Справочник_ОКВЭД_НР!$L$10,
   IF(COUNTIF(Справочник_ОКВЭД_НР!$G$3:$G$62,H228)&gt;0,Справочник_ОКВЭД_НР!$L$11,50))))</f>
        <v>60</v>
      </c>
      <c r="J228" s="30" cm="1">
        <f t="array" ref="J228">IFERROR(
 (SUMPRODUCT(ISNUMBER(SEARCH(","&amp;Справочник_ОКВЭД_НР!$A$3:$A$62&amp;".",","&amp;SUBSTITUTE(F228," ","")&amp;",")))*Справочник_ОКВЭД_НР!$L$9 +
  SUMPRODUCT(ISNUMBER(SEARCH(","&amp;Справочник_ОКВЭД_НР!$C$3:$C$62&amp;".",","&amp;SUBSTITUTE(F228," ","")&amp;",")))*Справочник_ОКВЭД_НР!$L$10 +
  SUMPRODUCT(ISNUMBER(SEARCH(","&amp;Справочник_ОКВЭД_НР!$E$3:$E$62&amp;".",","&amp;SUBSTITUTE(F228," ","")&amp;",")))*Справочник_ОКВЭД_НР!$L$11 +
  SUMPRODUCT(ISNUMBER(SEARCH(","&amp;Справочник_ОКВЭД_НР!$G$3:$G$62&amp;".",","&amp;SUBSTITUTE(F228," ","")&amp;",")))*Справочник_ОКВЭД_НР!$L$12) /
 (SUMPRODUCT(ISNUMBER(SEARCH(","&amp;Справочник_ОКВЭД_НР!$A$3:$A$62&amp;".",","&amp;SUBSTITUTE(F228," ","")&amp;","))) +
  SUMPRODUCT(ISNUMBER(SEARCH(","&amp;Справочник_ОКВЭД_НР!$C$3:$C$62&amp;".",","&amp;SUBSTITUTE(F228," ","")&amp;","))) +
  SUMPRODUCT(ISNUMBER(SEARCH(","&amp;Справочник_ОКВЭД_НР!$E$3:$E$62&amp;".",","&amp;SUBSTITUTE(F228," ","")&amp;","))) +
  SUMPRODUCT(ISNUMBER(SEARCH(","&amp;Справочник_ОКВЭД_НР!$G$3:$G$62&amp;".",","&amp;SUBSTITUTE(F228," ","")&amp;",")))),
50)</f>
        <v>50</v>
      </c>
      <c r="K228" s="30">
        <f>IFERROR(VLOOKUP(G228,Справочник_ОКВЭД_НР!$O:$P,2,FALSE()),50)</f>
        <v>100</v>
      </c>
      <c r="L228" s="45">
        <f>(I228*Справочник_ОКВЭД_НР!$L$2+J228*Справочник_ОКВЭД_НР!$L$3+K228*Справочник_ОКВЭД_НР!$L$4)*M228</f>
        <v>63.5</v>
      </c>
      <c r="M228" s="47">
        <f>IF(COUNTIF(Справочник_ОКВЭД_НР!$G$3:$G$62,H228)&gt;0,0,1)</f>
        <v>1</v>
      </c>
    </row>
    <row r="229" spans="1:13" x14ac:dyDescent="0.25">
      <c r="A229" s="4">
        <f>ЛИК_дляСкорингаДП!A229</f>
        <v>1077746036125</v>
      </c>
      <c r="B229" s="4">
        <f>ЛИК_дляСкорингаДП!B229</f>
        <v>7725593819</v>
      </c>
      <c r="C229" s="4" t="str">
        <f>ЛИК_дляСкорингаДП!C229</f>
        <v>ООО "МАСТЕР-ИНВЕСТ"</v>
      </c>
      <c r="D229" s="5" t="str">
        <f>ЛИК_дляСкорингаДП!M229</f>
        <v>Управление недвижимым имуществом за вознаграждение или на договорной основе</v>
      </c>
      <c r="E229" s="4" t="str">
        <f>ЛИК_дляСкорингаДП!L229</f>
        <v>68.32</v>
      </c>
      <c r="F229" t="str">
        <f>ЛИК_дляСкорингаДП!N229</f>
        <v>41.20,43.39,43.99,46.19,46.39,46.69,47.29,49.41.2,52.10,52.24,55.10,58,63.11.1,68.20.2,68.32.1,70.22,71.11.1,71.12,73.11,82.99</v>
      </c>
      <c r="G229" s="25" t="str">
        <f>ЛИК_дляСкорингаДП!AG229</f>
        <v>ОСН</v>
      </c>
      <c r="H229" s="55" t="str">
        <f>IF(ISNUMBER(E229),E229,
IFERROR(LEFT(E229,FIND(".",E229)-1),E229))</f>
        <v>68</v>
      </c>
      <c r="I229" s="30">
        <f>IF(COUNTIF(Справочник_ОКВЭД_НР!$A$3:$A$62,H229)&gt;0,Справочник_ОКВЭД_НР!$L$8,
 IF(COUNTIF(Справочник_ОКВЭД_НР!$C$3:$C$62,H229)&gt;0,Справочник_ОКВЭД_НР!$L$9,
  IF(COUNTIF(Справочник_ОКВЭД_НР!$E$3:$E$62,H229)&gt;0,Справочник_ОКВЭД_НР!$L$10,
   IF(COUNTIF(Справочник_ОКВЭД_НР!$G$3:$G$62,H229)&gt;0,Справочник_ОКВЭД_НР!$L$11,50))))</f>
        <v>100</v>
      </c>
      <c r="J229" s="30" cm="1">
        <f t="array" ref="J229">IFERROR(
 (SUMPRODUCT(ISNUMBER(SEARCH(","&amp;Справочник_ОКВЭД_НР!$A$3:$A$62&amp;".",","&amp;SUBSTITUTE(F229," ","")&amp;",")))*Справочник_ОКВЭД_НР!$L$9 +
  SUMPRODUCT(ISNUMBER(SEARCH(","&amp;Справочник_ОКВЭД_НР!$C$3:$C$62&amp;".",","&amp;SUBSTITUTE(F229," ","")&amp;",")))*Справочник_ОКВЭД_НР!$L$10 +
  SUMPRODUCT(ISNUMBER(SEARCH(","&amp;Справочник_ОКВЭД_НР!$E$3:$E$62&amp;".",","&amp;SUBSTITUTE(F229," ","")&amp;",")))*Справочник_ОКВЭД_НР!$L$11 +
  SUMPRODUCT(ISNUMBER(SEARCH(","&amp;Справочник_ОКВЭД_НР!$G$3:$G$62&amp;".",","&amp;SUBSTITUTE(F229," ","")&amp;",")))*Справочник_ОКВЭД_НР!$L$12) /
 (SUMPRODUCT(ISNUMBER(SEARCH(","&amp;Справочник_ОКВЭД_НР!$A$3:$A$62&amp;".",","&amp;SUBSTITUTE(F229," ","")&amp;","))) +
  SUMPRODUCT(ISNUMBER(SEARCH(","&amp;Справочник_ОКВЭД_НР!$C$3:$C$62&amp;".",","&amp;SUBSTITUTE(F229," ","")&amp;","))) +
  SUMPRODUCT(ISNUMBER(SEARCH(","&amp;Справочник_ОКВЭД_НР!$E$3:$E$62&amp;".",","&amp;SUBSTITUTE(F229," ","")&amp;","))) +
  SUMPRODUCT(ISNUMBER(SEARCH(","&amp;Справочник_ОКВЭД_НР!$G$3:$G$62&amp;".",","&amp;SUBSTITUTE(F229," ","")&amp;",")))),
50)</f>
        <v>50</v>
      </c>
      <c r="K229" s="30">
        <f>IFERROR(VLOOKUP(G229,Справочник_ОКВЭД_НР!$O:$P,2,FALSE()),50)</f>
        <v>100</v>
      </c>
      <c r="L229" s="45">
        <f>(I229*Справочник_ОКВЭД_НР!$L$2+J229*Справочник_ОКВЭД_НР!$L$3+K229*Справочник_ОКВЭД_НР!$L$4)*M229</f>
        <v>87.5</v>
      </c>
      <c r="M229" s="47">
        <f>IF(COUNTIF(Справочник_ОКВЭД_НР!$G$3:$G$62,H229)&gt;0,0,1)</f>
        <v>1</v>
      </c>
    </row>
    <row r="230" spans="1:13" x14ac:dyDescent="0.25">
      <c r="A230" s="4">
        <f>ЛИК_дляСкорингаДП!A230</f>
        <v>1077759949464</v>
      </c>
      <c r="B230" s="4">
        <f>ЛИК_дляСкорингаДП!B230</f>
        <v>7704661151</v>
      </c>
      <c r="C230" s="4" t="str">
        <f>ЛИК_дляСкорингаДП!C230</f>
        <v>ООО "АКВАДЕМИ"</v>
      </c>
      <c r="D230" s="5" t="str">
        <f>ЛИК_дляСкорингаДП!M230</f>
        <v>Торговля оптовая санитарно-техническим оборудованием</v>
      </c>
      <c r="E230" s="4" t="str">
        <f>ЛИК_дляСкорингаДП!L230</f>
        <v>46.73.3</v>
      </c>
      <c r="F230" t="str">
        <f>ЛИК_дляСкорингаДП!N230</f>
        <v>46.18.99,46.73.3,47.52.5,47.78.9,68.20,70.22,73.11,73.20.1</v>
      </c>
      <c r="G230" s="25" t="str">
        <f>ЛИК_дляСкорингаДП!AG230</f>
        <v>ОСН</v>
      </c>
      <c r="H230" s="55" t="str">
        <f>IF(ISNUMBER(E230),E230,
IFERROR(LEFT(E230,FIND(".",E230)-1),E230))</f>
        <v>46</v>
      </c>
      <c r="I230" s="30">
        <f>IF(COUNTIF(Справочник_ОКВЭД_НР!$A$3:$A$62,H230)&gt;0,Справочник_ОКВЭД_НР!$L$8,
 IF(COUNTIF(Справочник_ОКВЭД_НР!$C$3:$C$62,H230)&gt;0,Справочник_ОКВЭД_НР!$L$9,
  IF(COUNTIF(Справочник_ОКВЭД_НР!$E$3:$E$62,H230)&gt;0,Справочник_ОКВЭД_НР!$L$10,
   IF(COUNTIF(Справочник_ОКВЭД_НР!$G$3:$G$62,H230)&gt;0,Справочник_ОКВЭД_НР!$L$11,50))))</f>
        <v>60</v>
      </c>
      <c r="J230" s="30" cm="1">
        <f t="array" ref="J230">IFERROR(
 (SUMPRODUCT(ISNUMBER(SEARCH(","&amp;Справочник_ОКВЭД_НР!$A$3:$A$62&amp;".",","&amp;SUBSTITUTE(F230," ","")&amp;",")))*Справочник_ОКВЭД_НР!$L$9 +
  SUMPRODUCT(ISNUMBER(SEARCH(","&amp;Справочник_ОКВЭД_НР!$C$3:$C$62&amp;".",","&amp;SUBSTITUTE(F230," ","")&amp;",")))*Справочник_ОКВЭД_НР!$L$10 +
  SUMPRODUCT(ISNUMBER(SEARCH(","&amp;Справочник_ОКВЭД_НР!$E$3:$E$62&amp;".",","&amp;SUBSTITUTE(F230," ","")&amp;",")))*Справочник_ОКВЭД_НР!$L$11 +
  SUMPRODUCT(ISNUMBER(SEARCH(","&amp;Справочник_ОКВЭД_НР!$G$3:$G$62&amp;".",","&amp;SUBSTITUTE(F230," ","")&amp;",")))*Справочник_ОКВЭД_НР!$L$12) /
 (SUMPRODUCT(ISNUMBER(SEARCH(","&amp;Справочник_ОКВЭД_НР!$A$3:$A$62&amp;".",","&amp;SUBSTITUTE(F230," ","")&amp;","))) +
  SUMPRODUCT(ISNUMBER(SEARCH(","&amp;Справочник_ОКВЭД_НР!$C$3:$C$62&amp;".",","&amp;SUBSTITUTE(F230," ","")&amp;","))) +
  SUMPRODUCT(ISNUMBER(SEARCH(","&amp;Справочник_ОКВЭД_НР!$E$3:$E$62&amp;".",","&amp;SUBSTITUTE(F230," ","")&amp;","))) +
  SUMPRODUCT(ISNUMBER(SEARCH(","&amp;Справочник_ОКВЭД_НР!$G$3:$G$62&amp;".",","&amp;SUBSTITUTE(F230," ","")&amp;",")))),
50)</f>
        <v>50</v>
      </c>
      <c r="K230" s="30">
        <f>IFERROR(VLOOKUP(G230,Справочник_ОКВЭД_НР!$O:$P,2,FALSE()),50)</f>
        <v>100</v>
      </c>
      <c r="L230" s="45">
        <f>(I230*Справочник_ОКВЭД_НР!$L$2+J230*Справочник_ОКВЭД_НР!$L$3+K230*Справочник_ОКВЭД_НР!$L$4)*M230</f>
        <v>63.5</v>
      </c>
      <c r="M230" s="47">
        <f>IF(COUNTIF(Справочник_ОКВЭД_НР!$G$3:$G$62,H230)&gt;0,0,1)</f>
        <v>1</v>
      </c>
    </row>
    <row r="231" spans="1:13" x14ac:dyDescent="0.25">
      <c r="A231" s="4">
        <f>ЛИК_дляСкорингаДП!A231</f>
        <v>1077764612166</v>
      </c>
      <c r="B231" s="4">
        <f>ЛИК_дляСкорингаДП!B231</f>
        <v>7707650140</v>
      </c>
      <c r="C231" s="4" t="str">
        <f>ЛИК_дляСкорингаДП!C231</f>
        <v>АО "СПА"</v>
      </c>
      <c r="D231" s="5" t="str">
        <f>ЛИК_дляСкорингаДП!M231</f>
        <v>Деятельность вспомогательная в сфере страхования и пенсионного обеспечения</v>
      </c>
      <c r="E231" s="4" t="str">
        <f>ЛИК_дляСкорингаДП!L231</f>
        <v>66.2</v>
      </c>
      <c r="F231" t="str">
        <f>ЛИК_дляСкорингаДП!N231</f>
        <v>58.29,62.01,62.02,62.09,63.11,63.11.1,69.10,69.20.2,73.20,73.20.2,74.90.9,74.90.91,74.90.92,74.90.99,78.10,78.30,79.90,82.20,82.99</v>
      </c>
      <c r="G231" s="25" t="str">
        <f>ЛИК_дляСкорингаДП!AG231</f>
        <v>ОСН</v>
      </c>
      <c r="H231" s="55" t="str">
        <f>IF(ISNUMBER(E231),E231,
IFERROR(LEFT(E231,FIND(".",E231)-1),E231))</f>
        <v>66</v>
      </c>
      <c r="I231" s="30">
        <f>IF(COUNTIF(Справочник_ОКВЭД_НР!$A$3:$A$62,H231)&gt;0,Справочник_ОКВЭД_НР!$L$8,
 IF(COUNTIF(Справочник_ОКВЭД_НР!$C$3:$C$62,H231)&gt;0,Справочник_ОКВЭД_НР!$L$9,
  IF(COUNTIF(Справочник_ОКВЭД_НР!$E$3:$E$62,H231)&gt;0,Справочник_ОКВЭД_НР!$L$10,
   IF(COUNTIF(Справочник_ОКВЭД_НР!$G$3:$G$62,H231)&gt;0,Справочник_ОКВЭД_НР!$L$11,50))))</f>
        <v>60</v>
      </c>
      <c r="J231" s="30" cm="1">
        <f t="array" ref="J231">IFERROR(
 (SUMPRODUCT(ISNUMBER(SEARCH(","&amp;Справочник_ОКВЭД_НР!$A$3:$A$62&amp;".",","&amp;SUBSTITUTE(F231," ","")&amp;",")))*Справочник_ОКВЭД_НР!$L$9 +
  SUMPRODUCT(ISNUMBER(SEARCH(","&amp;Справочник_ОКВЭД_НР!$C$3:$C$62&amp;".",","&amp;SUBSTITUTE(F231," ","")&amp;",")))*Справочник_ОКВЭД_НР!$L$10 +
  SUMPRODUCT(ISNUMBER(SEARCH(","&amp;Справочник_ОКВЭД_НР!$E$3:$E$62&amp;".",","&amp;SUBSTITUTE(F231," ","")&amp;",")))*Справочник_ОКВЭД_НР!$L$11 +
  SUMPRODUCT(ISNUMBER(SEARCH(","&amp;Справочник_ОКВЭД_НР!$G$3:$G$62&amp;".",","&amp;SUBSTITUTE(F231," ","")&amp;",")))*Справочник_ОКВЭД_НР!$L$12) /
 (SUMPRODUCT(ISNUMBER(SEARCH(","&amp;Справочник_ОКВЭД_НР!$A$3:$A$62&amp;".",","&amp;SUBSTITUTE(F231," ","")&amp;","))) +
  SUMPRODUCT(ISNUMBER(SEARCH(","&amp;Справочник_ОКВЭД_НР!$C$3:$C$62&amp;".",","&amp;SUBSTITUTE(F231," ","")&amp;","))) +
  SUMPRODUCT(ISNUMBER(SEARCH(","&amp;Справочник_ОКВЭД_НР!$E$3:$E$62&amp;".",","&amp;SUBSTITUTE(F231," ","")&amp;","))) +
  SUMPRODUCT(ISNUMBER(SEARCH(","&amp;Справочник_ОКВЭД_НР!$G$3:$G$62&amp;".",","&amp;SUBSTITUTE(F231," ","")&amp;",")))),
50)</f>
        <v>50</v>
      </c>
      <c r="K231" s="30">
        <f>IFERROR(VLOOKUP(G231,Справочник_ОКВЭД_НР!$O:$P,2,FALSE()),50)</f>
        <v>100</v>
      </c>
      <c r="L231" s="45">
        <f>(I231*Справочник_ОКВЭД_НР!$L$2+J231*Справочник_ОКВЭД_НР!$L$3+K231*Справочник_ОКВЭД_НР!$L$4)*M231</f>
        <v>63.5</v>
      </c>
      <c r="M231" s="47">
        <f>IF(COUNTIF(Справочник_ОКВЭД_НР!$G$3:$G$62,H231)&gt;0,0,1)</f>
        <v>1</v>
      </c>
    </row>
    <row r="232" spans="1:13" x14ac:dyDescent="0.25">
      <c r="A232" s="4">
        <f>ЛИК_дляСкорингаДП!A232</f>
        <v>1077764829603</v>
      </c>
      <c r="B232" s="4">
        <f>ЛИК_дляСкорингаДП!B232</f>
        <v>7719664910</v>
      </c>
      <c r="C232" s="4" t="str">
        <f>ЛИК_дляСкорингаДП!C232</f>
        <v>ООО "МТ - ГРУП"</v>
      </c>
      <c r="D232" s="5" t="str">
        <f>ЛИК_дляСкорингаДП!M232</f>
        <v>Перевозка прочих грузов</v>
      </c>
      <c r="E232" s="4" t="str">
        <f>ЛИК_дляСкорингаДП!L232</f>
        <v>49.20.9</v>
      </c>
      <c r="F232" t="str">
        <f>ЛИК_дляСкорингаДП!N232</f>
        <v>30.20.9,33.17,45.20,46.90,49.20,52.21.1</v>
      </c>
      <c r="G232" s="25" t="str">
        <f>ЛИК_дляСкорингаДП!AG232</f>
        <v>ОСН</v>
      </c>
      <c r="H232" s="55" t="str">
        <f>IF(ISNUMBER(E232),E232,
IFERROR(LEFT(E232,FIND(".",E232)-1),E232))</f>
        <v>49</v>
      </c>
      <c r="I232" s="30">
        <f>IF(COUNTIF(Справочник_ОКВЭД_НР!$A$3:$A$62,H232)&gt;0,Справочник_ОКВЭД_НР!$L$8,
 IF(COUNTIF(Справочник_ОКВЭД_НР!$C$3:$C$62,H232)&gt;0,Справочник_ОКВЭД_НР!$L$9,
  IF(COUNTIF(Справочник_ОКВЭД_НР!$E$3:$E$62,H232)&gt;0,Справочник_ОКВЭД_НР!$L$10,
   IF(COUNTIF(Справочник_ОКВЭД_НР!$G$3:$G$62,H232)&gt;0,Справочник_ОКВЭД_НР!$L$11,50))))</f>
        <v>60</v>
      </c>
      <c r="J232" s="30" cm="1">
        <f t="array" ref="J232">IFERROR(
 (SUMPRODUCT(ISNUMBER(SEARCH(","&amp;Справочник_ОКВЭД_НР!$A$3:$A$62&amp;".",","&amp;SUBSTITUTE(F232," ","")&amp;",")))*Справочник_ОКВЭД_НР!$L$9 +
  SUMPRODUCT(ISNUMBER(SEARCH(","&amp;Справочник_ОКВЭД_НР!$C$3:$C$62&amp;".",","&amp;SUBSTITUTE(F232," ","")&amp;",")))*Справочник_ОКВЭД_НР!$L$10 +
  SUMPRODUCT(ISNUMBER(SEARCH(","&amp;Справочник_ОКВЭД_НР!$E$3:$E$62&amp;".",","&amp;SUBSTITUTE(F232," ","")&amp;",")))*Справочник_ОКВЭД_НР!$L$11 +
  SUMPRODUCT(ISNUMBER(SEARCH(","&amp;Справочник_ОКВЭД_НР!$G$3:$G$62&amp;".",","&amp;SUBSTITUTE(F232," ","")&amp;",")))*Справочник_ОКВЭД_НР!$L$12) /
 (SUMPRODUCT(ISNUMBER(SEARCH(","&amp;Справочник_ОКВЭД_НР!$A$3:$A$62&amp;".",","&amp;SUBSTITUTE(F232," ","")&amp;","))) +
  SUMPRODUCT(ISNUMBER(SEARCH(","&amp;Справочник_ОКВЭД_НР!$C$3:$C$62&amp;".",","&amp;SUBSTITUTE(F232," ","")&amp;","))) +
  SUMPRODUCT(ISNUMBER(SEARCH(","&amp;Справочник_ОКВЭД_НР!$E$3:$E$62&amp;".",","&amp;SUBSTITUTE(F232," ","")&amp;","))) +
  SUMPRODUCT(ISNUMBER(SEARCH(","&amp;Справочник_ОКВЭД_НР!$G$3:$G$62&amp;".",","&amp;SUBSTITUTE(F232," ","")&amp;",")))),
50)</f>
        <v>50</v>
      </c>
      <c r="K232" s="30">
        <f>IFERROR(VLOOKUP(G232,Справочник_ОКВЭД_НР!$O:$P,2,FALSE()),50)</f>
        <v>100</v>
      </c>
      <c r="L232" s="45">
        <f>(I232*Справочник_ОКВЭД_НР!$L$2+J232*Справочник_ОКВЭД_НР!$L$3+K232*Справочник_ОКВЭД_НР!$L$4)*M232</f>
        <v>63.5</v>
      </c>
      <c r="M232" s="47">
        <f>IF(COUNTIF(Справочник_ОКВЭД_НР!$G$3:$G$62,H232)&gt;0,0,1)</f>
        <v>1</v>
      </c>
    </row>
    <row r="233" spans="1:13" x14ac:dyDescent="0.25">
      <c r="A233" s="4">
        <f>ЛИК_дляСкорингаДП!A233</f>
        <v>1067746567460</v>
      </c>
      <c r="B233" s="4">
        <f>ЛИК_дляСкорингаДП!B233</f>
        <v>7705729892</v>
      </c>
      <c r="C233" s="4" t="str">
        <f>ЛИК_дляСкорингаДП!C233</f>
        <v>ООО "УМНЫЕ РЕШЕНИЯ РУС"</v>
      </c>
      <c r="D233" s="5" t="str">
        <f>ЛИК_дляСкорингаДП!M233</f>
        <v>Торговля оптовая скобяными изделиями, водопроводным и отопительным оборудованием и принадлежностями</v>
      </c>
      <c r="E233" s="4" t="str">
        <f>ЛИК_дляСкорингаДП!L233</f>
        <v>46.74</v>
      </c>
      <c r="F233" t="str">
        <f>ЛИК_дляСкорингаДП!N233</f>
        <v>46.77,47.52,52.29,62.01,62.02.4,77.39.27,16.29.12,25.99.25,27.90,46.15,46.74,47.24.2,47.52,47.52.73,47.59,47.59.9,82.99,95.29</v>
      </c>
      <c r="G233" s="25" t="str">
        <f>ЛИК_дляСкорингаДП!AG233</f>
        <v>ОСН</v>
      </c>
      <c r="H233" s="55" t="str">
        <f>IF(ISNUMBER(E233),E233,
IFERROR(LEFT(E233,FIND(".",E233)-1),E233))</f>
        <v>46</v>
      </c>
      <c r="I233" s="30">
        <f>IF(COUNTIF(Справочник_ОКВЭД_НР!$A$3:$A$62,H233)&gt;0,Справочник_ОКВЭД_НР!$L$8,
 IF(COUNTIF(Справочник_ОКВЭД_НР!$C$3:$C$62,H233)&gt;0,Справочник_ОКВЭД_НР!$L$9,
  IF(COUNTIF(Справочник_ОКВЭД_НР!$E$3:$E$62,H233)&gt;0,Справочник_ОКВЭД_НР!$L$10,
   IF(COUNTIF(Справочник_ОКВЭД_НР!$G$3:$G$62,H233)&gt;0,Справочник_ОКВЭД_НР!$L$11,50))))</f>
        <v>60</v>
      </c>
      <c r="J233" s="30" cm="1">
        <f t="array" ref="J233">IFERROR(
 (SUMPRODUCT(ISNUMBER(SEARCH(","&amp;Справочник_ОКВЭД_НР!$A$3:$A$62&amp;".",","&amp;SUBSTITUTE(F233," ","")&amp;",")))*Справочник_ОКВЭД_НР!$L$9 +
  SUMPRODUCT(ISNUMBER(SEARCH(","&amp;Справочник_ОКВЭД_НР!$C$3:$C$62&amp;".",","&amp;SUBSTITUTE(F233," ","")&amp;",")))*Справочник_ОКВЭД_НР!$L$10 +
  SUMPRODUCT(ISNUMBER(SEARCH(","&amp;Справочник_ОКВЭД_НР!$E$3:$E$62&amp;".",","&amp;SUBSTITUTE(F233," ","")&amp;",")))*Справочник_ОКВЭД_НР!$L$11 +
  SUMPRODUCT(ISNUMBER(SEARCH(","&amp;Справочник_ОКВЭД_НР!$G$3:$G$62&amp;".",","&amp;SUBSTITUTE(F233," ","")&amp;",")))*Справочник_ОКВЭД_НР!$L$12) /
 (SUMPRODUCT(ISNUMBER(SEARCH(","&amp;Справочник_ОКВЭД_НР!$A$3:$A$62&amp;".",","&amp;SUBSTITUTE(F233," ","")&amp;","))) +
  SUMPRODUCT(ISNUMBER(SEARCH(","&amp;Справочник_ОКВЭД_НР!$C$3:$C$62&amp;".",","&amp;SUBSTITUTE(F233," ","")&amp;","))) +
  SUMPRODUCT(ISNUMBER(SEARCH(","&amp;Справочник_ОКВЭД_НР!$E$3:$E$62&amp;".",","&amp;SUBSTITUTE(F233," ","")&amp;","))) +
  SUMPRODUCT(ISNUMBER(SEARCH(","&amp;Справочник_ОКВЭД_НР!$G$3:$G$62&amp;".",","&amp;SUBSTITUTE(F233," ","")&amp;",")))),
50)</f>
        <v>50</v>
      </c>
      <c r="K233" s="30">
        <f>IFERROR(VLOOKUP(G233,Справочник_ОКВЭД_НР!$O:$P,2,FALSE()),50)</f>
        <v>100</v>
      </c>
      <c r="L233" s="45">
        <f>(I233*Справочник_ОКВЭД_НР!$L$2+J233*Справочник_ОКВЭД_НР!$L$3+K233*Справочник_ОКВЭД_НР!$L$4)*M233</f>
        <v>63.5</v>
      </c>
      <c r="M233" s="47">
        <f>IF(COUNTIF(Справочник_ОКВЭД_НР!$G$3:$G$62,H233)&gt;0,0,1)</f>
        <v>1</v>
      </c>
    </row>
    <row r="234" spans="1:13" x14ac:dyDescent="0.25">
      <c r="A234" s="4">
        <f>ЛИК_дляСкорингаДП!A234</f>
        <v>1085027005678</v>
      </c>
      <c r="B234" s="4">
        <f>ЛИК_дляСкорингаДП!B234</f>
        <v>5027135300</v>
      </c>
      <c r="C234" s="4" t="str">
        <f>ЛИК_дляСкорингаДП!C234</f>
        <v>ООО "КПД - ТРАНСПОРТ"</v>
      </c>
      <c r="D234" s="5" t="str">
        <f>ЛИК_дляСкорингаДП!M234</f>
        <v>Деятельность автомобильного грузового транспорта</v>
      </c>
      <c r="E234" s="4" t="str">
        <f>ЛИК_дляСкорингаДП!L234</f>
        <v>49.41</v>
      </c>
      <c r="F234" t="str">
        <f>ЛИК_дляСкорингаДП!N234</f>
        <v>45.2,45.20,45.20.2,49.42,52.10,52.21,52.21.1,52.21.2,52.24,52.24.1,52.24.2,52.29</v>
      </c>
      <c r="G234" s="25" t="str">
        <f>ЛИК_дляСкорингаДП!AG234</f>
        <v>ОСН</v>
      </c>
      <c r="H234" s="55" t="str">
        <f>IF(ISNUMBER(E234),E234,
IFERROR(LEFT(E234,FIND(".",E234)-1),E234))</f>
        <v>49</v>
      </c>
      <c r="I234" s="30">
        <f>IF(COUNTIF(Справочник_ОКВЭД_НР!$A$3:$A$62,H234)&gt;0,Справочник_ОКВЭД_НР!$L$8,
 IF(COUNTIF(Справочник_ОКВЭД_НР!$C$3:$C$62,H234)&gt;0,Справочник_ОКВЭД_НР!$L$9,
  IF(COUNTIF(Справочник_ОКВЭД_НР!$E$3:$E$62,H234)&gt;0,Справочник_ОКВЭД_НР!$L$10,
   IF(COUNTIF(Справочник_ОКВЭД_НР!$G$3:$G$62,H234)&gt;0,Справочник_ОКВЭД_НР!$L$11,50))))</f>
        <v>60</v>
      </c>
      <c r="J234" s="30" cm="1">
        <f t="array" ref="J234">IFERROR(
 (SUMPRODUCT(ISNUMBER(SEARCH(","&amp;Справочник_ОКВЭД_НР!$A$3:$A$62&amp;".",","&amp;SUBSTITUTE(F234," ","")&amp;",")))*Справочник_ОКВЭД_НР!$L$9 +
  SUMPRODUCT(ISNUMBER(SEARCH(","&amp;Справочник_ОКВЭД_НР!$C$3:$C$62&amp;".",","&amp;SUBSTITUTE(F234," ","")&amp;",")))*Справочник_ОКВЭД_НР!$L$10 +
  SUMPRODUCT(ISNUMBER(SEARCH(","&amp;Справочник_ОКВЭД_НР!$E$3:$E$62&amp;".",","&amp;SUBSTITUTE(F234," ","")&amp;",")))*Справочник_ОКВЭД_НР!$L$11 +
  SUMPRODUCT(ISNUMBER(SEARCH(","&amp;Справочник_ОКВЭД_НР!$G$3:$G$62&amp;".",","&amp;SUBSTITUTE(F234," ","")&amp;",")))*Справочник_ОКВЭД_НР!$L$12) /
 (SUMPRODUCT(ISNUMBER(SEARCH(","&amp;Справочник_ОКВЭД_НР!$A$3:$A$62&amp;".",","&amp;SUBSTITUTE(F234," ","")&amp;","))) +
  SUMPRODUCT(ISNUMBER(SEARCH(","&amp;Справочник_ОКВЭД_НР!$C$3:$C$62&amp;".",","&amp;SUBSTITUTE(F234," ","")&amp;","))) +
  SUMPRODUCT(ISNUMBER(SEARCH(","&amp;Справочник_ОКВЭД_НР!$E$3:$E$62&amp;".",","&amp;SUBSTITUTE(F234," ","")&amp;","))) +
  SUMPRODUCT(ISNUMBER(SEARCH(","&amp;Справочник_ОКВЭД_НР!$G$3:$G$62&amp;".",","&amp;SUBSTITUTE(F234," ","")&amp;",")))),
50)</f>
        <v>50</v>
      </c>
      <c r="K234" s="30">
        <f>IFERROR(VLOOKUP(G234,Справочник_ОКВЭД_НР!$O:$P,2,FALSE()),50)</f>
        <v>100</v>
      </c>
      <c r="L234" s="45">
        <f>(I234*Справочник_ОКВЭД_НР!$L$2+J234*Справочник_ОКВЭД_НР!$L$3+K234*Справочник_ОКВЭД_НР!$L$4)*M234</f>
        <v>63.5</v>
      </c>
      <c r="M234" s="47">
        <f>IF(COUNTIF(Справочник_ОКВЭД_НР!$G$3:$G$62,H234)&gt;0,0,1)</f>
        <v>1</v>
      </c>
    </row>
    <row r="235" spans="1:13" x14ac:dyDescent="0.25">
      <c r="A235" s="4">
        <f>ЛИК_дляСкорингаДП!A235</f>
        <v>1085040002376</v>
      </c>
      <c r="B235" s="4">
        <f>ЛИК_дляСкорингаДП!B235</f>
        <v>5040083468</v>
      </c>
      <c r="C235" s="4" t="str">
        <f>ЛИК_дляСкорингаДП!C235</f>
        <v>ООО "Ю СЕРВИС"</v>
      </c>
      <c r="D235" s="5" t="str">
        <f>ЛИК_дляСкорингаДП!M235</f>
        <v>Управление эксплуатацией жилого фонда за вознаграждение или на договорной основе</v>
      </c>
      <c r="E235" s="4" t="str">
        <f>ЛИК_дляСкорингаДП!L235</f>
        <v>68.32.1</v>
      </c>
      <c r="F235" t="str">
        <f>ЛИК_дляСкорингаДП!N235</f>
        <v>28.9,35.1,35.11,35.11.1,35.11.4,35.11.4,35.12,35.2,35.30.1,35.30.4,35.30.5,37.00,38.1,38.2,38.32.2,38.32.2,38.32.3,38.32.4,41.2,41.20,42.21,42.22.2,42.99,43.2,43.21,43.22,43.29,43.91,43.99.1,43.99.7,56.10,56.10.1,56.10.3,68.32,68.32.1,68.32.2,71.1,71.12.5,71.12.6,82.99,97.0</v>
      </c>
      <c r="G235" s="25" t="str">
        <f>ЛИК_дляСкорингаДП!AG235</f>
        <v>ОСН</v>
      </c>
      <c r="H235" s="55" t="str">
        <f>IF(ISNUMBER(E235),E235,
IFERROR(LEFT(E235,FIND(".",E235)-1),E235))</f>
        <v>68</v>
      </c>
      <c r="I235" s="30">
        <f>IF(COUNTIF(Справочник_ОКВЭД_НР!$A$3:$A$62,H235)&gt;0,Справочник_ОКВЭД_НР!$L$8,
 IF(COUNTIF(Справочник_ОКВЭД_НР!$C$3:$C$62,H235)&gt;0,Справочник_ОКВЭД_НР!$L$9,
  IF(COUNTIF(Справочник_ОКВЭД_НР!$E$3:$E$62,H235)&gt;0,Справочник_ОКВЭД_НР!$L$10,
   IF(COUNTIF(Справочник_ОКВЭД_НР!$G$3:$G$62,H235)&gt;0,Справочник_ОКВЭД_НР!$L$11,50))))</f>
        <v>100</v>
      </c>
      <c r="J235" s="30" cm="1">
        <f t="array" ref="J235">IFERROR(
 (SUMPRODUCT(ISNUMBER(SEARCH(","&amp;Справочник_ОКВЭД_НР!$A$3:$A$62&amp;".",","&amp;SUBSTITUTE(F235," ","")&amp;",")))*Справочник_ОКВЭД_НР!$L$9 +
  SUMPRODUCT(ISNUMBER(SEARCH(","&amp;Справочник_ОКВЭД_НР!$C$3:$C$62&amp;".",","&amp;SUBSTITUTE(F235," ","")&amp;",")))*Справочник_ОКВЭД_НР!$L$10 +
  SUMPRODUCT(ISNUMBER(SEARCH(","&amp;Справочник_ОКВЭД_НР!$E$3:$E$62&amp;".",","&amp;SUBSTITUTE(F235," ","")&amp;",")))*Справочник_ОКВЭД_НР!$L$11 +
  SUMPRODUCT(ISNUMBER(SEARCH(","&amp;Справочник_ОКВЭД_НР!$G$3:$G$62&amp;".",","&amp;SUBSTITUTE(F235," ","")&amp;",")))*Справочник_ОКВЭД_НР!$L$12) /
 (SUMPRODUCT(ISNUMBER(SEARCH(","&amp;Справочник_ОКВЭД_НР!$A$3:$A$62&amp;".",","&amp;SUBSTITUTE(F235," ","")&amp;","))) +
  SUMPRODUCT(ISNUMBER(SEARCH(","&amp;Справочник_ОКВЭД_НР!$C$3:$C$62&amp;".",","&amp;SUBSTITUTE(F235," ","")&amp;","))) +
  SUMPRODUCT(ISNUMBER(SEARCH(","&amp;Справочник_ОКВЭД_НР!$E$3:$E$62&amp;".",","&amp;SUBSTITUTE(F235," ","")&amp;","))) +
  SUMPRODUCT(ISNUMBER(SEARCH(","&amp;Справочник_ОКВЭД_НР!$G$3:$G$62&amp;".",","&amp;SUBSTITUTE(F235," ","")&amp;",")))),
50)</f>
        <v>50</v>
      </c>
      <c r="K235" s="30">
        <f>IFERROR(VLOOKUP(G235,Справочник_ОКВЭД_НР!$O:$P,2,FALSE()),50)</f>
        <v>100</v>
      </c>
      <c r="L235" s="45">
        <f>(I235*Справочник_ОКВЭД_НР!$L$2+J235*Справочник_ОКВЭД_НР!$L$3+K235*Справочник_ОКВЭД_НР!$L$4)*M235</f>
        <v>87.5</v>
      </c>
      <c r="M235" s="47">
        <f>IF(COUNTIF(Справочник_ОКВЭД_НР!$G$3:$G$62,H235)&gt;0,0,1)</f>
        <v>1</v>
      </c>
    </row>
    <row r="236" spans="1:13" x14ac:dyDescent="0.25">
      <c r="A236" s="4">
        <f>ЛИК_дляСкорингаДП!A236</f>
        <v>1025005123285</v>
      </c>
      <c r="B236" s="4">
        <f>ЛИК_дляСкорингаДП!B236</f>
        <v>5040053897</v>
      </c>
      <c r="C236" s="4" t="str">
        <f>ЛИК_дляСкорингаДП!C236</f>
        <v>ООО "АГРОФИРМА"САФОНОВСКОЕ"</v>
      </c>
      <c r="D236" s="5" t="str">
        <f>ЛИК_дляСкорингаДП!M236</f>
        <v>Разведение свиней</v>
      </c>
      <c r="E236" s="4" t="str">
        <f>ЛИК_дляСкорингаДП!L236</f>
        <v>01.46</v>
      </c>
      <c r="F236" t="str">
        <f>ЛИК_дляСкорингаДП!N236</f>
        <v>01.41,01.42,46.23,46.32,46.32.3,46.33.1,47.22,47.29.11</v>
      </c>
      <c r="G236" s="25" t="str">
        <f>ЛИК_дляСкорингаДП!AG236</f>
        <v>ЕСХН</v>
      </c>
      <c r="H236" s="55" t="str">
        <f>IF(ISNUMBER(E236),E236,
IFERROR(LEFT(E236,FIND(".",E236)-1),E236))</f>
        <v>01</v>
      </c>
      <c r="I236" s="30">
        <f>IF(COUNTIF(Справочник_ОКВЭД_НР!$A$3:$A$62,H236)&gt;0,Справочник_ОКВЭД_НР!$L$8,
 IF(COUNTIF(Справочник_ОКВЭД_НР!$C$3:$C$62,H236)&gt;0,Справочник_ОКВЭД_НР!$L$9,
  IF(COUNTIF(Справочник_ОКВЭД_НР!$E$3:$E$62,H236)&gt;0,Справочник_ОКВЭД_НР!$L$10,
   IF(COUNTIF(Справочник_ОКВЭД_НР!$G$3:$G$62,H236)&gt;0,Справочник_ОКВЭД_НР!$L$11,50))))</f>
        <v>60</v>
      </c>
      <c r="J236" s="30" cm="1">
        <f t="array" ref="J236">IFERROR(
 (SUMPRODUCT(ISNUMBER(SEARCH(","&amp;Справочник_ОКВЭД_НР!$A$3:$A$62&amp;".",","&amp;SUBSTITUTE(F236," ","")&amp;",")))*Справочник_ОКВЭД_НР!$L$9 +
  SUMPRODUCT(ISNUMBER(SEARCH(","&amp;Справочник_ОКВЭД_НР!$C$3:$C$62&amp;".",","&amp;SUBSTITUTE(F236," ","")&amp;",")))*Справочник_ОКВЭД_НР!$L$10 +
  SUMPRODUCT(ISNUMBER(SEARCH(","&amp;Справочник_ОКВЭД_НР!$E$3:$E$62&amp;".",","&amp;SUBSTITUTE(F236," ","")&amp;",")))*Справочник_ОКВЭД_НР!$L$11 +
  SUMPRODUCT(ISNUMBER(SEARCH(","&amp;Справочник_ОКВЭД_НР!$G$3:$G$62&amp;".",","&amp;SUBSTITUTE(F236," ","")&amp;",")))*Справочник_ОКВЭД_НР!$L$12) /
 (SUMPRODUCT(ISNUMBER(SEARCH(","&amp;Справочник_ОКВЭД_НР!$A$3:$A$62&amp;".",","&amp;SUBSTITUTE(F236," ","")&amp;","))) +
  SUMPRODUCT(ISNUMBER(SEARCH(","&amp;Справочник_ОКВЭД_НР!$C$3:$C$62&amp;".",","&amp;SUBSTITUTE(F236," ","")&amp;","))) +
  SUMPRODUCT(ISNUMBER(SEARCH(","&amp;Справочник_ОКВЭД_НР!$E$3:$E$62&amp;".",","&amp;SUBSTITUTE(F236," ","")&amp;","))) +
  SUMPRODUCT(ISNUMBER(SEARCH(","&amp;Справочник_ОКВЭД_НР!$G$3:$G$62&amp;".",","&amp;SUBSTITUTE(F236," ","")&amp;",")))),
50)</f>
        <v>50</v>
      </c>
      <c r="K236" s="30">
        <f>IFERROR(VLOOKUP(G236,Справочник_ОКВЭД_НР!$O:$P,2,FALSE()),50)</f>
        <v>40</v>
      </c>
      <c r="L236" s="45">
        <f>(I236*Справочник_ОКВЭД_НР!$L$2+J236*Справочник_ОКВЭД_НР!$L$3+K236*Справочник_ОКВЭД_НР!$L$4)*M236</f>
        <v>54.5</v>
      </c>
      <c r="M236" s="47">
        <f>IF(COUNTIF(Справочник_ОКВЭД_НР!$G$3:$G$62,H236)&gt;0,0,1)</f>
        <v>1</v>
      </c>
    </row>
    <row r="237" spans="1:13" x14ac:dyDescent="0.25">
      <c r="A237" s="4">
        <f>ЛИК_дляСкорингаДП!A237</f>
        <v>1117746532375</v>
      </c>
      <c r="B237" s="4">
        <f>ЛИК_дляСкорингаДП!B237</f>
        <v>7724796446</v>
      </c>
      <c r="C237" s="4" t="str">
        <f>ЛИК_дляСкорингаДП!C237</f>
        <v>ООО "ЭКО3"</v>
      </c>
      <c r="D237" s="5" t="str">
        <f>ЛИК_дляСкорингаДП!M237</f>
        <v>Прочие виды полиграфической деятельности, не включенные в другие группировки</v>
      </c>
      <c r="E237" s="4" t="str">
        <f>ЛИК_дляСкорингаДП!L237</f>
        <v>18.12.9</v>
      </c>
      <c r="F237" t="str">
        <f>ЛИК_дляСкорингаДП!N237</f>
        <v>18.13,18.20,46.18.3,46.51,46.69,46.69.8,46.69.9,46.90,62.02,62.09,69.10,69.20,95.11</v>
      </c>
      <c r="G237" s="25" t="str">
        <f>ЛИК_дляСкорингаДП!AG237</f>
        <v>ОСН</v>
      </c>
      <c r="H237" s="55" t="str">
        <f>IF(ISNUMBER(E237),E237,
IFERROR(LEFT(E237,FIND(".",E237)-1),E237))</f>
        <v>18</v>
      </c>
      <c r="I237" s="30">
        <f>IF(COUNTIF(Справочник_ОКВЭД_НР!$A$3:$A$62,H237)&gt;0,Справочник_ОКВЭД_НР!$L$8,
 IF(COUNTIF(Справочник_ОКВЭД_НР!$C$3:$C$62,H237)&gt;0,Справочник_ОКВЭД_НР!$L$9,
  IF(COUNTIF(Справочник_ОКВЭД_НР!$E$3:$E$62,H237)&gt;0,Справочник_ОКВЭД_НР!$L$10,
   IF(COUNTIF(Справочник_ОКВЭД_НР!$G$3:$G$62,H237)&gt;0,Справочник_ОКВЭД_НР!$L$11,50))))</f>
        <v>30</v>
      </c>
      <c r="J237" s="30" cm="1">
        <f t="array" ref="J237">IFERROR(
 (SUMPRODUCT(ISNUMBER(SEARCH(","&amp;Справочник_ОКВЭД_НР!$A$3:$A$62&amp;".",","&amp;SUBSTITUTE(F237," ","")&amp;",")))*Справочник_ОКВЭД_НР!$L$9 +
  SUMPRODUCT(ISNUMBER(SEARCH(","&amp;Справочник_ОКВЭД_НР!$C$3:$C$62&amp;".",","&amp;SUBSTITUTE(F237," ","")&amp;",")))*Справочник_ОКВЭД_НР!$L$10 +
  SUMPRODUCT(ISNUMBER(SEARCH(","&amp;Справочник_ОКВЭД_НР!$E$3:$E$62&amp;".",","&amp;SUBSTITUTE(F237," ","")&amp;",")))*Справочник_ОКВЭД_НР!$L$11 +
  SUMPRODUCT(ISNUMBER(SEARCH(","&amp;Справочник_ОКВЭД_НР!$G$3:$G$62&amp;".",","&amp;SUBSTITUTE(F237," ","")&amp;",")))*Справочник_ОКВЭД_НР!$L$12) /
 (SUMPRODUCT(ISNUMBER(SEARCH(","&amp;Справочник_ОКВЭД_НР!$A$3:$A$62&amp;".",","&amp;SUBSTITUTE(F237," ","")&amp;","))) +
  SUMPRODUCT(ISNUMBER(SEARCH(","&amp;Справочник_ОКВЭД_НР!$C$3:$C$62&amp;".",","&amp;SUBSTITUTE(F237," ","")&amp;","))) +
  SUMPRODUCT(ISNUMBER(SEARCH(","&amp;Справочник_ОКВЭД_НР!$E$3:$E$62&amp;".",","&amp;SUBSTITUTE(F237," ","")&amp;","))) +
  SUMPRODUCT(ISNUMBER(SEARCH(","&amp;Справочник_ОКВЭД_НР!$G$3:$G$62&amp;".",","&amp;SUBSTITUTE(F237," ","")&amp;",")))),
50)</f>
        <v>50</v>
      </c>
      <c r="K237" s="30">
        <f>IFERROR(VLOOKUP(G237,Справочник_ОКВЭД_НР!$O:$P,2,FALSE()),50)</f>
        <v>100</v>
      </c>
      <c r="L237" s="45">
        <f>(I237*Справочник_ОКВЭД_НР!$L$2+J237*Справочник_ОКВЭД_НР!$L$3+K237*Справочник_ОКВЭД_НР!$L$4)*M237</f>
        <v>45.5</v>
      </c>
      <c r="M237" s="47">
        <f>IF(COUNTIF(Справочник_ОКВЭД_НР!$G$3:$G$62,H237)&gt;0,0,1)</f>
        <v>1</v>
      </c>
    </row>
    <row r="238" spans="1:13" x14ac:dyDescent="0.25">
      <c r="A238" s="4">
        <f>ЛИК_дляСкорингаДП!A238</f>
        <v>1025007509372</v>
      </c>
      <c r="B238" s="4">
        <f>ЛИК_дляСкорингаДП!B238</f>
        <v>5074017181</v>
      </c>
      <c r="C238" s="4" t="str">
        <f>ЛИК_дляСкорингаДП!C238</f>
        <v>АО "САНАТОРИЙ "ЕРИНО"</v>
      </c>
      <c r="D238" s="5" t="str">
        <f>ЛИК_дляСкорингаДП!M238</f>
        <v>Деятельность санаторно-курортных организаций</v>
      </c>
      <c r="E238" s="4" t="str">
        <f>ЛИК_дляСкорингаДП!L238</f>
        <v>86.90.4</v>
      </c>
      <c r="F238" t="str">
        <f>ЛИК_дляСкорингаДП!N238</f>
        <v>11.07,11.07.1,47.11.3,47.19,47.19.1,47.99,55.10,55.20,55.30,55.90,56.10,56.10.1,56.10.2,56.10.21,56.10.22,56.10.23,56.10.24,56.10.3,56.21,56.29,56.29.1,56.29.2,56.29.3,56.29.4,56.30,68.20,68.20.2,77.21,86.10,86.22,86.23,86.90,86.90.2,88.91,93.11,93.12,93.13,93.19,93.21,93.29,93.29.1,93.29.9,96.02</v>
      </c>
      <c r="G238" s="25" t="str">
        <f>ЛИК_дляСкорингаДП!AG238</f>
        <v>ОСН</v>
      </c>
      <c r="H238" s="55" t="str">
        <f>IF(ISNUMBER(E238),E238,
IFERROR(LEFT(E238,FIND(".",E238)-1),E238))</f>
        <v>86</v>
      </c>
      <c r="I238" s="30">
        <f>IF(COUNTIF(Справочник_ОКВЭД_НР!$A$3:$A$62,H238)&gt;0,Справочник_ОКВЭД_НР!$L$8,
 IF(COUNTIF(Справочник_ОКВЭД_НР!$C$3:$C$62,H238)&gt;0,Справочник_ОКВЭД_НР!$L$9,
  IF(COUNTIF(Справочник_ОКВЭД_НР!$E$3:$E$62,H238)&gt;0,Справочник_ОКВЭД_НР!$L$10,
   IF(COUNTIF(Справочник_ОКВЭД_НР!$G$3:$G$62,H238)&gt;0,Справочник_ОКВЭД_НР!$L$11,50))))</f>
        <v>100</v>
      </c>
      <c r="J238" s="30" cm="1">
        <f t="array" ref="J238">IFERROR(
 (SUMPRODUCT(ISNUMBER(SEARCH(","&amp;Справочник_ОКВЭД_НР!$A$3:$A$62&amp;".",","&amp;SUBSTITUTE(F238," ","")&amp;",")))*Справочник_ОКВЭД_НР!$L$9 +
  SUMPRODUCT(ISNUMBER(SEARCH(","&amp;Справочник_ОКВЭД_НР!$C$3:$C$62&amp;".",","&amp;SUBSTITUTE(F238," ","")&amp;",")))*Справочник_ОКВЭД_НР!$L$10 +
  SUMPRODUCT(ISNUMBER(SEARCH(","&amp;Справочник_ОКВЭД_НР!$E$3:$E$62&amp;".",","&amp;SUBSTITUTE(F238," ","")&amp;",")))*Справочник_ОКВЭД_НР!$L$11 +
  SUMPRODUCT(ISNUMBER(SEARCH(","&amp;Справочник_ОКВЭД_НР!$G$3:$G$62&amp;".",","&amp;SUBSTITUTE(F238," ","")&amp;",")))*Справочник_ОКВЭД_НР!$L$12) /
 (SUMPRODUCT(ISNUMBER(SEARCH(","&amp;Справочник_ОКВЭД_НР!$A$3:$A$62&amp;".",","&amp;SUBSTITUTE(F238," ","")&amp;","))) +
  SUMPRODUCT(ISNUMBER(SEARCH(","&amp;Справочник_ОКВЭД_НР!$C$3:$C$62&amp;".",","&amp;SUBSTITUTE(F238," ","")&amp;","))) +
  SUMPRODUCT(ISNUMBER(SEARCH(","&amp;Справочник_ОКВЭД_НР!$E$3:$E$62&amp;".",","&amp;SUBSTITUTE(F238," ","")&amp;","))) +
  SUMPRODUCT(ISNUMBER(SEARCH(","&amp;Справочник_ОКВЭД_НР!$G$3:$G$62&amp;".",","&amp;SUBSTITUTE(F238," ","")&amp;",")))),
50)</f>
        <v>50</v>
      </c>
      <c r="K238" s="30">
        <f>IFERROR(VLOOKUP(G238,Справочник_ОКВЭД_НР!$O:$P,2,FALSE()),50)</f>
        <v>100</v>
      </c>
      <c r="L238" s="45">
        <f>(I238*Справочник_ОКВЭД_НР!$L$2+J238*Справочник_ОКВЭД_НР!$L$3+K238*Справочник_ОКВЭД_НР!$L$4)*M238</f>
        <v>87.5</v>
      </c>
      <c r="M238" s="47">
        <f>IF(COUNTIF(Справочник_ОКВЭД_НР!$G$3:$G$62,H238)&gt;0,0,1)</f>
        <v>1</v>
      </c>
    </row>
    <row r="239" spans="1:13" x14ac:dyDescent="0.25">
      <c r="A239" s="4">
        <f>ЛИК_дляСкорингаДП!A239</f>
        <v>1117847011336</v>
      </c>
      <c r="B239" s="4">
        <f>ЛИК_дляСкорингаДП!B239</f>
        <v>7801537819</v>
      </c>
      <c r="C239" s="4" t="str">
        <f>ЛИК_дляСкорингаДП!C239</f>
        <v>ООО "РЕЙЛ1520"</v>
      </c>
      <c r="D239" s="5" t="str">
        <f>ЛИК_дляСкорингаДП!M239</f>
        <v>Аренда и лизинг железнодорожного транспорта и оборудования</v>
      </c>
      <c r="E239" s="4" t="str">
        <f>ЛИК_дляСкорингаДП!L239</f>
        <v>77.39.12</v>
      </c>
      <c r="F239" t="str">
        <f>ЛИК_дляСкорингаДП!N239</f>
        <v>46.77,30.20.33,30.20.4,30.20.9,33.17,46.69.1,49.10,49.20,52.21.1,52.29,77.39.12</v>
      </c>
      <c r="G239" s="25" t="str">
        <f>ЛИК_дляСкорингаДП!AG239</f>
        <v>ОСН</v>
      </c>
      <c r="H239" s="55" t="str">
        <f>IF(ISNUMBER(E239),E239,
IFERROR(LEFT(E239,FIND(".",E239)-1),E239))</f>
        <v>77</v>
      </c>
      <c r="I239" s="30">
        <f>IF(COUNTIF(Справочник_ОКВЭД_НР!$A$3:$A$62,H239)&gt;0,Справочник_ОКВЭД_НР!$L$8,
 IF(COUNTIF(Справочник_ОКВЭД_НР!$C$3:$C$62,H239)&gt;0,Справочник_ОКВЭД_НР!$L$9,
  IF(COUNTIF(Справочник_ОКВЭД_НР!$E$3:$E$62,H239)&gt;0,Справочник_ОКВЭД_НР!$L$10,
   IF(COUNTIF(Справочник_ОКВЭД_НР!$G$3:$G$62,H239)&gt;0,Справочник_ОКВЭД_НР!$L$11,50))))</f>
        <v>60</v>
      </c>
      <c r="J239" s="30" cm="1">
        <f t="array" ref="J239">IFERROR(
 (SUMPRODUCT(ISNUMBER(SEARCH(","&amp;Справочник_ОКВЭД_НР!$A$3:$A$62&amp;".",","&amp;SUBSTITUTE(F239," ","")&amp;",")))*Справочник_ОКВЭД_НР!$L$9 +
  SUMPRODUCT(ISNUMBER(SEARCH(","&amp;Справочник_ОКВЭД_НР!$C$3:$C$62&amp;".",","&amp;SUBSTITUTE(F239," ","")&amp;",")))*Справочник_ОКВЭД_НР!$L$10 +
  SUMPRODUCT(ISNUMBER(SEARCH(","&amp;Справочник_ОКВЭД_НР!$E$3:$E$62&amp;".",","&amp;SUBSTITUTE(F239," ","")&amp;",")))*Справочник_ОКВЭД_НР!$L$11 +
  SUMPRODUCT(ISNUMBER(SEARCH(","&amp;Справочник_ОКВЭД_НР!$G$3:$G$62&amp;".",","&amp;SUBSTITUTE(F239," ","")&amp;",")))*Справочник_ОКВЭД_НР!$L$12) /
 (SUMPRODUCT(ISNUMBER(SEARCH(","&amp;Справочник_ОКВЭД_НР!$A$3:$A$62&amp;".",","&amp;SUBSTITUTE(F239," ","")&amp;","))) +
  SUMPRODUCT(ISNUMBER(SEARCH(","&amp;Справочник_ОКВЭД_НР!$C$3:$C$62&amp;".",","&amp;SUBSTITUTE(F239," ","")&amp;","))) +
  SUMPRODUCT(ISNUMBER(SEARCH(","&amp;Справочник_ОКВЭД_НР!$E$3:$E$62&amp;".",","&amp;SUBSTITUTE(F239," ","")&amp;","))) +
  SUMPRODUCT(ISNUMBER(SEARCH(","&amp;Справочник_ОКВЭД_НР!$G$3:$G$62&amp;".",","&amp;SUBSTITUTE(F239," ","")&amp;",")))),
50)</f>
        <v>50</v>
      </c>
      <c r="K239" s="30">
        <f>IFERROR(VLOOKUP(G239,Справочник_ОКВЭД_НР!$O:$P,2,FALSE()),50)</f>
        <v>100</v>
      </c>
      <c r="L239" s="45">
        <f>(I239*Справочник_ОКВЭД_НР!$L$2+J239*Справочник_ОКВЭД_НР!$L$3+K239*Справочник_ОКВЭД_НР!$L$4)*M239</f>
        <v>63.5</v>
      </c>
      <c r="M239" s="47">
        <f>IF(COUNTIF(Справочник_ОКВЭД_НР!$G$3:$G$62,H239)&gt;0,0,1)</f>
        <v>1</v>
      </c>
    </row>
    <row r="240" spans="1:13" x14ac:dyDescent="0.25">
      <c r="A240" s="4">
        <f>ЛИК_дляСкорингаДП!A240</f>
        <v>1025007588253</v>
      </c>
      <c r="B240" s="4">
        <f>ЛИК_дляСкорингаДП!B240</f>
        <v>5075000582</v>
      </c>
      <c r="C240" s="4" t="str">
        <f>ЛИК_дляСкорингаДП!C240</f>
        <v>АО "РУЗСКОЕ МОЛОКО"</v>
      </c>
      <c r="D240" s="5" t="str">
        <f>ЛИК_дляСкорингаДП!M240</f>
        <v>Производство прочей молочной продукции</v>
      </c>
      <c r="E240" s="4" t="str">
        <f>ЛИК_дляСкорингаДП!L240</f>
        <v>10.51.9</v>
      </c>
      <c r="F240" t="str">
        <f>ЛИК_дляСкорингаДП!N240</f>
        <v>10.51.1,10.51.2,10.51.3,10.51.1,10.51.2,10.51.3,10.51.9,10.51.9,10.86,35.30.2,35.30.3,36.00.1,36.00.2,46.33.1,46.38.21,47.29.11,47.29.21,47.29.39,49.41,68.20</v>
      </c>
      <c r="G240" s="25" t="str">
        <f>ЛИК_дляСкорингаДП!AG240</f>
        <v>ОСН</v>
      </c>
      <c r="H240" s="55" t="str">
        <f>IF(ISNUMBER(E240),E240,
IFERROR(LEFT(E240,FIND(".",E240)-1),E240))</f>
        <v>10</v>
      </c>
      <c r="I240" s="30">
        <f>IF(COUNTIF(Справочник_ОКВЭД_НР!$A$3:$A$62,H240)&gt;0,Справочник_ОКВЭД_НР!$L$8,
 IF(COUNTIF(Справочник_ОКВЭД_НР!$C$3:$C$62,H240)&gt;0,Справочник_ОКВЭД_НР!$L$9,
  IF(COUNTIF(Справочник_ОКВЭД_НР!$E$3:$E$62,H240)&gt;0,Справочник_ОКВЭД_НР!$L$10,
   IF(COUNTIF(Справочник_ОКВЭД_НР!$G$3:$G$62,H240)&gt;0,Справочник_ОКВЭД_НР!$L$11,50))))</f>
        <v>100</v>
      </c>
      <c r="J240" s="30" cm="1">
        <f t="array" ref="J240">IFERROR(
 (SUMPRODUCT(ISNUMBER(SEARCH(","&amp;Справочник_ОКВЭД_НР!$A$3:$A$62&amp;".",","&amp;SUBSTITUTE(F240," ","")&amp;",")))*Справочник_ОКВЭД_НР!$L$9 +
  SUMPRODUCT(ISNUMBER(SEARCH(","&amp;Справочник_ОКВЭД_НР!$C$3:$C$62&amp;".",","&amp;SUBSTITUTE(F240," ","")&amp;",")))*Справочник_ОКВЭД_НР!$L$10 +
  SUMPRODUCT(ISNUMBER(SEARCH(","&amp;Справочник_ОКВЭД_НР!$E$3:$E$62&amp;".",","&amp;SUBSTITUTE(F240," ","")&amp;",")))*Справочник_ОКВЭД_НР!$L$11 +
  SUMPRODUCT(ISNUMBER(SEARCH(","&amp;Справочник_ОКВЭД_НР!$G$3:$G$62&amp;".",","&amp;SUBSTITUTE(F240," ","")&amp;",")))*Справочник_ОКВЭД_НР!$L$12) /
 (SUMPRODUCT(ISNUMBER(SEARCH(","&amp;Справочник_ОКВЭД_НР!$A$3:$A$62&amp;".",","&amp;SUBSTITUTE(F240," ","")&amp;","))) +
  SUMPRODUCT(ISNUMBER(SEARCH(","&amp;Справочник_ОКВЭД_НР!$C$3:$C$62&amp;".",","&amp;SUBSTITUTE(F240," ","")&amp;","))) +
  SUMPRODUCT(ISNUMBER(SEARCH(","&amp;Справочник_ОКВЭД_НР!$E$3:$E$62&amp;".",","&amp;SUBSTITUTE(F240," ","")&amp;","))) +
  SUMPRODUCT(ISNUMBER(SEARCH(","&amp;Справочник_ОКВЭД_НР!$G$3:$G$62&amp;".",","&amp;SUBSTITUTE(F240," ","")&amp;",")))),
50)</f>
        <v>50</v>
      </c>
      <c r="K240" s="30">
        <f>IFERROR(VLOOKUP(G240,Справочник_ОКВЭД_НР!$O:$P,2,FALSE()),50)</f>
        <v>100</v>
      </c>
      <c r="L240" s="45">
        <f>(I240*Справочник_ОКВЭД_НР!$L$2+J240*Справочник_ОКВЭД_НР!$L$3+K240*Справочник_ОКВЭД_НР!$L$4)*M240</f>
        <v>87.5</v>
      </c>
      <c r="M240" s="47">
        <f>IF(COUNTIF(Справочник_ОКВЭД_НР!$G$3:$G$62,H240)&gt;0,0,1)</f>
        <v>1</v>
      </c>
    </row>
    <row r="241" spans="1:13" x14ac:dyDescent="0.25">
      <c r="A241" s="4">
        <f>ЛИК_дляСкорингаДП!A241</f>
        <v>1083705000741</v>
      </c>
      <c r="B241" s="4">
        <f>ЛИК_дляСкорингаДП!B241</f>
        <v>3705063260</v>
      </c>
      <c r="C241" s="4" t="str">
        <f>ЛИК_дляСкорингаДП!C241</f>
        <v>ООО "ГЕОКЛИМА"</v>
      </c>
      <c r="D241" s="5" t="str">
        <f>ЛИК_дляСкорингаДП!M241</f>
        <v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v>
      </c>
      <c r="E241" s="4" t="str">
        <f>ЛИК_дляСкорингаДП!L241</f>
        <v>28.25.1</v>
      </c>
      <c r="F241" t="str">
        <f>ЛИК_дляСкорингаДП!N241</f>
        <v>24.42,27.12,28.99.9,33.12,33.14,33.20,46.90,71.12.13,82.99</v>
      </c>
      <c r="G241" s="25" t="str">
        <f>ЛИК_дляСкорингаДП!AG241</f>
        <v>ОСН</v>
      </c>
      <c r="H241" s="55" t="str">
        <f>IF(ISNUMBER(E241),E241,
IFERROR(LEFT(E241,FIND(".",E241)-1),E241))</f>
        <v>28</v>
      </c>
      <c r="I241" s="30">
        <f>IF(COUNTIF(Справочник_ОКВЭД_НР!$A$3:$A$62,H241)&gt;0,Справочник_ОКВЭД_НР!$L$8,
 IF(COUNTIF(Справочник_ОКВЭД_НР!$C$3:$C$62,H241)&gt;0,Справочник_ОКВЭД_НР!$L$9,
  IF(COUNTIF(Справочник_ОКВЭД_НР!$E$3:$E$62,H241)&gt;0,Справочник_ОКВЭД_НР!$L$10,
   IF(COUNTIF(Справочник_ОКВЭД_НР!$G$3:$G$62,H241)&gt;0,Справочник_ОКВЭД_НР!$L$11,50))))</f>
        <v>60</v>
      </c>
      <c r="J241" s="30" cm="1">
        <f t="array" ref="J241">IFERROR(
 (SUMPRODUCT(ISNUMBER(SEARCH(","&amp;Справочник_ОКВЭД_НР!$A$3:$A$62&amp;".",","&amp;SUBSTITUTE(F241," ","")&amp;",")))*Справочник_ОКВЭД_НР!$L$9 +
  SUMPRODUCT(ISNUMBER(SEARCH(","&amp;Справочник_ОКВЭД_НР!$C$3:$C$62&amp;".",","&amp;SUBSTITUTE(F241," ","")&amp;",")))*Справочник_ОКВЭД_НР!$L$10 +
  SUMPRODUCT(ISNUMBER(SEARCH(","&amp;Справочник_ОКВЭД_НР!$E$3:$E$62&amp;".",","&amp;SUBSTITUTE(F241," ","")&amp;",")))*Справочник_ОКВЭД_НР!$L$11 +
  SUMPRODUCT(ISNUMBER(SEARCH(","&amp;Справочник_ОКВЭД_НР!$G$3:$G$62&amp;".",","&amp;SUBSTITUTE(F241," ","")&amp;",")))*Справочник_ОКВЭД_НР!$L$12) /
 (SUMPRODUCT(ISNUMBER(SEARCH(","&amp;Справочник_ОКВЭД_НР!$A$3:$A$62&amp;".",","&amp;SUBSTITUTE(F241," ","")&amp;","))) +
  SUMPRODUCT(ISNUMBER(SEARCH(","&amp;Справочник_ОКВЭД_НР!$C$3:$C$62&amp;".",","&amp;SUBSTITUTE(F241," ","")&amp;","))) +
  SUMPRODUCT(ISNUMBER(SEARCH(","&amp;Справочник_ОКВЭД_НР!$E$3:$E$62&amp;".",","&amp;SUBSTITUTE(F241," ","")&amp;","))) +
  SUMPRODUCT(ISNUMBER(SEARCH(","&amp;Справочник_ОКВЭД_НР!$G$3:$G$62&amp;".",","&amp;SUBSTITUTE(F241," ","")&amp;",")))),
50)</f>
        <v>50</v>
      </c>
      <c r="K241" s="30">
        <f>IFERROR(VLOOKUP(G241,Справочник_ОКВЭД_НР!$O:$P,2,FALSE()),50)</f>
        <v>100</v>
      </c>
      <c r="L241" s="45">
        <f>(I241*Справочник_ОКВЭД_НР!$L$2+J241*Справочник_ОКВЭД_НР!$L$3+K241*Справочник_ОКВЭД_НР!$L$4)*M241</f>
        <v>63.5</v>
      </c>
      <c r="M241" s="47">
        <f>IF(COUNTIF(Справочник_ОКВЭД_НР!$G$3:$G$62,H241)&gt;0,0,1)</f>
        <v>1</v>
      </c>
    </row>
    <row r="242" spans="1:13" x14ac:dyDescent="0.25">
      <c r="A242" s="4">
        <f>ЛИК_дляСкорингаДП!A242</f>
        <v>1025001418210</v>
      </c>
      <c r="B242" s="4">
        <f>ЛИК_дляСкорингаДП!B242</f>
        <v>5010022027</v>
      </c>
      <c r="C242" s="4" t="str">
        <f>ЛИК_дляСкорингаДП!C242</f>
        <v>ООО "ПОЛИПАК"</v>
      </c>
      <c r="D242" s="5" t="str">
        <f>ЛИК_дляСкорингаДП!M242</f>
        <v>Предоставление услуг в области производства прочих пластмассовых изделий</v>
      </c>
      <c r="E242" s="4" t="str">
        <f>ЛИК_дляСкорингаДП!L242</f>
        <v>22.29.9</v>
      </c>
      <c r="F242" t="str">
        <f>ЛИК_дляСкорингаДП!N242</f>
        <v>25.62,46.69.9,62.09,21.20.2,22.29.9,25.62,32.50,33.12,33.12,46.46.2,46.69,46.90,52.10,62.02.9,62.09,64.92,68.20.2,69.10,69.20,70.22,71.20,74.10,74.90,74.90.5,78.30,81.10,82.99</v>
      </c>
      <c r="G242" s="25" t="str">
        <f>ЛИК_дляСкорингаДП!AG242</f>
        <v>ОСН</v>
      </c>
      <c r="H242" s="55" t="str">
        <f>IF(ISNUMBER(E242),E242,
IFERROR(LEFT(E242,FIND(".",E242)-1),E242))</f>
        <v>22</v>
      </c>
      <c r="I242" s="30">
        <f>IF(COUNTIF(Справочник_ОКВЭД_НР!$A$3:$A$62,H242)&gt;0,Справочник_ОКВЭД_НР!$L$8,
 IF(COUNTIF(Справочник_ОКВЭД_НР!$C$3:$C$62,H242)&gt;0,Справочник_ОКВЭД_НР!$L$9,
  IF(COUNTIF(Справочник_ОКВЭД_НР!$E$3:$E$62,H242)&gt;0,Справочник_ОКВЭД_НР!$L$10,
   IF(COUNTIF(Справочник_ОКВЭД_НР!$G$3:$G$62,H242)&gt;0,Справочник_ОКВЭД_НР!$L$11,50))))</f>
        <v>60</v>
      </c>
      <c r="J242" s="30" cm="1">
        <f t="array" ref="J242">IFERROR(
 (SUMPRODUCT(ISNUMBER(SEARCH(","&amp;Справочник_ОКВЭД_НР!$A$3:$A$62&amp;".",","&amp;SUBSTITUTE(F242," ","")&amp;",")))*Справочник_ОКВЭД_НР!$L$9 +
  SUMPRODUCT(ISNUMBER(SEARCH(","&amp;Справочник_ОКВЭД_НР!$C$3:$C$62&amp;".",","&amp;SUBSTITUTE(F242," ","")&amp;",")))*Справочник_ОКВЭД_НР!$L$10 +
  SUMPRODUCT(ISNUMBER(SEARCH(","&amp;Справочник_ОКВЭД_НР!$E$3:$E$62&amp;".",","&amp;SUBSTITUTE(F242," ","")&amp;",")))*Справочник_ОКВЭД_НР!$L$11 +
  SUMPRODUCT(ISNUMBER(SEARCH(","&amp;Справочник_ОКВЭД_НР!$G$3:$G$62&amp;".",","&amp;SUBSTITUTE(F242," ","")&amp;",")))*Справочник_ОКВЭД_НР!$L$12) /
 (SUMPRODUCT(ISNUMBER(SEARCH(","&amp;Справочник_ОКВЭД_НР!$A$3:$A$62&amp;".",","&amp;SUBSTITUTE(F242," ","")&amp;","))) +
  SUMPRODUCT(ISNUMBER(SEARCH(","&amp;Справочник_ОКВЭД_НР!$C$3:$C$62&amp;".",","&amp;SUBSTITUTE(F242," ","")&amp;","))) +
  SUMPRODUCT(ISNUMBER(SEARCH(","&amp;Справочник_ОКВЭД_НР!$E$3:$E$62&amp;".",","&amp;SUBSTITUTE(F242," ","")&amp;","))) +
  SUMPRODUCT(ISNUMBER(SEARCH(","&amp;Справочник_ОКВЭД_НР!$G$3:$G$62&amp;".",","&amp;SUBSTITUTE(F242," ","")&amp;",")))),
50)</f>
        <v>50</v>
      </c>
      <c r="K242" s="30">
        <f>IFERROR(VLOOKUP(G242,Справочник_ОКВЭД_НР!$O:$P,2,FALSE()),50)</f>
        <v>100</v>
      </c>
      <c r="L242" s="45">
        <f>(I242*Справочник_ОКВЭД_НР!$L$2+J242*Справочник_ОКВЭД_НР!$L$3+K242*Справочник_ОКВЭД_НР!$L$4)*M242</f>
        <v>63.5</v>
      </c>
      <c r="M242" s="47">
        <f>IF(COUNTIF(Справочник_ОКВЭД_НР!$G$3:$G$62,H242)&gt;0,0,1)</f>
        <v>1</v>
      </c>
    </row>
    <row r="243" spans="1:13" x14ac:dyDescent="0.25">
      <c r="A243" s="4">
        <f>ЛИК_дляСкорингаДП!A243</f>
        <v>1025001280534</v>
      </c>
      <c r="B243" s="4">
        <f>ЛИК_дляСкорингаДП!B243</f>
        <v>5009003982</v>
      </c>
      <c r="C243" s="4" t="str">
        <f>ЛИК_дляСкорингаДП!C243</f>
        <v>АО "АТП № 21"</v>
      </c>
      <c r="D243" s="5" t="str">
        <f>ЛИК_дляСкорингаДП!M243</f>
        <v>Аренда и управление собственным или арендованным недвижимым имуществом</v>
      </c>
      <c r="E243" s="4" t="str">
        <f>ЛИК_дляСкорингаДП!L243</f>
        <v>68.20</v>
      </c>
      <c r="F243" t="str">
        <f>ЛИК_дляСкорингаДП!N243</f>
        <v>41.2,41.20,45.1,45.20,45.20.1,45.20.2,45.3,49.4,49.41.1,49.41.2,49.41.3,52.10,52.21.2,52.21.24,52.24,52.29,68.1,68.10,68.20.2,68.3,68.31.1,68.31.12,68.31.2,68.31.22,68.31.3,68.31.32,68.31.4,68.31.42,68.32,71.20.5,74.20,74.30,77.3,77.39.1,81.29.1,81.29.9,82.92</v>
      </c>
      <c r="G243" s="25" t="str">
        <f>ЛИК_дляСкорингаДП!AG243</f>
        <v>УСН</v>
      </c>
      <c r="H243" s="55" t="str">
        <f>IF(ISNUMBER(E243),E243,
IFERROR(LEFT(E243,FIND(".",E243)-1),E243))</f>
        <v>68</v>
      </c>
      <c r="I243" s="30">
        <f>IF(COUNTIF(Справочник_ОКВЭД_НР!$A$3:$A$62,H243)&gt;0,Справочник_ОКВЭД_НР!$L$8,
 IF(COUNTIF(Справочник_ОКВЭД_НР!$C$3:$C$62,H243)&gt;0,Справочник_ОКВЭД_НР!$L$9,
  IF(COUNTIF(Справочник_ОКВЭД_НР!$E$3:$E$62,H243)&gt;0,Справочник_ОКВЭД_НР!$L$10,
   IF(COUNTIF(Справочник_ОКВЭД_НР!$G$3:$G$62,H243)&gt;0,Справочник_ОКВЭД_НР!$L$11,50))))</f>
        <v>100</v>
      </c>
      <c r="J243" s="30" cm="1">
        <f t="array" ref="J243">IFERROR(
 (SUMPRODUCT(ISNUMBER(SEARCH(","&amp;Справочник_ОКВЭД_НР!$A$3:$A$62&amp;".",","&amp;SUBSTITUTE(F243," ","")&amp;",")))*Справочник_ОКВЭД_НР!$L$9 +
  SUMPRODUCT(ISNUMBER(SEARCH(","&amp;Справочник_ОКВЭД_НР!$C$3:$C$62&amp;".",","&amp;SUBSTITUTE(F243," ","")&amp;",")))*Справочник_ОКВЭД_НР!$L$10 +
  SUMPRODUCT(ISNUMBER(SEARCH(","&amp;Справочник_ОКВЭД_НР!$E$3:$E$62&amp;".",","&amp;SUBSTITUTE(F243," ","")&amp;",")))*Справочник_ОКВЭД_НР!$L$11 +
  SUMPRODUCT(ISNUMBER(SEARCH(","&amp;Справочник_ОКВЭД_НР!$G$3:$G$62&amp;".",","&amp;SUBSTITUTE(F243," ","")&amp;",")))*Справочник_ОКВЭД_НР!$L$12) /
 (SUMPRODUCT(ISNUMBER(SEARCH(","&amp;Справочник_ОКВЭД_НР!$A$3:$A$62&amp;".",","&amp;SUBSTITUTE(F243," ","")&amp;","))) +
  SUMPRODUCT(ISNUMBER(SEARCH(","&amp;Справочник_ОКВЭД_НР!$C$3:$C$62&amp;".",","&amp;SUBSTITUTE(F243," ","")&amp;","))) +
  SUMPRODUCT(ISNUMBER(SEARCH(","&amp;Справочник_ОКВЭД_НР!$E$3:$E$62&amp;".",","&amp;SUBSTITUTE(F243," ","")&amp;","))) +
  SUMPRODUCT(ISNUMBER(SEARCH(","&amp;Справочник_ОКВЭД_НР!$G$3:$G$62&amp;".",","&amp;SUBSTITUTE(F243," ","")&amp;",")))),
50)</f>
        <v>50</v>
      </c>
      <c r="K243" s="30">
        <f>IFERROR(VLOOKUP(G243,Справочник_ОКВЭД_НР!$O:$P,2,FALSE()),50)</f>
        <v>50</v>
      </c>
      <c r="L243" s="45">
        <f>(I243*Справочник_ОКВЭД_НР!$L$2+J243*Справочник_ОКВЭД_НР!$L$3+K243*Справочник_ОКВЭД_НР!$L$4)*M243</f>
        <v>80</v>
      </c>
      <c r="M243" s="47">
        <f>IF(COUNTIF(Справочник_ОКВЭД_НР!$G$3:$G$62,H243)&gt;0,0,1)</f>
        <v>1</v>
      </c>
    </row>
    <row r="244" spans="1:13" x14ac:dyDescent="0.25">
      <c r="A244" s="4">
        <f>ЛИК_дляСкорингаДП!A244</f>
        <v>1025002033121</v>
      </c>
      <c r="B244" s="4">
        <f>ЛИК_дляСкорингаДП!B244</f>
        <v>5054009168</v>
      </c>
      <c r="C244" s="4" t="str">
        <f>ЛИК_дляСкорингаДП!C244</f>
        <v>АО "ЦБИ-СЕРВИС"</v>
      </c>
      <c r="D244" s="5" t="str">
        <f>ЛИК_дляСкорингаДП!M244</f>
        <v>Деятельность, связанная с использованием вычислительной техники и информационных технологий, прочая</v>
      </c>
      <c r="E244" s="4" t="str">
        <f>ЛИК_дляСкорингаДП!L244</f>
        <v>62.09</v>
      </c>
      <c r="F244" t="str">
        <f>ЛИК_дляСкорингаДП!N244</f>
        <v>18.20,26.20,26.51.5,43.21,46.43.2,46.49.4,46.51,46.69,46.90,58.29,61.10.9,62.01,62.02,68.10,68.20,71.20,72.19,74.90,80.30</v>
      </c>
      <c r="G244" s="25" t="str">
        <f>ЛИК_дляСкорингаДП!AG244</f>
        <v>ОСН</v>
      </c>
      <c r="H244" s="55" t="str">
        <f>IF(ISNUMBER(E244),E244,
IFERROR(LEFT(E244,FIND(".",E244)-1),E244))</f>
        <v>62</v>
      </c>
      <c r="I244" s="30">
        <f>IF(COUNTIF(Справочник_ОКВЭД_НР!$A$3:$A$62,H244)&gt;0,Справочник_ОКВЭД_НР!$L$8,
 IF(COUNTIF(Справочник_ОКВЭД_НР!$C$3:$C$62,H244)&gt;0,Справочник_ОКВЭД_НР!$L$9,
  IF(COUNTIF(Справочник_ОКВЭД_НР!$E$3:$E$62,H244)&gt;0,Справочник_ОКВЭД_НР!$L$10,
   IF(COUNTIF(Справочник_ОКВЭД_НР!$G$3:$G$62,H244)&gt;0,Справочник_ОКВЭД_НР!$L$11,50))))</f>
        <v>100</v>
      </c>
      <c r="J244" s="30" cm="1">
        <f t="array" ref="J244">IFERROR(
 (SUMPRODUCT(ISNUMBER(SEARCH(","&amp;Справочник_ОКВЭД_НР!$A$3:$A$62&amp;".",","&amp;SUBSTITUTE(F244," ","")&amp;",")))*Справочник_ОКВЭД_НР!$L$9 +
  SUMPRODUCT(ISNUMBER(SEARCH(","&amp;Справочник_ОКВЭД_НР!$C$3:$C$62&amp;".",","&amp;SUBSTITUTE(F244," ","")&amp;",")))*Справочник_ОКВЭД_НР!$L$10 +
  SUMPRODUCT(ISNUMBER(SEARCH(","&amp;Справочник_ОКВЭД_НР!$E$3:$E$62&amp;".",","&amp;SUBSTITUTE(F244," ","")&amp;",")))*Справочник_ОКВЭД_НР!$L$11 +
  SUMPRODUCT(ISNUMBER(SEARCH(","&amp;Справочник_ОКВЭД_НР!$G$3:$G$62&amp;".",","&amp;SUBSTITUTE(F244," ","")&amp;",")))*Справочник_ОКВЭД_НР!$L$12) /
 (SUMPRODUCT(ISNUMBER(SEARCH(","&amp;Справочник_ОКВЭД_НР!$A$3:$A$62&amp;".",","&amp;SUBSTITUTE(F244," ","")&amp;","))) +
  SUMPRODUCT(ISNUMBER(SEARCH(","&amp;Справочник_ОКВЭД_НР!$C$3:$C$62&amp;".",","&amp;SUBSTITUTE(F244," ","")&amp;","))) +
  SUMPRODUCT(ISNUMBER(SEARCH(","&amp;Справочник_ОКВЭД_НР!$E$3:$E$62&amp;".",","&amp;SUBSTITUTE(F244," ","")&amp;","))) +
  SUMPRODUCT(ISNUMBER(SEARCH(","&amp;Справочник_ОКВЭД_НР!$G$3:$G$62&amp;".",","&amp;SUBSTITUTE(F244," ","")&amp;",")))),
50)</f>
        <v>50</v>
      </c>
      <c r="K244" s="30">
        <f>IFERROR(VLOOKUP(G244,Справочник_ОКВЭД_НР!$O:$P,2,FALSE()),50)</f>
        <v>100</v>
      </c>
      <c r="L244" s="45">
        <f>(I244*Справочник_ОКВЭД_НР!$L$2+J244*Справочник_ОКВЭД_НР!$L$3+K244*Справочник_ОКВЭД_НР!$L$4)*M244</f>
        <v>87.5</v>
      </c>
      <c r="M244" s="47">
        <f>IF(COUNTIF(Справочник_ОКВЭД_НР!$G$3:$G$62,H244)&gt;0,0,1)</f>
        <v>1</v>
      </c>
    </row>
    <row r="245" spans="1:13" x14ac:dyDescent="0.25">
      <c r="A245" s="4">
        <f>ЛИК_дляСкорингаДП!A245</f>
        <v>1025004069837</v>
      </c>
      <c r="B245" s="4">
        <f>ЛИК_дляСкорингаДП!B245</f>
        <v>5032074580</v>
      </c>
      <c r="C245" s="4" t="str">
        <f>ЛИК_дляСкорингаДП!C245</f>
        <v>ООО "АГРОНОМ"</v>
      </c>
      <c r="D245" s="5" t="str">
        <f>ЛИК_дляСкорингаДП!M245</f>
        <v>Выращивание овощей, бахчевых, корнеплодных и клубнеплодных культур, грибов и трюфелей</v>
      </c>
      <c r="E245" s="4" t="str">
        <f>ЛИК_дляСкорингаДП!L245</f>
        <v>01.13</v>
      </c>
      <c r="F245" t="str">
        <f>ЛИК_дляСкорингаДП!N245</f>
        <v>01.19.2,01.25,01.25.1,01.28.1,01.30,46.18,46.31,46.31.11,46.38,47.21,47.7,52.29,56.10,56.10.1,56.10.3,68.20.2</v>
      </c>
      <c r="G245" s="25" t="str">
        <f>ЛИК_дляСкорингаДП!AG245</f>
        <v>ОСН</v>
      </c>
      <c r="H245" s="55" t="str">
        <f>IF(ISNUMBER(E245),E245,
IFERROR(LEFT(E245,FIND(".",E245)-1),E245))</f>
        <v>01</v>
      </c>
      <c r="I245" s="30">
        <f>IF(COUNTIF(Справочник_ОКВЭД_НР!$A$3:$A$62,H245)&gt;0,Справочник_ОКВЭД_НР!$L$8,
 IF(COUNTIF(Справочник_ОКВЭД_НР!$C$3:$C$62,H245)&gt;0,Справочник_ОКВЭД_НР!$L$9,
  IF(COUNTIF(Справочник_ОКВЭД_НР!$E$3:$E$62,H245)&gt;0,Справочник_ОКВЭД_НР!$L$10,
   IF(COUNTIF(Справочник_ОКВЭД_НР!$G$3:$G$62,H245)&gt;0,Справочник_ОКВЭД_НР!$L$11,50))))</f>
        <v>60</v>
      </c>
      <c r="J245" s="30" cm="1">
        <f t="array" ref="J245">IFERROR(
 (SUMPRODUCT(ISNUMBER(SEARCH(","&amp;Справочник_ОКВЭД_НР!$A$3:$A$62&amp;".",","&amp;SUBSTITUTE(F245," ","")&amp;",")))*Справочник_ОКВЭД_НР!$L$9 +
  SUMPRODUCT(ISNUMBER(SEARCH(","&amp;Справочник_ОКВЭД_НР!$C$3:$C$62&amp;".",","&amp;SUBSTITUTE(F245," ","")&amp;",")))*Справочник_ОКВЭД_НР!$L$10 +
  SUMPRODUCT(ISNUMBER(SEARCH(","&amp;Справочник_ОКВЭД_НР!$E$3:$E$62&amp;".",","&amp;SUBSTITUTE(F245," ","")&amp;",")))*Справочник_ОКВЭД_НР!$L$11 +
  SUMPRODUCT(ISNUMBER(SEARCH(","&amp;Справочник_ОКВЭД_НР!$G$3:$G$62&amp;".",","&amp;SUBSTITUTE(F245," ","")&amp;",")))*Справочник_ОКВЭД_НР!$L$12) /
 (SUMPRODUCT(ISNUMBER(SEARCH(","&amp;Справочник_ОКВЭД_НР!$A$3:$A$62&amp;".",","&amp;SUBSTITUTE(F245," ","")&amp;","))) +
  SUMPRODUCT(ISNUMBER(SEARCH(","&amp;Справочник_ОКВЭД_НР!$C$3:$C$62&amp;".",","&amp;SUBSTITUTE(F245," ","")&amp;","))) +
  SUMPRODUCT(ISNUMBER(SEARCH(","&amp;Справочник_ОКВЭД_НР!$E$3:$E$62&amp;".",","&amp;SUBSTITUTE(F245," ","")&amp;","))) +
  SUMPRODUCT(ISNUMBER(SEARCH(","&amp;Справочник_ОКВЭД_НР!$G$3:$G$62&amp;".",","&amp;SUBSTITUTE(F245," ","")&amp;",")))),
50)</f>
        <v>50</v>
      </c>
      <c r="K245" s="30">
        <f>IFERROR(VLOOKUP(G245,Справочник_ОКВЭД_НР!$O:$P,2,FALSE()),50)</f>
        <v>100</v>
      </c>
      <c r="L245" s="45">
        <f>(I245*Справочник_ОКВЭД_НР!$L$2+J245*Справочник_ОКВЭД_НР!$L$3+K245*Справочник_ОКВЭД_НР!$L$4)*M245</f>
        <v>63.5</v>
      </c>
      <c r="M245" s="47">
        <f>IF(COUNTIF(Справочник_ОКВЭД_НР!$G$3:$G$62,H245)&gt;0,0,1)</f>
        <v>1</v>
      </c>
    </row>
    <row r="246" spans="1:13" x14ac:dyDescent="0.25">
      <c r="A246" s="4">
        <f>ЛИК_дляСкорингаДП!A246</f>
        <v>1025003078605</v>
      </c>
      <c r="B246" s="4">
        <f>ЛИК_дляСкорингаДП!B246</f>
        <v>5025013890</v>
      </c>
      <c r="C246" s="4" t="str">
        <f>ЛИК_дляСкорингаДП!C246</f>
        <v>ООО СЗ "ИНЭС"</v>
      </c>
      <c r="D246" s="5" t="str">
        <f>ЛИК_дляСкорингаДП!M246</f>
        <v>Строительство жилых и нежилых зданий</v>
      </c>
      <c r="E246" s="4" t="str">
        <f>ЛИК_дляСкорингаДП!L246</f>
        <v>41.20</v>
      </c>
      <c r="F246" t="str">
        <f>ЛИК_дляСкорингаДП!N246</f>
        <v>42.21,43.11,43.12.1,43.12.3,43.31,43.32,43.33,43.34,43.39,43.99.2,43.99.3,43.99.4,43.99.6,43.99.7,43.99.9,68.10.11,68.10.12,68.10.21,68.10.22,68.20.1,68.20.2,68.31.5,82.99</v>
      </c>
      <c r="G246" s="25" t="str">
        <f>ЛИК_дляСкорингаДП!AG246</f>
        <v>ОСН</v>
      </c>
      <c r="H246" s="55" t="str">
        <f>IF(ISNUMBER(E246),E246,
IFERROR(LEFT(E246,FIND(".",E246)-1),E246))</f>
        <v>41</v>
      </c>
      <c r="I246" s="30">
        <f>IF(COUNTIF(Справочник_ОКВЭД_НР!$A$3:$A$62,H246)&gt;0,Справочник_ОКВЭД_НР!$L$8,
 IF(COUNTIF(Справочник_ОКВЭД_НР!$C$3:$C$62,H246)&gt;0,Справочник_ОКВЭД_НР!$L$9,
  IF(COUNTIF(Справочник_ОКВЭД_НР!$E$3:$E$62,H246)&gt;0,Справочник_ОКВЭД_НР!$L$10,
   IF(COUNTIF(Справочник_ОКВЭД_НР!$G$3:$G$62,H246)&gt;0,Справочник_ОКВЭД_НР!$L$11,50))))</f>
        <v>100</v>
      </c>
      <c r="J246" s="30" cm="1">
        <f t="array" ref="J246">IFERROR(
 (SUMPRODUCT(ISNUMBER(SEARCH(","&amp;Справочник_ОКВЭД_НР!$A$3:$A$62&amp;".",","&amp;SUBSTITUTE(F246," ","")&amp;",")))*Справочник_ОКВЭД_НР!$L$9 +
  SUMPRODUCT(ISNUMBER(SEARCH(","&amp;Справочник_ОКВЭД_НР!$C$3:$C$62&amp;".",","&amp;SUBSTITUTE(F246," ","")&amp;",")))*Справочник_ОКВЭД_НР!$L$10 +
  SUMPRODUCT(ISNUMBER(SEARCH(","&amp;Справочник_ОКВЭД_НР!$E$3:$E$62&amp;".",","&amp;SUBSTITUTE(F246," ","")&amp;",")))*Справочник_ОКВЭД_НР!$L$11 +
  SUMPRODUCT(ISNUMBER(SEARCH(","&amp;Справочник_ОКВЭД_НР!$G$3:$G$62&amp;".",","&amp;SUBSTITUTE(F246," ","")&amp;",")))*Справочник_ОКВЭД_НР!$L$12) /
 (SUMPRODUCT(ISNUMBER(SEARCH(","&amp;Справочник_ОКВЭД_НР!$A$3:$A$62&amp;".",","&amp;SUBSTITUTE(F246," ","")&amp;","))) +
  SUMPRODUCT(ISNUMBER(SEARCH(","&amp;Справочник_ОКВЭД_НР!$C$3:$C$62&amp;".",","&amp;SUBSTITUTE(F246," ","")&amp;","))) +
  SUMPRODUCT(ISNUMBER(SEARCH(","&amp;Справочник_ОКВЭД_НР!$E$3:$E$62&amp;".",","&amp;SUBSTITUTE(F246," ","")&amp;","))) +
  SUMPRODUCT(ISNUMBER(SEARCH(","&amp;Справочник_ОКВЭД_НР!$G$3:$G$62&amp;".",","&amp;SUBSTITUTE(F246," ","")&amp;",")))),
50)</f>
        <v>50</v>
      </c>
      <c r="K246" s="30">
        <f>IFERROR(VLOOKUP(G246,Справочник_ОКВЭД_НР!$O:$P,2,FALSE()),50)</f>
        <v>100</v>
      </c>
      <c r="L246" s="45">
        <f>(I246*Справочник_ОКВЭД_НР!$L$2+J246*Справочник_ОКВЭД_НР!$L$3+K246*Справочник_ОКВЭД_НР!$L$4)*M246</f>
        <v>87.5</v>
      </c>
      <c r="M246" s="47">
        <f>IF(COUNTIF(Справочник_ОКВЭД_НР!$G$3:$G$62,H246)&gt;0,0,1)</f>
        <v>1</v>
      </c>
    </row>
    <row r="247" spans="1:13" x14ac:dyDescent="0.25">
      <c r="A247" s="4">
        <f>ЛИК_дляСкорингаДП!A247</f>
        <v>1025003078616</v>
      </c>
      <c r="B247" s="4">
        <f>ЛИК_дляСкорингаДП!B247</f>
        <v>5025002150</v>
      </c>
      <c r="C247" s="4" t="str">
        <f>ЛИК_дляСкорингаДП!C247</f>
        <v>АО "ТЕРМИНАЛ-ПРЕМЬЕР"</v>
      </c>
      <c r="D247" s="5" t="str">
        <f>ЛИК_дляСкорингаДП!M247</f>
        <v>Хранение и складирование прочих грузов</v>
      </c>
      <c r="E247" s="4" t="str">
        <f>ЛИК_дляСкорингаДП!L247</f>
        <v>52.10.9</v>
      </c>
      <c r="F247" t="str">
        <f>ЛИК_дляСкорингаДП!N247</f>
        <v>49.41,49.41.1,49.41.2,52.21,52.24,52.24.1,52.24.2,68.20,68.20.2</v>
      </c>
      <c r="G247" s="25" t="str">
        <f>ЛИК_дляСкорингаДП!AG247</f>
        <v>ОСН</v>
      </c>
      <c r="H247" s="55" t="str">
        <f>IF(ISNUMBER(E247),E247,
IFERROR(LEFT(E247,FIND(".",E247)-1),E247))</f>
        <v>52</v>
      </c>
      <c r="I247" s="30">
        <f>IF(COUNTIF(Справочник_ОКВЭД_НР!$A$3:$A$62,H247)&gt;0,Справочник_ОКВЭД_НР!$L$8,
 IF(COUNTIF(Справочник_ОКВЭД_НР!$C$3:$C$62,H247)&gt;0,Справочник_ОКВЭД_НР!$L$9,
  IF(COUNTIF(Справочник_ОКВЭД_НР!$E$3:$E$62,H247)&gt;0,Справочник_ОКВЭД_НР!$L$10,
   IF(COUNTIF(Справочник_ОКВЭД_НР!$G$3:$G$62,H247)&gt;0,Справочник_ОКВЭД_НР!$L$11,50))))</f>
        <v>60</v>
      </c>
      <c r="J247" s="30" cm="1">
        <f t="array" ref="J247">IFERROR(
 (SUMPRODUCT(ISNUMBER(SEARCH(","&amp;Справочник_ОКВЭД_НР!$A$3:$A$62&amp;".",","&amp;SUBSTITUTE(F247," ","")&amp;",")))*Справочник_ОКВЭД_НР!$L$9 +
  SUMPRODUCT(ISNUMBER(SEARCH(","&amp;Справочник_ОКВЭД_НР!$C$3:$C$62&amp;".",","&amp;SUBSTITUTE(F247," ","")&amp;",")))*Справочник_ОКВЭД_НР!$L$10 +
  SUMPRODUCT(ISNUMBER(SEARCH(","&amp;Справочник_ОКВЭД_НР!$E$3:$E$62&amp;".",","&amp;SUBSTITUTE(F247," ","")&amp;",")))*Справочник_ОКВЭД_НР!$L$11 +
  SUMPRODUCT(ISNUMBER(SEARCH(","&amp;Справочник_ОКВЭД_НР!$G$3:$G$62&amp;".",","&amp;SUBSTITUTE(F247," ","")&amp;",")))*Справочник_ОКВЭД_НР!$L$12) /
 (SUMPRODUCT(ISNUMBER(SEARCH(","&amp;Справочник_ОКВЭД_НР!$A$3:$A$62&amp;".",","&amp;SUBSTITUTE(F247," ","")&amp;","))) +
  SUMPRODUCT(ISNUMBER(SEARCH(","&amp;Справочник_ОКВЭД_НР!$C$3:$C$62&amp;".",","&amp;SUBSTITUTE(F247," ","")&amp;","))) +
  SUMPRODUCT(ISNUMBER(SEARCH(","&amp;Справочник_ОКВЭД_НР!$E$3:$E$62&amp;".",","&amp;SUBSTITUTE(F247," ","")&amp;","))) +
  SUMPRODUCT(ISNUMBER(SEARCH(","&amp;Справочник_ОКВЭД_НР!$G$3:$G$62&amp;".",","&amp;SUBSTITUTE(F247," ","")&amp;",")))),
50)</f>
        <v>50</v>
      </c>
      <c r="K247" s="30">
        <f>IFERROR(VLOOKUP(G247,Справочник_ОКВЭД_НР!$O:$P,2,FALSE()),50)</f>
        <v>100</v>
      </c>
      <c r="L247" s="45">
        <f>(I247*Справочник_ОКВЭД_НР!$L$2+J247*Справочник_ОКВЭД_НР!$L$3+K247*Справочник_ОКВЭД_НР!$L$4)*M247</f>
        <v>63.5</v>
      </c>
      <c r="M247" s="47">
        <f>IF(COUNTIF(Справочник_ОКВЭД_НР!$G$3:$G$62,H247)&gt;0,0,1)</f>
        <v>1</v>
      </c>
    </row>
    <row r="248" spans="1:13" x14ac:dyDescent="0.25">
      <c r="A248" s="4">
        <f>ЛИК_дляСкорингаДП!A248</f>
        <v>1025004057957</v>
      </c>
      <c r="B248" s="4">
        <f>ЛИК_дляСкорингаДП!B248</f>
        <v>5032050116</v>
      </c>
      <c r="C248" s="4" t="str">
        <f>ЛИК_дляСкорингаДП!C248</f>
        <v>АО "СЕРВИССНАБ"</v>
      </c>
      <c r="D248" s="5" t="str">
        <f>ЛИК_дляСкорингаДП!M248</f>
        <v>Аренда и управление собственным или арендованным нежилым недвижимым имуществом</v>
      </c>
      <c r="E248" s="4" t="str">
        <f>ЛИК_дляСкорингаДП!L248</f>
        <v>68.20.2</v>
      </c>
      <c r="F248" t="str">
        <f>ЛИК_дляСкорингаДП!N248</f>
        <v>49.4,52.10,52.21.1,77.39.11</v>
      </c>
      <c r="G248" s="25" t="str">
        <f>ЛИК_дляСкорингаДП!AG248</f>
        <v>ОСН</v>
      </c>
      <c r="H248" s="55" t="str">
        <f>IF(ISNUMBER(E248),E248,
IFERROR(LEFT(E248,FIND(".",E248)-1),E248))</f>
        <v>68</v>
      </c>
      <c r="I248" s="30">
        <f>IF(COUNTIF(Справочник_ОКВЭД_НР!$A$3:$A$62,H248)&gt;0,Справочник_ОКВЭД_НР!$L$8,
 IF(COUNTIF(Справочник_ОКВЭД_НР!$C$3:$C$62,H248)&gt;0,Справочник_ОКВЭД_НР!$L$9,
  IF(COUNTIF(Справочник_ОКВЭД_НР!$E$3:$E$62,H248)&gt;0,Справочник_ОКВЭД_НР!$L$10,
   IF(COUNTIF(Справочник_ОКВЭД_НР!$G$3:$G$62,H248)&gt;0,Справочник_ОКВЭД_НР!$L$11,50))))</f>
        <v>100</v>
      </c>
      <c r="J248" s="30" cm="1">
        <f t="array" ref="J248">IFERROR(
 (SUMPRODUCT(ISNUMBER(SEARCH(","&amp;Справочник_ОКВЭД_НР!$A$3:$A$62&amp;".",","&amp;SUBSTITUTE(F248," ","")&amp;",")))*Справочник_ОКВЭД_НР!$L$9 +
  SUMPRODUCT(ISNUMBER(SEARCH(","&amp;Справочник_ОКВЭД_НР!$C$3:$C$62&amp;".",","&amp;SUBSTITUTE(F248," ","")&amp;",")))*Справочник_ОКВЭД_НР!$L$10 +
  SUMPRODUCT(ISNUMBER(SEARCH(","&amp;Справочник_ОКВЭД_НР!$E$3:$E$62&amp;".",","&amp;SUBSTITUTE(F248," ","")&amp;",")))*Справочник_ОКВЭД_НР!$L$11 +
  SUMPRODUCT(ISNUMBER(SEARCH(","&amp;Справочник_ОКВЭД_НР!$G$3:$G$62&amp;".",","&amp;SUBSTITUTE(F248," ","")&amp;",")))*Справочник_ОКВЭД_НР!$L$12) /
 (SUMPRODUCT(ISNUMBER(SEARCH(","&amp;Справочник_ОКВЭД_НР!$A$3:$A$62&amp;".",","&amp;SUBSTITUTE(F248," ","")&amp;","))) +
  SUMPRODUCT(ISNUMBER(SEARCH(","&amp;Справочник_ОКВЭД_НР!$C$3:$C$62&amp;".",","&amp;SUBSTITUTE(F248," ","")&amp;","))) +
  SUMPRODUCT(ISNUMBER(SEARCH(","&amp;Справочник_ОКВЭД_НР!$E$3:$E$62&amp;".",","&amp;SUBSTITUTE(F248," ","")&amp;","))) +
  SUMPRODUCT(ISNUMBER(SEARCH(","&amp;Справочник_ОКВЭД_НР!$G$3:$G$62&amp;".",","&amp;SUBSTITUTE(F248," ","")&amp;",")))),
50)</f>
        <v>50</v>
      </c>
      <c r="K248" s="30">
        <f>IFERROR(VLOOKUP(G248,Справочник_ОКВЭД_НР!$O:$P,2,FALSE()),50)</f>
        <v>100</v>
      </c>
      <c r="L248" s="45">
        <f>(I248*Справочник_ОКВЭД_НР!$L$2+J248*Справочник_ОКВЭД_НР!$L$3+K248*Справочник_ОКВЭД_НР!$L$4)*M248</f>
        <v>87.5</v>
      </c>
      <c r="M248" s="47">
        <f>IF(COUNTIF(Справочник_ОКВЭД_НР!$G$3:$G$62,H248)&gt;0,0,1)</f>
        <v>1</v>
      </c>
    </row>
    <row r="249" spans="1:13" x14ac:dyDescent="0.25">
      <c r="A249" s="4">
        <f>ЛИК_дляСкорингаДП!A249</f>
        <v>1025004706176</v>
      </c>
      <c r="B249" s="4">
        <f>ЛИК_дляСкорингаДП!B249</f>
        <v>5036045131</v>
      </c>
      <c r="C249" s="4" t="str">
        <f>ЛИК_дляСкорингаДП!C249</f>
        <v>МУП "ПОДОЛЬСКИЙ ТРОЛЛЕЙБУС"</v>
      </c>
      <c r="D249" s="5" t="str">
        <f>ЛИК_дляСкорингаДП!M249</f>
        <v>Регулярные перевозки пассажиров троллейбусами в городском и пригородном сообщении</v>
      </c>
      <c r="E249" s="4" t="str">
        <f>ЛИК_дляСкорингаДП!L249</f>
        <v>49.31.22</v>
      </c>
      <c r="F249" t="str">
        <f>ЛИК_дляСкорингаДП!N249</f>
        <v>49.31.22</v>
      </c>
      <c r="G249" s="25" t="str">
        <f>ЛИК_дляСкорингаДП!AG249</f>
        <v>ОСН</v>
      </c>
      <c r="H249" s="55" t="str">
        <f>IF(ISNUMBER(E249),E249,
IFERROR(LEFT(E249,FIND(".",E249)-1),E249))</f>
        <v>49</v>
      </c>
      <c r="I249" s="30">
        <f>IF(COUNTIF(Справочник_ОКВЭД_НР!$A$3:$A$62,H249)&gt;0,Справочник_ОКВЭД_НР!$L$8,
 IF(COUNTIF(Справочник_ОКВЭД_НР!$C$3:$C$62,H249)&gt;0,Справочник_ОКВЭД_НР!$L$9,
  IF(COUNTIF(Справочник_ОКВЭД_НР!$E$3:$E$62,H249)&gt;0,Справочник_ОКВЭД_НР!$L$10,
   IF(COUNTIF(Справочник_ОКВЭД_НР!$G$3:$G$62,H249)&gt;0,Справочник_ОКВЭД_НР!$L$11,50))))</f>
        <v>60</v>
      </c>
      <c r="J249" s="30" cm="1">
        <f t="array" ref="J249">IFERROR(
 (SUMPRODUCT(ISNUMBER(SEARCH(","&amp;Справочник_ОКВЭД_НР!$A$3:$A$62&amp;".",","&amp;SUBSTITUTE(F249," ","")&amp;",")))*Справочник_ОКВЭД_НР!$L$9 +
  SUMPRODUCT(ISNUMBER(SEARCH(","&amp;Справочник_ОКВЭД_НР!$C$3:$C$62&amp;".",","&amp;SUBSTITUTE(F249," ","")&amp;",")))*Справочник_ОКВЭД_НР!$L$10 +
  SUMPRODUCT(ISNUMBER(SEARCH(","&amp;Справочник_ОКВЭД_НР!$E$3:$E$62&amp;".",","&amp;SUBSTITUTE(F249," ","")&amp;",")))*Справочник_ОКВЭД_НР!$L$11 +
  SUMPRODUCT(ISNUMBER(SEARCH(","&amp;Справочник_ОКВЭД_НР!$G$3:$G$62&amp;".",","&amp;SUBSTITUTE(F249," ","")&amp;",")))*Справочник_ОКВЭД_НР!$L$12) /
 (SUMPRODUCT(ISNUMBER(SEARCH(","&amp;Справочник_ОКВЭД_НР!$A$3:$A$62&amp;".",","&amp;SUBSTITUTE(F249," ","")&amp;","))) +
  SUMPRODUCT(ISNUMBER(SEARCH(","&amp;Справочник_ОКВЭД_НР!$C$3:$C$62&amp;".",","&amp;SUBSTITUTE(F249," ","")&amp;","))) +
  SUMPRODUCT(ISNUMBER(SEARCH(","&amp;Справочник_ОКВЭД_НР!$E$3:$E$62&amp;".",","&amp;SUBSTITUTE(F249," ","")&amp;","))) +
  SUMPRODUCT(ISNUMBER(SEARCH(","&amp;Справочник_ОКВЭД_НР!$G$3:$G$62&amp;".",","&amp;SUBSTITUTE(F249," ","")&amp;",")))),
50)</f>
        <v>50</v>
      </c>
      <c r="K249" s="30">
        <f>IFERROR(VLOOKUP(G249,Справочник_ОКВЭД_НР!$O:$P,2,FALSE()),50)</f>
        <v>100</v>
      </c>
      <c r="L249" s="45">
        <f>(I249*Справочник_ОКВЭД_НР!$L$2+J249*Справочник_ОКВЭД_НР!$L$3+K249*Справочник_ОКВЭД_НР!$L$4)*M249</f>
        <v>63.5</v>
      </c>
      <c r="M249" s="47">
        <f>IF(COUNTIF(Справочник_ОКВЭД_НР!$G$3:$G$62,H249)&gt;0,0,1)</f>
        <v>1</v>
      </c>
    </row>
    <row r="250" spans="1:13" x14ac:dyDescent="0.25">
      <c r="A250" s="4">
        <f>ЛИК_дляСкорингаДП!A250</f>
        <v>1025004700797</v>
      </c>
      <c r="B250" s="4">
        <f>ЛИК_дляСкорингаДП!B250</f>
        <v>5036050290</v>
      </c>
      <c r="C250" s="4" t="str">
        <f>ЛИК_дляСкорингаДП!C250</f>
        <v>ООО "ПЭЗ ИМ. КАЛИНИНА"</v>
      </c>
      <c r="D250" s="5" t="str">
        <f>ЛИК_дляСкорингаДП!M250</f>
        <v>Управление эксплуатацией нежилого фонда за вознаграждение или на договорной основе</v>
      </c>
      <c r="E250" s="4" t="str">
        <f>ЛИК_дляСкорингаДП!L250</f>
        <v>68.32.2</v>
      </c>
      <c r="F250" t="str">
        <f>ЛИК_дляСкорингаДП!N250</f>
        <v>36.00.1,36.00.2,37.00,46.69.9,47.59.9,68.10.22,68.20.2,77.39.29,81.29.2</v>
      </c>
      <c r="G250" s="25" t="str">
        <f>ЛИК_дляСкорингаДП!AG250</f>
        <v>УСН</v>
      </c>
      <c r="H250" s="55" t="str">
        <f>IF(ISNUMBER(E250),E250,
IFERROR(LEFT(E250,FIND(".",E250)-1),E250))</f>
        <v>68</v>
      </c>
      <c r="I250" s="30">
        <f>IF(COUNTIF(Справочник_ОКВЭД_НР!$A$3:$A$62,H250)&gt;0,Справочник_ОКВЭД_НР!$L$8,
 IF(COUNTIF(Справочник_ОКВЭД_НР!$C$3:$C$62,H250)&gt;0,Справочник_ОКВЭД_НР!$L$9,
  IF(COUNTIF(Справочник_ОКВЭД_НР!$E$3:$E$62,H250)&gt;0,Справочник_ОКВЭД_НР!$L$10,
   IF(COUNTIF(Справочник_ОКВЭД_НР!$G$3:$G$62,H250)&gt;0,Справочник_ОКВЭД_НР!$L$11,50))))</f>
        <v>100</v>
      </c>
      <c r="J250" s="30" cm="1">
        <f t="array" ref="J250">IFERROR(
 (SUMPRODUCT(ISNUMBER(SEARCH(","&amp;Справочник_ОКВЭД_НР!$A$3:$A$62&amp;".",","&amp;SUBSTITUTE(F250," ","")&amp;",")))*Справочник_ОКВЭД_НР!$L$9 +
  SUMPRODUCT(ISNUMBER(SEARCH(","&amp;Справочник_ОКВЭД_НР!$C$3:$C$62&amp;".",","&amp;SUBSTITUTE(F250," ","")&amp;",")))*Справочник_ОКВЭД_НР!$L$10 +
  SUMPRODUCT(ISNUMBER(SEARCH(","&amp;Справочник_ОКВЭД_НР!$E$3:$E$62&amp;".",","&amp;SUBSTITUTE(F250," ","")&amp;",")))*Справочник_ОКВЭД_НР!$L$11 +
  SUMPRODUCT(ISNUMBER(SEARCH(","&amp;Справочник_ОКВЭД_НР!$G$3:$G$62&amp;".",","&amp;SUBSTITUTE(F250," ","")&amp;",")))*Справочник_ОКВЭД_НР!$L$12) /
 (SUMPRODUCT(ISNUMBER(SEARCH(","&amp;Справочник_ОКВЭД_НР!$A$3:$A$62&amp;".",","&amp;SUBSTITUTE(F250," ","")&amp;","))) +
  SUMPRODUCT(ISNUMBER(SEARCH(","&amp;Справочник_ОКВЭД_НР!$C$3:$C$62&amp;".",","&amp;SUBSTITUTE(F250," ","")&amp;","))) +
  SUMPRODUCT(ISNUMBER(SEARCH(","&amp;Справочник_ОКВЭД_НР!$E$3:$E$62&amp;".",","&amp;SUBSTITUTE(F250," ","")&amp;","))) +
  SUMPRODUCT(ISNUMBER(SEARCH(","&amp;Справочник_ОКВЭД_НР!$G$3:$G$62&amp;".",","&amp;SUBSTITUTE(F250," ","")&amp;",")))),
50)</f>
        <v>50</v>
      </c>
      <c r="K250" s="30">
        <f>IFERROR(VLOOKUP(G250,Справочник_ОКВЭД_НР!$O:$P,2,FALSE()),50)</f>
        <v>50</v>
      </c>
      <c r="L250" s="45">
        <f>(I250*Справочник_ОКВЭД_НР!$L$2+J250*Справочник_ОКВЭД_НР!$L$3+K250*Справочник_ОКВЭД_НР!$L$4)*M250</f>
        <v>80</v>
      </c>
      <c r="M250" s="47">
        <f>IF(COUNTIF(Справочник_ОКВЭД_НР!$G$3:$G$62,H250)&gt;0,0,1)</f>
        <v>1</v>
      </c>
    </row>
    <row r="251" spans="1:13" x14ac:dyDescent="0.25">
      <c r="A251" s="4">
        <f>ЛИК_дляСкорингаДП!A251</f>
        <v>1025002741785</v>
      </c>
      <c r="B251" s="4">
        <f>ЛИК_дляСкорингаДП!B251</f>
        <v>5070012954</v>
      </c>
      <c r="C251" s="4" t="str">
        <f>ЛИК_дляСкорингаДП!C251</f>
        <v>ПО  "КОЛОМЕНСКИЙ РАЙПОТРЕБСОЮЗ"</v>
      </c>
      <c r="D251" s="5" t="str">
        <f>ЛИК_дляСкорингаДП!M251</f>
        <v>Торговля розничная преимущественно пищевыми продуктами, включая напитки, и табачными изделиями в неспециализированных магазинах</v>
      </c>
      <c r="E251" s="4" t="str">
        <f>ЛИК_дляСкорингаДП!L251</f>
        <v>47.11</v>
      </c>
      <c r="F251" t="str">
        <f>ЛИК_дляСкорингаДП!N251</f>
        <v>10.71,10.72,41.20,47.7,47.73,47.78,47.78.9,49.4,52.10,53.20,53.20.3,56.10,56.10.1,56.10.3,56.29,64.92,66.19,73.11,79.90,82.30,93.29,94.99</v>
      </c>
      <c r="G251" s="25" t="str">
        <f>ЛИК_дляСкорингаДП!AG251</f>
        <v>ОСН</v>
      </c>
      <c r="H251" s="55" t="str">
        <f>IF(ISNUMBER(E251),E251,
IFERROR(LEFT(E251,FIND(".",E251)-1),E251))</f>
        <v>47</v>
      </c>
      <c r="I251" s="30">
        <f>IF(COUNTIF(Справочник_ОКВЭД_НР!$A$3:$A$62,H251)&gt;0,Справочник_ОКВЭД_НР!$L$8,
 IF(COUNTIF(Справочник_ОКВЭД_НР!$C$3:$C$62,H251)&gt;0,Справочник_ОКВЭД_НР!$L$9,
  IF(COUNTIF(Справочник_ОКВЭД_НР!$E$3:$E$62,H251)&gt;0,Справочник_ОКВЭД_НР!$L$10,
   IF(COUNTIF(Справочник_ОКВЭД_НР!$G$3:$G$62,H251)&gt;0,Справочник_ОКВЭД_НР!$L$11,50))))</f>
        <v>60</v>
      </c>
      <c r="J251" s="30" cm="1">
        <f t="array" ref="J251">IFERROR(
 (SUMPRODUCT(ISNUMBER(SEARCH(","&amp;Справочник_ОКВЭД_НР!$A$3:$A$62&amp;".",","&amp;SUBSTITUTE(F251," ","")&amp;",")))*Справочник_ОКВЭД_НР!$L$9 +
  SUMPRODUCT(ISNUMBER(SEARCH(","&amp;Справочник_ОКВЭД_НР!$C$3:$C$62&amp;".",","&amp;SUBSTITUTE(F251," ","")&amp;",")))*Справочник_ОКВЭД_НР!$L$10 +
  SUMPRODUCT(ISNUMBER(SEARCH(","&amp;Справочник_ОКВЭД_НР!$E$3:$E$62&amp;".",","&amp;SUBSTITUTE(F251," ","")&amp;",")))*Справочник_ОКВЭД_НР!$L$11 +
  SUMPRODUCT(ISNUMBER(SEARCH(","&amp;Справочник_ОКВЭД_НР!$G$3:$G$62&amp;".",","&amp;SUBSTITUTE(F251," ","")&amp;",")))*Справочник_ОКВЭД_НР!$L$12) /
 (SUMPRODUCT(ISNUMBER(SEARCH(","&amp;Справочник_ОКВЭД_НР!$A$3:$A$62&amp;".",","&amp;SUBSTITUTE(F251," ","")&amp;","))) +
  SUMPRODUCT(ISNUMBER(SEARCH(","&amp;Справочник_ОКВЭД_НР!$C$3:$C$62&amp;".",","&amp;SUBSTITUTE(F251," ","")&amp;","))) +
  SUMPRODUCT(ISNUMBER(SEARCH(","&amp;Справочник_ОКВЭД_НР!$E$3:$E$62&amp;".",","&amp;SUBSTITUTE(F251," ","")&amp;","))) +
  SUMPRODUCT(ISNUMBER(SEARCH(","&amp;Справочник_ОКВЭД_НР!$G$3:$G$62&amp;".",","&amp;SUBSTITUTE(F251," ","")&amp;",")))),
50)</f>
        <v>50</v>
      </c>
      <c r="K251" s="30">
        <f>IFERROR(VLOOKUP(G251,Справочник_ОКВЭД_НР!$O:$P,2,FALSE()),50)</f>
        <v>100</v>
      </c>
      <c r="L251" s="45">
        <f>(I251*Справочник_ОКВЭД_НР!$L$2+J251*Справочник_ОКВЭД_НР!$L$3+K251*Справочник_ОКВЭД_НР!$L$4)*M251</f>
        <v>63.5</v>
      </c>
      <c r="M251" s="47">
        <f>IF(COUNTIF(Справочник_ОКВЭД_НР!$G$3:$G$62,H251)&gt;0,0,1)</f>
        <v>1</v>
      </c>
    </row>
    <row r="252" spans="1:13" x14ac:dyDescent="0.25">
      <c r="A252" s="4">
        <f>ЛИК_дляСкорингаДП!A252</f>
        <v>1025004070222</v>
      </c>
      <c r="B252" s="4">
        <f>ЛИК_дляСкорингаДП!B252</f>
        <v>5032060033</v>
      </c>
      <c r="C252" s="4" t="str">
        <f>ЛИК_дляСкорингаДП!C252</f>
        <v>ООО "ИМПЕРАТОРСКИЙ ЧАЙ"</v>
      </c>
      <c r="D252" s="5" t="str">
        <f>ЛИК_дляСкорингаДП!M252</f>
        <v>Производство чая и кофе</v>
      </c>
      <c r="E252" s="4" t="str">
        <f>ЛИК_дляСкорингаДП!L252</f>
        <v>10.83</v>
      </c>
      <c r="F252" t="str">
        <f>ЛИК_дляСкорингаДП!N252</f>
        <v>18.12,43.31,43.32,43.33,43.34,46.19,46.37,49.4,81.21,81.29.2</v>
      </c>
      <c r="G252" s="25" t="str">
        <f>ЛИК_дляСкорингаДП!AG252</f>
        <v>ОСН</v>
      </c>
      <c r="H252" s="55" t="str">
        <f>IF(ISNUMBER(E252),E252,
IFERROR(LEFT(E252,FIND(".",E252)-1),E252))</f>
        <v>10</v>
      </c>
      <c r="I252" s="30">
        <f>IF(COUNTIF(Справочник_ОКВЭД_НР!$A$3:$A$62,H252)&gt;0,Справочник_ОКВЭД_НР!$L$8,
 IF(COUNTIF(Справочник_ОКВЭД_НР!$C$3:$C$62,H252)&gt;0,Справочник_ОКВЭД_НР!$L$9,
  IF(COUNTIF(Справочник_ОКВЭД_НР!$E$3:$E$62,H252)&gt;0,Справочник_ОКВЭД_НР!$L$10,
   IF(COUNTIF(Справочник_ОКВЭД_НР!$G$3:$G$62,H252)&gt;0,Справочник_ОКВЭД_НР!$L$11,50))))</f>
        <v>100</v>
      </c>
      <c r="J252" s="30" cm="1">
        <f t="array" ref="J252">IFERROR(
 (SUMPRODUCT(ISNUMBER(SEARCH(","&amp;Справочник_ОКВЭД_НР!$A$3:$A$62&amp;".",","&amp;SUBSTITUTE(F252," ","")&amp;",")))*Справочник_ОКВЭД_НР!$L$9 +
  SUMPRODUCT(ISNUMBER(SEARCH(","&amp;Справочник_ОКВЭД_НР!$C$3:$C$62&amp;".",","&amp;SUBSTITUTE(F252," ","")&amp;",")))*Справочник_ОКВЭД_НР!$L$10 +
  SUMPRODUCT(ISNUMBER(SEARCH(","&amp;Справочник_ОКВЭД_НР!$E$3:$E$62&amp;".",","&amp;SUBSTITUTE(F252," ","")&amp;",")))*Справочник_ОКВЭД_НР!$L$11 +
  SUMPRODUCT(ISNUMBER(SEARCH(","&amp;Справочник_ОКВЭД_НР!$G$3:$G$62&amp;".",","&amp;SUBSTITUTE(F252," ","")&amp;",")))*Справочник_ОКВЭД_НР!$L$12) /
 (SUMPRODUCT(ISNUMBER(SEARCH(","&amp;Справочник_ОКВЭД_НР!$A$3:$A$62&amp;".",","&amp;SUBSTITUTE(F252," ","")&amp;","))) +
  SUMPRODUCT(ISNUMBER(SEARCH(","&amp;Справочник_ОКВЭД_НР!$C$3:$C$62&amp;".",","&amp;SUBSTITUTE(F252," ","")&amp;","))) +
  SUMPRODUCT(ISNUMBER(SEARCH(","&amp;Справочник_ОКВЭД_НР!$E$3:$E$62&amp;".",","&amp;SUBSTITUTE(F252," ","")&amp;","))) +
  SUMPRODUCT(ISNUMBER(SEARCH(","&amp;Справочник_ОКВЭД_НР!$G$3:$G$62&amp;".",","&amp;SUBSTITUTE(F252," ","")&amp;",")))),
50)</f>
        <v>50</v>
      </c>
      <c r="K252" s="30">
        <f>IFERROR(VLOOKUP(G252,Справочник_ОКВЭД_НР!$O:$P,2,FALSE()),50)</f>
        <v>100</v>
      </c>
      <c r="L252" s="45">
        <f>(I252*Справочник_ОКВЭД_НР!$L$2+J252*Справочник_ОКВЭД_НР!$L$3+K252*Справочник_ОКВЭД_НР!$L$4)*M252</f>
        <v>87.5</v>
      </c>
      <c r="M252" s="47">
        <f>IF(COUNTIF(Справочник_ОКВЭД_НР!$G$3:$G$62,H252)&gt;0,0,1)</f>
        <v>1</v>
      </c>
    </row>
    <row r="253" spans="1:13" x14ac:dyDescent="0.25">
      <c r="A253" s="4">
        <f>ЛИК_дляСкорингаДП!A253</f>
        <v>1033700069688</v>
      </c>
      <c r="B253" s="4">
        <f>ЛИК_дляСкорингаДП!B253</f>
        <v>3729027366</v>
      </c>
      <c r="C253" s="4" t="str">
        <f>ЛИК_дляСкорингаДП!C253</f>
        <v>ООО"СТРОЙМАСТЕР"</v>
      </c>
      <c r="D253" s="5" t="str">
        <f>ЛИК_дляСкорингаДП!M253</f>
        <v>Подготовка строительной площадки</v>
      </c>
      <c r="E253" s="4" t="str">
        <f>ЛИК_дляСкорингаДП!L253</f>
        <v>43.12</v>
      </c>
      <c r="F253" t="str">
        <f>ЛИК_дляСкорингаДП!N253</f>
        <v>41.2,43.2,43.3,43.99,46.73,47.1,47.52.7,71.11.1,71.12.45</v>
      </c>
      <c r="G253" s="25" t="str">
        <f>ЛИК_дляСкорингаДП!AG253</f>
        <v>ОСН</v>
      </c>
      <c r="H253" s="55" t="str">
        <f>IF(ISNUMBER(E253),E253,
IFERROR(LEFT(E253,FIND(".",E253)-1),E253))</f>
        <v>43</v>
      </c>
      <c r="I253" s="30">
        <f>IF(COUNTIF(Справочник_ОКВЭД_НР!$A$3:$A$62,H253)&gt;0,Справочник_ОКВЭД_НР!$L$8,
 IF(COUNTIF(Справочник_ОКВЭД_НР!$C$3:$C$62,H253)&gt;0,Справочник_ОКВЭД_НР!$L$9,
  IF(COUNTIF(Справочник_ОКВЭД_НР!$E$3:$E$62,H253)&gt;0,Справочник_ОКВЭД_НР!$L$10,
   IF(COUNTIF(Справочник_ОКВЭД_НР!$G$3:$G$62,H253)&gt;0,Справочник_ОКВЭД_НР!$L$11,50))))</f>
        <v>100</v>
      </c>
      <c r="J253" s="30" cm="1">
        <f t="array" ref="J253">IFERROR(
 (SUMPRODUCT(ISNUMBER(SEARCH(","&amp;Справочник_ОКВЭД_НР!$A$3:$A$62&amp;".",","&amp;SUBSTITUTE(F253," ","")&amp;",")))*Справочник_ОКВЭД_НР!$L$9 +
  SUMPRODUCT(ISNUMBER(SEARCH(","&amp;Справочник_ОКВЭД_НР!$C$3:$C$62&amp;".",","&amp;SUBSTITUTE(F253," ","")&amp;",")))*Справочник_ОКВЭД_НР!$L$10 +
  SUMPRODUCT(ISNUMBER(SEARCH(","&amp;Справочник_ОКВЭД_НР!$E$3:$E$62&amp;".",","&amp;SUBSTITUTE(F253," ","")&amp;",")))*Справочник_ОКВЭД_НР!$L$11 +
  SUMPRODUCT(ISNUMBER(SEARCH(","&amp;Справочник_ОКВЭД_НР!$G$3:$G$62&amp;".",","&amp;SUBSTITUTE(F253," ","")&amp;",")))*Справочник_ОКВЭД_НР!$L$12) /
 (SUMPRODUCT(ISNUMBER(SEARCH(","&amp;Справочник_ОКВЭД_НР!$A$3:$A$62&amp;".",","&amp;SUBSTITUTE(F253," ","")&amp;","))) +
  SUMPRODUCT(ISNUMBER(SEARCH(","&amp;Справочник_ОКВЭД_НР!$C$3:$C$62&amp;".",","&amp;SUBSTITUTE(F253," ","")&amp;","))) +
  SUMPRODUCT(ISNUMBER(SEARCH(","&amp;Справочник_ОКВЭД_НР!$E$3:$E$62&amp;".",","&amp;SUBSTITUTE(F253," ","")&amp;","))) +
  SUMPRODUCT(ISNUMBER(SEARCH(","&amp;Справочник_ОКВЭД_НР!$G$3:$G$62&amp;".",","&amp;SUBSTITUTE(F253," ","")&amp;",")))),
50)</f>
        <v>50</v>
      </c>
      <c r="K253" s="30">
        <f>IFERROR(VLOOKUP(G253,Справочник_ОКВЭД_НР!$O:$P,2,FALSE()),50)</f>
        <v>100</v>
      </c>
      <c r="L253" s="45">
        <f>(I253*Справочник_ОКВЭД_НР!$L$2+J253*Справочник_ОКВЭД_НР!$L$3+K253*Справочник_ОКВЭД_НР!$L$4)*M253</f>
        <v>87.5</v>
      </c>
      <c r="M253" s="47">
        <f>IF(COUNTIF(Справочник_ОКВЭД_НР!$G$3:$G$62,H253)&gt;0,0,1)</f>
        <v>1</v>
      </c>
    </row>
    <row r="254" spans="1:13" x14ac:dyDescent="0.25">
      <c r="A254" s="4">
        <f>ЛИК_дляСкорингаДП!A254</f>
        <v>1057746171097</v>
      </c>
      <c r="B254" s="4">
        <f>ЛИК_дляСкорингаДП!B254</f>
        <v>7716520412</v>
      </c>
      <c r="C254" s="4" t="str">
        <f>ЛИК_дляСкорингаДП!C254</f>
        <v>ООО "НВЦ АГРОВЕТЗАЩИТА"</v>
      </c>
      <c r="D254" s="5" t="str">
        <f>ЛИК_дляСкорингаДП!M254</f>
        <v>Научные исследования и разработки в области естественных и технических наук прочие</v>
      </c>
      <c r="E254" s="4" t="str">
        <f>ЛИК_дляСкорингаДП!L254</f>
        <v>72.19</v>
      </c>
      <c r="F254" t="str">
        <f>ЛИК_дляСкорингаДП!N254</f>
        <v>01.6,20.4,20.41.1,21.1,21.10,21.20.2,46.11.34,46.18.1,46.21,46.38.22,46.46,47.5,47.73,47.74,47.75,72.20,75.0,86.90.9</v>
      </c>
      <c r="G254" s="25" t="str">
        <f>ЛИК_дляСкорингаДП!AG254</f>
        <v>ОСН</v>
      </c>
      <c r="H254" s="55" t="str">
        <f>IF(ISNUMBER(E254),E254,
IFERROR(LEFT(E254,FIND(".",E254)-1),E254))</f>
        <v>72</v>
      </c>
      <c r="I254" s="30">
        <f>IF(COUNTIF(Справочник_ОКВЭД_НР!$A$3:$A$62,H254)&gt;0,Справочник_ОКВЭД_НР!$L$8,
 IF(COUNTIF(Справочник_ОКВЭД_НР!$C$3:$C$62,H254)&gt;0,Справочник_ОКВЭД_НР!$L$9,
  IF(COUNTIF(Справочник_ОКВЭД_НР!$E$3:$E$62,H254)&gt;0,Справочник_ОКВЭД_НР!$L$10,
   IF(COUNTIF(Справочник_ОКВЭД_НР!$G$3:$G$62,H254)&gt;0,Справочник_ОКВЭД_НР!$L$11,50))))</f>
        <v>60</v>
      </c>
      <c r="J254" s="30" cm="1">
        <f t="array" ref="J254">IFERROR(
 (SUMPRODUCT(ISNUMBER(SEARCH(","&amp;Справочник_ОКВЭД_НР!$A$3:$A$62&amp;".",","&amp;SUBSTITUTE(F254," ","")&amp;",")))*Справочник_ОКВЭД_НР!$L$9 +
  SUMPRODUCT(ISNUMBER(SEARCH(","&amp;Справочник_ОКВЭД_НР!$C$3:$C$62&amp;".",","&amp;SUBSTITUTE(F254," ","")&amp;",")))*Справочник_ОКВЭД_НР!$L$10 +
  SUMPRODUCT(ISNUMBER(SEARCH(","&amp;Справочник_ОКВЭД_НР!$E$3:$E$62&amp;".",","&amp;SUBSTITUTE(F254," ","")&amp;",")))*Справочник_ОКВЭД_НР!$L$11 +
  SUMPRODUCT(ISNUMBER(SEARCH(","&amp;Справочник_ОКВЭД_НР!$G$3:$G$62&amp;".",","&amp;SUBSTITUTE(F254," ","")&amp;",")))*Справочник_ОКВЭД_НР!$L$12) /
 (SUMPRODUCT(ISNUMBER(SEARCH(","&amp;Справочник_ОКВЭД_НР!$A$3:$A$62&amp;".",","&amp;SUBSTITUTE(F254," ","")&amp;","))) +
  SUMPRODUCT(ISNUMBER(SEARCH(","&amp;Справочник_ОКВЭД_НР!$C$3:$C$62&amp;".",","&amp;SUBSTITUTE(F254," ","")&amp;","))) +
  SUMPRODUCT(ISNUMBER(SEARCH(","&amp;Справочник_ОКВЭД_НР!$E$3:$E$62&amp;".",","&amp;SUBSTITUTE(F254," ","")&amp;","))) +
  SUMPRODUCT(ISNUMBER(SEARCH(","&amp;Справочник_ОКВЭД_НР!$G$3:$G$62&amp;".",","&amp;SUBSTITUTE(F254," ","")&amp;",")))),
50)</f>
        <v>50</v>
      </c>
      <c r="K254" s="30">
        <f>IFERROR(VLOOKUP(G254,Справочник_ОКВЭД_НР!$O:$P,2,FALSE()),50)</f>
        <v>100</v>
      </c>
      <c r="L254" s="45">
        <f>(I254*Справочник_ОКВЭД_НР!$L$2+J254*Справочник_ОКВЭД_НР!$L$3+K254*Справочник_ОКВЭД_НР!$L$4)*M254</f>
        <v>63.5</v>
      </c>
      <c r="M254" s="47">
        <f>IF(COUNTIF(Справочник_ОКВЭД_НР!$G$3:$G$62,H254)&gt;0,0,1)</f>
        <v>1</v>
      </c>
    </row>
    <row r="255" spans="1:13" x14ac:dyDescent="0.25">
      <c r="A255" s="4">
        <f>ЛИК_дляСкорингаДП!A255</f>
        <v>1057746366941</v>
      </c>
      <c r="B255" s="4">
        <f>ЛИК_дляСкорингаДП!B255</f>
        <v>7730520703</v>
      </c>
      <c r="C255" s="4" t="str">
        <f>ЛИК_дляСкорингаДП!C255</f>
        <v>ООО "ВАГОНРЕМСЕРВИС"</v>
      </c>
      <c r="D255" s="5" t="str">
        <f>ЛИК_дляСкорингаДП!M255</f>
        <v>Аренда и лизинг железнодорожного транспорта и оборудования</v>
      </c>
      <c r="E255" s="4" t="str">
        <f>ЛИК_дляСкорингаДП!L255</f>
        <v>77.39.12</v>
      </c>
      <c r="F255" t="str">
        <f>ЛИК_дляСкорингаДП!N255</f>
        <v>30.20.4,33.17,41.10,41.20,42.12,42.13,42.99,43.11,43.12,43.21,43.22,43.29,43.31,43.32,43.33,43.34,43.39,43.91,43.99,46.3,46.4,46.6,46.69.1,46.7,46.90,47.19,47.2,47.24,47.25.2,47.29.35,47.78.3,47.78.4,49.10,49.20,52.21,52.21.1,56.10,56.10.1,56.10.3,56.29,56.30,79.1,82.99,86.10,86.21,86.90.9,87.90,88.10</v>
      </c>
      <c r="G255" s="25" t="str">
        <f>ЛИК_дляСкорингаДП!AG255</f>
        <v>УСН</v>
      </c>
      <c r="H255" s="55" t="str">
        <f>IF(ISNUMBER(E255),E255,
IFERROR(LEFT(E255,FIND(".",E255)-1),E255))</f>
        <v>77</v>
      </c>
      <c r="I255" s="30">
        <f>IF(COUNTIF(Справочник_ОКВЭД_НР!$A$3:$A$62,H255)&gt;0,Справочник_ОКВЭД_НР!$L$8,
 IF(COUNTIF(Справочник_ОКВЭД_НР!$C$3:$C$62,H255)&gt;0,Справочник_ОКВЭД_НР!$L$9,
  IF(COUNTIF(Справочник_ОКВЭД_НР!$E$3:$E$62,H255)&gt;0,Справочник_ОКВЭД_НР!$L$10,
   IF(COUNTIF(Справочник_ОКВЭД_НР!$G$3:$G$62,H255)&gt;0,Справочник_ОКВЭД_НР!$L$11,50))))</f>
        <v>60</v>
      </c>
      <c r="J255" s="30" cm="1">
        <f t="array" ref="J255">IFERROR(
 (SUMPRODUCT(ISNUMBER(SEARCH(","&amp;Справочник_ОКВЭД_НР!$A$3:$A$62&amp;".",","&amp;SUBSTITUTE(F255," ","")&amp;",")))*Справочник_ОКВЭД_НР!$L$9 +
  SUMPRODUCT(ISNUMBER(SEARCH(","&amp;Справочник_ОКВЭД_НР!$C$3:$C$62&amp;".",","&amp;SUBSTITUTE(F255," ","")&amp;",")))*Справочник_ОКВЭД_НР!$L$10 +
  SUMPRODUCT(ISNUMBER(SEARCH(","&amp;Справочник_ОКВЭД_НР!$E$3:$E$62&amp;".",","&amp;SUBSTITUTE(F255," ","")&amp;",")))*Справочник_ОКВЭД_НР!$L$11 +
  SUMPRODUCT(ISNUMBER(SEARCH(","&amp;Справочник_ОКВЭД_НР!$G$3:$G$62&amp;".",","&amp;SUBSTITUTE(F255," ","")&amp;",")))*Справочник_ОКВЭД_НР!$L$12) /
 (SUMPRODUCT(ISNUMBER(SEARCH(","&amp;Справочник_ОКВЭД_НР!$A$3:$A$62&amp;".",","&amp;SUBSTITUTE(F255," ","")&amp;","))) +
  SUMPRODUCT(ISNUMBER(SEARCH(","&amp;Справочник_ОКВЭД_НР!$C$3:$C$62&amp;".",","&amp;SUBSTITUTE(F255," ","")&amp;","))) +
  SUMPRODUCT(ISNUMBER(SEARCH(","&amp;Справочник_ОКВЭД_НР!$E$3:$E$62&amp;".",","&amp;SUBSTITUTE(F255," ","")&amp;","))) +
  SUMPRODUCT(ISNUMBER(SEARCH(","&amp;Справочник_ОКВЭД_НР!$G$3:$G$62&amp;".",","&amp;SUBSTITUTE(F255," ","")&amp;",")))),
50)</f>
        <v>50</v>
      </c>
      <c r="K255" s="30">
        <f>IFERROR(VLOOKUP(G255,Справочник_ОКВЭД_НР!$O:$P,2,FALSE()),50)</f>
        <v>50</v>
      </c>
      <c r="L255" s="45">
        <f>(I255*Справочник_ОКВЭД_НР!$L$2+J255*Справочник_ОКВЭД_НР!$L$3+K255*Справочник_ОКВЭД_НР!$L$4)*M255</f>
        <v>56</v>
      </c>
      <c r="M255" s="47">
        <f>IF(COUNTIF(Справочник_ОКВЭД_НР!$G$3:$G$62,H255)&gt;0,0,1)</f>
        <v>1</v>
      </c>
    </row>
    <row r="256" spans="1:13" x14ac:dyDescent="0.25">
      <c r="A256" s="4">
        <f>ЛИК_дляСкорингаДП!A256</f>
        <v>1057746747354</v>
      </c>
      <c r="B256" s="4">
        <f>ЛИК_дляСкорингаДП!B256</f>
        <v>7724541889</v>
      </c>
      <c r="C256" s="4" t="str">
        <f>ЛИК_дляСкорингаДП!C256</f>
        <v>ООО "ПАРОС"</v>
      </c>
      <c r="D256" s="5" t="str">
        <f>ЛИК_дляСкорингаДП!M256</f>
        <v>Аренда и управление собственным или арендованным нежилым недвижимым имуществом</v>
      </c>
      <c r="E256" s="4" t="str">
        <f>ЛИК_дляСкорингаДП!L256</f>
        <v>68.20.2</v>
      </c>
      <c r="F256" t="str">
        <f>ЛИК_дляСкорингаДП!N256</f>
        <v>46.41.2,47.54,68.1,68.10,68.20,68.31.1,68.31.2,68.31.3,68.31.4,68.32</v>
      </c>
      <c r="G256" s="25" t="str">
        <f>ЛИК_дляСкорингаДП!AG256</f>
        <v>УСН</v>
      </c>
      <c r="H256" s="55" t="str">
        <f>IF(ISNUMBER(E256),E256,
IFERROR(LEFT(E256,FIND(".",E256)-1),E256))</f>
        <v>68</v>
      </c>
      <c r="I256" s="30">
        <f>IF(COUNTIF(Справочник_ОКВЭД_НР!$A$3:$A$62,H256)&gt;0,Справочник_ОКВЭД_НР!$L$8,
 IF(COUNTIF(Справочник_ОКВЭД_НР!$C$3:$C$62,H256)&gt;0,Справочник_ОКВЭД_НР!$L$9,
  IF(COUNTIF(Справочник_ОКВЭД_НР!$E$3:$E$62,H256)&gt;0,Справочник_ОКВЭД_НР!$L$10,
   IF(COUNTIF(Справочник_ОКВЭД_НР!$G$3:$G$62,H256)&gt;0,Справочник_ОКВЭД_НР!$L$11,50))))</f>
        <v>100</v>
      </c>
      <c r="J256" s="30" cm="1">
        <f t="array" ref="J256">IFERROR(
 (SUMPRODUCT(ISNUMBER(SEARCH(","&amp;Справочник_ОКВЭД_НР!$A$3:$A$62&amp;".",","&amp;SUBSTITUTE(F256," ","")&amp;",")))*Справочник_ОКВЭД_НР!$L$9 +
  SUMPRODUCT(ISNUMBER(SEARCH(","&amp;Справочник_ОКВЭД_НР!$C$3:$C$62&amp;".",","&amp;SUBSTITUTE(F256," ","")&amp;",")))*Справочник_ОКВЭД_НР!$L$10 +
  SUMPRODUCT(ISNUMBER(SEARCH(","&amp;Справочник_ОКВЭД_НР!$E$3:$E$62&amp;".",","&amp;SUBSTITUTE(F256," ","")&amp;",")))*Справочник_ОКВЭД_НР!$L$11 +
  SUMPRODUCT(ISNUMBER(SEARCH(","&amp;Справочник_ОКВЭД_НР!$G$3:$G$62&amp;".",","&amp;SUBSTITUTE(F256," ","")&amp;",")))*Справочник_ОКВЭД_НР!$L$12) /
 (SUMPRODUCT(ISNUMBER(SEARCH(","&amp;Справочник_ОКВЭД_НР!$A$3:$A$62&amp;".",","&amp;SUBSTITUTE(F256," ","")&amp;","))) +
  SUMPRODUCT(ISNUMBER(SEARCH(","&amp;Справочник_ОКВЭД_НР!$C$3:$C$62&amp;".",","&amp;SUBSTITUTE(F256," ","")&amp;","))) +
  SUMPRODUCT(ISNUMBER(SEARCH(","&amp;Справочник_ОКВЭД_НР!$E$3:$E$62&amp;".",","&amp;SUBSTITUTE(F256," ","")&amp;","))) +
  SUMPRODUCT(ISNUMBER(SEARCH(","&amp;Справочник_ОКВЭД_НР!$G$3:$G$62&amp;".",","&amp;SUBSTITUTE(F256," ","")&amp;",")))),
50)</f>
        <v>50</v>
      </c>
      <c r="K256" s="30">
        <f>IFERROR(VLOOKUP(G256,Справочник_ОКВЭД_НР!$O:$P,2,FALSE()),50)</f>
        <v>50</v>
      </c>
      <c r="L256" s="45">
        <f>(I256*Справочник_ОКВЭД_НР!$L$2+J256*Справочник_ОКВЭД_НР!$L$3+K256*Справочник_ОКВЭД_НР!$L$4)*M256</f>
        <v>80</v>
      </c>
      <c r="M256" s="47">
        <f>IF(COUNTIF(Справочник_ОКВЭД_НР!$G$3:$G$62,H256)&gt;0,0,1)</f>
        <v>1</v>
      </c>
    </row>
    <row r="257" spans="1:13" x14ac:dyDescent="0.25">
      <c r="A257" s="4">
        <f>ЛИК_дляСкорингаДП!A257</f>
        <v>1057747118912</v>
      </c>
      <c r="B257" s="4">
        <f>ЛИК_дляСкорингаДП!B257</f>
        <v>7722547268</v>
      </c>
      <c r="C257" s="4" t="str">
        <f>ЛИК_дляСкорингаДП!C257</f>
        <v>ООО "ГАРАЖ"</v>
      </c>
      <c r="D257" s="5" t="str">
        <f>ЛИК_дляСкорингаДП!M257</f>
        <v>Торговля оптовая напитками</v>
      </c>
      <c r="E257" s="4" t="str">
        <f>ЛИК_дляСкорингаДП!L257</f>
        <v>46.34</v>
      </c>
      <c r="F257" t="str">
        <f>ЛИК_дляСкорингаДП!N257</f>
        <v>46.90,47.1,47.11,47.25,52.10,56.10,56.10.1,56.10.3,56.30,68.3,79.1,82.99</v>
      </c>
      <c r="G257" s="25" t="str">
        <f>ЛИК_дляСкорингаДП!AG257</f>
        <v>ОСН</v>
      </c>
      <c r="H257" s="55" t="str">
        <f>IF(ISNUMBER(E257),E257,
IFERROR(LEFT(E257,FIND(".",E257)-1),E257))</f>
        <v>46</v>
      </c>
      <c r="I257" s="30">
        <f>IF(COUNTIF(Справочник_ОКВЭД_НР!$A$3:$A$62,H257)&gt;0,Справочник_ОКВЭД_НР!$L$8,
 IF(COUNTIF(Справочник_ОКВЭД_НР!$C$3:$C$62,H257)&gt;0,Справочник_ОКВЭД_НР!$L$9,
  IF(COUNTIF(Справочник_ОКВЭД_НР!$E$3:$E$62,H257)&gt;0,Справочник_ОКВЭД_НР!$L$10,
   IF(COUNTIF(Справочник_ОКВЭД_НР!$G$3:$G$62,H257)&gt;0,Справочник_ОКВЭД_НР!$L$11,50))))</f>
        <v>60</v>
      </c>
      <c r="J257" s="30" cm="1">
        <f t="array" ref="J257">IFERROR(
 (SUMPRODUCT(ISNUMBER(SEARCH(","&amp;Справочник_ОКВЭД_НР!$A$3:$A$62&amp;".",","&amp;SUBSTITUTE(F257," ","")&amp;",")))*Справочник_ОКВЭД_НР!$L$9 +
  SUMPRODUCT(ISNUMBER(SEARCH(","&amp;Справочник_ОКВЭД_НР!$C$3:$C$62&amp;".",","&amp;SUBSTITUTE(F257," ","")&amp;",")))*Справочник_ОКВЭД_НР!$L$10 +
  SUMPRODUCT(ISNUMBER(SEARCH(","&amp;Справочник_ОКВЭД_НР!$E$3:$E$62&amp;".",","&amp;SUBSTITUTE(F257," ","")&amp;",")))*Справочник_ОКВЭД_НР!$L$11 +
  SUMPRODUCT(ISNUMBER(SEARCH(","&amp;Справочник_ОКВЭД_НР!$G$3:$G$62&amp;".",","&amp;SUBSTITUTE(F257," ","")&amp;",")))*Справочник_ОКВЭД_НР!$L$12) /
 (SUMPRODUCT(ISNUMBER(SEARCH(","&amp;Справочник_ОКВЭД_НР!$A$3:$A$62&amp;".",","&amp;SUBSTITUTE(F257," ","")&amp;","))) +
  SUMPRODUCT(ISNUMBER(SEARCH(","&amp;Справочник_ОКВЭД_НР!$C$3:$C$62&amp;".",","&amp;SUBSTITUTE(F257," ","")&amp;","))) +
  SUMPRODUCT(ISNUMBER(SEARCH(","&amp;Справочник_ОКВЭД_НР!$E$3:$E$62&amp;".",","&amp;SUBSTITUTE(F257," ","")&amp;","))) +
  SUMPRODUCT(ISNUMBER(SEARCH(","&amp;Справочник_ОКВЭД_НР!$G$3:$G$62&amp;".",","&amp;SUBSTITUTE(F257," ","")&amp;",")))),
50)</f>
        <v>50</v>
      </c>
      <c r="K257" s="30">
        <f>IFERROR(VLOOKUP(G257,Справочник_ОКВЭД_НР!$O:$P,2,FALSE()),50)</f>
        <v>100</v>
      </c>
      <c r="L257" s="45">
        <f>(I257*Справочник_ОКВЭД_НР!$L$2+J257*Справочник_ОКВЭД_НР!$L$3+K257*Справочник_ОКВЭД_НР!$L$4)*M257</f>
        <v>63.5</v>
      </c>
      <c r="M257" s="47">
        <f>IF(COUNTIF(Справочник_ОКВЭД_НР!$G$3:$G$62,H257)&gt;0,0,1)</f>
        <v>1</v>
      </c>
    </row>
    <row r="258" spans="1:13" x14ac:dyDescent="0.25">
      <c r="A258" s="4">
        <f>ЛИК_дляСкорингаДП!A258</f>
        <v>1057749169940</v>
      </c>
      <c r="B258" s="4">
        <f>ЛИК_дляСкорингаДП!B258</f>
        <v>7713571754</v>
      </c>
      <c r="C258" s="4" t="str">
        <f>ЛИК_дляСкорингаДП!C258</f>
        <v>ООО"ВИНЕГРЕТ КАФЕ"</v>
      </c>
      <c r="D258" s="5" t="str">
        <f>ЛИК_дляСкорингаДП!M258</f>
        <v>Деятельность ресторанов и услуги по доставке продуктов питания</v>
      </c>
      <c r="E258" s="4" t="str">
        <f>ЛИК_дляСкорингаДП!L258</f>
        <v>56.10</v>
      </c>
      <c r="F258" t="str">
        <f>ЛИК_дляСкорингаДП!N258</f>
        <v>10.71,46.37,46.49.49,47.11,47.29.35,56.1,56.21,56.29,56.30,70.22</v>
      </c>
      <c r="G258" s="25" t="str">
        <f>ЛИК_дляСкорингаДП!AG258</f>
        <v>ОСН</v>
      </c>
      <c r="H258" s="55" t="str">
        <f>IF(ISNUMBER(E258),E258,
IFERROR(LEFT(E258,FIND(".",E258)-1),E258))</f>
        <v>56</v>
      </c>
      <c r="I258" s="30">
        <f>IF(COUNTIF(Справочник_ОКВЭД_НР!$A$3:$A$62,H258)&gt;0,Справочник_ОКВЭД_НР!$L$8,
 IF(COUNTIF(Справочник_ОКВЭД_НР!$C$3:$C$62,H258)&gt;0,Справочник_ОКВЭД_НР!$L$9,
  IF(COUNTIF(Справочник_ОКВЭД_НР!$E$3:$E$62,H258)&gt;0,Справочник_ОКВЭД_НР!$L$10,
   IF(COUNTIF(Справочник_ОКВЭД_НР!$G$3:$G$62,H258)&gt;0,Справочник_ОКВЭД_НР!$L$11,50))))</f>
        <v>30</v>
      </c>
      <c r="J258" s="30" cm="1">
        <f t="array" ref="J258">IFERROR(
 (SUMPRODUCT(ISNUMBER(SEARCH(","&amp;Справочник_ОКВЭД_НР!$A$3:$A$62&amp;".",","&amp;SUBSTITUTE(F258," ","")&amp;",")))*Справочник_ОКВЭД_НР!$L$9 +
  SUMPRODUCT(ISNUMBER(SEARCH(","&amp;Справочник_ОКВЭД_НР!$C$3:$C$62&amp;".",","&amp;SUBSTITUTE(F258," ","")&amp;",")))*Справочник_ОКВЭД_НР!$L$10 +
  SUMPRODUCT(ISNUMBER(SEARCH(","&amp;Справочник_ОКВЭД_НР!$E$3:$E$62&amp;".",","&amp;SUBSTITUTE(F258," ","")&amp;",")))*Справочник_ОКВЭД_НР!$L$11 +
  SUMPRODUCT(ISNUMBER(SEARCH(","&amp;Справочник_ОКВЭД_НР!$G$3:$G$62&amp;".",","&amp;SUBSTITUTE(F258," ","")&amp;",")))*Справочник_ОКВЭД_НР!$L$12) /
 (SUMPRODUCT(ISNUMBER(SEARCH(","&amp;Справочник_ОКВЭД_НР!$A$3:$A$62&amp;".",","&amp;SUBSTITUTE(F258," ","")&amp;","))) +
  SUMPRODUCT(ISNUMBER(SEARCH(","&amp;Справочник_ОКВЭД_НР!$C$3:$C$62&amp;".",","&amp;SUBSTITUTE(F258," ","")&amp;","))) +
  SUMPRODUCT(ISNUMBER(SEARCH(","&amp;Справочник_ОКВЭД_НР!$E$3:$E$62&amp;".",","&amp;SUBSTITUTE(F258," ","")&amp;","))) +
  SUMPRODUCT(ISNUMBER(SEARCH(","&amp;Справочник_ОКВЭД_НР!$G$3:$G$62&amp;".",","&amp;SUBSTITUTE(F258," ","")&amp;",")))),
50)</f>
        <v>50</v>
      </c>
      <c r="K258" s="30">
        <f>IFERROR(VLOOKUP(G258,Справочник_ОКВЭД_НР!$O:$P,2,FALSE()),50)</f>
        <v>100</v>
      </c>
      <c r="L258" s="45">
        <f>(I258*Справочник_ОКВЭД_НР!$L$2+J258*Справочник_ОКВЭД_НР!$L$3+K258*Справочник_ОКВЭД_НР!$L$4)*M258</f>
        <v>45.5</v>
      </c>
      <c r="M258" s="47">
        <f>IF(COUNTIF(Справочник_ОКВЭД_НР!$G$3:$G$62,H258)&gt;0,0,1)</f>
        <v>1</v>
      </c>
    </row>
    <row r="259" spans="1:13" x14ac:dyDescent="0.25">
      <c r="A259" s="4">
        <f>ЛИК_дляСкорингаДП!A259</f>
        <v>1057748922714</v>
      </c>
      <c r="B259" s="4">
        <f>ЛИК_дляСкорингаДП!B259</f>
        <v>7701626536</v>
      </c>
      <c r="C259" s="4" t="str">
        <f>ЛИК_дляСкорингаДП!C259</f>
        <v>ООО "НЕТЧ ПАМПС РУС"</v>
      </c>
      <c r="D259" s="5" t="str">
        <f>ЛИК_дляСкорингаДП!M259</f>
        <v>Торговля оптовая машинами и оборудованием для добычи полезных ископаемых и строительства</v>
      </c>
      <c r="E259" s="4" t="str">
        <f>ЛИК_дляСкорингаДП!L259</f>
        <v>46.63</v>
      </c>
      <c r="F259" t="str">
        <f>ЛИК_дляСкорингаДП!N259</f>
        <v>33.12,33.12,46.14.9,46.6,46.69,49.4,69.10,70.22,72.19,73.1,73.20.1,82.99</v>
      </c>
      <c r="G259" s="25" t="str">
        <f>ЛИК_дляСкорингаДП!AG259</f>
        <v>ОСН</v>
      </c>
      <c r="H259" s="55" t="str">
        <f>IF(ISNUMBER(E259),E259,
IFERROR(LEFT(E259,FIND(".",E259)-1),E259))</f>
        <v>46</v>
      </c>
      <c r="I259" s="30">
        <f>IF(COUNTIF(Справочник_ОКВЭД_НР!$A$3:$A$62,H259)&gt;0,Справочник_ОКВЭД_НР!$L$8,
 IF(COUNTIF(Справочник_ОКВЭД_НР!$C$3:$C$62,H259)&gt;0,Справочник_ОКВЭД_НР!$L$9,
  IF(COUNTIF(Справочник_ОКВЭД_НР!$E$3:$E$62,H259)&gt;0,Справочник_ОКВЭД_НР!$L$10,
   IF(COUNTIF(Справочник_ОКВЭД_НР!$G$3:$G$62,H259)&gt;0,Справочник_ОКВЭД_НР!$L$11,50))))</f>
        <v>60</v>
      </c>
      <c r="J259" s="30" cm="1">
        <f t="array" ref="J259">IFERROR(
 (SUMPRODUCT(ISNUMBER(SEARCH(","&amp;Справочник_ОКВЭД_НР!$A$3:$A$62&amp;".",","&amp;SUBSTITUTE(F259," ","")&amp;",")))*Справочник_ОКВЭД_НР!$L$9 +
  SUMPRODUCT(ISNUMBER(SEARCH(","&amp;Справочник_ОКВЭД_НР!$C$3:$C$62&amp;".",","&amp;SUBSTITUTE(F259," ","")&amp;",")))*Справочник_ОКВЭД_НР!$L$10 +
  SUMPRODUCT(ISNUMBER(SEARCH(","&amp;Справочник_ОКВЭД_НР!$E$3:$E$62&amp;".",","&amp;SUBSTITUTE(F259," ","")&amp;",")))*Справочник_ОКВЭД_НР!$L$11 +
  SUMPRODUCT(ISNUMBER(SEARCH(","&amp;Справочник_ОКВЭД_НР!$G$3:$G$62&amp;".",","&amp;SUBSTITUTE(F259," ","")&amp;",")))*Справочник_ОКВЭД_НР!$L$12) /
 (SUMPRODUCT(ISNUMBER(SEARCH(","&amp;Справочник_ОКВЭД_НР!$A$3:$A$62&amp;".",","&amp;SUBSTITUTE(F259," ","")&amp;","))) +
  SUMPRODUCT(ISNUMBER(SEARCH(","&amp;Справочник_ОКВЭД_НР!$C$3:$C$62&amp;".",","&amp;SUBSTITUTE(F259," ","")&amp;","))) +
  SUMPRODUCT(ISNUMBER(SEARCH(","&amp;Справочник_ОКВЭД_НР!$E$3:$E$62&amp;".",","&amp;SUBSTITUTE(F259," ","")&amp;","))) +
  SUMPRODUCT(ISNUMBER(SEARCH(","&amp;Справочник_ОКВЭД_НР!$G$3:$G$62&amp;".",","&amp;SUBSTITUTE(F259," ","")&amp;",")))),
50)</f>
        <v>50</v>
      </c>
      <c r="K259" s="30">
        <f>IFERROR(VLOOKUP(G259,Справочник_ОКВЭД_НР!$O:$P,2,FALSE()),50)</f>
        <v>100</v>
      </c>
      <c r="L259" s="45">
        <f>(I259*Справочник_ОКВЭД_НР!$L$2+J259*Справочник_ОКВЭД_НР!$L$3+K259*Справочник_ОКВЭД_НР!$L$4)*M259</f>
        <v>63.5</v>
      </c>
      <c r="M259" s="47">
        <f>IF(COUNTIF(Справочник_ОКВЭД_НР!$G$3:$G$62,H259)&gt;0,0,1)</f>
        <v>1</v>
      </c>
    </row>
    <row r="260" spans="1:13" x14ac:dyDescent="0.25">
      <c r="A260" s="4">
        <f>ЛИК_дляСкорингаДП!A260</f>
        <v>1057748065550</v>
      </c>
      <c r="B260" s="4">
        <f>ЛИК_дляСкорингаДП!B260</f>
        <v>7709628581</v>
      </c>
      <c r="C260" s="4" t="str">
        <f>ЛИК_дляСкорингаДП!C260</f>
        <v>ООО "СЗ ТЕХНОСТРОЙОЛИМП"</v>
      </c>
      <c r="D260" s="5" t="str">
        <f>ЛИК_дляСкорингаДП!M260</f>
        <v>Деятельность заказчика-застройщика, генерального подрядчика</v>
      </c>
      <c r="E260" s="4" t="str">
        <f>ЛИК_дляСкорингаДП!L260</f>
        <v>71.12.2</v>
      </c>
      <c r="F260" t="str">
        <f>ЛИК_дляСкорингаДП!N260</f>
        <v>41.20,43.11,43.12.1,43.99,43.99.7,68.31,68.31.1,68.31.11,68.31.2,68.31.21,68.31.3,68.31.31,68.31.4,68.31.41,68.31.5</v>
      </c>
      <c r="G260" s="25" t="str">
        <f>ЛИК_дляСкорингаДП!AG260</f>
        <v>ОСН</v>
      </c>
      <c r="H260" s="55" t="str">
        <f>IF(ISNUMBER(E260),E260,
IFERROR(LEFT(E260,FIND(".",E260)-1),E260))</f>
        <v>71</v>
      </c>
      <c r="I260" s="30">
        <f>IF(COUNTIF(Справочник_ОКВЭД_НР!$A$3:$A$62,H260)&gt;0,Справочник_ОКВЭД_НР!$L$8,
 IF(COUNTIF(Справочник_ОКВЭД_НР!$C$3:$C$62,H260)&gt;0,Справочник_ОКВЭД_НР!$L$9,
  IF(COUNTIF(Справочник_ОКВЭД_НР!$E$3:$E$62,H260)&gt;0,Справочник_ОКВЭД_НР!$L$10,
   IF(COUNTIF(Справочник_ОКВЭД_НР!$G$3:$G$62,H260)&gt;0,Справочник_ОКВЭД_НР!$L$11,50))))</f>
        <v>100</v>
      </c>
      <c r="J260" s="30" cm="1">
        <f t="array" ref="J260">IFERROR(
 (SUMPRODUCT(ISNUMBER(SEARCH(","&amp;Справочник_ОКВЭД_НР!$A$3:$A$62&amp;".",","&amp;SUBSTITUTE(F260," ","")&amp;",")))*Справочник_ОКВЭД_НР!$L$9 +
  SUMPRODUCT(ISNUMBER(SEARCH(","&amp;Справочник_ОКВЭД_НР!$C$3:$C$62&amp;".",","&amp;SUBSTITUTE(F260," ","")&amp;",")))*Справочник_ОКВЭД_НР!$L$10 +
  SUMPRODUCT(ISNUMBER(SEARCH(","&amp;Справочник_ОКВЭД_НР!$E$3:$E$62&amp;".",","&amp;SUBSTITUTE(F260," ","")&amp;",")))*Справочник_ОКВЭД_НР!$L$11 +
  SUMPRODUCT(ISNUMBER(SEARCH(","&amp;Справочник_ОКВЭД_НР!$G$3:$G$62&amp;".",","&amp;SUBSTITUTE(F260," ","")&amp;",")))*Справочник_ОКВЭД_НР!$L$12) /
 (SUMPRODUCT(ISNUMBER(SEARCH(","&amp;Справочник_ОКВЭД_НР!$A$3:$A$62&amp;".",","&amp;SUBSTITUTE(F260," ","")&amp;","))) +
  SUMPRODUCT(ISNUMBER(SEARCH(","&amp;Справочник_ОКВЭД_НР!$C$3:$C$62&amp;".",","&amp;SUBSTITUTE(F260," ","")&amp;","))) +
  SUMPRODUCT(ISNUMBER(SEARCH(","&amp;Справочник_ОКВЭД_НР!$E$3:$E$62&amp;".",","&amp;SUBSTITUTE(F260," ","")&amp;","))) +
  SUMPRODUCT(ISNUMBER(SEARCH(","&amp;Справочник_ОКВЭД_НР!$G$3:$G$62&amp;".",","&amp;SUBSTITUTE(F260," ","")&amp;",")))),
50)</f>
        <v>50</v>
      </c>
      <c r="K260" s="30">
        <f>IFERROR(VLOOKUP(G260,Справочник_ОКВЭД_НР!$O:$P,2,FALSE()),50)</f>
        <v>100</v>
      </c>
      <c r="L260" s="45">
        <f>(I260*Справочник_ОКВЭД_НР!$L$2+J260*Справочник_ОКВЭД_НР!$L$3+K260*Справочник_ОКВЭД_НР!$L$4)*M260</f>
        <v>87.5</v>
      </c>
      <c r="M260" s="47">
        <f>IF(COUNTIF(Справочник_ОКВЭД_НР!$G$3:$G$62,H260)&gt;0,0,1)</f>
        <v>1</v>
      </c>
    </row>
    <row r="261" spans="1:13" x14ac:dyDescent="0.25">
      <c r="A261" s="4">
        <f>ЛИК_дляСкорингаДП!A261</f>
        <v>1057748342508</v>
      </c>
      <c r="B261" s="4">
        <f>ЛИК_дляСкорингаДП!B261</f>
        <v>7730530067</v>
      </c>
      <c r="C261" s="4" t="str">
        <f>ЛИК_дляСкорингаДП!C261</f>
        <v>ООО "ТРЕЙНСЕРВИС"</v>
      </c>
      <c r="D261" s="5" t="str">
        <f>ЛИК_дляСкорингаДП!M261</f>
        <v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v>
      </c>
      <c r="E261" s="4" t="str">
        <f>ЛИК_дляСкорингаДП!L261</f>
        <v>30.20.9</v>
      </c>
      <c r="F261" t="str">
        <f>ЛИК_дляСкорингаДП!N261</f>
        <v>30.20.4,33.17,46.3,46.4,46.6,46.7,46.90,47.2,47.24,47.25.2,47.29.35,47.78.3,47.78.4,49.10,49.20,52.21,52.21.1,55.2,56.10,56.10.1,56.10.3,56.30,77.39.12,79.1</v>
      </c>
      <c r="G261" s="25" t="str">
        <f>ЛИК_дляСкорингаДП!AG261</f>
        <v>ОСН</v>
      </c>
      <c r="H261" s="55" t="str">
        <f>IF(ISNUMBER(E261),E261,
IFERROR(LEFT(E261,FIND(".",E261)-1),E261))</f>
        <v>30</v>
      </c>
      <c r="I261" s="30">
        <f>IF(COUNTIF(Справочник_ОКВЭД_НР!$A$3:$A$62,H261)&gt;0,Справочник_ОКВЭД_НР!$L$8,
 IF(COUNTIF(Справочник_ОКВЭД_НР!$C$3:$C$62,H261)&gt;0,Справочник_ОКВЭД_НР!$L$9,
  IF(COUNTIF(Справочник_ОКВЭД_НР!$E$3:$E$62,H261)&gt;0,Справочник_ОКВЭД_НР!$L$10,
   IF(COUNTIF(Справочник_ОКВЭД_НР!$G$3:$G$62,H261)&gt;0,Справочник_ОКВЭД_НР!$L$11,50))))</f>
        <v>60</v>
      </c>
      <c r="J261" s="30" cm="1">
        <f t="array" ref="J261">IFERROR(
 (SUMPRODUCT(ISNUMBER(SEARCH(","&amp;Справочник_ОКВЭД_НР!$A$3:$A$62&amp;".",","&amp;SUBSTITUTE(F261," ","")&amp;",")))*Справочник_ОКВЭД_НР!$L$9 +
  SUMPRODUCT(ISNUMBER(SEARCH(","&amp;Справочник_ОКВЭД_НР!$C$3:$C$62&amp;".",","&amp;SUBSTITUTE(F261," ","")&amp;",")))*Справочник_ОКВЭД_НР!$L$10 +
  SUMPRODUCT(ISNUMBER(SEARCH(","&amp;Справочник_ОКВЭД_НР!$E$3:$E$62&amp;".",","&amp;SUBSTITUTE(F261," ","")&amp;",")))*Справочник_ОКВЭД_НР!$L$11 +
  SUMPRODUCT(ISNUMBER(SEARCH(","&amp;Справочник_ОКВЭД_НР!$G$3:$G$62&amp;".",","&amp;SUBSTITUTE(F261," ","")&amp;",")))*Справочник_ОКВЭД_НР!$L$12) /
 (SUMPRODUCT(ISNUMBER(SEARCH(","&amp;Справочник_ОКВЭД_НР!$A$3:$A$62&amp;".",","&amp;SUBSTITUTE(F261," ","")&amp;","))) +
  SUMPRODUCT(ISNUMBER(SEARCH(","&amp;Справочник_ОКВЭД_НР!$C$3:$C$62&amp;".",","&amp;SUBSTITUTE(F261," ","")&amp;","))) +
  SUMPRODUCT(ISNUMBER(SEARCH(","&amp;Справочник_ОКВЭД_НР!$E$3:$E$62&amp;".",","&amp;SUBSTITUTE(F261," ","")&amp;","))) +
  SUMPRODUCT(ISNUMBER(SEARCH(","&amp;Справочник_ОКВЭД_НР!$G$3:$G$62&amp;".",","&amp;SUBSTITUTE(F261," ","")&amp;",")))),
50)</f>
        <v>50</v>
      </c>
      <c r="K261" s="30">
        <f>IFERROR(VLOOKUP(G261,Справочник_ОКВЭД_НР!$O:$P,2,FALSE()),50)</f>
        <v>100</v>
      </c>
      <c r="L261" s="45">
        <f>(I261*Справочник_ОКВЭД_НР!$L$2+J261*Справочник_ОКВЭД_НР!$L$3+K261*Справочник_ОКВЭД_НР!$L$4)*M261</f>
        <v>63.5</v>
      </c>
      <c r="M261" s="47">
        <f>IF(COUNTIF(Справочник_ОКВЭД_НР!$G$3:$G$62,H261)&gt;0,0,1)</f>
        <v>1</v>
      </c>
    </row>
    <row r="262" spans="1:13" x14ac:dyDescent="0.25">
      <c r="A262" s="4">
        <f>ЛИК_дляСкорингаДП!A262</f>
        <v>1057748145201</v>
      </c>
      <c r="B262" s="4">
        <f>ЛИК_дляСкорингаДП!B262</f>
        <v>7724554013</v>
      </c>
      <c r="C262" s="4" t="str">
        <f>ЛИК_дляСкорингаДП!C262</f>
        <v>АО "НАТЭК ИНВЕСТ-ЭНЕРГО"</v>
      </c>
      <c r="D262" s="5" t="str">
        <f>ЛИК_дляСкорингаДП!M262</f>
        <v>Производство электроэнергии тепловыми электростанциями, в том числе деятельность по обеспечению работоспособности электростанций</v>
      </c>
      <c r="E262" s="4" t="str">
        <f>ЛИК_дляСкорингаДП!L262</f>
        <v>35.11.1</v>
      </c>
      <c r="F262" t="str">
        <f>ЛИК_дляСкорингаДП!N262</f>
        <v>35.11,35.14,35.30.11,35.30.13,35.30.14,35.30.2,35.30.3,35.30.4,35.30.5,41.20,42.21,42.22.1,42.22.2,42.22.3,43.12,43.12.3</v>
      </c>
      <c r="G262" s="25" t="str">
        <f>ЛИК_дляСкорингаДП!AG262</f>
        <v>ОСН</v>
      </c>
      <c r="H262" s="55" t="str">
        <f>IF(ISNUMBER(E262),E262,
IFERROR(LEFT(E262,FIND(".",E262)-1),E262))</f>
        <v>35</v>
      </c>
      <c r="I262" s="30">
        <f>IF(COUNTIF(Справочник_ОКВЭД_НР!$A$3:$A$62,H262)&gt;0,Справочник_ОКВЭД_НР!$L$8,
 IF(COUNTIF(Справочник_ОКВЭД_НР!$C$3:$C$62,H262)&gt;0,Справочник_ОКВЭД_НР!$L$9,
  IF(COUNTIF(Справочник_ОКВЭД_НР!$E$3:$E$62,H262)&gt;0,Справочник_ОКВЭД_НР!$L$10,
   IF(COUNTIF(Справочник_ОКВЭД_НР!$G$3:$G$62,H262)&gt;0,Справочник_ОКВЭД_НР!$L$11,50))))</f>
        <v>60</v>
      </c>
      <c r="J262" s="30" cm="1">
        <f t="array" ref="J262">IFERROR(
 (SUMPRODUCT(ISNUMBER(SEARCH(","&amp;Справочник_ОКВЭД_НР!$A$3:$A$62&amp;".",","&amp;SUBSTITUTE(F262," ","")&amp;",")))*Справочник_ОКВЭД_НР!$L$9 +
  SUMPRODUCT(ISNUMBER(SEARCH(","&amp;Справочник_ОКВЭД_НР!$C$3:$C$62&amp;".",","&amp;SUBSTITUTE(F262," ","")&amp;",")))*Справочник_ОКВЭД_НР!$L$10 +
  SUMPRODUCT(ISNUMBER(SEARCH(","&amp;Справочник_ОКВЭД_НР!$E$3:$E$62&amp;".",","&amp;SUBSTITUTE(F262," ","")&amp;",")))*Справочник_ОКВЭД_НР!$L$11 +
  SUMPRODUCT(ISNUMBER(SEARCH(","&amp;Справочник_ОКВЭД_НР!$G$3:$G$62&amp;".",","&amp;SUBSTITUTE(F262," ","")&amp;",")))*Справочник_ОКВЭД_НР!$L$12) /
 (SUMPRODUCT(ISNUMBER(SEARCH(","&amp;Справочник_ОКВЭД_НР!$A$3:$A$62&amp;".",","&amp;SUBSTITUTE(F262," ","")&amp;","))) +
  SUMPRODUCT(ISNUMBER(SEARCH(","&amp;Справочник_ОКВЭД_НР!$C$3:$C$62&amp;".",","&amp;SUBSTITUTE(F262," ","")&amp;","))) +
  SUMPRODUCT(ISNUMBER(SEARCH(","&amp;Справочник_ОКВЭД_НР!$E$3:$E$62&amp;".",","&amp;SUBSTITUTE(F262," ","")&amp;","))) +
  SUMPRODUCT(ISNUMBER(SEARCH(","&amp;Справочник_ОКВЭД_НР!$G$3:$G$62&amp;".",","&amp;SUBSTITUTE(F262," ","")&amp;",")))),
50)</f>
        <v>50</v>
      </c>
      <c r="K262" s="30">
        <f>IFERROR(VLOOKUP(G262,Справочник_ОКВЭД_НР!$O:$P,2,FALSE()),50)</f>
        <v>100</v>
      </c>
      <c r="L262" s="45">
        <f>(I262*Справочник_ОКВЭД_НР!$L$2+J262*Справочник_ОКВЭД_НР!$L$3+K262*Справочник_ОКВЭД_НР!$L$4)*M262</f>
        <v>63.5</v>
      </c>
      <c r="M262" s="47">
        <f>IF(COUNTIF(Справочник_ОКВЭД_НР!$G$3:$G$62,H262)&gt;0,0,1)</f>
        <v>1</v>
      </c>
    </row>
    <row r="263" spans="1:13" x14ac:dyDescent="0.25">
      <c r="A263" s="4">
        <f>ЛИК_дляСкорингаДП!A263</f>
        <v>1037701923797</v>
      </c>
      <c r="B263" s="4">
        <f>ЛИК_дляСкорингаДП!B263</f>
        <v>7701344620</v>
      </c>
      <c r="C263" s="4" t="str">
        <f>ЛИК_дляСкорингаДП!C263</f>
        <v>ООО "ИСАТЕЛ"</v>
      </c>
      <c r="D263" s="5" t="str">
        <f>ЛИК_дляСкорингаДП!M263</f>
        <v>Деятельность в области телекоммуникаций прочая, не включенная в другие группировки</v>
      </c>
      <c r="E263" s="4" t="str">
        <f>ЛИК_дляСкорингаДП!L263</f>
        <v>61.90.9</v>
      </c>
      <c r="F263" t="str">
        <f>ЛИК_дляСкорингаДП!N263</f>
        <v>46.52,27.90,33.20,42.21,42.21,42.22.1,42.22.2,43.21,46.19,60.10,60.10,60.20,60.20,61.10,61.10.1,61.10.9,61.90,71.20,71.20.8,71.20.9,73.11,95.12,95.12</v>
      </c>
      <c r="G263" s="25" t="str">
        <f>ЛИК_дляСкорингаДП!AG263</f>
        <v>ОСН</v>
      </c>
      <c r="H263" s="55" t="str">
        <f>IF(ISNUMBER(E263),E263,
IFERROR(LEFT(E263,FIND(".",E263)-1),E263))</f>
        <v>61</v>
      </c>
      <c r="I263" s="30">
        <f>IF(COUNTIF(Справочник_ОКВЭД_НР!$A$3:$A$62,H263)&gt;0,Справочник_ОКВЭД_НР!$L$8,
 IF(COUNTIF(Справочник_ОКВЭД_НР!$C$3:$C$62,H263)&gt;0,Справочник_ОКВЭД_НР!$L$9,
  IF(COUNTIF(Справочник_ОКВЭД_НР!$E$3:$E$62,H263)&gt;0,Справочник_ОКВЭД_НР!$L$10,
   IF(COUNTIF(Справочник_ОКВЭД_НР!$G$3:$G$62,H263)&gt;0,Справочник_ОКВЭД_НР!$L$11,50))))</f>
        <v>60</v>
      </c>
      <c r="J263" s="30" cm="1">
        <f t="array" ref="J263">IFERROR(
 (SUMPRODUCT(ISNUMBER(SEARCH(","&amp;Справочник_ОКВЭД_НР!$A$3:$A$62&amp;".",","&amp;SUBSTITUTE(F263," ","")&amp;",")))*Справочник_ОКВЭД_НР!$L$9 +
  SUMPRODUCT(ISNUMBER(SEARCH(","&amp;Справочник_ОКВЭД_НР!$C$3:$C$62&amp;".",","&amp;SUBSTITUTE(F263," ","")&amp;",")))*Справочник_ОКВЭД_НР!$L$10 +
  SUMPRODUCT(ISNUMBER(SEARCH(","&amp;Справочник_ОКВЭД_НР!$E$3:$E$62&amp;".",","&amp;SUBSTITUTE(F263," ","")&amp;",")))*Справочник_ОКВЭД_НР!$L$11 +
  SUMPRODUCT(ISNUMBER(SEARCH(","&amp;Справочник_ОКВЭД_НР!$G$3:$G$62&amp;".",","&amp;SUBSTITUTE(F263," ","")&amp;",")))*Справочник_ОКВЭД_НР!$L$12) /
 (SUMPRODUCT(ISNUMBER(SEARCH(","&amp;Справочник_ОКВЭД_НР!$A$3:$A$62&amp;".",","&amp;SUBSTITUTE(F263," ","")&amp;","))) +
  SUMPRODUCT(ISNUMBER(SEARCH(","&amp;Справочник_ОКВЭД_НР!$C$3:$C$62&amp;".",","&amp;SUBSTITUTE(F263," ","")&amp;","))) +
  SUMPRODUCT(ISNUMBER(SEARCH(","&amp;Справочник_ОКВЭД_НР!$E$3:$E$62&amp;".",","&amp;SUBSTITUTE(F263," ","")&amp;","))) +
  SUMPRODUCT(ISNUMBER(SEARCH(","&amp;Справочник_ОКВЭД_НР!$G$3:$G$62&amp;".",","&amp;SUBSTITUTE(F263," ","")&amp;",")))),
50)</f>
        <v>50</v>
      </c>
      <c r="K263" s="30">
        <f>IFERROR(VLOOKUP(G263,Справочник_ОКВЭД_НР!$O:$P,2,FALSE()),50)</f>
        <v>100</v>
      </c>
      <c r="L263" s="45">
        <f>(I263*Справочник_ОКВЭД_НР!$L$2+J263*Справочник_ОКВЭД_НР!$L$3+K263*Справочник_ОКВЭД_НР!$L$4)*M263</f>
        <v>63.5</v>
      </c>
      <c r="M263" s="47">
        <f>IF(COUNTIF(Справочник_ОКВЭД_НР!$G$3:$G$62,H263)&gt;0,0,1)</f>
        <v>1</v>
      </c>
    </row>
    <row r="264" spans="1:13" x14ac:dyDescent="0.25">
      <c r="A264" s="4">
        <f>ЛИК_дляСкорингаДП!A264</f>
        <v>1037700063851</v>
      </c>
      <c r="B264" s="4">
        <f>ЛИК_дляСкорингаДП!B264</f>
        <v>7710280355</v>
      </c>
      <c r="C264" s="4" t="str">
        <f>ЛИК_дляСкорингаДП!C264</f>
        <v>ООО "НЬЮ КО"</v>
      </c>
      <c r="D264" s="5" t="str">
        <f>ЛИК_дляСкорингаДП!M264</f>
        <v>Торговля оптовая неспециализированная</v>
      </c>
      <c r="E264" s="4" t="str">
        <f>ЛИК_дляСкорингаДП!L264</f>
        <v>46.90</v>
      </c>
      <c r="F264" t="str">
        <f>ЛИК_дляСкорингаДП!N264</f>
        <v>47.11,47.91,47.99</v>
      </c>
      <c r="G264" s="25" t="str">
        <f>ЛИК_дляСкорингаДП!AG264</f>
        <v>ОСН</v>
      </c>
      <c r="H264" s="55" t="str">
        <f>IF(ISNUMBER(E264),E264,
IFERROR(LEFT(E264,FIND(".",E264)-1),E264))</f>
        <v>46</v>
      </c>
      <c r="I264" s="30">
        <f>IF(COUNTIF(Справочник_ОКВЭД_НР!$A$3:$A$62,H264)&gt;0,Справочник_ОКВЭД_НР!$L$8,
 IF(COUNTIF(Справочник_ОКВЭД_НР!$C$3:$C$62,H264)&gt;0,Справочник_ОКВЭД_НР!$L$9,
  IF(COUNTIF(Справочник_ОКВЭД_НР!$E$3:$E$62,H264)&gt;0,Справочник_ОКВЭД_НР!$L$10,
   IF(COUNTIF(Справочник_ОКВЭД_НР!$G$3:$G$62,H264)&gt;0,Справочник_ОКВЭД_НР!$L$11,50))))</f>
        <v>60</v>
      </c>
      <c r="J264" s="30" cm="1">
        <f t="array" ref="J264">IFERROR(
 (SUMPRODUCT(ISNUMBER(SEARCH(","&amp;Справочник_ОКВЭД_НР!$A$3:$A$62&amp;".",","&amp;SUBSTITUTE(F264," ","")&amp;",")))*Справочник_ОКВЭД_НР!$L$9 +
  SUMPRODUCT(ISNUMBER(SEARCH(","&amp;Справочник_ОКВЭД_НР!$C$3:$C$62&amp;".",","&amp;SUBSTITUTE(F264," ","")&amp;",")))*Справочник_ОКВЭД_НР!$L$10 +
  SUMPRODUCT(ISNUMBER(SEARCH(","&amp;Справочник_ОКВЭД_НР!$E$3:$E$62&amp;".",","&amp;SUBSTITUTE(F264," ","")&amp;",")))*Справочник_ОКВЭД_НР!$L$11 +
  SUMPRODUCT(ISNUMBER(SEARCH(","&amp;Справочник_ОКВЭД_НР!$G$3:$G$62&amp;".",","&amp;SUBSTITUTE(F264," ","")&amp;",")))*Справочник_ОКВЭД_НР!$L$12) /
 (SUMPRODUCT(ISNUMBER(SEARCH(","&amp;Справочник_ОКВЭД_НР!$A$3:$A$62&amp;".",","&amp;SUBSTITUTE(F264," ","")&amp;","))) +
  SUMPRODUCT(ISNUMBER(SEARCH(","&amp;Справочник_ОКВЭД_НР!$C$3:$C$62&amp;".",","&amp;SUBSTITUTE(F264," ","")&amp;","))) +
  SUMPRODUCT(ISNUMBER(SEARCH(","&amp;Справочник_ОКВЭД_НР!$E$3:$E$62&amp;".",","&amp;SUBSTITUTE(F264," ","")&amp;","))) +
  SUMPRODUCT(ISNUMBER(SEARCH(","&amp;Справочник_ОКВЭД_НР!$G$3:$G$62&amp;".",","&amp;SUBSTITUTE(F264," ","")&amp;",")))),
50)</f>
        <v>50</v>
      </c>
      <c r="K264" s="30">
        <f>IFERROR(VLOOKUP(G264,Справочник_ОКВЭД_НР!$O:$P,2,FALSE()),50)</f>
        <v>100</v>
      </c>
      <c r="L264" s="45">
        <f>(I264*Справочник_ОКВЭД_НР!$L$2+J264*Справочник_ОКВЭД_НР!$L$3+K264*Справочник_ОКВЭД_НР!$L$4)*M264</f>
        <v>63.5</v>
      </c>
      <c r="M264" s="47">
        <f>IF(COUNTIF(Справочник_ОКВЭД_НР!$G$3:$G$62,H264)&gt;0,0,1)</f>
        <v>1</v>
      </c>
    </row>
    <row r="265" spans="1:13" x14ac:dyDescent="0.25">
      <c r="A265" s="4">
        <f>ЛИК_дляСкорингаДП!A265</f>
        <v>1037713018584</v>
      </c>
      <c r="B265" s="4">
        <f>ЛИК_дляСкорингаДП!B265</f>
        <v>7713342313</v>
      </c>
      <c r="C265" s="4" t="str">
        <f>ЛИК_дляСкорингаДП!C265</f>
        <v>ООО "ГРУППА "КОРПУС"</v>
      </c>
      <c r="D265" s="5" t="str">
        <f>ЛИК_дляСкорингаДП!M265</f>
        <v>Торговля оптовая мясом и мясными продуктами</v>
      </c>
      <c r="E265" s="4" t="str">
        <f>ЛИК_дляСкорингаДП!L265</f>
        <v>46.32</v>
      </c>
      <c r="F265" t="str">
        <f>ЛИК_дляСкорингаДП!N265</f>
        <v>41.20,42.99,43.12,43.99,43.99.5,43.99.7,46.1,46.14.9,46.18.99,46.32.1,46.32.2,46.32.3,46.33,46.33.1,46.33.3,46.34,46.38.23,46.71,46.71.9,49.50,50.20,52.10,52.10.1,52.10.21,52.10.9,52.21.2,52.24,52.29,62.02,66.12.1,70.10,70.10.1,70.10.2,70.22</v>
      </c>
      <c r="G265" s="25" t="str">
        <f>ЛИК_дляСкорингаДП!AG265</f>
        <v>ОСН</v>
      </c>
      <c r="H265" s="55" t="str">
        <f>IF(ISNUMBER(E265),E265,
IFERROR(LEFT(E265,FIND(".",E265)-1),E265))</f>
        <v>46</v>
      </c>
      <c r="I265" s="30">
        <f>IF(COUNTIF(Справочник_ОКВЭД_НР!$A$3:$A$62,H265)&gt;0,Справочник_ОКВЭД_НР!$L$8,
 IF(COUNTIF(Справочник_ОКВЭД_НР!$C$3:$C$62,H265)&gt;0,Справочник_ОКВЭД_НР!$L$9,
  IF(COUNTIF(Справочник_ОКВЭД_НР!$E$3:$E$62,H265)&gt;0,Справочник_ОКВЭД_НР!$L$10,
   IF(COUNTIF(Справочник_ОКВЭД_НР!$G$3:$G$62,H265)&gt;0,Справочник_ОКВЭД_НР!$L$11,50))))</f>
        <v>60</v>
      </c>
      <c r="J265" s="30" cm="1">
        <f t="array" ref="J265">IFERROR(
 (SUMPRODUCT(ISNUMBER(SEARCH(","&amp;Справочник_ОКВЭД_НР!$A$3:$A$62&amp;".",","&amp;SUBSTITUTE(F265," ","")&amp;",")))*Справочник_ОКВЭД_НР!$L$9 +
  SUMPRODUCT(ISNUMBER(SEARCH(","&amp;Справочник_ОКВЭД_НР!$C$3:$C$62&amp;".",","&amp;SUBSTITUTE(F265," ","")&amp;",")))*Справочник_ОКВЭД_НР!$L$10 +
  SUMPRODUCT(ISNUMBER(SEARCH(","&amp;Справочник_ОКВЭД_НР!$E$3:$E$62&amp;".",","&amp;SUBSTITUTE(F265," ","")&amp;",")))*Справочник_ОКВЭД_НР!$L$11 +
  SUMPRODUCT(ISNUMBER(SEARCH(","&amp;Справочник_ОКВЭД_НР!$G$3:$G$62&amp;".",","&amp;SUBSTITUTE(F265," ","")&amp;",")))*Справочник_ОКВЭД_НР!$L$12) /
 (SUMPRODUCT(ISNUMBER(SEARCH(","&amp;Справочник_ОКВЭД_НР!$A$3:$A$62&amp;".",","&amp;SUBSTITUTE(F265," ","")&amp;","))) +
  SUMPRODUCT(ISNUMBER(SEARCH(","&amp;Справочник_ОКВЭД_НР!$C$3:$C$62&amp;".",","&amp;SUBSTITUTE(F265," ","")&amp;","))) +
  SUMPRODUCT(ISNUMBER(SEARCH(","&amp;Справочник_ОКВЭД_НР!$E$3:$E$62&amp;".",","&amp;SUBSTITUTE(F265," ","")&amp;","))) +
  SUMPRODUCT(ISNUMBER(SEARCH(","&amp;Справочник_ОКВЭД_НР!$G$3:$G$62&amp;".",","&amp;SUBSTITUTE(F265," ","")&amp;",")))),
50)</f>
        <v>50</v>
      </c>
      <c r="K265" s="30">
        <f>IFERROR(VLOOKUP(G265,Справочник_ОКВЭД_НР!$O:$P,2,FALSE()),50)</f>
        <v>100</v>
      </c>
      <c r="L265" s="45">
        <f>(I265*Справочник_ОКВЭД_НР!$L$2+J265*Справочник_ОКВЭД_НР!$L$3+K265*Справочник_ОКВЭД_НР!$L$4)*M265</f>
        <v>63.5</v>
      </c>
      <c r="M265" s="47">
        <f>IF(COUNTIF(Справочник_ОКВЭД_НР!$G$3:$G$62,H265)&gt;0,0,1)</f>
        <v>1</v>
      </c>
    </row>
    <row r="266" spans="1:13" x14ac:dyDescent="0.25">
      <c r="A266" s="4">
        <f>ЛИК_дляСкорингаДП!A266</f>
        <v>1115031006606</v>
      </c>
      <c r="B266" s="4">
        <f>ЛИК_дляСкорингаДП!B266</f>
        <v>5031097697</v>
      </c>
      <c r="C266" s="4" t="str">
        <f>ЛИК_дляСкорингаДП!C266</f>
        <v>ООО "МЕНДЕЛЕЕВ ТРАНС"</v>
      </c>
      <c r="D266" s="5" t="str">
        <f>ЛИК_дляСкорингаДП!M266</f>
        <v>Деятельность автомобильного грузового транспорта и услуги по перевозкам</v>
      </c>
      <c r="E266" s="4" t="str">
        <f>ЛИК_дляСкорингаДП!L266</f>
        <v>49.4</v>
      </c>
      <c r="F266" t="str">
        <f>ЛИК_дляСкорингаДП!N266</f>
        <v>38.11,38.12,49.31,49.39,49.41,49.42,52.10,52.21,52.21.29,52.24,52.29,53.20,63.99,96.09</v>
      </c>
      <c r="G266" s="25" t="str">
        <f>ЛИК_дляСкорингаДП!AG266</f>
        <v>ОСН</v>
      </c>
      <c r="H266" s="55" t="str">
        <f>IF(ISNUMBER(E266),E266,
IFERROR(LEFT(E266,FIND(".",E266)-1),E266))</f>
        <v>49</v>
      </c>
      <c r="I266" s="30">
        <f>IF(COUNTIF(Справочник_ОКВЭД_НР!$A$3:$A$62,H266)&gt;0,Справочник_ОКВЭД_НР!$L$8,
 IF(COUNTIF(Справочник_ОКВЭД_НР!$C$3:$C$62,H266)&gt;0,Справочник_ОКВЭД_НР!$L$9,
  IF(COUNTIF(Справочник_ОКВЭД_НР!$E$3:$E$62,H266)&gt;0,Справочник_ОКВЭД_НР!$L$10,
   IF(COUNTIF(Справочник_ОКВЭД_НР!$G$3:$G$62,H266)&gt;0,Справочник_ОКВЭД_НР!$L$11,50))))</f>
        <v>60</v>
      </c>
      <c r="J266" s="30" cm="1">
        <f t="array" ref="J266">IFERROR(
 (SUMPRODUCT(ISNUMBER(SEARCH(","&amp;Справочник_ОКВЭД_НР!$A$3:$A$62&amp;".",","&amp;SUBSTITUTE(F266," ","")&amp;",")))*Справочник_ОКВЭД_НР!$L$9 +
  SUMPRODUCT(ISNUMBER(SEARCH(","&amp;Справочник_ОКВЭД_НР!$C$3:$C$62&amp;".",","&amp;SUBSTITUTE(F266," ","")&amp;",")))*Справочник_ОКВЭД_НР!$L$10 +
  SUMPRODUCT(ISNUMBER(SEARCH(","&amp;Справочник_ОКВЭД_НР!$E$3:$E$62&amp;".",","&amp;SUBSTITUTE(F266," ","")&amp;",")))*Справочник_ОКВЭД_НР!$L$11 +
  SUMPRODUCT(ISNUMBER(SEARCH(","&amp;Справочник_ОКВЭД_НР!$G$3:$G$62&amp;".",","&amp;SUBSTITUTE(F266," ","")&amp;",")))*Справочник_ОКВЭД_НР!$L$12) /
 (SUMPRODUCT(ISNUMBER(SEARCH(","&amp;Справочник_ОКВЭД_НР!$A$3:$A$62&amp;".",","&amp;SUBSTITUTE(F266," ","")&amp;","))) +
  SUMPRODUCT(ISNUMBER(SEARCH(","&amp;Справочник_ОКВЭД_НР!$C$3:$C$62&amp;".",","&amp;SUBSTITUTE(F266," ","")&amp;","))) +
  SUMPRODUCT(ISNUMBER(SEARCH(","&amp;Справочник_ОКВЭД_НР!$E$3:$E$62&amp;".",","&amp;SUBSTITUTE(F266," ","")&amp;","))) +
  SUMPRODUCT(ISNUMBER(SEARCH(","&amp;Справочник_ОКВЭД_НР!$G$3:$G$62&amp;".",","&amp;SUBSTITUTE(F266," ","")&amp;",")))),
50)</f>
        <v>50</v>
      </c>
      <c r="K266" s="30">
        <f>IFERROR(VLOOKUP(G266,Справочник_ОКВЭД_НР!$O:$P,2,FALSE()),50)</f>
        <v>100</v>
      </c>
      <c r="L266" s="45">
        <f>(I266*Справочник_ОКВЭД_НР!$L$2+J266*Справочник_ОКВЭД_НР!$L$3+K266*Справочник_ОКВЭД_НР!$L$4)*M266</f>
        <v>63.5</v>
      </c>
      <c r="M266" s="47">
        <f>IF(COUNTIF(Справочник_ОКВЭД_НР!$G$3:$G$62,H266)&gt;0,0,1)</f>
        <v>1</v>
      </c>
    </row>
    <row r="267" spans="1:13" x14ac:dyDescent="0.25">
      <c r="A267" s="4">
        <f>ЛИК_дляСкорингаДП!A267</f>
        <v>1115075001920</v>
      </c>
      <c r="B267" s="4">
        <f>ЛИК_дляСкорингаДП!B267</f>
        <v>5075011947</v>
      </c>
      <c r="C267" s="4" t="str">
        <f>ЛИК_дляСкорингаДП!C267</f>
        <v>ООО "ОРЕШКИНСКИЙ ЗБИ"</v>
      </c>
      <c r="D267" s="5" t="str">
        <f>ЛИК_дляСкорингаДП!M267</f>
        <v>Производство изделий из бетона, цемента и гипса</v>
      </c>
      <c r="E267" s="4" t="str">
        <f>ЛИК_дляСкорингаДП!L267</f>
        <v>23.6</v>
      </c>
      <c r="F267" t="str">
        <f>ЛИК_дляСкорингаДП!N267</f>
        <v>46.73.6,52.10.9,93.11,93.12,93.13,93.19,93.21,93.29</v>
      </c>
      <c r="G267" s="25" t="str">
        <f>ЛИК_дляСкорингаДП!AG267</f>
        <v>ОСН</v>
      </c>
      <c r="H267" s="55" t="str">
        <f>IF(ISNUMBER(E267),E267,
IFERROR(LEFT(E267,FIND(".",E267)-1),E267))</f>
        <v>23</v>
      </c>
      <c r="I267" s="30">
        <f>IF(COUNTIF(Справочник_ОКВЭД_НР!$A$3:$A$62,H267)&gt;0,Справочник_ОКВЭД_НР!$L$8,
 IF(COUNTIF(Справочник_ОКВЭД_НР!$C$3:$C$62,H267)&gt;0,Справочник_ОКВЭД_НР!$L$9,
  IF(COUNTIF(Справочник_ОКВЭД_НР!$E$3:$E$62,H267)&gt;0,Справочник_ОКВЭД_НР!$L$10,
   IF(COUNTIF(Справочник_ОКВЭД_НР!$G$3:$G$62,H267)&gt;0,Справочник_ОКВЭД_НР!$L$11,50))))</f>
        <v>60</v>
      </c>
      <c r="J267" s="30" cm="1">
        <f t="array" ref="J267">IFERROR(
 (SUMPRODUCT(ISNUMBER(SEARCH(","&amp;Справочник_ОКВЭД_НР!$A$3:$A$62&amp;".",","&amp;SUBSTITUTE(F267," ","")&amp;",")))*Справочник_ОКВЭД_НР!$L$9 +
  SUMPRODUCT(ISNUMBER(SEARCH(","&amp;Справочник_ОКВЭД_НР!$C$3:$C$62&amp;".",","&amp;SUBSTITUTE(F267," ","")&amp;",")))*Справочник_ОКВЭД_НР!$L$10 +
  SUMPRODUCT(ISNUMBER(SEARCH(","&amp;Справочник_ОКВЭД_НР!$E$3:$E$62&amp;".",","&amp;SUBSTITUTE(F267," ","")&amp;",")))*Справочник_ОКВЭД_НР!$L$11 +
  SUMPRODUCT(ISNUMBER(SEARCH(","&amp;Справочник_ОКВЭД_НР!$G$3:$G$62&amp;".",","&amp;SUBSTITUTE(F267," ","")&amp;",")))*Справочник_ОКВЭД_НР!$L$12) /
 (SUMPRODUCT(ISNUMBER(SEARCH(","&amp;Справочник_ОКВЭД_НР!$A$3:$A$62&amp;".",","&amp;SUBSTITUTE(F267," ","")&amp;","))) +
  SUMPRODUCT(ISNUMBER(SEARCH(","&amp;Справочник_ОКВЭД_НР!$C$3:$C$62&amp;".",","&amp;SUBSTITUTE(F267," ","")&amp;","))) +
  SUMPRODUCT(ISNUMBER(SEARCH(","&amp;Справочник_ОКВЭД_НР!$E$3:$E$62&amp;".",","&amp;SUBSTITUTE(F267," ","")&amp;","))) +
  SUMPRODUCT(ISNUMBER(SEARCH(","&amp;Справочник_ОКВЭД_НР!$G$3:$G$62&amp;".",","&amp;SUBSTITUTE(F267," ","")&amp;",")))),
50)</f>
        <v>50</v>
      </c>
      <c r="K267" s="30">
        <f>IFERROR(VLOOKUP(G267,Справочник_ОКВЭД_НР!$O:$P,2,FALSE()),50)</f>
        <v>100</v>
      </c>
      <c r="L267" s="45">
        <f>(I267*Справочник_ОКВЭД_НР!$L$2+J267*Справочник_ОКВЭД_НР!$L$3+K267*Справочник_ОКВЭД_НР!$L$4)*M267</f>
        <v>63.5</v>
      </c>
      <c r="M267" s="47">
        <f>IF(COUNTIF(Справочник_ОКВЭД_НР!$G$3:$G$62,H267)&gt;0,0,1)</f>
        <v>1</v>
      </c>
    </row>
    <row r="268" spans="1:13" x14ac:dyDescent="0.25">
      <c r="A268" s="4">
        <f>ЛИК_дляСкорингаДП!A268</f>
        <v>1037703036931</v>
      </c>
      <c r="B268" s="4">
        <f>ЛИК_дляСкорингаДП!B268</f>
        <v>7703374404</v>
      </c>
      <c r="C268" s="4" t="str">
        <f>ЛИК_дляСкорингаДП!C268</f>
        <v>ООО "ПОРШЕ РУССЛАНД"</v>
      </c>
      <c r="D268" s="5" t="str">
        <f>ЛИК_дляСкорингаДП!M268</f>
        <v>Торговля оптовая легковыми автомобилями и легкими автотранспортными средствами</v>
      </c>
      <c r="E268" s="4" t="str">
        <f>ЛИК_дляСкорингаДП!L268</f>
        <v>45.11.1</v>
      </c>
      <c r="F268" t="str">
        <f>ЛИК_дляСкорингаДП!N268</f>
        <v>45.11.1,45.11.2,45.11.3,45.11.4,45.20,45.31.1,45.31.2,45.32,45.32.1,45.32.2,64.91,68.10,68.20,70.22,73.11,77.11</v>
      </c>
      <c r="G268" s="25" t="str">
        <f>ЛИК_дляСкорингаДП!AG268</f>
        <v>ОСН</v>
      </c>
      <c r="H268" s="55" t="str">
        <f>IF(ISNUMBER(E268),E268,
IFERROR(LEFT(E268,FIND(".",E268)-1),E268))</f>
        <v>45</v>
      </c>
      <c r="I268" s="30">
        <f>IF(COUNTIF(Справочник_ОКВЭД_НР!$A$3:$A$62,H268)&gt;0,Справочник_ОКВЭД_НР!$L$8,
 IF(COUNTIF(Справочник_ОКВЭД_НР!$C$3:$C$62,H268)&gt;0,Справочник_ОКВЭД_НР!$L$9,
  IF(COUNTIF(Справочник_ОКВЭД_НР!$E$3:$E$62,H268)&gt;0,Справочник_ОКВЭД_НР!$L$10,
   IF(COUNTIF(Справочник_ОКВЭД_НР!$G$3:$G$62,H268)&gt;0,Справочник_ОКВЭД_НР!$L$11,50))))</f>
        <v>60</v>
      </c>
      <c r="J268" s="30" cm="1">
        <f t="array" ref="J268">IFERROR(
 (SUMPRODUCT(ISNUMBER(SEARCH(","&amp;Справочник_ОКВЭД_НР!$A$3:$A$62&amp;".",","&amp;SUBSTITUTE(F268," ","")&amp;",")))*Справочник_ОКВЭД_НР!$L$9 +
  SUMPRODUCT(ISNUMBER(SEARCH(","&amp;Справочник_ОКВЭД_НР!$C$3:$C$62&amp;".",","&amp;SUBSTITUTE(F268," ","")&amp;",")))*Справочник_ОКВЭД_НР!$L$10 +
  SUMPRODUCT(ISNUMBER(SEARCH(","&amp;Справочник_ОКВЭД_НР!$E$3:$E$62&amp;".",","&amp;SUBSTITUTE(F268," ","")&amp;",")))*Справочник_ОКВЭД_НР!$L$11 +
  SUMPRODUCT(ISNUMBER(SEARCH(","&amp;Справочник_ОКВЭД_НР!$G$3:$G$62&amp;".",","&amp;SUBSTITUTE(F268," ","")&amp;",")))*Справочник_ОКВЭД_НР!$L$12) /
 (SUMPRODUCT(ISNUMBER(SEARCH(","&amp;Справочник_ОКВЭД_НР!$A$3:$A$62&amp;".",","&amp;SUBSTITUTE(F268," ","")&amp;","))) +
  SUMPRODUCT(ISNUMBER(SEARCH(","&amp;Справочник_ОКВЭД_НР!$C$3:$C$62&amp;".",","&amp;SUBSTITUTE(F268," ","")&amp;","))) +
  SUMPRODUCT(ISNUMBER(SEARCH(","&amp;Справочник_ОКВЭД_НР!$E$3:$E$62&amp;".",","&amp;SUBSTITUTE(F268," ","")&amp;","))) +
  SUMPRODUCT(ISNUMBER(SEARCH(","&amp;Справочник_ОКВЭД_НР!$G$3:$G$62&amp;".",","&amp;SUBSTITUTE(F268," ","")&amp;",")))),
50)</f>
        <v>50</v>
      </c>
      <c r="K268" s="30">
        <f>IFERROR(VLOOKUP(G268,Справочник_ОКВЭД_НР!$O:$P,2,FALSE()),50)</f>
        <v>100</v>
      </c>
      <c r="L268" s="45">
        <f>(I268*Справочник_ОКВЭД_НР!$L$2+J268*Справочник_ОКВЭД_НР!$L$3+K268*Справочник_ОКВЭД_НР!$L$4)*M268</f>
        <v>63.5</v>
      </c>
      <c r="M268" s="47">
        <f>IF(COUNTIF(Справочник_ОКВЭД_НР!$G$3:$G$62,H268)&gt;0,0,1)</f>
        <v>1</v>
      </c>
    </row>
    <row r="269" spans="1:13" x14ac:dyDescent="0.25">
      <c r="A269" s="4">
        <f>ЛИК_дляСкорингаДП!A269</f>
        <v>1037739077530</v>
      </c>
      <c r="B269" s="4">
        <f>ЛИК_дляСкорингаДП!B269</f>
        <v>7708124246</v>
      </c>
      <c r="C269" s="4" t="str">
        <f>ЛИК_дляСкорингаДП!C269</f>
        <v>ООО "ИНТЕЛПРИБОР"</v>
      </c>
      <c r="D269" s="5" t="str">
        <f>ЛИК_дляСкорингаДП!M269</f>
        <v>Производство инструментов и приборов для измерения, тестирования и навигации</v>
      </c>
      <c r="E269" s="4" t="str">
        <f>ЛИК_дляСкорингаДП!L269</f>
        <v>26.51</v>
      </c>
      <c r="F269" t="str">
        <f>ЛИК_дляСкорингаДП!N269</f>
        <v>25.11,25.61,26.12,26.20,26.3,26.30,26.51.1,26.51.2,26.51.4,26.51.5,26.51.6,26.51.7,26.51.8,27.12,27.90,33.13,33.14,42.21,43.2,43.21,43.22,43.29,43.99.1,58.29,62.0,62.01,62.02,62.09,63.11,63.11.1,71.1,71.12,71.12.11,71.12.5,71.12.6,71.12.8,71.20,71.20.4,72.1,95.12</v>
      </c>
      <c r="G269" s="25" t="str">
        <f>ЛИК_дляСкорингаДП!AG269</f>
        <v>ОСН</v>
      </c>
      <c r="H269" s="55" t="str">
        <f>IF(ISNUMBER(E269),E269,
IFERROR(LEFT(E269,FIND(".",E269)-1),E269))</f>
        <v>26</v>
      </c>
      <c r="I269" s="30">
        <f>IF(COUNTIF(Справочник_ОКВЭД_НР!$A$3:$A$62,H269)&gt;0,Справочник_ОКВЭД_НР!$L$8,
 IF(COUNTIF(Справочник_ОКВЭД_НР!$C$3:$C$62,H269)&gt;0,Справочник_ОКВЭД_НР!$L$9,
  IF(COUNTIF(Справочник_ОКВЭД_НР!$E$3:$E$62,H269)&gt;0,Справочник_ОКВЭД_НР!$L$10,
   IF(COUNTIF(Справочник_ОКВЭД_НР!$G$3:$G$62,H269)&gt;0,Справочник_ОКВЭД_НР!$L$11,50))))</f>
        <v>60</v>
      </c>
      <c r="J269" s="30" cm="1">
        <f t="array" ref="J269">IFERROR(
 (SUMPRODUCT(ISNUMBER(SEARCH(","&amp;Справочник_ОКВЭД_НР!$A$3:$A$62&amp;".",","&amp;SUBSTITUTE(F269," ","")&amp;",")))*Справочник_ОКВЭД_НР!$L$9 +
  SUMPRODUCT(ISNUMBER(SEARCH(","&amp;Справочник_ОКВЭД_НР!$C$3:$C$62&amp;".",","&amp;SUBSTITUTE(F269," ","")&amp;",")))*Справочник_ОКВЭД_НР!$L$10 +
  SUMPRODUCT(ISNUMBER(SEARCH(","&amp;Справочник_ОКВЭД_НР!$E$3:$E$62&amp;".",","&amp;SUBSTITUTE(F269," ","")&amp;",")))*Справочник_ОКВЭД_НР!$L$11 +
  SUMPRODUCT(ISNUMBER(SEARCH(","&amp;Справочник_ОКВЭД_НР!$G$3:$G$62&amp;".",","&amp;SUBSTITUTE(F269," ","")&amp;",")))*Справочник_ОКВЭД_НР!$L$12) /
 (SUMPRODUCT(ISNUMBER(SEARCH(","&amp;Справочник_ОКВЭД_НР!$A$3:$A$62&amp;".",","&amp;SUBSTITUTE(F269," ","")&amp;","))) +
  SUMPRODUCT(ISNUMBER(SEARCH(","&amp;Справочник_ОКВЭД_НР!$C$3:$C$62&amp;".",","&amp;SUBSTITUTE(F269," ","")&amp;","))) +
  SUMPRODUCT(ISNUMBER(SEARCH(","&amp;Справочник_ОКВЭД_НР!$E$3:$E$62&amp;".",","&amp;SUBSTITUTE(F269," ","")&amp;","))) +
  SUMPRODUCT(ISNUMBER(SEARCH(","&amp;Справочник_ОКВЭД_НР!$G$3:$G$62&amp;".",","&amp;SUBSTITUTE(F269," ","")&amp;",")))),
50)</f>
        <v>50</v>
      </c>
      <c r="K269" s="30">
        <f>IFERROR(VLOOKUP(G269,Справочник_ОКВЭД_НР!$O:$P,2,FALSE()),50)</f>
        <v>100</v>
      </c>
      <c r="L269" s="45">
        <f>(I269*Справочник_ОКВЭД_НР!$L$2+J269*Справочник_ОКВЭД_НР!$L$3+K269*Справочник_ОКВЭД_НР!$L$4)*M269</f>
        <v>63.5</v>
      </c>
      <c r="M269" s="47">
        <f>IF(COUNTIF(Справочник_ОКВЭД_НР!$G$3:$G$62,H269)&gt;0,0,1)</f>
        <v>1</v>
      </c>
    </row>
    <row r="270" spans="1:13" x14ac:dyDescent="0.25">
      <c r="A270" s="4">
        <f>ЛИК_дляСкорингаДП!A270</f>
        <v>1037724019893</v>
      </c>
      <c r="B270" s="4">
        <f>ЛИК_дляСкорингаДП!B270</f>
        <v>7724269320</v>
      </c>
      <c r="C270" s="4" t="str">
        <f>ЛИК_дляСкорингаДП!C270</f>
        <v>ООО "СОГАЗ-МЕДСЕРВИС"</v>
      </c>
      <c r="D270" s="5" t="str">
        <f>ЛИК_дляСкорингаДП!M270</f>
        <v>Общая врачебная практика</v>
      </c>
      <c r="E270" s="4" t="str">
        <f>ЛИК_дляСкорингаДП!L270</f>
        <v>86.21</v>
      </c>
      <c r="F270" t="str">
        <f>ЛИК_дляСкорингаДП!N270</f>
        <v>47.73,41.20,46.1,46.4,46.46,46.6,46.9,47.73,47.73,47.74,47.74,47.75,55.90,58.19,62.01,62.02,62.09,63.11,63.11.1,64.19,64.91,64.99,68.32,69.10,70.10.1,70.10.2,70.22,71.20.2,73.11,73.20,78.10,79.1,79.11,79.11,82.99,84.11.8,85.42,86.10,86.21,86.23,86.90.4,86.90.9,86.90.9,86.90.9,91.0,93.2,93.29,96.02</v>
      </c>
      <c r="G270" s="25" t="str">
        <f>ЛИК_дляСкорингаДП!AG270</f>
        <v>ОСН</v>
      </c>
      <c r="H270" s="55" t="str">
        <f>IF(ISNUMBER(E270),E270,
IFERROR(LEFT(E270,FIND(".",E270)-1),E270))</f>
        <v>86</v>
      </c>
      <c r="I270" s="30">
        <f>IF(COUNTIF(Справочник_ОКВЭД_НР!$A$3:$A$62,H270)&gt;0,Справочник_ОКВЭД_НР!$L$8,
 IF(COUNTIF(Справочник_ОКВЭД_НР!$C$3:$C$62,H270)&gt;0,Справочник_ОКВЭД_НР!$L$9,
  IF(COUNTIF(Справочник_ОКВЭД_НР!$E$3:$E$62,H270)&gt;0,Справочник_ОКВЭД_НР!$L$10,
   IF(COUNTIF(Справочник_ОКВЭД_НР!$G$3:$G$62,H270)&gt;0,Справочник_ОКВЭД_НР!$L$11,50))))</f>
        <v>100</v>
      </c>
      <c r="J270" s="30" cm="1">
        <f t="array" ref="J270">IFERROR(
 (SUMPRODUCT(ISNUMBER(SEARCH(","&amp;Справочник_ОКВЭД_НР!$A$3:$A$62&amp;".",","&amp;SUBSTITUTE(F270," ","")&amp;",")))*Справочник_ОКВЭД_НР!$L$9 +
  SUMPRODUCT(ISNUMBER(SEARCH(","&amp;Справочник_ОКВЭД_НР!$C$3:$C$62&amp;".",","&amp;SUBSTITUTE(F270," ","")&amp;",")))*Справочник_ОКВЭД_НР!$L$10 +
  SUMPRODUCT(ISNUMBER(SEARCH(","&amp;Справочник_ОКВЭД_НР!$E$3:$E$62&amp;".",","&amp;SUBSTITUTE(F270," ","")&amp;",")))*Справочник_ОКВЭД_НР!$L$11 +
  SUMPRODUCT(ISNUMBER(SEARCH(","&amp;Справочник_ОКВЭД_НР!$G$3:$G$62&amp;".",","&amp;SUBSTITUTE(F270," ","")&amp;",")))*Справочник_ОКВЭД_НР!$L$12) /
 (SUMPRODUCT(ISNUMBER(SEARCH(","&amp;Справочник_ОКВЭД_НР!$A$3:$A$62&amp;".",","&amp;SUBSTITUTE(F270," ","")&amp;","))) +
  SUMPRODUCT(ISNUMBER(SEARCH(","&amp;Справочник_ОКВЭД_НР!$C$3:$C$62&amp;".",","&amp;SUBSTITUTE(F270," ","")&amp;","))) +
  SUMPRODUCT(ISNUMBER(SEARCH(","&amp;Справочник_ОКВЭД_НР!$E$3:$E$62&amp;".",","&amp;SUBSTITUTE(F270," ","")&amp;","))) +
  SUMPRODUCT(ISNUMBER(SEARCH(","&amp;Справочник_ОКВЭД_НР!$G$3:$G$62&amp;".",","&amp;SUBSTITUTE(F270," ","")&amp;",")))),
50)</f>
        <v>50</v>
      </c>
      <c r="K270" s="30">
        <f>IFERROR(VLOOKUP(G270,Справочник_ОКВЭД_НР!$O:$P,2,FALSE()),50)</f>
        <v>100</v>
      </c>
      <c r="L270" s="45">
        <f>(I270*Справочник_ОКВЭД_НР!$L$2+J270*Справочник_ОКВЭД_НР!$L$3+K270*Справочник_ОКВЭД_НР!$L$4)*M270</f>
        <v>87.5</v>
      </c>
      <c r="M270" s="47">
        <f>IF(COUNTIF(Справочник_ОКВЭД_НР!$G$3:$G$62,H270)&gt;0,0,1)</f>
        <v>1</v>
      </c>
    </row>
    <row r="271" spans="1:13" x14ac:dyDescent="0.25">
      <c r="A271" s="4">
        <f>ЛИК_дляСкорингаДП!A271</f>
        <v>1185053023319</v>
      </c>
      <c r="B271" s="4">
        <f>ЛИК_дляСкорингаДП!B271</f>
        <v>5032298886</v>
      </c>
      <c r="C271" s="4" t="str">
        <f>ЛИК_дляСкорингаДП!C271</f>
        <v>ООО "ПЕЛЛИ"</v>
      </c>
      <c r="D271" s="5" t="str">
        <f>ЛИК_дляСкорингаДП!M271</f>
        <v>Торговля оптовая шкурами и кожей</v>
      </c>
      <c r="E271" s="4" t="str">
        <f>ЛИК_дляСкорингаДП!L271</f>
        <v>46.24</v>
      </c>
      <c r="F271" t="str">
        <f>ЛИК_дляСкорингаДП!N271</f>
        <v>13.30,13.92,13.94,13.95,13.99,32.99.9,46.11,46.16,46.41,46.47,46.49,46.90,47.72.2,49.41,73.20.1,74.10</v>
      </c>
      <c r="G271" s="25" t="str">
        <f>ЛИК_дляСкорингаДП!AG271</f>
        <v>ОСН</v>
      </c>
      <c r="H271" s="55" t="str">
        <f>IF(ISNUMBER(E271),E271,
IFERROR(LEFT(E271,FIND(".",E271)-1),E271))</f>
        <v>46</v>
      </c>
      <c r="I271" s="30">
        <f>IF(COUNTIF(Справочник_ОКВЭД_НР!$A$3:$A$62,H271)&gt;0,Справочник_ОКВЭД_НР!$L$8,
 IF(COUNTIF(Справочник_ОКВЭД_НР!$C$3:$C$62,H271)&gt;0,Справочник_ОКВЭД_НР!$L$9,
  IF(COUNTIF(Справочник_ОКВЭД_НР!$E$3:$E$62,H271)&gt;0,Справочник_ОКВЭД_НР!$L$10,
   IF(COUNTIF(Справочник_ОКВЭД_НР!$G$3:$G$62,H271)&gt;0,Справочник_ОКВЭД_НР!$L$11,50))))</f>
        <v>60</v>
      </c>
      <c r="J271" s="30" cm="1">
        <f t="array" ref="J271">IFERROR(
 (SUMPRODUCT(ISNUMBER(SEARCH(","&amp;Справочник_ОКВЭД_НР!$A$3:$A$62&amp;".",","&amp;SUBSTITUTE(F271," ","")&amp;",")))*Справочник_ОКВЭД_НР!$L$9 +
  SUMPRODUCT(ISNUMBER(SEARCH(","&amp;Справочник_ОКВЭД_НР!$C$3:$C$62&amp;".",","&amp;SUBSTITUTE(F271," ","")&amp;",")))*Справочник_ОКВЭД_НР!$L$10 +
  SUMPRODUCT(ISNUMBER(SEARCH(","&amp;Справочник_ОКВЭД_НР!$E$3:$E$62&amp;".",","&amp;SUBSTITUTE(F271," ","")&amp;",")))*Справочник_ОКВЭД_НР!$L$11 +
  SUMPRODUCT(ISNUMBER(SEARCH(","&amp;Справочник_ОКВЭД_НР!$G$3:$G$62&amp;".",","&amp;SUBSTITUTE(F271," ","")&amp;",")))*Справочник_ОКВЭД_НР!$L$12) /
 (SUMPRODUCT(ISNUMBER(SEARCH(","&amp;Справочник_ОКВЭД_НР!$A$3:$A$62&amp;".",","&amp;SUBSTITUTE(F271," ","")&amp;","))) +
  SUMPRODUCT(ISNUMBER(SEARCH(","&amp;Справочник_ОКВЭД_НР!$C$3:$C$62&amp;".",","&amp;SUBSTITUTE(F271," ","")&amp;","))) +
  SUMPRODUCT(ISNUMBER(SEARCH(","&amp;Справочник_ОКВЭД_НР!$E$3:$E$62&amp;".",","&amp;SUBSTITUTE(F271," ","")&amp;","))) +
  SUMPRODUCT(ISNUMBER(SEARCH(","&amp;Справочник_ОКВЭД_НР!$G$3:$G$62&amp;".",","&amp;SUBSTITUTE(F271," ","")&amp;",")))),
50)</f>
        <v>50</v>
      </c>
      <c r="K271" s="30">
        <f>IFERROR(VLOOKUP(G271,Справочник_ОКВЭД_НР!$O:$P,2,FALSE()),50)</f>
        <v>100</v>
      </c>
      <c r="L271" s="45">
        <f>(I271*Справочник_ОКВЭД_НР!$L$2+J271*Справочник_ОКВЭД_НР!$L$3+K271*Справочник_ОКВЭД_НР!$L$4)*M271</f>
        <v>63.5</v>
      </c>
      <c r="M271" s="47">
        <f>IF(COUNTIF(Справочник_ОКВЭД_НР!$G$3:$G$62,H271)&gt;0,0,1)</f>
        <v>1</v>
      </c>
    </row>
    <row r="272" spans="1:13" x14ac:dyDescent="0.25">
      <c r="A272" s="4">
        <f>ЛИК_дляСкорингаДП!A272</f>
        <v>1037739211355</v>
      </c>
      <c r="B272" s="4">
        <f>ЛИК_дляСкорингаДП!B272</f>
        <v>7726052058</v>
      </c>
      <c r="C272" s="4" t="str">
        <f>ЛИК_дляСкорингаДП!C272</f>
        <v>ООО "СЕВЕРО-ЗАПАД"</v>
      </c>
      <c r="D272" s="5" t="str">
        <f>ЛИК_дляСкорингаДП!M272</f>
        <v>Работы геолого-разведочные, геофизические и геохимические в области изучения недр и воспроизводства минерально-сырьевой базы</v>
      </c>
      <c r="E272" s="4" t="str">
        <f>ЛИК_дляСкорингаДП!L272</f>
        <v>71.12.3</v>
      </c>
      <c r="F272" t="str">
        <f>ЛИК_дляСкорингаДП!N272</f>
        <v>26.51.6,42.21,42.22.1,42.22.2,43.99.3,46.69.9,62.01,63.11.1,72.19</v>
      </c>
      <c r="G272" s="25" t="str">
        <f>ЛИК_дляСкорингаДП!AG272</f>
        <v>ОСН</v>
      </c>
      <c r="H272" s="55" t="str">
        <f>IF(ISNUMBER(E272),E272,
IFERROR(LEFT(E272,FIND(".",E272)-1),E272))</f>
        <v>71</v>
      </c>
      <c r="I272" s="30">
        <f>IF(COUNTIF(Справочник_ОКВЭД_НР!$A$3:$A$62,H272)&gt;0,Справочник_ОКВЭД_НР!$L$8,
 IF(COUNTIF(Справочник_ОКВЭД_НР!$C$3:$C$62,H272)&gt;0,Справочник_ОКВЭД_НР!$L$9,
  IF(COUNTIF(Справочник_ОКВЭД_НР!$E$3:$E$62,H272)&gt;0,Справочник_ОКВЭД_НР!$L$10,
   IF(COUNTIF(Справочник_ОКВЭД_НР!$G$3:$G$62,H272)&gt;0,Справочник_ОКВЭД_НР!$L$11,50))))</f>
        <v>100</v>
      </c>
      <c r="J272" s="30" cm="1">
        <f t="array" ref="J272">IFERROR(
 (SUMPRODUCT(ISNUMBER(SEARCH(","&amp;Справочник_ОКВЭД_НР!$A$3:$A$62&amp;".",","&amp;SUBSTITUTE(F272," ","")&amp;",")))*Справочник_ОКВЭД_НР!$L$9 +
  SUMPRODUCT(ISNUMBER(SEARCH(","&amp;Справочник_ОКВЭД_НР!$C$3:$C$62&amp;".",","&amp;SUBSTITUTE(F272," ","")&amp;",")))*Справочник_ОКВЭД_НР!$L$10 +
  SUMPRODUCT(ISNUMBER(SEARCH(","&amp;Справочник_ОКВЭД_НР!$E$3:$E$62&amp;".",","&amp;SUBSTITUTE(F272," ","")&amp;",")))*Справочник_ОКВЭД_НР!$L$11 +
  SUMPRODUCT(ISNUMBER(SEARCH(","&amp;Справочник_ОКВЭД_НР!$G$3:$G$62&amp;".",","&amp;SUBSTITUTE(F272," ","")&amp;",")))*Справочник_ОКВЭД_НР!$L$12) /
 (SUMPRODUCT(ISNUMBER(SEARCH(","&amp;Справочник_ОКВЭД_НР!$A$3:$A$62&amp;".",","&amp;SUBSTITUTE(F272," ","")&amp;","))) +
  SUMPRODUCT(ISNUMBER(SEARCH(","&amp;Справочник_ОКВЭД_НР!$C$3:$C$62&amp;".",","&amp;SUBSTITUTE(F272," ","")&amp;","))) +
  SUMPRODUCT(ISNUMBER(SEARCH(","&amp;Справочник_ОКВЭД_НР!$E$3:$E$62&amp;".",","&amp;SUBSTITUTE(F272," ","")&amp;","))) +
  SUMPRODUCT(ISNUMBER(SEARCH(","&amp;Справочник_ОКВЭД_НР!$G$3:$G$62&amp;".",","&amp;SUBSTITUTE(F272," ","")&amp;",")))),
50)</f>
        <v>50</v>
      </c>
      <c r="K272" s="30">
        <f>IFERROR(VLOOKUP(G272,Справочник_ОКВЭД_НР!$O:$P,2,FALSE()),50)</f>
        <v>100</v>
      </c>
      <c r="L272" s="45">
        <f>(I272*Справочник_ОКВЭД_НР!$L$2+J272*Справочник_ОКВЭД_НР!$L$3+K272*Справочник_ОКВЭД_НР!$L$4)*M272</f>
        <v>87.5</v>
      </c>
      <c r="M272" s="47">
        <f>IF(COUNTIF(Справочник_ОКВЭД_НР!$G$3:$G$62,H272)&gt;0,0,1)</f>
        <v>1</v>
      </c>
    </row>
    <row r="273" spans="1:13" x14ac:dyDescent="0.25">
      <c r="A273" s="4">
        <f>ЛИК_дляСкорингаДП!A273</f>
        <v>1037739284483</v>
      </c>
      <c r="B273" s="4">
        <f>ЛИК_дляСкорингаДП!B273</f>
        <v>7735084987</v>
      </c>
      <c r="C273" s="4" t="str">
        <f>ЛИК_дляСкорингаДП!C273</f>
        <v>ООО "ФИРМА "ГЕОСЕЙС"</v>
      </c>
      <c r="D273" s="5" t="str">
        <f>ЛИК_дляСкорингаДП!M273</f>
        <v>Работы геолого-разведочные, геофизические и геохимические в области изучения недр и воспроизводства минерально-сырьевой базы</v>
      </c>
      <c r="E273" s="4" t="str">
        <f>ЛИК_дляСкорингаДП!L273</f>
        <v>71.12.3</v>
      </c>
      <c r="F273" t="str">
        <f>ЛИК_дляСкорингаДП!N273</f>
        <v>02.10,02.20,09.10,09.10.1,09.10.2,09.10.3,09.10.9,09.90,18.12,26.20,26.30,26.51,26.51.1,26.51.6,26.51.8,27.11,27.12,28.92,28.92.1,33.12,33.13,33.2,33.20,41.20,43.13,43.21,43.99.3,45.20,46.12.1,46.14.9,52.10,52.29,58.11,58.11.1,58.11.3,58.29,62.01,62.02,62.03,62.09,63.99.1,64.99.11,68.20,69.10,69.20,70.10.1,70.10.2,70.22,71.12,71.12.1,71.12.12,71.12.4,71.12.41,71.12.42,71.12.43,71.12.44,71.12.45,71.12.5,71.12.6,71.12.9,71.20,72.19,73.11,74.90,74.90.6,77.11,77.12,77.39,77.39.2,77.39.22,77.40,78.30,82.30,85.23,85.42,95.11</v>
      </c>
      <c r="G273" s="25" t="str">
        <f>ЛИК_дляСкорингаДП!AG273</f>
        <v>ОСН</v>
      </c>
      <c r="H273" s="55" t="str">
        <f>IF(ISNUMBER(E273),E273,
IFERROR(LEFT(E273,FIND(".",E273)-1),E273))</f>
        <v>71</v>
      </c>
      <c r="I273" s="30">
        <f>IF(COUNTIF(Справочник_ОКВЭД_НР!$A$3:$A$62,H273)&gt;0,Справочник_ОКВЭД_НР!$L$8,
 IF(COUNTIF(Справочник_ОКВЭД_НР!$C$3:$C$62,H273)&gt;0,Справочник_ОКВЭД_НР!$L$9,
  IF(COUNTIF(Справочник_ОКВЭД_НР!$E$3:$E$62,H273)&gt;0,Справочник_ОКВЭД_НР!$L$10,
   IF(COUNTIF(Справочник_ОКВЭД_НР!$G$3:$G$62,H273)&gt;0,Справочник_ОКВЭД_НР!$L$11,50))))</f>
        <v>100</v>
      </c>
      <c r="J273" s="30" cm="1">
        <f t="array" ref="J273">IFERROR(
 (SUMPRODUCT(ISNUMBER(SEARCH(","&amp;Справочник_ОКВЭД_НР!$A$3:$A$62&amp;".",","&amp;SUBSTITUTE(F273," ","")&amp;",")))*Справочник_ОКВЭД_НР!$L$9 +
  SUMPRODUCT(ISNUMBER(SEARCH(","&amp;Справочник_ОКВЭД_НР!$C$3:$C$62&amp;".",","&amp;SUBSTITUTE(F273," ","")&amp;",")))*Справочник_ОКВЭД_НР!$L$10 +
  SUMPRODUCT(ISNUMBER(SEARCH(","&amp;Справочник_ОКВЭД_НР!$E$3:$E$62&amp;".",","&amp;SUBSTITUTE(F273," ","")&amp;",")))*Справочник_ОКВЭД_НР!$L$11 +
  SUMPRODUCT(ISNUMBER(SEARCH(","&amp;Справочник_ОКВЭД_НР!$G$3:$G$62&amp;".",","&amp;SUBSTITUTE(F273," ","")&amp;",")))*Справочник_ОКВЭД_НР!$L$12) /
 (SUMPRODUCT(ISNUMBER(SEARCH(","&amp;Справочник_ОКВЭД_НР!$A$3:$A$62&amp;".",","&amp;SUBSTITUTE(F273," ","")&amp;","))) +
  SUMPRODUCT(ISNUMBER(SEARCH(","&amp;Справочник_ОКВЭД_НР!$C$3:$C$62&amp;".",","&amp;SUBSTITUTE(F273," ","")&amp;","))) +
  SUMPRODUCT(ISNUMBER(SEARCH(","&amp;Справочник_ОКВЭД_НР!$E$3:$E$62&amp;".",","&amp;SUBSTITUTE(F273," ","")&amp;","))) +
  SUMPRODUCT(ISNUMBER(SEARCH(","&amp;Справочник_ОКВЭД_НР!$G$3:$G$62&amp;".",","&amp;SUBSTITUTE(F273," ","")&amp;",")))),
50)</f>
        <v>50</v>
      </c>
      <c r="K273" s="30">
        <f>IFERROR(VLOOKUP(G273,Справочник_ОКВЭД_НР!$O:$P,2,FALSE()),50)</f>
        <v>100</v>
      </c>
      <c r="L273" s="45">
        <f>(I273*Справочник_ОКВЭД_НР!$L$2+J273*Справочник_ОКВЭД_НР!$L$3+K273*Справочник_ОКВЭД_НР!$L$4)*M273</f>
        <v>87.5</v>
      </c>
      <c r="M273" s="47">
        <f>IF(COUNTIF(Справочник_ОКВЭД_НР!$G$3:$G$62,H273)&gt;0,0,1)</f>
        <v>1</v>
      </c>
    </row>
    <row r="274" spans="1:13" x14ac:dyDescent="0.25">
      <c r="A274" s="4">
        <f>ЛИК_дляСкорингаДП!A274</f>
        <v>1187746381240</v>
      </c>
      <c r="B274" s="4">
        <f>ЛИК_дляСкорингаДП!B274</f>
        <v>7743250613</v>
      </c>
      <c r="C274" s="4" t="str">
        <f>ЛИК_дляСкорингаДП!C274</f>
        <v>ООО "ТЕХНО-ПРО"</v>
      </c>
      <c r="D274" s="5" t="str">
        <f>ЛИК_дляСкорингаДП!M274</f>
        <v>Деятельность в области связи на базе проводных технологий</v>
      </c>
      <c r="E274" s="4" t="str">
        <f>ЛИК_дляСкорингаДП!L274</f>
        <v>61.10</v>
      </c>
      <c r="F274" t="str">
        <f>ЛИК_дляСкорингаДП!N274</f>
        <v>61.20,61.90,62.01,62.02,62.03,62.09</v>
      </c>
      <c r="G274" s="25" t="str">
        <f>ЛИК_дляСкорингаДП!AG274</f>
        <v>ОСН</v>
      </c>
      <c r="H274" s="55" t="str">
        <f>IF(ISNUMBER(E274),E274,
IFERROR(LEFT(E274,FIND(".",E274)-1),E274))</f>
        <v>61</v>
      </c>
      <c r="I274" s="30">
        <f>IF(COUNTIF(Справочник_ОКВЭД_НР!$A$3:$A$62,H274)&gt;0,Справочник_ОКВЭД_НР!$L$8,
 IF(COUNTIF(Справочник_ОКВЭД_НР!$C$3:$C$62,H274)&gt;0,Справочник_ОКВЭД_НР!$L$9,
  IF(COUNTIF(Справочник_ОКВЭД_НР!$E$3:$E$62,H274)&gt;0,Справочник_ОКВЭД_НР!$L$10,
   IF(COUNTIF(Справочник_ОКВЭД_НР!$G$3:$G$62,H274)&gt;0,Справочник_ОКВЭД_НР!$L$11,50))))</f>
        <v>60</v>
      </c>
      <c r="J274" s="30" cm="1">
        <f t="array" ref="J274">IFERROR(
 (SUMPRODUCT(ISNUMBER(SEARCH(","&amp;Справочник_ОКВЭД_НР!$A$3:$A$62&amp;".",","&amp;SUBSTITUTE(F274," ","")&amp;",")))*Справочник_ОКВЭД_НР!$L$9 +
  SUMPRODUCT(ISNUMBER(SEARCH(","&amp;Справочник_ОКВЭД_НР!$C$3:$C$62&amp;".",","&amp;SUBSTITUTE(F274," ","")&amp;",")))*Справочник_ОКВЭД_НР!$L$10 +
  SUMPRODUCT(ISNUMBER(SEARCH(","&amp;Справочник_ОКВЭД_НР!$E$3:$E$62&amp;".",","&amp;SUBSTITUTE(F274," ","")&amp;",")))*Справочник_ОКВЭД_НР!$L$11 +
  SUMPRODUCT(ISNUMBER(SEARCH(","&amp;Справочник_ОКВЭД_НР!$G$3:$G$62&amp;".",","&amp;SUBSTITUTE(F274," ","")&amp;",")))*Справочник_ОКВЭД_НР!$L$12) /
 (SUMPRODUCT(ISNUMBER(SEARCH(","&amp;Справочник_ОКВЭД_НР!$A$3:$A$62&amp;".",","&amp;SUBSTITUTE(F274," ","")&amp;","))) +
  SUMPRODUCT(ISNUMBER(SEARCH(","&amp;Справочник_ОКВЭД_НР!$C$3:$C$62&amp;".",","&amp;SUBSTITUTE(F274," ","")&amp;","))) +
  SUMPRODUCT(ISNUMBER(SEARCH(","&amp;Справочник_ОКВЭД_НР!$E$3:$E$62&amp;".",","&amp;SUBSTITUTE(F274," ","")&amp;","))) +
  SUMPRODUCT(ISNUMBER(SEARCH(","&amp;Справочник_ОКВЭД_НР!$G$3:$G$62&amp;".",","&amp;SUBSTITUTE(F274," ","")&amp;",")))),
50)</f>
        <v>50</v>
      </c>
      <c r="K274" s="30">
        <f>IFERROR(VLOOKUP(G274,Справочник_ОКВЭД_НР!$O:$P,2,FALSE()),50)</f>
        <v>100</v>
      </c>
      <c r="L274" s="45">
        <f>(I274*Справочник_ОКВЭД_НР!$L$2+J274*Справочник_ОКВЭД_НР!$L$3+K274*Справочник_ОКВЭД_НР!$L$4)*M274</f>
        <v>63.5</v>
      </c>
      <c r="M274" s="47">
        <f>IF(COUNTIF(Справочник_ОКВЭД_НР!$G$3:$G$62,H274)&gt;0,0,1)</f>
        <v>1</v>
      </c>
    </row>
    <row r="275" spans="1:13" x14ac:dyDescent="0.25">
      <c r="A275" s="4">
        <f>ЛИК_дляСкорингаДП!A275</f>
        <v>1021400690882</v>
      </c>
      <c r="B275" s="4">
        <f>ЛИК_дляСкорингаДП!B275</f>
        <v>1414007228</v>
      </c>
      <c r="C275" s="4" t="str">
        <f>ЛИК_дляСкорингаДП!C275</f>
        <v>АО "ЛОТК"</v>
      </c>
      <c r="D275" s="5" t="str">
        <f>ЛИК_дляСкорингаДП!M275</f>
        <v>Торговля оптовая неспециализированная пищевыми продуктами, напитками и табачными изделиями</v>
      </c>
      <c r="E275" s="4" t="str">
        <f>ЛИК_дляСкорингаДП!L275</f>
        <v>46.39</v>
      </c>
      <c r="F275" t="str">
        <f>ЛИК_дляСкорингаДП!N275</f>
        <v>10.71,45.1,46.3,46.4,46.72,46.73.6,46.74.2,46.9,47.1,47.11,47.25.1,49.32,49.41.2,49.41.3,52.10,52.24,52.24.2,56.10,56.10.1,56.10.3,56.29,68.20.2,77.11,77.39.1,77.39.11,77.39.2</v>
      </c>
      <c r="G275" s="25" t="str">
        <f>ЛИК_дляСкорингаДП!AG275</f>
        <v>ОСН</v>
      </c>
      <c r="H275" s="55" t="str">
        <f>IF(ISNUMBER(E275),E275,
IFERROR(LEFT(E275,FIND(".",E275)-1),E275))</f>
        <v>46</v>
      </c>
      <c r="I275" s="30">
        <f>IF(COUNTIF(Справочник_ОКВЭД_НР!$A$3:$A$62,H275)&gt;0,Справочник_ОКВЭД_НР!$L$8,
 IF(COUNTIF(Справочник_ОКВЭД_НР!$C$3:$C$62,H275)&gt;0,Справочник_ОКВЭД_НР!$L$9,
  IF(COUNTIF(Справочник_ОКВЭД_НР!$E$3:$E$62,H275)&gt;0,Справочник_ОКВЭД_НР!$L$10,
   IF(COUNTIF(Справочник_ОКВЭД_НР!$G$3:$G$62,H275)&gt;0,Справочник_ОКВЭД_НР!$L$11,50))))</f>
        <v>60</v>
      </c>
      <c r="J275" s="30" cm="1">
        <f t="array" ref="J275">IFERROR(
 (SUMPRODUCT(ISNUMBER(SEARCH(","&amp;Справочник_ОКВЭД_НР!$A$3:$A$62&amp;".",","&amp;SUBSTITUTE(F275," ","")&amp;",")))*Справочник_ОКВЭД_НР!$L$9 +
  SUMPRODUCT(ISNUMBER(SEARCH(","&amp;Справочник_ОКВЭД_НР!$C$3:$C$62&amp;".",","&amp;SUBSTITUTE(F275," ","")&amp;",")))*Справочник_ОКВЭД_НР!$L$10 +
  SUMPRODUCT(ISNUMBER(SEARCH(","&amp;Справочник_ОКВЭД_НР!$E$3:$E$62&amp;".",","&amp;SUBSTITUTE(F275," ","")&amp;",")))*Справочник_ОКВЭД_НР!$L$11 +
  SUMPRODUCT(ISNUMBER(SEARCH(","&amp;Справочник_ОКВЭД_НР!$G$3:$G$62&amp;".",","&amp;SUBSTITUTE(F275," ","")&amp;",")))*Справочник_ОКВЭД_НР!$L$12) /
 (SUMPRODUCT(ISNUMBER(SEARCH(","&amp;Справочник_ОКВЭД_НР!$A$3:$A$62&amp;".",","&amp;SUBSTITUTE(F275," ","")&amp;","))) +
  SUMPRODUCT(ISNUMBER(SEARCH(","&amp;Справочник_ОКВЭД_НР!$C$3:$C$62&amp;".",","&amp;SUBSTITUTE(F275," ","")&amp;","))) +
  SUMPRODUCT(ISNUMBER(SEARCH(","&amp;Справочник_ОКВЭД_НР!$E$3:$E$62&amp;".",","&amp;SUBSTITUTE(F275," ","")&amp;","))) +
  SUMPRODUCT(ISNUMBER(SEARCH(","&amp;Справочник_ОКВЭД_НР!$G$3:$G$62&amp;".",","&amp;SUBSTITUTE(F275," ","")&amp;",")))),
50)</f>
        <v>50</v>
      </c>
      <c r="K275" s="30">
        <f>IFERROR(VLOOKUP(G275,Справочник_ОКВЭД_НР!$O:$P,2,FALSE()),50)</f>
        <v>100</v>
      </c>
      <c r="L275" s="45">
        <f>(I275*Справочник_ОКВЭД_НР!$L$2+J275*Справочник_ОКВЭД_НР!$L$3+K275*Справочник_ОКВЭД_НР!$L$4)*M275</f>
        <v>63.5</v>
      </c>
      <c r="M275" s="47">
        <f>IF(COUNTIF(Справочник_ОКВЭД_НР!$G$3:$G$62,H275)&gt;0,0,1)</f>
        <v>1</v>
      </c>
    </row>
    <row r="276" spans="1:13" x14ac:dyDescent="0.25">
      <c r="A276" s="4">
        <f>ЛИК_дляСкорингаДП!A276</f>
        <v>1086311006693</v>
      </c>
      <c r="B276" s="4">
        <f>ЛИК_дляСкорингаДП!B276</f>
        <v>6311109788</v>
      </c>
      <c r="C276" s="4" t="str">
        <f>ЛИК_дляСкорингаДП!C276</f>
        <v>ООО "С.И.Т.И."</v>
      </c>
      <c r="D276" s="5" t="str">
        <f>ЛИК_дляСкорингаДП!M276</f>
        <v>Деятельность в области архитектуры</v>
      </c>
      <c r="E276" s="4" t="str">
        <f>ЛИК_дляСкорингаДП!L276</f>
        <v>71.11</v>
      </c>
      <c r="F276" t="str">
        <f>ЛИК_дляСкорингаДП!N276</f>
        <v>33.12,41.20,42.11,42.91,42.99,43.11,43.12.3,43.21,43.22,43.29,43.31,43.32,43.33,43.34,43.39,43.91,43.99,43.99.1,46.13,46.14,46.63,46.69,46.71,46.73,46.74,46.77,47.52,47.9,47.91,47.99,52.10,53.20,62.09,68.10,68.10.1,68.31,68.32,69.10,71.1,71.12,71.12.5,71.12.6,77.32,82.92</v>
      </c>
      <c r="G276" s="25" t="str">
        <f>ЛИК_дляСкорингаДП!AG276</f>
        <v>ОСН</v>
      </c>
      <c r="H276" s="55" t="str">
        <f>IF(ISNUMBER(E276),E276,
IFERROR(LEFT(E276,FIND(".",E276)-1),E276))</f>
        <v>71</v>
      </c>
      <c r="I276" s="30">
        <f>IF(COUNTIF(Справочник_ОКВЭД_НР!$A$3:$A$62,H276)&gt;0,Справочник_ОКВЭД_НР!$L$8,
 IF(COUNTIF(Справочник_ОКВЭД_НР!$C$3:$C$62,H276)&gt;0,Справочник_ОКВЭД_НР!$L$9,
  IF(COUNTIF(Справочник_ОКВЭД_НР!$E$3:$E$62,H276)&gt;0,Справочник_ОКВЭД_НР!$L$10,
   IF(COUNTIF(Справочник_ОКВЭД_НР!$G$3:$G$62,H276)&gt;0,Справочник_ОКВЭД_НР!$L$11,50))))</f>
        <v>100</v>
      </c>
      <c r="J276" s="30" cm="1">
        <f t="array" ref="J276">IFERROR(
 (SUMPRODUCT(ISNUMBER(SEARCH(","&amp;Справочник_ОКВЭД_НР!$A$3:$A$62&amp;".",","&amp;SUBSTITUTE(F276," ","")&amp;",")))*Справочник_ОКВЭД_НР!$L$9 +
  SUMPRODUCT(ISNUMBER(SEARCH(","&amp;Справочник_ОКВЭД_НР!$C$3:$C$62&amp;".",","&amp;SUBSTITUTE(F276," ","")&amp;",")))*Справочник_ОКВЭД_НР!$L$10 +
  SUMPRODUCT(ISNUMBER(SEARCH(","&amp;Справочник_ОКВЭД_НР!$E$3:$E$62&amp;".",","&amp;SUBSTITUTE(F276," ","")&amp;",")))*Справочник_ОКВЭД_НР!$L$11 +
  SUMPRODUCT(ISNUMBER(SEARCH(","&amp;Справочник_ОКВЭД_НР!$G$3:$G$62&amp;".",","&amp;SUBSTITUTE(F276," ","")&amp;",")))*Справочник_ОКВЭД_НР!$L$12) /
 (SUMPRODUCT(ISNUMBER(SEARCH(","&amp;Справочник_ОКВЭД_НР!$A$3:$A$62&amp;".",","&amp;SUBSTITUTE(F276," ","")&amp;","))) +
  SUMPRODUCT(ISNUMBER(SEARCH(","&amp;Справочник_ОКВЭД_НР!$C$3:$C$62&amp;".",","&amp;SUBSTITUTE(F276," ","")&amp;","))) +
  SUMPRODUCT(ISNUMBER(SEARCH(","&amp;Справочник_ОКВЭД_НР!$E$3:$E$62&amp;".",","&amp;SUBSTITUTE(F276," ","")&amp;","))) +
  SUMPRODUCT(ISNUMBER(SEARCH(","&amp;Справочник_ОКВЭД_НР!$G$3:$G$62&amp;".",","&amp;SUBSTITUTE(F276," ","")&amp;",")))),
50)</f>
        <v>50</v>
      </c>
      <c r="K276" s="30">
        <f>IFERROR(VLOOKUP(G276,Справочник_ОКВЭД_НР!$O:$P,2,FALSE()),50)</f>
        <v>100</v>
      </c>
      <c r="L276" s="45">
        <f>(I276*Справочник_ОКВЭД_НР!$L$2+J276*Справочник_ОКВЭД_НР!$L$3+K276*Справочник_ОКВЭД_НР!$L$4)*M276</f>
        <v>87.5</v>
      </c>
      <c r="M276" s="47">
        <f>IF(COUNTIF(Справочник_ОКВЭД_НР!$G$3:$G$62,H276)&gt;0,0,1)</f>
        <v>1</v>
      </c>
    </row>
    <row r="277" spans="1:13" x14ac:dyDescent="0.25">
      <c r="A277" s="4">
        <f>ЛИК_дляСкорингаДП!A277</f>
        <v>1027739162538</v>
      </c>
      <c r="B277" s="4">
        <f>ЛИК_дляСкорингаДП!B277</f>
        <v>7717123584</v>
      </c>
      <c r="C277" s="4" t="str">
        <f>ЛИК_дляСкорингаДП!C277</f>
        <v>ООО "РЛ-ТЕХ"</v>
      </c>
      <c r="D277" s="5" t="str">
        <f>ЛИК_дляСкорингаДП!M277</f>
        <v>Строительство жилых и нежилых зданий</v>
      </c>
      <c r="E277" s="4" t="str">
        <f>ЛИК_дляСкорингаДП!L277</f>
        <v>41.2</v>
      </c>
      <c r="F277" t="str">
        <f>ЛИК_дляСкорингаДП!N277</f>
        <v>20.30.1,20.30.2,31.01,31.09,32.50,43.34.1,46.47,46.49,46.65,46.90,47.59.1,47.9,62.01,62.02,68.10,68.20,72.19,77.39.29,81.22,82.99</v>
      </c>
      <c r="G277" s="25" t="str">
        <f>ЛИК_дляСкорингаДП!AG277</f>
        <v>ОСН</v>
      </c>
      <c r="H277" s="55" t="str">
        <f>IF(ISNUMBER(E277),E277,
IFERROR(LEFT(E277,FIND(".",E277)-1),E277))</f>
        <v>41</v>
      </c>
      <c r="I277" s="30">
        <f>IF(COUNTIF(Справочник_ОКВЭД_НР!$A$3:$A$62,H277)&gt;0,Справочник_ОКВЭД_НР!$L$8,
 IF(COUNTIF(Справочник_ОКВЭД_НР!$C$3:$C$62,H277)&gt;0,Справочник_ОКВЭД_НР!$L$9,
  IF(COUNTIF(Справочник_ОКВЭД_НР!$E$3:$E$62,H277)&gt;0,Справочник_ОКВЭД_НР!$L$10,
   IF(COUNTIF(Справочник_ОКВЭД_НР!$G$3:$G$62,H277)&gt;0,Справочник_ОКВЭД_НР!$L$11,50))))</f>
        <v>100</v>
      </c>
      <c r="J277" s="30" cm="1">
        <f t="array" ref="J277">IFERROR(
 (SUMPRODUCT(ISNUMBER(SEARCH(","&amp;Справочник_ОКВЭД_НР!$A$3:$A$62&amp;".",","&amp;SUBSTITUTE(F277," ","")&amp;",")))*Справочник_ОКВЭД_НР!$L$9 +
  SUMPRODUCT(ISNUMBER(SEARCH(","&amp;Справочник_ОКВЭД_НР!$C$3:$C$62&amp;".",","&amp;SUBSTITUTE(F277," ","")&amp;",")))*Справочник_ОКВЭД_НР!$L$10 +
  SUMPRODUCT(ISNUMBER(SEARCH(","&amp;Справочник_ОКВЭД_НР!$E$3:$E$62&amp;".",","&amp;SUBSTITUTE(F277," ","")&amp;",")))*Справочник_ОКВЭД_НР!$L$11 +
  SUMPRODUCT(ISNUMBER(SEARCH(","&amp;Справочник_ОКВЭД_НР!$G$3:$G$62&amp;".",","&amp;SUBSTITUTE(F277," ","")&amp;",")))*Справочник_ОКВЭД_НР!$L$12) /
 (SUMPRODUCT(ISNUMBER(SEARCH(","&amp;Справочник_ОКВЭД_НР!$A$3:$A$62&amp;".",","&amp;SUBSTITUTE(F277," ","")&amp;","))) +
  SUMPRODUCT(ISNUMBER(SEARCH(","&amp;Справочник_ОКВЭД_НР!$C$3:$C$62&amp;".",","&amp;SUBSTITUTE(F277," ","")&amp;","))) +
  SUMPRODUCT(ISNUMBER(SEARCH(","&amp;Справочник_ОКВЭД_НР!$E$3:$E$62&amp;".",","&amp;SUBSTITUTE(F277," ","")&amp;","))) +
  SUMPRODUCT(ISNUMBER(SEARCH(","&amp;Справочник_ОКВЭД_НР!$G$3:$G$62&amp;".",","&amp;SUBSTITUTE(F277," ","")&amp;",")))),
50)</f>
        <v>50</v>
      </c>
      <c r="K277" s="30">
        <f>IFERROR(VLOOKUP(G277,Справочник_ОКВЭД_НР!$O:$P,2,FALSE()),50)</f>
        <v>100</v>
      </c>
      <c r="L277" s="45">
        <f>(I277*Справочник_ОКВЭД_НР!$L$2+J277*Справочник_ОКВЭД_НР!$L$3+K277*Справочник_ОКВЭД_НР!$L$4)*M277</f>
        <v>87.5</v>
      </c>
      <c r="M277" s="47">
        <f>IF(COUNTIF(Справочник_ОКВЭД_НР!$G$3:$G$62,H277)&gt;0,0,1)</f>
        <v>1</v>
      </c>
    </row>
    <row r="278" spans="1:13" x14ac:dyDescent="0.25">
      <c r="A278" s="4">
        <f>ЛИК_дляСкорингаДП!A278</f>
        <v>1027739023751</v>
      </c>
      <c r="B278" s="4">
        <f>ЛИК_дляСкорингаДП!B278</f>
        <v>7710327099</v>
      </c>
      <c r="C278" s="4" t="str">
        <f>ЛИК_дляСкорингаДП!C278</f>
        <v>ОАО "ГОК "ПЕКИН"</v>
      </c>
      <c r="D278" s="5" t="str">
        <f>ЛИК_дляСкорингаДП!M278</f>
        <v>Деятельность гостиниц и прочих мест для временного проживания</v>
      </c>
      <c r="E278" s="4" t="str">
        <f>ЛИК_дляСкорингаДП!L278</f>
        <v>55.10</v>
      </c>
      <c r="F278" t="str">
        <f>ЛИК_дляСкорингаДП!N278</f>
        <v>68.20.29,55.10,68.20.2</v>
      </c>
      <c r="G278" s="25" t="str">
        <f>ЛИК_дляСкорингаДП!AG278</f>
        <v>ОСН</v>
      </c>
      <c r="H278" s="55" t="str">
        <f>IF(ISNUMBER(E278),E278,
IFERROR(LEFT(E278,FIND(".",E278)-1),E278))</f>
        <v>55</v>
      </c>
      <c r="I278" s="30">
        <f>IF(COUNTIF(Справочник_ОКВЭД_НР!$A$3:$A$62,H278)&gt;0,Справочник_ОКВЭД_НР!$L$8,
 IF(COUNTIF(Справочник_ОКВЭД_НР!$C$3:$C$62,H278)&gt;0,Справочник_ОКВЭД_НР!$L$9,
  IF(COUNTIF(Справочник_ОКВЭД_НР!$E$3:$E$62,H278)&gt;0,Справочник_ОКВЭД_НР!$L$10,
   IF(COUNTIF(Справочник_ОКВЭД_НР!$G$3:$G$62,H278)&gt;0,Справочник_ОКВЭД_НР!$L$11,50))))</f>
        <v>30</v>
      </c>
      <c r="J278" s="30" cm="1">
        <f t="array" ref="J278">IFERROR(
 (SUMPRODUCT(ISNUMBER(SEARCH(","&amp;Справочник_ОКВЭД_НР!$A$3:$A$62&amp;".",","&amp;SUBSTITUTE(F278," ","")&amp;",")))*Справочник_ОКВЭД_НР!$L$9 +
  SUMPRODUCT(ISNUMBER(SEARCH(","&amp;Справочник_ОКВЭД_НР!$C$3:$C$62&amp;".",","&amp;SUBSTITUTE(F278," ","")&amp;",")))*Справочник_ОКВЭД_НР!$L$10 +
  SUMPRODUCT(ISNUMBER(SEARCH(","&amp;Справочник_ОКВЭД_НР!$E$3:$E$62&amp;".",","&amp;SUBSTITUTE(F278," ","")&amp;",")))*Справочник_ОКВЭД_НР!$L$11 +
  SUMPRODUCT(ISNUMBER(SEARCH(","&amp;Справочник_ОКВЭД_НР!$G$3:$G$62&amp;".",","&amp;SUBSTITUTE(F278," ","")&amp;",")))*Справочник_ОКВЭД_НР!$L$12) /
 (SUMPRODUCT(ISNUMBER(SEARCH(","&amp;Справочник_ОКВЭД_НР!$A$3:$A$62&amp;".",","&amp;SUBSTITUTE(F278," ","")&amp;","))) +
  SUMPRODUCT(ISNUMBER(SEARCH(","&amp;Справочник_ОКВЭД_НР!$C$3:$C$62&amp;".",","&amp;SUBSTITUTE(F278," ","")&amp;","))) +
  SUMPRODUCT(ISNUMBER(SEARCH(","&amp;Справочник_ОКВЭД_НР!$E$3:$E$62&amp;".",","&amp;SUBSTITUTE(F278," ","")&amp;","))) +
  SUMPRODUCT(ISNUMBER(SEARCH(","&amp;Справочник_ОКВЭД_НР!$G$3:$G$62&amp;".",","&amp;SUBSTITUTE(F278," ","")&amp;",")))),
50)</f>
        <v>50</v>
      </c>
      <c r="K278" s="30">
        <f>IFERROR(VLOOKUP(G278,Справочник_ОКВЭД_НР!$O:$P,2,FALSE()),50)</f>
        <v>100</v>
      </c>
      <c r="L278" s="45">
        <f>(I278*Справочник_ОКВЭД_НР!$L$2+J278*Справочник_ОКВЭД_НР!$L$3+K278*Справочник_ОКВЭД_НР!$L$4)*M278</f>
        <v>45.5</v>
      </c>
      <c r="M278" s="47">
        <f>IF(COUNTIF(Справочник_ОКВЭД_НР!$G$3:$G$62,H278)&gt;0,0,1)</f>
        <v>1</v>
      </c>
    </row>
    <row r="279" spans="1:13" x14ac:dyDescent="0.25">
      <c r="A279" s="4">
        <f>ЛИК_дляСкорингаДП!A279</f>
        <v>1177746137216</v>
      </c>
      <c r="B279" s="4">
        <f>ЛИК_дляСкорингаДП!B279</f>
        <v>7726396549</v>
      </c>
      <c r="C279" s="4" t="str">
        <f>ЛИК_дляСкорингаДП!C279</f>
        <v>ООО "СИНКАЙ-МОТОРС"</v>
      </c>
      <c r="D279" s="5" t="str">
        <f>ЛИК_дляСкорингаДП!M279</f>
        <v>Торговля оптовая автомобильными деталями, узлами и принадлежностями</v>
      </c>
      <c r="E279" s="4" t="str">
        <f>ЛИК_дляСкорингаДП!L279</f>
        <v>45.31</v>
      </c>
      <c r="F279" t="str">
        <f>ЛИК_дляСкорингаДП!N279</f>
        <v>45.31.2,45.32.1,45.32.2,45.32.21,45.32.22,45.32.29</v>
      </c>
      <c r="G279" s="25" t="str">
        <f>ЛИК_дляСкорингаДП!AG279</f>
        <v>ОСН</v>
      </c>
      <c r="H279" s="55" t="str">
        <f>IF(ISNUMBER(E279),E279,
IFERROR(LEFT(E279,FIND(".",E279)-1),E279))</f>
        <v>45</v>
      </c>
      <c r="I279" s="30">
        <f>IF(COUNTIF(Справочник_ОКВЭД_НР!$A$3:$A$62,H279)&gt;0,Справочник_ОКВЭД_НР!$L$8,
 IF(COUNTIF(Справочник_ОКВЭД_НР!$C$3:$C$62,H279)&gt;0,Справочник_ОКВЭД_НР!$L$9,
  IF(COUNTIF(Справочник_ОКВЭД_НР!$E$3:$E$62,H279)&gt;0,Справочник_ОКВЭД_НР!$L$10,
   IF(COUNTIF(Справочник_ОКВЭД_НР!$G$3:$G$62,H279)&gt;0,Справочник_ОКВЭД_НР!$L$11,50))))</f>
        <v>60</v>
      </c>
      <c r="J279" s="30" cm="1">
        <f t="array" ref="J279">IFERROR(
 (SUMPRODUCT(ISNUMBER(SEARCH(","&amp;Справочник_ОКВЭД_НР!$A$3:$A$62&amp;".",","&amp;SUBSTITUTE(F279," ","")&amp;",")))*Справочник_ОКВЭД_НР!$L$9 +
  SUMPRODUCT(ISNUMBER(SEARCH(","&amp;Справочник_ОКВЭД_НР!$C$3:$C$62&amp;".",","&amp;SUBSTITUTE(F279," ","")&amp;",")))*Справочник_ОКВЭД_НР!$L$10 +
  SUMPRODUCT(ISNUMBER(SEARCH(","&amp;Справочник_ОКВЭД_НР!$E$3:$E$62&amp;".",","&amp;SUBSTITUTE(F279," ","")&amp;",")))*Справочник_ОКВЭД_НР!$L$11 +
  SUMPRODUCT(ISNUMBER(SEARCH(","&amp;Справочник_ОКВЭД_НР!$G$3:$G$62&amp;".",","&amp;SUBSTITUTE(F279," ","")&amp;",")))*Справочник_ОКВЭД_НР!$L$12) /
 (SUMPRODUCT(ISNUMBER(SEARCH(","&amp;Справочник_ОКВЭД_НР!$A$3:$A$62&amp;".",","&amp;SUBSTITUTE(F279," ","")&amp;","))) +
  SUMPRODUCT(ISNUMBER(SEARCH(","&amp;Справочник_ОКВЭД_НР!$C$3:$C$62&amp;".",","&amp;SUBSTITUTE(F279," ","")&amp;","))) +
  SUMPRODUCT(ISNUMBER(SEARCH(","&amp;Справочник_ОКВЭД_НР!$E$3:$E$62&amp;".",","&amp;SUBSTITUTE(F279," ","")&amp;","))) +
  SUMPRODUCT(ISNUMBER(SEARCH(","&amp;Справочник_ОКВЭД_НР!$G$3:$G$62&amp;".",","&amp;SUBSTITUTE(F279," ","")&amp;",")))),
50)</f>
        <v>50</v>
      </c>
      <c r="K279" s="30">
        <f>IFERROR(VLOOKUP(G279,Справочник_ОКВЭД_НР!$O:$P,2,FALSE()),50)</f>
        <v>100</v>
      </c>
      <c r="L279" s="45">
        <f>(I279*Справочник_ОКВЭД_НР!$L$2+J279*Справочник_ОКВЭД_НР!$L$3+K279*Справочник_ОКВЭД_НР!$L$4)*M279</f>
        <v>63.5</v>
      </c>
      <c r="M279" s="47">
        <f>IF(COUNTIF(Справочник_ОКВЭД_НР!$G$3:$G$62,H279)&gt;0,0,1)</f>
        <v>1</v>
      </c>
    </row>
    <row r="280" spans="1:13" x14ac:dyDescent="0.25">
      <c r="A280" s="4">
        <f>ЛИК_дляСкорингаДП!A280</f>
        <v>1105010000666</v>
      </c>
      <c r="B280" s="4">
        <f>ЛИК_дляСкорингаДП!B280</f>
        <v>5010040788</v>
      </c>
      <c r="C280" s="4" t="str">
        <f>ЛИК_дляСкорингаДП!C280</f>
        <v>ООО "ПЛЮСПЭЙ"</v>
      </c>
      <c r="D280" s="5" t="str">
        <f>ЛИК_дляСкорингаДП!M280</f>
        <v>Деятельность по обработке данных, предоставление услуг по размещению информации и связанная с этим деятельность</v>
      </c>
      <c r="E280" s="4" t="str">
        <f>ЛИК_дляСкорингаДП!L280</f>
        <v>63.11</v>
      </c>
      <c r="F280" t="str">
        <f>ЛИК_дляСкорингаДП!N280</f>
        <v>26.51.8,33.13,46.14.1,46.43.3,46.66,46.69.5,46.90,62.01,62.02,62.09,63.1,63.11.1,64.9,66.1,66.11.5,68.32,69,70.10.1,70.10.2,70.22,71.20,72.1,72.2,73.11,73.20,82.99,95.1</v>
      </c>
      <c r="G280" s="25" t="str">
        <f>ЛИК_дляСкорингаДП!AG280</f>
        <v>УСН</v>
      </c>
      <c r="H280" s="55" t="str">
        <f>IF(ISNUMBER(E280),E280,
IFERROR(LEFT(E280,FIND(".",E280)-1),E280))</f>
        <v>63</v>
      </c>
      <c r="I280" s="30">
        <f>IF(COUNTIF(Справочник_ОКВЭД_НР!$A$3:$A$62,H280)&gt;0,Справочник_ОКВЭД_НР!$L$8,
 IF(COUNTIF(Справочник_ОКВЭД_НР!$C$3:$C$62,H280)&gt;0,Справочник_ОКВЭД_НР!$L$9,
  IF(COUNTIF(Справочник_ОКВЭД_НР!$E$3:$E$62,H280)&gt;0,Справочник_ОКВЭД_НР!$L$10,
   IF(COUNTIF(Справочник_ОКВЭД_НР!$G$3:$G$62,H280)&gt;0,Справочник_ОКВЭД_НР!$L$11,50))))</f>
        <v>100</v>
      </c>
      <c r="J280" s="30" cm="1">
        <f t="array" ref="J280">IFERROR(
 (SUMPRODUCT(ISNUMBER(SEARCH(","&amp;Справочник_ОКВЭД_НР!$A$3:$A$62&amp;".",","&amp;SUBSTITUTE(F280," ","")&amp;",")))*Справочник_ОКВЭД_НР!$L$9 +
  SUMPRODUCT(ISNUMBER(SEARCH(","&amp;Справочник_ОКВЭД_НР!$C$3:$C$62&amp;".",","&amp;SUBSTITUTE(F280," ","")&amp;",")))*Справочник_ОКВЭД_НР!$L$10 +
  SUMPRODUCT(ISNUMBER(SEARCH(","&amp;Справочник_ОКВЭД_НР!$E$3:$E$62&amp;".",","&amp;SUBSTITUTE(F280," ","")&amp;",")))*Справочник_ОКВЭД_НР!$L$11 +
  SUMPRODUCT(ISNUMBER(SEARCH(","&amp;Справочник_ОКВЭД_НР!$G$3:$G$62&amp;".",","&amp;SUBSTITUTE(F280," ","")&amp;",")))*Справочник_ОКВЭД_НР!$L$12) /
 (SUMPRODUCT(ISNUMBER(SEARCH(","&amp;Справочник_ОКВЭД_НР!$A$3:$A$62&amp;".",","&amp;SUBSTITUTE(F280," ","")&amp;","))) +
  SUMPRODUCT(ISNUMBER(SEARCH(","&amp;Справочник_ОКВЭД_НР!$C$3:$C$62&amp;".",","&amp;SUBSTITUTE(F280," ","")&amp;","))) +
  SUMPRODUCT(ISNUMBER(SEARCH(","&amp;Справочник_ОКВЭД_НР!$E$3:$E$62&amp;".",","&amp;SUBSTITUTE(F280," ","")&amp;","))) +
  SUMPRODUCT(ISNUMBER(SEARCH(","&amp;Справочник_ОКВЭД_НР!$G$3:$G$62&amp;".",","&amp;SUBSTITUTE(F280," ","")&amp;",")))),
50)</f>
        <v>50</v>
      </c>
      <c r="K280" s="30">
        <f>IFERROR(VLOOKUP(G280,Справочник_ОКВЭД_НР!$O:$P,2,FALSE()),50)</f>
        <v>50</v>
      </c>
      <c r="L280" s="45">
        <f>(I280*Справочник_ОКВЭД_НР!$L$2+J280*Справочник_ОКВЭД_НР!$L$3+K280*Справочник_ОКВЭД_НР!$L$4)*M280</f>
        <v>80</v>
      </c>
      <c r="M280" s="47">
        <f>IF(COUNTIF(Справочник_ОКВЭД_НР!$G$3:$G$62,H280)&gt;0,0,1)</f>
        <v>1</v>
      </c>
    </row>
    <row r="281" spans="1:13" x14ac:dyDescent="0.25">
      <c r="A281" s="4">
        <f>ЛИК_дляСкорингаДП!A281</f>
        <v>1165022050038</v>
      </c>
      <c r="B281" s="4">
        <f>ЛИК_дляСкорингаДП!B281</f>
        <v>5022049930</v>
      </c>
      <c r="C281" s="4" t="str">
        <f>ЛИК_дляСкорингаДП!C281</f>
        <v>ООО "КОЛНАГ"</v>
      </c>
      <c r="D281" s="5" t="str">
        <f>ЛИК_дляСкорингаДП!M281</f>
        <v>Производство машин и сельскохозяйственного оборудования для обработки почвы</v>
      </c>
      <c r="E281" s="4" t="str">
        <f>ЛИК_дляСкорингаДП!L281</f>
        <v>28.30.3</v>
      </c>
      <c r="F281" t="str">
        <f>ЛИК_дляСкорингаДП!N281</f>
        <v>46.61,25.62,25.99,28.30.3,28.30.81,28.30.82,28.30.83,28.30.84,28.30.85,33.12,35.30.14,46.61.1,68.20.2,73.11,77.31,77.39.1</v>
      </c>
      <c r="G281" s="25" t="str">
        <f>ЛИК_дляСкорингаДП!AG281</f>
        <v>ОСН</v>
      </c>
      <c r="H281" s="55" t="str">
        <f>IF(ISNUMBER(E281),E281,
IFERROR(LEFT(E281,FIND(".",E281)-1),E281))</f>
        <v>28</v>
      </c>
      <c r="I281" s="30">
        <f>IF(COUNTIF(Справочник_ОКВЭД_НР!$A$3:$A$62,H281)&gt;0,Справочник_ОКВЭД_НР!$L$8,
 IF(COUNTIF(Справочник_ОКВЭД_НР!$C$3:$C$62,H281)&gt;0,Справочник_ОКВЭД_НР!$L$9,
  IF(COUNTIF(Справочник_ОКВЭД_НР!$E$3:$E$62,H281)&gt;0,Справочник_ОКВЭД_НР!$L$10,
   IF(COUNTIF(Справочник_ОКВЭД_НР!$G$3:$G$62,H281)&gt;0,Справочник_ОКВЭД_НР!$L$11,50))))</f>
        <v>60</v>
      </c>
      <c r="J281" s="30" cm="1">
        <f t="array" ref="J281">IFERROR(
 (SUMPRODUCT(ISNUMBER(SEARCH(","&amp;Справочник_ОКВЭД_НР!$A$3:$A$62&amp;".",","&amp;SUBSTITUTE(F281," ","")&amp;",")))*Справочник_ОКВЭД_НР!$L$9 +
  SUMPRODUCT(ISNUMBER(SEARCH(","&amp;Справочник_ОКВЭД_НР!$C$3:$C$62&amp;".",","&amp;SUBSTITUTE(F281," ","")&amp;",")))*Справочник_ОКВЭД_НР!$L$10 +
  SUMPRODUCT(ISNUMBER(SEARCH(","&amp;Справочник_ОКВЭД_НР!$E$3:$E$62&amp;".",","&amp;SUBSTITUTE(F281," ","")&amp;",")))*Справочник_ОКВЭД_НР!$L$11 +
  SUMPRODUCT(ISNUMBER(SEARCH(","&amp;Справочник_ОКВЭД_НР!$G$3:$G$62&amp;".",","&amp;SUBSTITUTE(F281," ","")&amp;",")))*Справочник_ОКВЭД_НР!$L$12) /
 (SUMPRODUCT(ISNUMBER(SEARCH(","&amp;Справочник_ОКВЭД_НР!$A$3:$A$62&amp;".",","&amp;SUBSTITUTE(F281," ","")&amp;","))) +
  SUMPRODUCT(ISNUMBER(SEARCH(","&amp;Справочник_ОКВЭД_НР!$C$3:$C$62&amp;".",","&amp;SUBSTITUTE(F281," ","")&amp;","))) +
  SUMPRODUCT(ISNUMBER(SEARCH(","&amp;Справочник_ОКВЭД_НР!$E$3:$E$62&amp;".",","&amp;SUBSTITUTE(F281," ","")&amp;","))) +
  SUMPRODUCT(ISNUMBER(SEARCH(","&amp;Справочник_ОКВЭД_НР!$G$3:$G$62&amp;".",","&amp;SUBSTITUTE(F281," ","")&amp;",")))),
50)</f>
        <v>50</v>
      </c>
      <c r="K281" s="30">
        <f>IFERROR(VLOOKUP(G281,Справочник_ОКВЭД_НР!$O:$P,2,FALSE()),50)</f>
        <v>100</v>
      </c>
      <c r="L281" s="45">
        <f>(I281*Справочник_ОКВЭД_НР!$L$2+J281*Справочник_ОКВЭД_НР!$L$3+K281*Справочник_ОКВЭД_НР!$L$4)*M281</f>
        <v>63.5</v>
      </c>
      <c r="M281" s="47">
        <f>IF(COUNTIF(Справочник_ОКВЭД_НР!$G$3:$G$62,H281)&gt;0,0,1)</f>
        <v>1</v>
      </c>
    </row>
    <row r="282" spans="1:13" x14ac:dyDescent="0.25">
      <c r="A282" s="4">
        <f>ЛИК_дляСкорингаДП!A282</f>
        <v>1187746032968</v>
      </c>
      <c r="B282" s="4">
        <f>ЛИК_дляСкорингаДП!B282</f>
        <v>9721061045</v>
      </c>
      <c r="C282" s="4" t="str">
        <f>ЛИК_дляСкорингаДП!C282</f>
        <v>ООО "РОМЕР ЛАБС"</v>
      </c>
      <c r="D282" s="5" t="str">
        <f>ЛИК_дляСкорингаДП!M282</f>
        <v>Торговля оптовая неспециализированная</v>
      </c>
      <c r="E282" s="4" t="str">
        <f>ЛИК_дляСкорингаДП!L282</f>
        <v>46.90</v>
      </c>
      <c r="F282" t="str">
        <f>ЛИК_дляСкорингаДП!N282</f>
        <v>46.69.9,46.75.2,47.91.2,52.10.9,52.29,68.20.2,71.20.1,71.20.9,77.39.29,82.20,82.99</v>
      </c>
      <c r="G282" s="25" t="str">
        <f>ЛИК_дляСкорингаДП!AG282</f>
        <v>ОСН</v>
      </c>
      <c r="H282" s="55" t="str">
        <f>IF(ISNUMBER(E282),E282,
IFERROR(LEFT(E282,FIND(".",E282)-1),E282))</f>
        <v>46</v>
      </c>
      <c r="I282" s="30">
        <f>IF(COUNTIF(Справочник_ОКВЭД_НР!$A$3:$A$62,H282)&gt;0,Справочник_ОКВЭД_НР!$L$8,
 IF(COUNTIF(Справочник_ОКВЭД_НР!$C$3:$C$62,H282)&gt;0,Справочник_ОКВЭД_НР!$L$9,
  IF(COUNTIF(Справочник_ОКВЭД_НР!$E$3:$E$62,H282)&gt;0,Справочник_ОКВЭД_НР!$L$10,
   IF(COUNTIF(Справочник_ОКВЭД_НР!$G$3:$G$62,H282)&gt;0,Справочник_ОКВЭД_НР!$L$11,50))))</f>
        <v>60</v>
      </c>
      <c r="J282" s="30" cm="1">
        <f t="array" ref="J282">IFERROR(
 (SUMPRODUCT(ISNUMBER(SEARCH(","&amp;Справочник_ОКВЭД_НР!$A$3:$A$62&amp;".",","&amp;SUBSTITUTE(F282," ","")&amp;",")))*Справочник_ОКВЭД_НР!$L$9 +
  SUMPRODUCT(ISNUMBER(SEARCH(","&amp;Справочник_ОКВЭД_НР!$C$3:$C$62&amp;".",","&amp;SUBSTITUTE(F282," ","")&amp;",")))*Справочник_ОКВЭД_НР!$L$10 +
  SUMPRODUCT(ISNUMBER(SEARCH(","&amp;Справочник_ОКВЭД_НР!$E$3:$E$62&amp;".",","&amp;SUBSTITUTE(F282," ","")&amp;",")))*Справочник_ОКВЭД_НР!$L$11 +
  SUMPRODUCT(ISNUMBER(SEARCH(","&amp;Справочник_ОКВЭД_НР!$G$3:$G$62&amp;".",","&amp;SUBSTITUTE(F282," ","")&amp;",")))*Справочник_ОКВЭД_НР!$L$12) /
 (SUMPRODUCT(ISNUMBER(SEARCH(","&amp;Справочник_ОКВЭД_НР!$A$3:$A$62&amp;".",","&amp;SUBSTITUTE(F282," ","")&amp;","))) +
  SUMPRODUCT(ISNUMBER(SEARCH(","&amp;Справочник_ОКВЭД_НР!$C$3:$C$62&amp;".",","&amp;SUBSTITUTE(F282," ","")&amp;","))) +
  SUMPRODUCT(ISNUMBER(SEARCH(","&amp;Справочник_ОКВЭД_НР!$E$3:$E$62&amp;".",","&amp;SUBSTITUTE(F282," ","")&amp;","))) +
  SUMPRODUCT(ISNUMBER(SEARCH(","&amp;Справочник_ОКВЭД_НР!$G$3:$G$62&amp;".",","&amp;SUBSTITUTE(F282," ","")&amp;",")))),
50)</f>
        <v>50</v>
      </c>
      <c r="K282" s="30">
        <f>IFERROR(VLOOKUP(G282,Справочник_ОКВЭД_НР!$O:$P,2,FALSE()),50)</f>
        <v>100</v>
      </c>
      <c r="L282" s="45">
        <f>(I282*Справочник_ОКВЭД_НР!$L$2+J282*Справочник_ОКВЭД_НР!$L$3+K282*Справочник_ОКВЭД_НР!$L$4)*M282</f>
        <v>63.5</v>
      </c>
      <c r="M282" s="47">
        <f>IF(COUNTIF(Справочник_ОКВЭД_НР!$G$3:$G$62,H282)&gt;0,0,1)</f>
        <v>1</v>
      </c>
    </row>
    <row r="283" spans="1:13" x14ac:dyDescent="0.25">
      <c r="A283" s="4">
        <f>ЛИК_дляСкорингаДП!A283</f>
        <v>1165032052240</v>
      </c>
      <c r="B283" s="4">
        <f>ЛИК_дляСкорингаДП!B283</f>
        <v>5032231747</v>
      </c>
      <c r="C283" s="4" t="str">
        <f>ЛИК_дляСкорингаДП!C283</f>
        <v>ООО "ЗМД ПОДМОСКОВЬЕ"</v>
      </c>
      <c r="D283" s="5" t="str">
        <f>ЛИК_дляСкорингаДП!M283</f>
        <v>Производство сборных деревянных строений</v>
      </c>
      <c r="E283" s="4" t="str">
        <f>ЛИК_дляСкорингаДП!L283</f>
        <v>16.23.2</v>
      </c>
      <c r="F283" t="str">
        <f>ЛИК_дляСкорингаДП!N283</f>
        <v>35.30.14,43.99,46.73.6,47.52.7,68.20.2,68.32.1</v>
      </c>
      <c r="G283" s="25" t="str">
        <f>ЛИК_дляСкорингаДП!AG283</f>
        <v>УСН</v>
      </c>
      <c r="H283" s="55" t="str">
        <f>IF(ISNUMBER(E283),E283,
IFERROR(LEFT(E283,FIND(".",E283)-1),E283))</f>
        <v>16</v>
      </c>
      <c r="I283" s="30">
        <f>IF(COUNTIF(Справочник_ОКВЭД_НР!$A$3:$A$62,H283)&gt;0,Справочник_ОКВЭД_НР!$L$8,
 IF(COUNTIF(Справочник_ОКВЭД_НР!$C$3:$C$62,H283)&gt;0,Справочник_ОКВЭД_НР!$L$9,
  IF(COUNTIF(Справочник_ОКВЭД_НР!$E$3:$E$62,H283)&gt;0,Справочник_ОКВЭД_НР!$L$10,
   IF(COUNTIF(Справочник_ОКВЭД_НР!$G$3:$G$62,H283)&gt;0,Справочник_ОКВЭД_НР!$L$11,50))))</f>
        <v>60</v>
      </c>
      <c r="J283" s="30" cm="1">
        <f t="array" ref="J283">IFERROR(
 (SUMPRODUCT(ISNUMBER(SEARCH(","&amp;Справочник_ОКВЭД_НР!$A$3:$A$62&amp;".",","&amp;SUBSTITUTE(F283," ","")&amp;",")))*Справочник_ОКВЭД_НР!$L$9 +
  SUMPRODUCT(ISNUMBER(SEARCH(","&amp;Справочник_ОКВЭД_НР!$C$3:$C$62&amp;".",","&amp;SUBSTITUTE(F283," ","")&amp;",")))*Справочник_ОКВЭД_НР!$L$10 +
  SUMPRODUCT(ISNUMBER(SEARCH(","&amp;Справочник_ОКВЭД_НР!$E$3:$E$62&amp;".",","&amp;SUBSTITUTE(F283," ","")&amp;",")))*Справочник_ОКВЭД_НР!$L$11 +
  SUMPRODUCT(ISNUMBER(SEARCH(","&amp;Справочник_ОКВЭД_НР!$G$3:$G$62&amp;".",","&amp;SUBSTITUTE(F283," ","")&amp;",")))*Справочник_ОКВЭД_НР!$L$12) /
 (SUMPRODUCT(ISNUMBER(SEARCH(","&amp;Справочник_ОКВЭД_НР!$A$3:$A$62&amp;".",","&amp;SUBSTITUTE(F283," ","")&amp;","))) +
  SUMPRODUCT(ISNUMBER(SEARCH(","&amp;Справочник_ОКВЭД_НР!$C$3:$C$62&amp;".",","&amp;SUBSTITUTE(F283," ","")&amp;","))) +
  SUMPRODUCT(ISNUMBER(SEARCH(","&amp;Справочник_ОКВЭД_НР!$E$3:$E$62&amp;".",","&amp;SUBSTITUTE(F283," ","")&amp;","))) +
  SUMPRODUCT(ISNUMBER(SEARCH(","&amp;Справочник_ОКВЭД_НР!$G$3:$G$62&amp;".",","&amp;SUBSTITUTE(F283," ","")&amp;",")))),
50)</f>
        <v>50</v>
      </c>
      <c r="K283" s="30">
        <f>IFERROR(VLOOKUP(G283,Справочник_ОКВЭД_НР!$O:$P,2,FALSE()),50)</f>
        <v>50</v>
      </c>
      <c r="L283" s="45">
        <f>(I283*Справочник_ОКВЭД_НР!$L$2+J283*Справочник_ОКВЭД_НР!$L$3+K283*Справочник_ОКВЭД_НР!$L$4)*M283</f>
        <v>56</v>
      </c>
      <c r="M283" s="47">
        <f>IF(COUNTIF(Справочник_ОКВЭД_НР!$G$3:$G$62,H283)&gt;0,0,1)</f>
        <v>1</v>
      </c>
    </row>
    <row r="284" spans="1:13" x14ac:dyDescent="0.25">
      <c r="A284" s="4">
        <f>ЛИК_дляСкорингаДП!A284</f>
        <v>1137746270793</v>
      </c>
      <c r="B284" s="4">
        <f>ЛИК_дляСкорингаДП!B284</f>
        <v>7706792008</v>
      </c>
      <c r="C284" s="4" t="str">
        <f>ЛИК_дляСкорингаДП!C284</f>
        <v>АО "АТОМКАПИТАЛ"</v>
      </c>
      <c r="D284" s="5" t="str">
        <f>ЛИК_дляСкорингаДП!M284</f>
        <v>Деятельность по предоставлению займов промышленности</v>
      </c>
      <c r="E284" s="4" t="str">
        <f>ЛИК_дляСкорингаДП!L284</f>
        <v>64.92.2</v>
      </c>
      <c r="F284" t="str">
        <f>ЛИК_дляСкорингаДП!N284</f>
        <v>64.99.5,70.22</v>
      </c>
      <c r="G284" s="25" t="str">
        <f>ЛИК_дляСкорингаДП!AG284</f>
        <v>ОСН</v>
      </c>
      <c r="H284" s="55" t="str">
        <f>IF(ISNUMBER(E284),E284,
IFERROR(LEFT(E284,FIND(".",E284)-1),E284))</f>
        <v>64</v>
      </c>
      <c r="I284" s="30">
        <f>IF(COUNTIF(Справочник_ОКВЭД_НР!$A$3:$A$62,H284)&gt;0,Справочник_ОКВЭД_НР!$L$8,
 IF(COUNTIF(Справочник_ОКВЭД_НР!$C$3:$C$62,H284)&gt;0,Справочник_ОКВЭД_НР!$L$9,
  IF(COUNTIF(Справочник_ОКВЭД_НР!$E$3:$E$62,H284)&gt;0,Справочник_ОКВЭД_НР!$L$10,
   IF(COUNTIF(Справочник_ОКВЭД_НР!$G$3:$G$62,H284)&gt;0,Справочник_ОКВЭД_НР!$L$11,50))))</f>
        <v>60</v>
      </c>
      <c r="J284" s="30" cm="1">
        <f t="array" ref="J284">IFERROR(
 (SUMPRODUCT(ISNUMBER(SEARCH(","&amp;Справочник_ОКВЭД_НР!$A$3:$A$62&amp;".",","&amp;SUBSTITUTE(F284," ","")&amp;",")))*Справочник_ОКВЭД_НР!$L$9 +
  SUMPRODUCT(ISNUMBER(SEARCH(","&amp;Справочник_ОКВЭД_НР!$C$3:$C$62&amp;".",","&amp;SUBSTITUTE(F284," ","")&amp;",")))*Справочник_ОКВЭД_НР!$L$10 +
  SUMPRODUCT(ISNUMBER(SEARCH(","&amp;Справочник_ОКВЭД_НР!$E$3:$E$62&amp;".",","&amp;SUBSTITUTE(F284," ","")&amp;",")))*Справочник_ОКВЭД_НР!$L$11 +
  SUMPRODUCT(ISNUMBER(SEARCH(","&amp;Справочник_ОКВЭД_НР!$G$3:$G$62&amp;".",","&amp;SUBSTITUTE(F284," ","")&amp;",")))*Справочник_ОКВЭД_НР!$L$12) /
 (SUMPRODUCT(ISNUMBER(SEARCH(","&amp;Справочник_ОКВЭД_НР!$A$3:$A$62&amp;".",","&amp;SUBSTITUTE(F284," ","")&amp;","))) +
  SUMPRODUCT(ISNUMBER(SEARCH(","&amp;Справочник_ОКВЭД_НР!$C$3:$C$62&amp;".",","&amp;SUBSTITUTE(F284," ","")&amp;","))) +
  SUMPRODUCT(ISNUMBER(SEARCH(","&amp;Справочник_ОКВЭД_НР!$E$3:$E$62&amp;".",","&amp;SUBSTITUTE(F284," ","")&amp;","))) +
  SUMPRODUCT(ISNUMBER(SEARCH(","&amp;Справочник_ОКВЭД_НР!$G$3:$G$62&amp;".",","&amp;SUBSTITUTE(F284," ","")&amp;",")))),
50)</f>
        <v>50</v>
      </c>
      <c r="K284" s="30">
        <f>IFERROR(VLOOKUP(G284,Справочник_ОКВЭД_НР!$O:$P,2,FALSE()),50)</f>
        <v>100</v>
      </c>
      <c r="L284" s="45">
        <f>(I284*Справочник_ОКВЭД_НР!$L$2+J284*Справочник_ОКВЭД_НР!$L$3+K284*Справочник_ОКВЭД_НР!$L$4)*M284</f>
        <v>63.5</v>
      </c>
      <c r="M284" s="47">
        <f>IF(COUNTIF(Справочник_ОКВЭД_НР!$G$3:$G$62,H284)&gt;0,0,1)</f>
        <v>1</v>
      </c>
    </row>
    <row r="285" spans="1:13" x14ac:dyDescent="0.25">
      <c r="A285" s="4">
        <f>ЛИК_дляСкорингаДП!A285</f>
        <v>1137746448718</v>
      </c>
      <c r="B285" s="4">
        <f>ЛИК_дляСкорингаДП!B285</f>
        <v>7722809347</v>
      </c>
      <c r="C285" s="4" t="str">
        <f>ЛИК_дляСкорингаДП!C285</f>
        <v>ООО ВКЗ "ШЕРЕМЕТЬЕВСКИЙ"</v>
      </c>
      <c r="D285" s="5" t="str">
        <f>ЛИК_дляСкорингаДП!M285</f>
        <v>Производство дистиллированных питьевых алкогольных напитков: водки, виски, бренди, джина, ликеров и т. п.</v>
      </c>
      <c r="E285" s="4" t="str">
        <f>ЛИК_дляСкорингаДП!L285</f>
        <v>11.01.1</v>
      </c>
      <c r="F285" t="str">
        <f>ЛИК_дляСкорингаДП!N285</f>
        <v>11.02,11.03,11.04,11.07,46.17.22,46.34,47.25,47.25.1,52.10,68.20</v>
      </c>
      <c r="G285" s="25" t="str">
        <f>ЛИК_дляСкорингаДП!AG285</f>
        <v>ОСН</v>
      </c>
      <c r="H285" s="55" t="str">
        <f>IF(ISNUMBER(E285),E285,
IFERROR(LEFT(E285,FIND(".",E285)-1),E285))</f>
        <v>11</v>
      </c>
      <c r="I285" s="30">
        <f>IF(COUNTIF(Справочник_ОКВЭД_НР!$A$3:$A$62,H285)&gt;0,Справочник_ОКВЭД_НР!$L$8,
 IF(COUNTIF(Справочник_ОКВЭД_НР!$C$3:$C$62,H285)&gt;0,Справочник_ОКВЭД_НР!$L$9,
  IF(COUNTIF(Справочник_ОКВЭД_НР!$E$3:$E$62,H285)&gt;0,Справочник_ОКВЭД_НР!$L$10,
   IF(COUNTIF(Справочник_ОКВЭД_НР!$G$3:$G$62,H285)&gt;0,Справочник_ОКВЭД_НР!$L$11,50))))</f>
        <v>100</v>
      </c>
      <c r="J285" s="30" cm="1">
        <f t="array" ref="J285">IFERROR(
 (SUMPRODUCT(ISNUMBER(SEARCH(","&amp;Справочник_ОКВЭД_НР!$A$3:$A$62&amp;".",","&amp;SUBSTITUTE(F285," ","")&amp;",")))*Справочник_ОКВЭД_НР!$L$9 +
  SUMPRODUCT(ISNUMBER(SEARCH(","&amp;Справочник_ОКВЭД_НР!$C$3:$C$62&amp;".",","&amp;SUBSTITUTE(F285," ","")&amp;",")))*Справочник_ОКВЭД_НР!$L$10 +
  SUMPRODUCT(ISNUMBER(SEARCH(","&amp;Справочник_ОКВЭД_НР!$E$3:$E$62&amp;".",","&amp;SUBSTITUTE(F285," ","")&amp;",")))*Справочник_ОКВЭД_НР!$L$11 +
  SUMPRODUCT(ISNUMBER(SEARCH(","&amp;Справочник_ОКВЭД_НР!$G$3:$G$62&amp;".",","&amp;SUBSTITUTE(F285," ","")&amp;",")))*Справочник_ОКВЭД_НР!$L$12) /
 (SUMPRODUCT(ISNUMBER(SEARCH(","&amp;Справочник_ОКВЭД_НР!$A$3:$A$62&amp;".",","&amp;SUBSTITUTE(F285," ","")&amp;","))) +
  SUMPRODUCT(ISNUMBER(SEARCH(","&amp;Справочник_ОКВЭД_НР!$C$3:$C$62&amp;".",","&amp;SUBSTITUTE(F285," ","")&amp;","))) +
  SUMPRODUCT(ISNUMBER(SEARCH(","&amp;Справочник_ОКВЭД_НР!$E$3:$E$62&amp;".",","&amp;SUBSTITUTE(F285," ","")&amp;","))) +
  SUMPRODUCT(ISNUMBER(SEARCH(","&amp;Справочник_ОКВЭД_НР!$G$3:$G$62&amp;".",","&amp;SUBSTITUTE(F285," ","")&amp;",")))),
50)</f>
        <v>50</v>
      </c>
      <c r="K285" s="30">
        <f>IFERROR(VLOOKUP(G285,Справочник_ОКВЭД_НР!$O:$P,2,FALSE()),50)</f>
        <v>100</v>
      </c>
      <c r="L285" s="45">
        <f>(I285*Справочник_ОКВЭД_НР!$L$2+J285*Справочник_ОКВЭД_НР!$L$3+K285*Справочник_ОКВЭД_НР!$L$4)*M285</f>
        <v>87.5</v>
      </c>
      <c r="M285" s="47">
        <f>IF(COUNTIF(Справочник_ОКВЭД_НР!$G$3:$G$62,H285)&gt;0,0,1)</f>
        <v>1</v>
      </c>
    </row>
    <row r="286" spans="1:13" x14ac:dyDescent="0.25">
      <c r="A286" s="4">
        <f>ЛИК_дляСкорингаДП!A286</f>
        <v>1165050050626</v>
      </c>
      <c r="B286" s="4">
        <f>ЛИК_дляСкорингаДП!B286</f>
        <v>5050123374</v>
      </c>
      <c r="C286" s="4" t="str">
        <f>ЛИК_дляСкорингаДП!C286</f>
        <v>ООО "ТОРГОВАЯ ГАЛЕРЕЯ"</v>
      </c>
      <c r="D286" s="5" t="str">
        <f>ЛИК_дляСкорингаДП!M286</f>
        <v>Управление недвижимым имуществом за вознаграждение или на договорной основе</v>
      </c>
      <c r="E286" s="4" t="str">
        <f>ЛИК_дляСкорингаДП!L286</f>
        <v>68.32</v>
      </c>
      <c r="F286" t="str">
        <f>ЛИК_дляСкорингаДП!N286</f>
        <v>41.20,43.11,43.12.3,68.10,68.10.1,68.10.23,68.20,68.20.2</v>
      </c>
      <c r="G286" s="25" t="str">
        <f>ЛИК_дляСкорингаДП!AG286</f>
        <v>ОСН</v>
      </c>
      <c r="H286" s="55" t="str">
        <f>IF(ISNUMBER(E286),E286,
IFERROR(LEFT(E286,FIND(".",E286)-1),E286))</f>
        <v>68</v>
      </c>
      <c r="I286" s="30">
        <f>IF(COUNTIF(Справочник_ОКВЭД_НР!$A$3:$A$62,H286)&gt;0,Справочник_ОКВЭД_НР!$L$8,
 IF(COUNTIF(Справочник_ОКВЭД_НР!$C$3:$C$62,H286)&gt;0,Справочник_ОКВЭД_НР!$L$9,
  IF(COUNTIF(Справочник_ОКВЭД_НР!$E$3:$E$62,H286)&gt;0,Справочник_ОКВЭД_НР!$L$10,
   IF(COUNTIF(Справочник_ОКВЭД_НР!$G$3:$G$62,H286)&gt;0,Справочник_ОКВЭД_НР!$L$11,50))))</f>
        <v>100</v>
      </c>
      <c r="J286" s="30" cm="1">
        <f t="array" ref="J286">IFERROR(
 (SUMPRODUCT(ISNUMBER(SEARCH(","&amp;Справочник_ОКВЭД_НР!$A$3:$A$62&amp;".",","&amp;SUBSTITUTE(F286," ","")&amp;",")))*Справочник_ОКВЭД_НР!$L$9 +
  SUMPRODUCT(ISNUMBER(SEARCH(","&amp;Справочник_ОКВЭД_НР!$C$3:$C$62&amp;".",","&amp;SUBSTITUTE(F286," ","")&amp;",")))*Справочник_ОКВЭД_НР!$L$10 +
  SUMPRODUCT(ISNUMBER(SEARCH(","&amp;Справочник_ОКВЭД_НР!$E$3:$E$62&amp;".",","&amp;SUBSTITUTE(F286," ","")&amp;",")))*Справочник_ОКВЭД_НР!$L$11 +
  SUMPRODUCT(ISNUMBER(SEARCH(","&amp;Справочник_ОКВЭД_НР!$G$3:$G$62&amp;".",","&amp;SUBSTITUTE(F286," ","")&amp;",")))*Справочник_ОКВЭД_НР!$L$12) /
 (SUMPRODUCT(ISNUMBER(SEARCH(","&amp;Справочник_ОКВЭД_НР!$A$3:$A$62&amp;".",","&amp;SUBSTITUTE(F286," ","")&amp;","))) +
  SUMPRODUCT(ISNUMBER(SEARCH(","&amp;Справочник_ОКВЭД_НР!$C$3:$C$62&amp;".",","&amp;SUBSTITUTE(F286," ","")&amp;","))) +
  SUMPRODUCT(ISNUMBER(SEARCH(","&amp;Справочник_ОКВЭД_НР!$E$3:$E$62&amp;".",","&amp;SUBSTITUTE(F286," ","")&amp;","))) +
  SUMPRODUCT(ISNUMBER(SEARCH(","&amp;Справочник_ОКВЭД_НР!$G$3:$G$62&amp;".",","&amp;SUBSTITUTE(F286," ","")&amp;",")))),
50)</f>
        <v>50</v>
      </c>
      <c r="K286" s="30">
        <f>IFERROR(VLOOKUP(G286,Справочник_ОКВЭД_НР!$O:$P,2,FALSE()),50)</f>
        <v>100</v>
      </c>
      <c r="L286" s="45">
        <f>(I286*Справочник_ОКВЭД_НР!$L$2+J286*Справочник_ОКВЭД_НР!$L$3+K286*Справочник_ОКВЭД_НР!$L$4)*M286</f>
        <v>87.5</v>
      </c>
      <c r="M286" s="47">
        <f>IF(COUNTIF(Справочник_ОКВЭД_НР!$G$3:$G$62,H286)&gt;0,0,1)</f>
        <v>1</v>
      </c>
    </row>
    <row r="287" spans="1:13" x14ac:dyDescent="0.25">
      <c r="A287" s="4">
        <f>ЛИК_дляСкорингаДП!A287</f>
        <v>1165043051227</v>
      </c>
      <c r="B287" s="4">
        <f>ЛИК_дляСкорингаДП!B287</f>
        <v>5043058124</v>
      </c>
      <c r="C287" s="4" t="str">
        <f>ЛИК_дляСкорингаДП!C287</f>
        <v>ООО "КОПЭКЕР АГРО"</v>
      </c>
      <c r="D287" s="5" t="str">
        <f>ЛИК_дляСкорингаДП!M287</f>
        <v>Деятельность по упаковыванию товаров</v>
      </c>
      <c r="E287" s="4" t="str">
        <f>ЛИК_дляСкорингаДП!L287</f>
        <v>82.92</v>
      </c>
      <c r="F287" t="str">
        <f>ЛИК_дляСкорингаДП!N287</f>
        <v>01.61,10.84,10.85,10.86,11.06,46.21,46.21.11,46.21.19,46.38.21,46.38.29,46.90,52.10.3,52.10.9</v>
      </c>
      <c r="G287" s="25" t="str">
        <f>ЛИК_дляСкорингаДП!AG287</f>
        <v>ОСН</v>
      </c>
      <c r="H287" s="55" t="str">
        <f>IF(ISNUMBER(E287),E287,
IFERROR(LEFT(E287,FIND(".",E287)-1),E287))</f>
        <v>82</v>
      </c>
      <c r="I287" s="30">
        <f>IF(COUNTIF(Справочник_ОКВЭД_НР!$A$3:$A$62,H287)&gt;0,Справочник_ОКВЭД_НР!$L$8,
 IF(COUNTIF(Справочник_ОКВЭД_НР!$C$3:$C$62,H287)&gt;0,Справочник_ОКВЭД_НР!$L$9,
  IF(COUNTIF(Справочник_ОКВЭД_НР!$E$3:$E$62,H287)&gt;0,Справочник_ОКВЭД_НР!$L$10,
   IF(COUNTIF(Справочник_ОКВЭД_НР!$G$3:$G$62,H287)&gt;0,Справочник_ОКВЭД_НР!$L$11,50))))</f>
        <v>30</v>
      </c>
      <c r="J287" s="30" cm="1">
        <f t="array" ref="J287">IFERROR(
 (SUMPRODUCT(ISNUMBER(SEARCH(","&amp;Справочник_ОКВЭД_НР!$A$3:$A$62&amp;".",","&amp;SUBSTITUTE(F287," ","")&amp;",")))*Справочник_ОКВЭД_НР!$L$9 +
  SUMPRODUCT(ISNUMBER(SEARCH(","&amp;Справочник_ОКВЭД_НР!$C$3:$C$62&amp;".",","&amp;SUBSTITUTE(F287," ","")&amp;",")))*Справочник_ОКВЭД_НР!$L$10 +
  SUMPRODUCT(ISNUMBER(SEARCH(","&amp;Справочник_ОКВЭД_НР!$E$3:$E$62&amp;".",","&amp;SUBSTITUTE(F287," ","")&amp;",")))*Справочник_ОКВЭД_НР!$L$11 +
  SUMPRODUCT(ISNUMBER(SEARCH(","&amp;Справочник_ОКВЭД_НР!$G$3:$G$62&amp;".",","&amp;SUBSTITUTE(F287," ","")&amp;",")))*Справочник_ОКВЭД_НР!$L$12) /
 (SUMPRODUCT(ISNUMBER(SEARCH(","&amp;Справочник_ОКВЭД_НР!$A$3:$A$62&amp;".",","&amp;SUBSTITUTE(F287," ","")&amp;","))) +
  SUMPRODUCT(ISNUMBER(SEARCH(","&amp;Справочник_ОКВЭД_НР!$C$3:$C$62&amp;".",","&amp;SUBSTITUTE(F287," ","")&amp;","))) +
  SUMPRODUCT(ISNUMBER(SEARCH(","&amp;Справочник_ОКВЭД_НР!$E$3:$E$62&amp;".",","&amp;SUBSTITUTE(F287," ","")&amp;","))) +
  SUMPRODUCT(ISNUMBER(SEARCH(","&amp;Справочник_ОКВЭД_НР!$G$3:$G$62&amp;".",","&amp;SUBSTITUTE(F287," ","")&amp;",")))),
50)</f>
        <v>50</v>
      </c>
      <c r="K287" s="30">
        <f>IFERROR(VLOOKUP(G287,Справочник_ОКВЭД_НР!$O:$P,2,FALSE()),50)</f>
        <v>100</v>
      </c>
      <c r="L287" s="45">
        <f>(I287*Справочник_ОКВЭД_НР!$L$2+J287*Справочник_ОКВЭД_НР!$L$3+K287*Справочник_ОКВЭД_НР!$L$4)*M287</f>
        <v>45.5</v>
      </c>
      <c r="M287" s="47">
        <f>IF(COUNTIF(Справочник_ОКВЭД_НР!$G$3:$G$62,H287)&gt;0,0,1)</f>
        <v>1</v>
      </c>
    </row>
    <row r="288" spans="1:13" x14ac:dyDescent="0.25">
      <c r="A288" s="4">
        <f>ЛИК_дляСкорингаДП!A288</f>
        <v>1237700583152</v>
      </c>
      <c r="B288" s="4">
        <f>ЛИК_дляСкорингаДП!B288</f>
        <v>9722053738</v>
      </c>
      <c r="C288" s="4" t="str">
        <f>ЛИК_дляСкорингаДП!C288</f>
        <v>ООО МК "ЗЕНИТ"</v>
      </c>
      <c r="D288" s="5" t="str">
        <f>ЛИК_дляСкорингаДП!M288</f>
        <v>Производство гофрированной бумаги и картона, бумажной и картонной тары</v>
      </c>
      <c r="E288" s="4" t="str">
        <f>ЛИК_дляСкорингаДП!L288</f>
        <v>17.21</v>
      </c>
      <c r="F288" t="str">
        <f>ЛИК_дляСкорингаДП!N288</f>
        <v>18.12,41.20,46.31,46.34,46.37,46.38.2,46.71,46.76.1,49.41,49.42,64.19,68.20,69.10,69.20,71.20.89,77.11</v>
      </c>
      <c r="G288" s="25" t="str">
        <f>ЛИК_дляСкорингаДП!AG288</f>
        <v>УСН</v>
      </c>
      <c r="H288" s="55" t="str">
        <f>IF(ISNUMBER(E288),E288,
IFERROR(LEFT(E288,FIND(".",E288)-1),E288))</f>
        <v>17</v>
      </c>
      <c r="I288" s="30">
        <f>IF(COUNTIF(Справочник_ОКВЭД_НР!$A$3:$A$62,H288)&gt;0,Справочник_ОКВЭД_НР!$L$8,
 IF(COUNTIF(Справочник_ОКВЭД_НР!$C$3:$C$62,H288)&gt;0,Справочник_ОКВЭД_НР!$L$9,
  IF(COUNTIF(Справочник_ОКВЭД_НР!$E$3:$E$62,H288)&gt;0,Справочник_ОКВЭД_НР!$L$10,
   IF(COUNTIF(Справочник_ОКВЭД_НР!$G$3:$G$62,H288)&gt;0,Справочник_ОКВЭД_НР!$L$11,50))))</f>
        <v>60</v>
      </c>
      <c r="J288" s="30" cm="1">
        <f t="array" ref="J288">IFERROR(
 (SUMPRODUCT(ISNUMBER(SEARCH(","&amp;Справочник_ОКВЭД_НР!$A$3:$A$62&amp;".",","&amp;SUBSTITUTE(F288," ","")&amp;",")))*Справочник_ОКВЭД_НР!$L$9 +
  SUMPRODUCT(ISNUMBER(SEARCH(","&amp;Справочник_ОКВЭД_НР!$C$3:$C$62&amp;".",","&amp;SUBSTITUTE(F288," ","")&amp;",")))*Справочник_ОКВЭД_НР!$L$10 +
  SUMPRODUCT(ISNUMBER(SEARCH(","&amp;Справочник_ОКВЭД_НР!$E$3:$E$62&amp;".",","&amp;SUBSTITUTE(F288," ","")&amp;",")))*Справочник_ОКВЭД_НР!$L$11 +
  SUMPRODUCT(ISNUMBER(SEARCH(","&amp;Справочник_ОКВЭД_НР!$G$3:$G$62&amp;".",","&amp;SUBSTITUTE(F288," ","")&amp;",")))*Справочник_ОКВЭД_НР!$L$12) /
 (SUMPRODUCT(ISNUMBER(SEARCH(","&amp;Справочник_ОКВЭД_НР!$A$3:$A$62&amp;".",","&amp;SUBSTITUTE(F288," ","")&amp;","))) +
  SUMPRODUCT(ISNUMBER(SEARCH(","&amp;Справочник_ОКВЭД_НР!$C$3:$C$62&amp;".",","&amp;SUBSTITUTE(F288," ","")&amp;","))) +
  SUMPRODUCT(ISNUMBER(SEARCH(","&amp;Справочник_ОКВЭД_НР!$E$3:$E$62&amp;".",","&amp;SUBSTITUTE(F288," ","")&amp;","))) +
  SUMPRODUCT(ISNUMBER(SEARCH(","&amp;Справочник_ОКВЭД_НР!$G$3:$G$62&amp;".",","&amp;SUBSTITUTE(F288," ","")&amp;",")))),
50)</f>
        <v>50</v>
      </c>
      <c r="K288" s="30">
        <f>IFERROR(VLOOKUP(G288,Справочник_ОКВЭД_НР!$O:$P,2,FALSE()),50)</f>
        <v>50</v>
      </c>
      <c r="L288" s="45">
        <f>(I288*Справочник_ОКВЭД_НР!$L$2+J288*Справочник_ОКВЭД_НР!$L$3+K288*Справочник_ОКВЭД_НР!$L$4)*M288</f>
        <v>56</v>
      </c>
      <c r="M288" s="47">
        <f>IF(COUNTIF(Справочник_ОКВЭД_НР!$G$3:$G$62,H288)&gt;0,0,1)</f>
        <v>1</v>
      </c>
    </row>
    <row r="289" spans="1:13" x14ac:dyDescent="0.25">
      <c r="A289" s="4">
        <f>ЛИК_дляСкорингаДП!A289</f>
        <v>1136318006098</v>
      </c>
      <c r="B289" s="4">
        <f>ЛИК_дляСкорингаДП!B289</f>
        <v>6318234481</v>
      </c>
      <c r="C289" s="4" t="str">
        <f>ЛИК_дляСкорингаДП!C289</f>
        <v>ООО "МСТ"</v>
      </c>
      <c r="D289" s="5" t="str">
        <f>ЛИК_дляСкорингаДП!M289</f>
        <v>Строительство жилых и нежилых зданий</v>
      </c>
      <c r="E289" s="4" t="str">
        <f>ЛИК_дляСкорингаДП!L289</f>
        <v>41.20</v>
      </c>
      <c r="F289" t="str">
        <f>ЛИК_дляСкорингаДП!N289</f>
        <v>23.31,23.32,23.42,23.51,23.52.1,23.64,23.69,23.99,25.11,25.73,25.99,28.11.2,42.11,42.12,42.13,42.21,42.22.2,42.91,42.99,43.11,43.12.3,43.21,43.22,43.29,43.31,43.32,43.33,43.34,43.39,43.91,43.99,43.99.1,43.99.2,43.99.4,43.99.5,43.99.6,46.51,46.52,46.61,46.62,46.63,46.64,46.66,46.69,46.73,46.74,46.75,46.76,46.77,46.90,52.10,52.21,52.24,52.29,71.1,71.11.1,71.12,71.12.1,71.12.5,71.12.6,71.12.8,71.20,82.99</v>
      </c>
      <c r="G289" s="25" t="str">
        <f>ЛИК_дляСкорингаДП!AG289</f>
        <v>ОСН</v>
      </c>
      <c r="H289" s="55" t="str">
        <f>IF(ISNUMBER(E289),E289,
IFERROR(LEFT(E289,FIND(".",E289)-1),E289))</f>
        <v>41</v>
      </c>
      <c r="I289" s="30">
        <f>IF(COUNTIF(Справочник_ОКВЭД_НР!$A$3:$A$62,H289)&gt;0,Справочник_ОКВЭД_НР!$L$8,
 IF(COUNTIF(Справочник_ОКВЭД_НР!$C$3:$C$62,H289)&gt;0,Справочник_ОКВЭД_НР!$L$9,
  IF(COUNTIF(Справочник_ОКВЭД_НР!$E$3:$E$62,H289)&gt;0,Справочник_ОКВЭД_НР!$L$10,
   IF(COUNTIF(Справочник_ОКВЭД_НР!$G$3:$G$62,H289)&gt;0,Справочник_ОКВЭД_НР!$L$11,50))))</f>
        <v>100</v>
      </c>
      <c r="J289" s="30" cm="1">
        <f t="array" ref="J289">IFERROR(
 (SUMPRODUCT(ISNUMBER(SEARCH(","&amp;Справочник_ОКВЭД_НР!$A$3:$A$62&amp;".",","&amp;SUBSTITUTE(F289," ","")&amp;",")))*Справочник_ОКВЭД_НР!$L$9 +
  SUMPRODUCT(ISNUMBER(SEARCH(","&amp;Справочник_ОКВЭД_НР!$C$3:$C$62&amp;".",","&amp;SUBSTITUTE(F289," ","")&amp;",")))*Справочник_ОКВЭД_НР!$L$10 +
  SUMPRODUCT(ISNUMBER(SEARCH(","&amp;Справочник_ОКВЭД_НР!$E$3:$E$62&amp;".",","&amp;SUBSTITUTE(F289," ","")&amp;",")))*Справочник_ОКВЭД_НР!$L$11 +
  SUMPRODUCT(ISNUMBER(SEARCH(","&amp;Справочник_ОКВЭД_НР!$G$3:$G$62&amp;".",","&amp;SUBSTITUTE(F289," ","")&amp;",")))*Справочник_ОКВЭД_НР!$L$12) /
 (SUMPRODUCT(ISNUMBER(SEARCH(","&amp;Справочник_ОКВЭД_НР!$A$3:$A$62&amp;".",","&amp;SUBSTITUTE(F289," ","")&amp;","))) +
  SUMPRODUCT(ISNUMBER(SEARCH(","&amp;Справочник_ОКВЭД_НР!$C$3:$C$62&amp;".",","&amp;SUBSTITUTE(F289," ","")&amp;","))) +
  SUMPRODUCT(ISNUMBER(SEARCH(","&amp;Справочник_ОКВЭД_НР!$E$3:$E$62&amp;".",","&amp;SUBSTITUTE(F289," ","")&amp;","))) +
  SUMPRODUCT(ISNUMBER(SEARCH(","&amp;Справочник_ОКВЭД_НР!$G$3:$G$62&amp;".",","&amp;SUBSTITUTE(F289," ","")&amp;",")))),
50)</f>
        <v>50</v>
      </c>
      <c r="K289" s="30">
        <f>IFERROR(VLOOKUP(G289,Справочник_ОКВЭД_НР!$O:$P,2,FALSE()),50)</f>
        <v>100</v>
      </c>
      <c r="L289" s="45">
        <f>(I289*Справочник_ОКВЭД_НР!$L$2+J289*Справочник_ОКВЭД_НР!$L$3+K289*Справочник_ОКВЭД_НР!$L$4)*M289</f>
        <v>87.5</v>
      </c>
      <c r="M289" s="47">
        <f>IF(COUNTIF(Справочник_ОКВЭД_НР!$G$3:$G$62,H289)&gt;0,0,1)</f>
        <v>1</v>
      </c>
    </row>
    <row r="290" spans="1:13" x14ac:dyDescent="0.25">
      <c r="A290" s="4">
        <f>ЛИК_дляСкорингаДП!A290</f>
        <v>1087746175219</v>
      </c>
      <c r="B290" s="4">
        <f>ЛИК_дляСкорингаДП!B290</f>
        <v>7731585654</v>
      </c>
      <c r="C290" s="4" t="str">
        <f>ЛИК_дляСкорингаДП!C290</f>
        <v>АО "ТЕХНОДЖИМ"</v>
      </c>
      <c r="D290" s="5" t="str">
        <f>ЛИК_дляСкорингаДП!M290</f>
        <v>Торговля оптовая прочими бытовыми товарами</v>
      </c>
      <c r="E290" s="4" t="str">
        <f>ЛИК_дляСкорингаДП!L290</f>
        <v>46.49</v>
      </c>
      <c r="F290" t="str">
        <f>ЛИК_дляСкорингаДП!N290</f>
        <v>46.18.99,46.49.43,47.64,70.22,73.20.1,93.19,95.29</v>
      </c>
      <c r="G290" s="25" t="str">
        <f>ЛИК_дляСкорингаДП!AG290</f>
        <v>ОСН</v>
      </c>
      <c r="H290" s="55" t="str">
        <f>IF(ISNUMBER(E290),E290,
IFERROR(LEFT(E290,FIND(".",E290)-1),E290))</f>
        <v>46</v>
      </c>
      <c r="I290" s="30">
        <f>IF(COUNTIF(Справочник_ОКВЭД_НР!$A$3:$A$62,H290)&gt;0,Справочник_ОКВЭД_НР!$L$8,
 IF(COUNTIF(Справочник_ОКВЭД_НР!$C$3:$C$62,H290)&gt;0,Справочник_ОКВЭД_НР!$L$9,
  IF(COUNTIF(Справочник_ОКВЭД_НР!$E$3:$E$62,H290)&gt;0,Справочник_ОКВЭД_НР!$L$10,
   IF(COUNTIF(Справочник_ОКВЭД_НР!$G$3:$G$62,H290)&gt;0,Справочник_ОКВЭД_НР!$L$11,50))))</f>
        <v>60</v>
      </c>
      <c r="J290" s="30" cm="1">
        <f t="array" ref="J290">IFERROR(
 (SUMPRODUCT(ISNUMBER(SEARCH(","&amp;Справочник_ОКВЭД_НР!$A$3:$A$62&amp;".",","&amp;SUBSTITUTE(F290," ","")&amp;",")))*Справочник_ОКВЭД_НР!$L$9 +
  SUMPRODUCT(ISNUMBER(SEARCH(","&amp;Справочник_ОКВЭД_НР!$C$3:$C$62&amp;".",","&amp;SUBSTITUTE(F290," ","")&amp;",")))*Справочник_ОКВЭД_НР!$L$10 +
  SUMPRODUCT(ISNUMBER(SEARCH(","&amp;Справочник_ОКВЭД_НР!$E$3:$E$62&amp;".",","&amp;SUBSTITUTE(F290," ","")&amp;",")))*Справочник_ОКВЭД_НР!$L$11 +
  SUMPRODUCT(ISNUMBER(SEARCH(","&amp;Справочник_ОКВЭД_НР!$G$3:$G$62&amp;".",","&amp;SUBSTITUTE(F290," ","")&amp;",")))*Справочник_ОКВЭД_НР!$L$12) /
 (SUMPRODUCT(ISNUMBER(SEARCH(","&amp;Справочник_ОКВЭД_НР!$A$3:$A$62&amp;".",","&amp;SUBSTITUTE(F290," ","")&amp;","))) +
  SUMPRODUCT(ISNUMBER(SEARCH(","&amp;Справочник_ОКВЭД_НР!$C$3:$C$62&amp;".",","&amp;SUBSTITUTE(F290," ","")&amp;","))) +
  SUMPRODUCT(ISNUMBER(SEARCH(","&amp;Справочник_ОКВЭД_НР!$E$3:$E$62&amp;".",","&amp;SUBSTITUTE(F290," ","")&amp;","))) +
  SUMPRODUCT(ISNUMBER(SEARCH(","&amp;Справочник_ОКВЭД_НР!$G$3:$G$62&amp;".",","&amp;SUBSTITUTE(F290," ","")&amp;",")))),
50)</f>
        <v>50</v>
      </c>
      <c r="K290" s="30">
        <f>IFERROR(VLOOKUP(G290,Справочник_ОКВЭД_НР!$O:$P,2,FALSE()),50)</f>
        <v>100</v>
      </c>
      <c r="L290" s="45">
        <f>(I290*Справочник_ОКВЭД_НР!$L$2+J290*Справочник_ОКВЭД_НР!$L$3+K290*Справочник_ОКВЭД_НР!$L$4)*M290</f>
        <v>63.5</v>
      </c>
      <c r="M290" s="47">
        <f>IF(COUNTIF(Справочник_ОКВЭД_НР!$G$3:$G$62,H290)&gt;0,0,1)</f>
        <v>1</v>
      </c>
    </row>
    <row r="291" spans="1:13" x14ac:dyDescent="0.25">
      <c r="A291" s="4">
        <f>ЛИК_дляСкорингаДП!A291</f>
        <v>1087746149336</v>
      </c>
      <c r="B291" s="4">
        <f>ЛИК_дляСкорингаДП!B291</f>
        <v>7723646670</v>
      </c>
      <c r="C291" s="4" t="str">
        <f>ЛИК_дляСкорингаДП!C291</f>
        <v>ООО "СЕТЬ КОМПЬЮТЕРНЫХ КЛИНИК"</v>
      </c>
      <c r="D291" s="5" t="str">
        <f>ЛИК_дляСкорингаДП!M291</f>
        <v>Деятельность по предоставлению прочих вспомогательных услуг для бизнеса, не включенная в другие группировки</v>
      </c>
      <c r="E291" s="4" t="str">
        <f>ЛИК_дляСкорингаДП!L291</f>
        <v>82.99</v>
      </c>
      <c r="F291" t="str">
        <f>ЛИК_дляСкорингаДП!N291</f>
        <v>46.51,46.15.4,46.43.3,46.51,46.66,47.41,47.41.4,52.10.9,52.24,62.01,62.02,62.02.2,71.20.2,71.20.4,82.99,95.11,95.12,95.21,95.22</v>
      </c>
      <c r="G291" s="25" t="str">
        <f>ЛИК_дляСкорингаДП!AG291</f>
        <v>ОСН</v>
      </c>
      <c r="H291" s="55" t="str">
        <f>IF(ISNUMBER(E291),E291,
IFERROR(LEFT(E291,FIND(".",E291)-1),E291))</f>
        <v>82</v>
      </c>
      <c r="I291" s="30">
        <f>IF(COUNTIF(Справочник_ОКВЭД_НР!$A$3:$A$62,H291)&gt;0,Справочник_ОКВЭД_НР!$L$8,
 IF(COUNTIF(Справочник_ОКВЭД_НР!$C$3:$C$62,H291)&gt;0,Справочник_ОКВЭД_НР!$L$9,
  IF(COUNTIF(Справочник_ОКВЭД_НР!$E$3:$E$62,H291)&gt;0,Справочник_ОКВЭД_НР!$L$10,
   IF(COUNTIF(Справочник_ОКВЭД_НР!$G$3:$G$62,H291)&gt;0,Справочник_ОКВЭД_НР!$L$11,50))))</f>
        <v>30</v>
      </c>
      <c r="J291" s="30" cm="1">
        <f t="array" ref="J291">IFERROR(
 (SUMPRODUCT(ISNUMBER(SEARCH(","&amp;Справочник_ОКВЭД_НР!$A$3:$A$62&amp;".",","&amp;SUBSTITUTE(F291," ","")&amp;",")))*Справочник_ОКВЭД_НР!$L$9 +
  SUMPRODUCT(ISNUMBER(SEARCH(","&amp;Справочник_ОКВЭД_НР!$C$3:$C$62&amp;".",","&amp;SUBSTITUTE(F291," ","")&amp;",")))*Справочник_ОКВЭД_НР!$L$10 +
  SUMPRODUCT(ISNUMBER(SEARCH(","&amp;Справочник_ОКВЭД_НР!$E$3:$E$62&amp;".",","&amp;SUBSTITUTE(F291," ","")&amp;",")))*Справочник_ОКВЭД_НР!$L$11 +
  SUMPRODUCT(ISNUMBER(SEARCH(","&amp;Справочник_ОКВЭД_НР!$G$3:$G$62&amp;".",","&amp;SUBSTITUTE(F291," ","")&amp;",")))*Справочник_ОКВЭД_НР!$L$12) /
 (SUMPRODUCT(ISNUMBER(SEARCH(","&amp;Справочник_ОКВЭД_НР!$A$3:$A$62&amp;".",","&amp;SUBSTITUTE(F291," ","")&amp;","))) +
  SUMPRODUCT(ISNUMBER(SEARCH(","&amp;Справочник_ОКВЭД_НР!$C$3:$C$62&amp;".",","&amp;SUBSTITUTE(F291," ","")&amp;","))) +
  SUMPRODUCT(ISNUMBER(SEARCH(","&amp;Справочник_ОКВЭД_НР!$E$3:$E$62&amp;".",","&amp;SUBSTITUTE(F291," ","")&amp;","))) +
  SUMPRODUCT(ISNUMBER(SEARCH(","&amp;Справочник_ОКВЭД_НР!$G$3:$G$62&amp;".",","&amp;SUBSTITUTE(F291," ","")&amp;",")))),
50)</f>
        <v>50</v>
      </c>
      <c r="K291" s="30">
        <f>IFERROR(VLOOKUP(G291,Справочник_ОКВЭД_НР!$O:$P,2,FALSE()),50)</f>
        <v>100</v>
      </c>
      <c r="L291" s="45">
        <f>(I291*Справочник_ОКВЭД_НР!$L$2+J291*Справочник_ОКВЭД_НР!$L$3+K291*Справочник_ОКВЭД_НР!$L$4)*M291</f>
        <v>45.5</v>
      </c>
      <c r="M291" s="47">
        <f>IF(COUNTIF(Справочник_ОКВЭД_НР!$G$3:$G$62,H291)&gt;0,0,1)</f>
        <v>1</v>
      </c>
    </row>
    <row r="292" spans="1:13" x14ac:dyDescent="0.25">
      <c r="A292" s="4">
        <f>ЛИК_дляСкорингаДП!A292</f>
        <v>1087746008184</v>
      </c>
      <c r="B292" s="4">
        <f>ЛИК_дляСкорингаДП!B292</f>
        <v>7724646666</v>
      </c>
      <c r="C292" s="4" t="str">
        <f>ЛИК_дляСкорингаДП!C292</f>
        <v>ООО "БУШ ВАКУУМ РУССИА"</v>
      </c>
      <c r="D292" s="5" t="str">
        <f>ЛИК_дляСкорингаДП!M292</f>
        <v>Производство прочих насосов и компрессоров</v>
      </c>
      <c r="E292" s="4" t="str">
        <f>ЛИК_дляСкорингаДП!L292</f>
        <v>28.13</v>
      </c>
      <c r="F292" t="str">
        <f>ЛИК_дляСкорингаДП!N292</f>
        <v>28.12.1,33.12,46.69.9,82.99</v>
      </c>
      <c r="G292" s="25" t="str">
        <f>ЛИК_дляСкорингаДП!AG292</f>
        <v>ОСН</v>
      </c>
      <c r="H292" s="55" t="str">
        <f>IF(ISNUMBER(E292),E292,
IFERROR(LEFT(E292,FIND(".",E292)-1),E292))</f>
        <v>28</v>
      </c>
      <c r="I292" s="30">
        <f>IF(COUNTIF(Справочник_ОКВЭД_НР!$A$3:$A$62,H292)&gt;0,Справочник_ОКВЭД_НР!$L$8,
 IF(COUNTIF(Справочник_ОКВЭД_НР!$C$3:$C$62,H292)&gt;0,Справочник_ОКВЭД_НР!$L$9,
  IF(COUNTIF(Справочник_ОКВЭД_НР!$E$3:$E$62,H292)&gt;0,Справочник_ОКВЭД_НР!$L$10,
   IF(COUNTIF(Справочник_ОКВЭД_НР!$G$3:$G$62,H292)&gt;0,Справочник_ОКВЭД_НР!$L$11,50))))</f>
        <v>60</v>
      </c>
      <c r="J292" s="30" cm="1">
        <f t="array" ref="J292">IFERROR(
 (SUMPRODUCT(ISNUMBER(SEARCH(","&amp;Справочник_ОКВЭД_НР!$A$3:$A$62&amp;".",","&amp;SUBSTITUTE(F292," ","")&amp;",")))*Справочник_ОКВЭД_НР!$L$9 +
  SUMPRODUCT(ISNUMBER(SEARCH(","&amp;Справочник_ОКВЭД_НР!$C$3:$C$62&amp;".",","&amp;SUBSTITUTE(F292," ","")&amp;",")))*Справочник_ОКВЭД_НР!$L$10 +
  SUMPRODUCT(ISNUMBER(SEARCH(","&amp;Справочник_ОКВЭД_НР!$E$3:$E$62&amp;".",","&amp;SUBSTITUTE(F292," ","")&amp;",")))*Справочник_ОКВЭД_НР!$L$11 +
  SUMPRODUCT(ISNUMBER(SEARCH(","&amp;Справочник_ОКВЭД_НР!$G$3:$G$62&amp;".",","&amp;SUBSTITUTE(F292," ","")&amp;",")))*Справочник_ОКВЭД_НР!$L$12) /
 (SUMPRODUCT(ISNUMBER(SEARCH(","&amp;Справочник_ОКВЭД_НР!$A$3:$A$62&amp;".",","&amp;SUBSTITUTE(F292," ","")&amp;","))) +
  SUMPRODUCT(ISNUMBER(SEARCH(","&amp;Справочник_ОКВЭД_НР!$C$3:$C$62&amp;".",","&amp;SUBSTITUTE(F292," ","")&amp;","))) +
  SUMPRODUCT(ISNUMBER(SEARCH(","&amp;Справочник_ОКВЭД_НР!$E$3:$E$62&amp;".",","&amp;SUBSTITUTE(F292," ","")&amp;","))) +
  SUMPRODUCT(ISNUMBER(SEARCH(","&amp;Справочник_ОКВЭД_НР!$G$3:$G$62&amp;".",","&amp;SUBSTITUTE(F292," ","")&amp;",")))),
50)</f>
        <v>50</v>
      </c>
      <c r="K292" s="30">
        <f>IFERROR(VLOOKUP(G292,Справочник_ОКВЭД_НР!$O:$P,2,FALSE()),50)</f>
        <v>100</v>
      </c>
      <c r="L292" s="45">
        <f>(I292*Справочник_ОКВЭД_НР!$L$2+J292*Справочник_ОКВЭД_НР!$L$3+K292*Справочник_ОКВЭД_НР!$L$4)*M292</f>
        <v>63.5</v>
      </c>
      <c r="M292" s="47">
        <f>IF(COUNTIF(Справочник_ОКВЭД_НР!$G$3:$G$62,H292)&gt;0,0,1)</f>
        <v>1</v>
      </c>
    </row>
    <row r="293" spans="1:13" x14ac:dyDescent="0.25">
      <c r="A293" s="4">
        <f>ЛИК_дляСкорингаДП!A293</f>
        <v>1107746009128</v>
      </c>
      <c r="B293" s="4">
        <f>ЛИК_дляСкорингаДП!B293</f>
        <v>7724732788</v>
      </c>
      <c r="C293" s="4" t="str">
        <f>ЛИК_дляСкорингаДП!C293</f>
        <v>ООО "ЭГЛО ЛАЙТИНГ"</v>
      </c>
      <c r="D293" s="5" t="str">
        <f>ЛИК_дляСкорингаДП!M293</f>
        <v>Торговля оптовая бытовыми электротоварами</v>
      </c>
      <c r="E293" s="4" t="str">
        <f>ЛИК_дляСкорингаДП!L293</f>
        <v>46.43</v>
      </c>
      <c r="F293" t="str">
        <f>ЛИК_дляСкорингаДП!N293</f>
        <v>47.59,27.40,43.21,46.15.3,46.43.1,46.47,46.47.2,47.59,68.10,68.20,70.10.2,73.20.1</v>
      </c>
      <c r="G293" s="25" t="str">
        <f>ЛИК_дляСкорингаДП!AG293</f>
        <v>ОСН</v>
      </c>
      <c r="H293" s="55" t="str">
        <f>IF(ISNUMBER(E293),E293,
IFERROR(LEFT(E293,FIND(".",E293)-1),E293))</f>
        <v>46</v>
      </c>
      <c r="I293" s="30">
        <f>IF(COUNTIF(Справочник_ОКВЭД_НР!$A$3:$A$62,H293)&gt;0,Справочник_ОКВЭД_НР!$L$8,
 IF(COUNTIF(Справочник_ОКВЭД_НР!$C$3:$C$62,H293)&gt;0,Справочник_ОКВЭД_НР!$L$9,
  IF(COUNTIF(Справочник_ОКВЭД_НР!$E$3:$E$62,H293)&gt;0,Справочник_ОКВЭД_НР!$L$10,
   IF(COUNTIF(Справочник_ОКВЭД_НР!$G$3:$G$62,H293)&gt;0,Справочник_ОКВЭД_НР!$L$11,50))))</f>
        <v>60</v>
      </c>
      <c r="J293" s="30" cm="1">
        <f t="array" ref="J293">IFERROR(
 (SUMPRODUCT(ISNUMBER(SEARCH(","&amp;Справочник_ОКВЭД_НР!$A$3:$A$62&amp;".",","&amp;SUBSTITUTE(F293," ","")&amp;",")))*Справочник_ОКВЭД_НР!$L$9 +
  SUMPRODUCT(ISNUMBER(SEARCH(","&amp;Справочник_ОКВЭД_НР!$C$3:$C$62&amp;".",","&amp;SUBSTITUTE(F293," ","")&amp;",")))*Справочник_ОКВЭД_НР!$L$10 +
  SUMPRODUCT(ISNUMBER(SEARCH(","&amp;Справочник_ОКВЭД_НР!$E$3:$E$62&amp;".",","&amp;SUBSTITUTE(F293," ","")&amp;",")))*Справочник_ОКВЭД_НР!$L$11 +
  SUMPRODUCT(ISNUMBER(SEARCH(","&amp;Справочник_ОКВЭД_НР!$G$3:$G$62&amp;".",","&amp;SUBSTITUTE(F293," ","")&amp;",")))*Справочник_ОКВЭД_НР!$L$12) /
 (SUMPRODUCT(ISNUMBER(SEARCH(","&amp;Справочник_ОКВЭД_НР!$A$3:$A$62&amp;".",","&amp;SUBSTITUTE(F293," ","")&amp;","))) +
  SUMPRODUCT(ISNUMBER(SEARCH(","&amp;Справочник_ОКВЭД_НР!$C$3:$C$62&amp;".",","&amp;SUBSTITUTE(F293," ","")&amp;","))) +
  SUMPRODUCT(ISNUMBER(SEARCH(","&amp;Справочник_ОКВЭД_НР!$E$3:$E$62&amp;".",","&amp;SUBSTITUTE(F293," ","")&amp;","))) +
  SUMPRODUCT(ISNUMBER(SEARCH(","&amp;Справочник_ОКВЭД_НР!$G$3:$G$62&amp;".",","&amp;SUBSTITUTE(F293," ","")&amp;",")))),
50)</f>
        <v>50</v>
      </c>
      <c r="K293" s="30">
        <f>IFERROR(VLOOKUP(G293,Справочник_ОКВЭД_НР!$O:$P,2,FALSE()),50)</f>
        <v>100</v>
      </c>
      <c r="L293" s="45">
        <f>(I293*Справочник_ОКВЭД_НР!$L$2+J293*Справочник_ОКВЭД_НР!$L$3+K293*Справочник_ОКВЭД_НР!$L$4)*M293</f>
        <v>63.5</v>
      </c>
      <c r="M293" s="47">
        <f>IF(COUNTIF(Справочник_ОКВЭД_НР!$G$3:$G$62,H293)&gt;0,0,1)</f>
        <v>1</v>
      </c>
    </row>
    <row r="294" spans="1:13" x14ac:dyDescent="0.25">
      <c r="A294" s="4">
        <f>ЛИК_дляСкорингаДП!A294</f>
        <v>1107746035231</v>
      </c>
      <c r="B294" s="4">
        <f>ЛИК_дляСкорингаДП!B294</f>
        <v>7718792651</v>
      </c>
      <c r="C294" s="4" t="str">
        <f>ЛИК_дляСкорингаДП!C294</f>
        <v>ООО "НЕОТОН-ТРЕЙД"</v>
      </c>
      <c r="D294" s="5" t="str">
        <f>ЛИК_дляСкорингаДП!M294</f>
        <v>Аренда и управление собственным или арендованным нежилым недвижимым имуществом</v>
      </c>
      <c r="E294" s="4" t="str">
        <f>ЛИК_дляСкорингаДП!L294</f>
        <v>68.20.2</v>
      </c>
      <c r="F294" t="str">
        <f>ЛИК_дляСкорингаДП!N294</f>
        <v>25.1,25.99,68.32.2</v>
      </c>
      <c r="G294" s="25" t="str">
        <f>ЛИК_дляСкорингаДП!AG294</f>
        <v>УСН</v>
      </c>
      <c r="H294" s="55" t="str">
        <f>IF(ISNUMBER(E294),E294,
IFERROR(LEFT(E294,FIND(".",E294)-1),E294))</f>
        <v>68</v>
      </c>
      <c r="I294" s="30">
        <f>IF(COUNTIF(Справочник_ОКВЭД_НР!$A$3:$A$62,H294)&gt;0,Справочник_ОКВЭД_НР!$L$8,
 IF(COUNTIF(Справочник_ОКВЭД_НР!$C$3:$C$62,H294)&gt;0,Справочник_ОКВЭД_НР!$L$9,
  IF(COUNTIF(Справочник_ОКВЭД_НР!$E$3:$E$62,H294)&gt;0,Справочник_ОКВЭД_НР!$L$10,
   IF(COUNTIF(Справочник_ОКВЭД_НР!$G$3:$G$62,H294)&gt;0,Справочник_ОКВЭД_НР!$L$11,50))))</f>
        <v>100</v>
      </c>
      <c r="J294" s="30" cm="1">
        <f t="array" ref="J294">IFERROR(
 (SUMPRODUCT(ISNUMBER(SEARCH(","&amp;Справочник_ОКВЭД_НР!$A$3:$A$62&amp;".",","&amp;SUBSTITUTE(F294," ","")&amp;",")))*Справочник_ОКВЭД_НР!$L$9 +
  SUMPRODUCT(ISNUMBER(SEARCH(","&amp;Справочник_ОКВЭД_НР!$C$3:$C$62&amp;".",","&amp;SUBSTITUTE(F294," ","")&amp;",")))*Справочник_ОКВЭД_НР!$L$10 +
  SUMPRODUCT(ISNUMBER(SEARCH(","&amp;Справочник_ОКВЭД_НР!$E$3:$E$62&amp;".",","&amp;SUBSTITUTE(F294," ","")&amp;",")))*Справочник_ОКВЭД_НР!$L$11 +
  SUMPRODUCT(ISNUMBER(SEARCH(","&amp;Справочник_ОКВЭД_НР!$G$3:$G$62&amp;".",","&amp;SUBSTITUTE(F294," ","")&amp;",")))*Справочник_ОКВЭД_НР!$L$12) /
 (SUMPRODUCT(ISNUMBER(SEARCH(","&amp;Справочник_ОКВЭД_НР!$A$3:$A$62&amp;".",","&amp;SUBSTITUTE(F294," ","")&amp;","))) +
  SUMPRODUCT(ISNUMBER(SEARCH(","&amp;Справочник_ОКВЭД_НР!$C$3:$C$62&amp;".",","&amp;SUBSTITUTE(F294," ","")&amp;","))) +
  SUMPRODUCT(ISNUMBER(SEARCH(","&amp;Справочник_ОКВЭД_НР!$E$3:$E$62&amp;".",","&amp;SUBSTITUTE(F294," ","")&amp;","))) +
  SUMPRODUCT(ISNUMBER(SEARCH(","&amp;Справочник_ОКВЭД_НР!$G$3:$G$62&amp;".",","&amp;SUBSTITUTE(F294," ","")&amp;",")))),
50)</f>
        <v>50</v>
      </c>
      <c r="K294" s="30">
        <f>IFERROR(VLOOKUP(G294,Справочник_ОКВЭД_НР!$O:$P,2,FALSE()),50)</f>
        <v>50</v>
      </c>
      <c r="L294" s="45">
        <f>(I294*Справочник_ОКВЭД_НР!$L$2+J294*Справочник_ОКВЭД_НР!$L$3+K294*Справочник_ОКВЭД_НР!$L$4)*M294</f>
        <v>80</v>
      </c>
      <c r="M294" s="47">
        <f>IF(COUNTIF(Справочник_ОКВЭД_НР!$G$3:$G$62,H294)&gt;0,0,1)</f>
        <v>1</v>
      </c>
    </row>
    <row r="295" spans="1:13" x14ac:dyDescent="0.25">
      <c r="A295" s="4">
        <f>ЛИК_дляСкорингаДП!A295</f>
        <v>1105034001588</v>
      </c>
      <c r="B295" s="4">
        <f>ЛИК_дляСкорингаДП!B295</f>
        <v>5034039870</v>
      </c>
      <c r="C295" s="4" t="str">
        <f>ЛИК_дляСкорингаДП!C295</f>
        <v>ОАО "ДЭП №12"</v>
      </c>
      <c r="D295" s="5" t="str">
        <f>ЛИК_дляСкорингаДП!M295</f>
        <v>Деятельность по эксплуатации автомобильных дорог и автомагистралей</v>
      </c>
      <c r="E295" s="4" t="str">
        <f>ЛИК_дляСкорингаДП!L295</f>
        <v>52.21.22</v>
      </c>
      <c r="F295" t="str">
        <f>ЛИК_дляСкорингаДП!N295</f>
        <v>42.11,42.11,42.12,42.13,52.21.22,68.20,68.20.2</v>
      </c>
      <c r="G295" s="25" t="str">
        <f>ЛИК_дляСкорингаДП!AG295</f>
        <v>ОСН</v>
      </c>
      <c r="H295" s="55" t="str">
        <f>IF(ISNUMBER(E295),E295,
IFERROR(LEFT(E295,FIND(".",E295)-1),E295))</f>
        <v>52</v>
      </c>
      <c r="I295" s="30">
        <f>IF(COUNTIF(Справочник_ОКВЭД_НР!$A$3:$A$62,H295)&gt;0,Справочник_ОКВЭД_НР!$L$8,
 IF(COUNTIF(Справочник_ОКВЭД_НР!$C$3:$C$62,H295)&gt;0,Справочник_ОКВЭД_НР!$L$9,
  IF(COUNTIF(Справочник_ОКВЭД_НР!$E$3:$E$62,H295)&gt;0,Справочник_ОКВЭД_НР!$L$10,
   IF(COUNTIF(Справочник_ОКВЭД_НР!$G$3:$G$62,H295)&gt;0,Справочник_ОКВЭД_НР!$L$11,50))))</f>
        <v>60</v>
      </c>
      <c r="J295" s="30" cm="1">
        <f t="array" ref="J295">IFERROR(
 (SUMPRODUCT(ISNUMBER(SEARCH(","&amp;Справочник_ОКВЭД_НР!$A$3:$A$62&amp;".",","&amp;SUBSTITUTE(F295," ","")&amp;",")))*Справочник_ОКВЭД_НР!$L$9 +
  SUMPRODUCT(ISNUMBER(SEARCH(","&amp;Справочник_ОКВЭД_НР!$C$3:$C$62&amp;".",","&amp;SUBSTITUTE(F295," ","")&amp;",")))*Справочник_ОКВЭД_НР!$L$10 +
  SUMPRODUCT(ISNUMBER(SEARCH(","&amp;Справочник_ОКВЭД_НР!$E$3:$E$62&amp;".",","&amp;SUBSTITUTE(F295," ","")&amp;",")))*Справочник_ОКВЭД_НР!$L$11 +
  SUMPRODUCT(ISNUMBER(SEARCH(","&amp;Справочник_ОКВЭД_НР!$G$3:$G$62&amp;".",","&amp;SUBSTITUTE(F295," ","")&amp;",")))*Справочник_ОКВЭД_НР!$L$12) /
 (SUMPRODUCT(ISNUMBER(SEARCH(","&amp;Справочник_ОКВЭД_НР!$A$3:$A$62&amp;".",","&amp;SUBSTITUTE(F295," ","")&amp;","))) +
  SUMPRODUCT(ISNUMBER(SEARCH(","&amp;Справочник_ОКВЭД_НР!$C$3:$C$62&amp;".",","&amp;SUBSTITUTE(F295," ","")&amp;","))) +
  SUMPRODUCT(ISNUMBER(SEARCH(","&amp;Справочник_ОКВЭД_НР!$E$3:$E$62&amp;".",","&amp;SUBSTITUTE(F295," ","")&amp;","))) +
  SUMPRODUCT(ISNUMBER(SEARCH(","&amp;Справочник_ОКВЭД_НР!$G$3:$G$62&amp;".",","&amp;SUBSTITUTE(F295," ","")&amp;",")))),
50)</f>
        <v>50</v>
      </c>
      <c r="K295" s="30">
        <f>IFERROR(VLOOKUP(G295,Справочник_ОКВЭД_НР!$O:$P,2,FALSE()),50)</f>
        <v>100</v>
      </c>
      <c r="L295" s="45">
        <f>(I295*Справочник_ОКВЭД_НР!$L$2+J295*Справочник_ОКВЭД_НР!$L$3+K295*Справочник_ОКВЭД_НР!$L$4)*M295</f>
        <v>63.5</v>
      </c>
      <c r="M295" s="47">
        <f>IF(COUNTIF(Справочник_ОКВЭД_НР!$G$3:$G$62,H295)&gt;0,0,1)</f>
        <v>1</v>
      </c>
    </row>
    <row r="296" spans="1:13" x14ac:dyDescent="0.25">
      <c r="A296" s="4">
        <f>ЛИК_дляСкорингаДП!A296</f>
        <v>1195027026259</v>
      </c>
      <c r="B296" s="4">
        <f>ЛИК_дляСкорингаДП!B296</f>
        <v>5003137066</v>
      </c>
      <c r="C296" s="4" t="str">
        <f>ЛИК_дляСкорингаДП!C296</f>
        <v>АО "МОСМЕК НЕДВИЖИМОСТЬ"</v>
      </c>
      <c r="D296" s="5" t="str">
        <f>ЛИК_дляСкорингаДП!M296</f>
        <v>Аренда и управление собственным или арендованным недвижимым имуществом</v>
      </c>
      <c r="E296" s="4" t="str">
        <f>ЛИК_дляСкорингаДП!L296</f>
        <v>68.20</v>
      </c>
      <c r="F296" t="str">
        <f>ЛИК_дляСкорингаДП!N296</f>
        <v>35.11,35.12,35.13,35.14,35.21,35.22,35.23,35.30,36.00,37.00,41.20,42.99,43.11,43.12,43.12.3,43.21,43.22,43.29,43.31,43.32,43.33,43.34,43.39,43.91,43.99,43.99.1,52.10,52.21,52.24,68.10,68.31.1,68.31.2,68.32,68.32.3,70.22,77.32</v>
      </c>
      <c r="G296" s="25" t="str">
        <f>ЛИК_дляСкорингаДП!AG296</f>
        <v>ОСН</v>
      </c>
      <c r="H296" s="55" t="str">
        <f>IF(ISNUMBER(E296),E296,
IFERROR(LEFT(E296,FIND(".",E296)-1),E296))</f>
        <v>68</v>
      </c>
      <c r="I296" s="30">
        <f>IF(COUNTIF(Справочник_ОКВЭД_НР!$A$3:$A$62,H296)&gt;0,Справочник_ОКВЭД_НР!$L$8,
 IF(COUNTIF(Справочник_ОКВЭД_НР!$C$3:$C$62,H296)&gt;0,Справочник_ОКВЭД_НР!$L$9,
  IF(COUNTIF(Справочник_ОКВЭД_НР!$E$3:$E$62,H296)&gt;0,Справочник_ОКВЭД_НР!$L$10,
   IF(COUNTIF(Справочник_ОКВЭД_НР!$G$3:$G$62,H296)&gt;0,Справочник_ОКВЭД_НР!$L$11,50))))</f>
        <v>100</v>
      </c>
      <c r="J296" s="30" cm="1">
        <f t="array" ref="J296">IFERROR(
 (SUMPRODUCT(ISNUMBER(SEARCH(","&amp;Справочник_ОКВЭД_НР!$A$3:$A$62&amp;".",","&amp;SUBSTITUTE(F296," ","")&amp;",")))*Справочник_ОКВЭД_НР!$L$9 +
  SUMPRODUCT(ISNUMBER(SEARCH(","&amp;Справочник_ОКВЭД_НР!$C$3:$C$62&amp;".",","&amp;SUBSTITUTE(F296," ","")&amp;",")))*Справочник_ОКВЭД_НР!$L$10 +
  SUMPRODUCT(ISNUMBER(SEARCH(","&amp;Справочник_ОКВЭД_НР!$E$3:$E$62&amp;".",","&amp;SUBSTITUTE(F296," ","")&amp;",")))*Справочник_ОКВЭД_НР!$L$11 +
  SUMPRODUCT(ISNUMBER(SEARCH(","&amp;Справочник_ОКВЭД_НР!$G$3:$G$62&amp;".",","&amp;SUBSTITUTE(F296," ","")&amp;",")))*Справочник_ОКВЭД_НР!$L$12) /
 (SUMPRODUCT(ISNUMBER(SEARCH(","&amp;Справочник_ОКВЭД_НР!$A$3:$A$62&amp;".",","&amp;SUBSTITUTE(F296," ","")&amp;","))) +
  SUMPRODUCT(ISNUMBER(SEARCH(","&amp;Справочник_ОКВЭД_НР!$C$3:$C$62&amp;".",","&amp;SUBSTITUTE(F296," ","")&amp;","))) +
  SUMPRODUCT(ISNUMBER(SEARCH(","&amp;Справочник_ОКВЭД_НР!$E$3:$E$62&amp;".",","&amp;SUBSTITUTE(F296," ","")&amp;","))) +
  SUMPRODUCT(ISNUMBER(SEARCH(","&amp;Справочник_ОКВЭД_НР!$G$3:$G$62&amp;".",","&amp;SUBSTITUTE(F296," ","")&amp;",")))),
50)</f>
        <v>50</v>
      </c>
      <c r="K296" s="30">
        <f>IFERROR(VLOOKUP(G296,Справочник_ОКВЭД_НР!$O:$P,2,FALSE()),50)</f>
        <v>100</v>
      </c>
      <c r="L296" s="45">
        <f>(I296*Справочник_ОКВЭД_НР!$L$2+J296*Справочник_ОКВЭД_НР!$L$3+K296*Справочник_ОКВЭД_НР!$L$4)*M296</f>
        <v>87.5</v>
      </c>
      <c r="M296" s="47">
        <f>IF(COUNTIF(Справочник_ОКВЭД_НР!$G$3:$G$62,H296)&gt;0,0,1)</f>
        <v>1</v>
      </c>
    </row>
    <row r="297" spans="1:13" x14ac:dyDescent="0.25">
      <c r="A297" s="4">
        <f>ЛИК_дляСкорингаДП!A297</f>
        <v>1195050009440</v>
      </c>
      <c r="B297" s="4">
        <f>ЛИК_дляСкорингаДП!B297</f>
        <v>5050142970</v>
      </c>
      <c r="C297" s="4" t="str">
        <f>ЛИК_дляСкорингаДП!C297</f>
        <v>ООО "ФОРМУЛА УПАКОВКИ"</v>
      </c>
      <c r="D297" s="5" t="str">
        <f>ЛИК_дляСкорингаДП!M297</f>
        <v>Производство прочих продуктов питания, не включенных в другие группировки</v>
      </c>
      <c r="E297" s="4" t="str">
        <f>ЛИК_дляСкорингаДП!L297</f>
        <v>10.89.9</v>
      </c>
      <c r="F297" t="str">
        <f>ЛИК_дляСкорингаДП!N297</f>
        <v>46.76.1</v>
      </c>
      <c r="G297" s="25" t="str">
        <f>ЛИК_дляСкорингаДП!AG297</f>
        <v>ОСН</v>
      </c>
      <c r="H297" s="55" t="str">
        <f>IF(ISNUMBER(E297),E297,
IFERROR(LEFT(E297,FIND(".",E297)-1),E297))</f>
        <v>10</v>
      </c>
      <c r="I297" s="30">
        <f>IF(COUNTIF(Справочник_ОКВЭД_НР!$A$3:$A$62,H297)&gt;0,Справочник_ОКВЭД_НР!$L$8,
 IF(COUNTIF(Справочник_ОКВЭД_НР!$C$3:$C$62,H297)&gt;0,Справочник_ОКВЭД_НР!$L$9,
  IF(COUNTIF(Справочник_ОКВЭД_НР!$E$3:$E$62,H297)&gt;0,Справочник_ОКВЭД_НР!$L$10,
   IF(COUNTIF(Справочник_ОКВЭД_НР!$G$3:$G$62,H297)&gt;0,Справочник_ОКВЭД_НР!$L$11,50))))</f>
        <v>100</v>
      </c>
      <c r="J297" s="30" cm="1">
        <f t="array" ref="J297">IFERROR(
 (SUMPRODUCT(ISNUMBER(SEARCH(","&amp;Справочник_ОКВЭД_НР!$A$3:$A$62&amp;".",","&amp;SUBSTITUTE(F297," ","")&amp;",")))*Справочник_ОКВЭД_НР!$L$9 +
  SUMPRODUCT(ISNUMBER(SEARCH(","&amp;Справочник_ОКВЭД_НР!$C$3:$C$62&amp;".",","&amp;SUBSTITUTE(F297," ","")&amp;",")))*Справочник_ОКВЭД_НР!$L$10 +
  SUMPRODUCT(ISNUMBER(SEARCH(","&amp;Справочник_ОКВЭД_НР!$E$3:$E$62&amp;".",","&amp;SUBSTITUTE(F297," ","")&amp;",")))*Справочник_ОКВЭД_НР!$L$11 +
  SUMPRODUCT(ISNUMBER(SEARCH(","&amp;Справочник_ОКВЭД_НР!$G$3:$G$62&amp;".",","&amp;SUBSTITUTE(F297," ","")&amp;",")))*Справочник_ОКВЭД_НР!$L$12) /
 (SUMPRODUCT(ISNUMBER(SEARCH(","&amp;Справочник_ОКВЭД_НР!$A$3:$A$62&amp;".",","&amp;SUBSTITUTE(F297," ","")&amp;","))) +
  SUMPRODUCT(ISNUMBER(SEARCH(","&amp;Справочник_ОКВЭД_НР!$C$3:$C$62&amp;".",","&amp;SUBSTITUTE(F297," ","")&amp;","))) +
  SUMPRODUCT(ISNUMBER(SEARCH(","&amp;Справочник_ОКВЭД_НР!$E$3:$E$62&amp;".",","&amp;SUBSTITUTE(F297," ","")&amp;","))) +
  SUMPRODUCT(ISNUMBER(SEARCH(","&amp;Справочник_ОКВЭД_НР!$G$3:$G$62&amp;".",","&amp;SUBSTITUTE(F297," ","")&amp;",")))),
50)</f>
        <v>50</v>
      </c>
      <c r="K297" s="30">
        <f>IFERROR(VLOOKUP(G297,Справочник_ОКВЭД_НР!$O:$P,2,FALSE()),50)</f>
        <v>100</v>
      </c>
      <c r="L297" s="45">
        <f>(I297*Справочник_ОКВЭД_НР!$L$2+J297*Справочник_ОКВЭД_НР!$L$3+K297*Справочник_ОКВЭД_НР!$L$4)*M297</f>
        <v>87.5</v>
      </c>
      <c r="M297" s="47">
        <f>IF(COUNTIF(Справочник_ОКВЭД_НР!$G$3:$G$62,H297)&gt;0,0,1)</f>
        <v>1</v>
      </c>
    </row>
    <row r="298" spans="1:13" x14ac:dyDescent="0.25">
      <c r="A298" s="4">
        <f>ЛИК_дляСкорингаДП!A298</f>
        <v>1195081056367</v>
      </c>
      <c r="B298" s="4">
        <f>ЛИК_дляСкорингаДП!B298</f>
        <v>5024198260</v>
      </c>
      <c r="C298" s="4" t="str">
        <f>ЛИК_дляСкорингаДП!C298</f>
        <v>ООО "МЕЖДУНАРОДНАЯ ЛОГИСТИКА СРСТ РУС"</v>
      </c>
      <c r="D298" s="5" t="str">
        <f>ЛИК_дляСкорингаДП!M298</f>
        <v>Деятельность вспомогательная прочая, связанная с перевозками</v>
      </c>
      <c r="E298" s="4" t="str">
        <f>ЛИК_дляСкорингаДП!L298</f>
        <v>52.29</v>
      </c>
      <c r="F298" t="str">
        <f>ЛИК_дляСкорингаДП!N298</f>
        <v>33.12,46.90,47.19,49.20,49.20.9,49.41,49.41.1,49.41.2,49.41.3,49.42,50.20,50.20.1,50.40.1,51.21.1,52.10,52.10.9,52.21,52.21.2,52.24,52.29,63.11,63.99.1,68.10,68.20,70.22,73.20,77.11,77.39,77.39.1,77.39.12,79.11,79.12,82.99</v>
      </c>
      <c r="G298" s="25" t="str">
        <f>ЛИК_дляСкорингаДП!AG298</f>
        <v>ОСН</v>
      </c>
      <c r="H298" s="55" t="str">
        <f>IF(ISNUMBER(E298),E298,
IFERROR(LEFT(E298,FIND(".",E298)-1),E298))</f>
        <v>52</v>
      </c>
      <c r="I298" s="30">
        <f>IF(COUNTIF(Справочник_ОКВЭД_НР!$A$3:$A$62,H298)&gt;0,Справочник_ОКВЭД_НР!$L$8,
 IF(COUNTIF(Справочник_ОКВЭД_НР!$C$3:$C$62,H298)&gt;0,Справочник_ОКВЭД_НР!$L$9,
  IF(COUNTIF(Справочник_ОКВЭД_НР!$E$3:$E$62,H298)&gt;0,Справочник_ОКВЭД_НР!$L$10,
   IF(COUNTIF(Справочник_ОКВЭД_НР!$G$3:$G$62,H298)&gt;0,Справочник_ОКВЭД_НР!$L$11,50))))</f>
        <v>60</v>
      </c>
      <c r="J298" s="30" cm="1">
        <f t="array" ref="J298">IFERROR(
 (SUMPRODUCT(ISNUMBER(SEARCH(","&amp;Справочник_ОКВЭД_НР!$A$3:$A$62&amp;".",","&amp;SUBSTITUTE(F298," ","")&amp;",")))*Справочник_ОКВЭД_НР!$L$9 +
  SUMPRODUCT(ISNUMBER(SEARCH(","&amp;Справочник_ОКВЭД_НР!$C$3:$C$62&amp;".",","&amp;SUBSTITUTE(F298," ","")&amp;",")))*Справочник_ОКВЭД_НР!$L$10 +
  SUMPRODUCT(ISNUMBER(SEARCH(","&amp;Справочник_ОКВЭД_НР!$E$3:$E$62&amp;".",","&amp;SUBSTITUTE(F298," ","")&amp;",")))*Справочник_ОКВЭД_НР!$L$11 +
  SUMPRODUCT(ISNUMBER(SEARCH(","&amp;Справочник_ОКВЭД_НР!$G$3:$G$62&amp;".",","&amp;SUBSTITUTE(F298," ","")&amp;",")))*Справочник_ОКВЭД_НР!$L$12) /
 (SUMPRODUCT(ISNUMBER(SEARCH(","&amp;Справочник_ОКВЭД_НР!$A$3:$A$62&amp;".",","&amp;SUBSTITUTE(F298," ","")&amp;","))) +
  SUMPRODUCT(ISNUMBER(SEARCH(","&amp;Справочник_ОКВЭД_НР!$C$3:$C$62&amp;".",","&amp;SUBSTITUTE(F298," ","")&amp;","))) +
  SUMPRODUCT(ISNUMBER(SEARCH(","&amp;Справочник_ОКВЭД_НР!$E$3:$E$62&amp;".",","&amp;SUBSTITUTE(F298," ","")&amp;","))) +
  SUMPRODUCT(ISNUMBER(SEARCH(","&amp;Справочник_ОКВЭД_НР!$G$3:$G$62&amp;".",","&amp;SUBSTITUTE(F298," ","")&amp;",")))),
50)</f>
        <v>50</v>
      </c>
      <c r="K298" s="30">
        <f>IFERROR(VLOOKUP(G298,Справочник_ОКВЭД_НР!$O:$P,2,FALSE()),50)</f>
        <v>100</v>
      </c>
      <c r="L298" s="45">
        <f>(I298*Справочник_ОКВЭД_НР!$L$2+J298*Справочник_ОКВЭД_НР!$L$3+K298*Справочник_ОКВЭД_НР!$L$4)*M298</f>
        <v>63.5</v>
      </c>
      <c r="M298" s="47">
        <f>IF(COUNTIF(Справочник_ОКВЭД_НР!$G$3:$G$62,H298)&gt;0,0,1)</f>
        <v>1</v>
      </c>
    </row>
    <row r="299" spans="1:13" x14ac:dyDescent="0.25">
      <c r="A299" s="4">
        <f>ЛИК_дляСкорингаДП!A299</f>
        <v>1037700001118</v>
      </c>
      <c r="B299" s="4">
        <f>ЛИК_дляСкорингаДП!B299</f>
        <v>7710363682</v>
      </c>
      <c r="C299" s="4" t="str">
        <f>ЛИК_дляСкорингаДП!C299</f>
        <v>ООО "ВИВА-СТАР"</v>
      </c>
      <c r="D299" s="5" t="str">
        <f>ЛИК_дляСкорингаДП!M299</f>
        <v>Прочие виды полиграфической деятельности</v>
      </c>
      <c r="E299" s="4" t="str">
        <f>ЛИК_дляСкорингаДП!L299</f>
        <v>18.12</v>
      </c>
      <c r="F299" t="str">
        <f>ЛИК_дляСкорингаДП!N299</f>
        <v>60.20</v>
      </c>
      <c r="G299" s="25" t="str">
        <f>ЛИК_дляСкорингаДП!AG299</f>
        <v>ОСН</v>
      </c>
      <c r="H299" s="55" t="str">
        <f>IF(ISNUMBER(E299),E299,
IFERROR(LEFT(E299,FIND(".",E299)-1),E299))</f>
        <v>18</v>
      </c>
      <c r="I299" s="30">
        <f>IF(COUNTIF(Справочник_ОКВЭД_НР!$A$3:$A$62,H299)&gt;0,Справочник_ОКВЭД_НР!$L$8,
 IF(COUNTIF(Справочник_ОКВЭД_НР!$C$3:$C$62,H299)&gt;0,Справочник_ОКВЭД_НР!$L$9,
  IF(COUNTIF(Справочник_ОКВЭД_НР!$E$3:$E$62,H299)&gt;0,Справочник_ОКВЭД_НР!$L$10,
   IF(COUNTIF(Справочник_ОКВЭД_НР!$G$3:$G$62,H299)&gt;0,Справочник_ОКВЭД_НР!$L$11,50))))</f>
        <v>30</v>
      </c>
      <c r="J299" s="30" cm="1">
        <f t="array" ref="J299">IFERROR(
 (SUMPRODUCT(ISNUMBER(SEARCH(","&amp;Справочник_ОКВЭД_НР!$A$3:$A$62&amp;".",","&amp;SUBSTITUTE(F299," ","")&amp;",")))*Справочник_ОКВЭД_НР!$L$9 +
  SUMPRODUCT(ISNUMBER(SEARCH(","&amp;Справочник_ОКВЭД_НР!$C$3:$C$62&amp;".",","&amp;SUBSTITUTE(F299," ","")&amp;",")))*Справочник_ОКВЭД_НР!$L$10 +
  SUMPRODUCT(ISNUMBER(SEARCH(","&amp;Справочник_ОКВЭД_НР!$E$3:$E$62&amp;".",","&amp;SUBSTITUTE(F299," ","")&amp;",")))*Справочник_ОКВЭД_НР!$L$11 +
  SUMPRODUCT(ISNUMBER(SEARCH(","&amp;Справочник_ОКВЭД_НР!$G$3:$G$62&amp;".",","&amp;SUBSTITUTE(F299," ","")&amp;",")))*Справочник_ОКВЭД_НР!$L$12) /
 (SUMPRODUCT(ISNUMBER(SEARCH(","&amp;Справочник_ОКВЭД_НР!$A$3:$A$62&amp;".",","&amp;SUBSTITUTE(F299," ","")&amp;","))) +
  SUMPRODUCT(ISNUMBER(SEARCH(","&amp;Справочник_ОКВЭД_НР!$C$3:$C$62&amp;".",","&amp;SUBSTITUTE(F299," ","")&amp;","))) +
  SUMPRODUCT(ISNUMBER(SEARCH(","&amp;Справочник_ОКВЭД_НР!$E$3:$E$62&amp;".",","&amp;SUBSTITUTE(F299," ","")&amp;","))) +
  SUMPRODUCT(ISNUMBER(SEARCH(","&amp;Справочник_ОКВЭД_НР!$G$3:$G$62&amp;".",","&amp;SUBSTITUTE(F299," ","")&amp;",")))),
50)</f>
        <v>50</v>
      </c>
      <c r="K299" s="30">
        <f>IFERROR(VLOOKUP(G299,Справочник_ОКВЭД_НР!$O:$P,2,FALSE()),50)</f>
        <v>100</v>
      </c>
      <c r="L299" s="45">
        <f>(I299*Справочник_ОКВЭД_НР!$L$2+J299*Справочник_ОКВЭД_НР!$L$3+K299*Справочник_ОКВЭД_НР!$L$4)*M299</f>
        <v>45.5</v>
      </c>
      <c r="M299" s="47">
        <f>IF(COUNTIF(Справочник_ОКВЭД_НР!$G$3:$G$62,H299)&gt;0,0,1)</f>
        <v>1</v>
      </c>
    </row>
    <row r="300" spans="1:13" x14ac:dyDescent="0.25">
      <c r="A300" s="4">
        <f>ЛИК_дляСкорингаДП!A300</f>
        <v>1155027000292</v>
      </c>
      <c r="B300" s="4">
        <f>ЛИК_дляСкорингаДП!B300</f>
        <v>5027223540</v>
      </c>
      <c r="C300" s="4" t="str">
        <f>ЛИК_дляСкорингаДП!C300</f>
        <v>ООО "СТОМАДЕНТ"</v>
      </c>
      <c r="D300" s="5" t="str">
        <f>ЛИК_дляСкорингаДП!M300</f>
        <v>Производство материалов, применяемых в медицинских целях</v>
      </c>
      <c r="E300" s="4" t="str">
        <f>ЛИК_дляСкорингаДП!L300</f>
        <v>21.20.2</v>
      </c>
      <c r="F300">
        <f>ЛИК_дляСкорингаДП!N300</f>
        <v>0</v>
      </c>
      <c r="G300" s="25" t="str">
        <f>ЛИК_дляСкорингаДП!AG300</f>
        <v>УСН</v>
      </c>
      <c r="H300" s="55" t="str">
        <f>IF(ISNUMBER(E300),E300,
IFERROR(LEFT(E300,FIND(".",E300)-1),E300))</f>
        <v>21</v>
      </c>
      <c r="I300" s="30">
        <f>IF(COUNTIF(Справочник_ОКВЭД_НР!$A$3:$A$62,H300)&gt;0,Справочник_ОКВЭД_НР!$L$8,
 IF(COUNTIF(Справочник_ОКВЭД_НР!$C$3:$C$62,H300)&gt;0,Справочник_ОКВЭД_НР!$L$9,
  IF(COUNTIF(Справочник_ОКВЭД_НР!$E$3:$E$62,H300)&gt;0,Справочник_ОКВЭД_НР!$L$10,
   IF(COUNTIF(Справочник_ОКВЭД_НР!$G$3:$G$62,H300)&gt;0,Справочник_ОКВЭД_НР!$L$11,50))))</f>
        <v>60</v>
      </c>
      <c r="J300" s="30" cm="1">
        <f t="array" ref="J300">IFERROR(
 (SUMPRODUCT(ISNUMBER(SEARCH(","&amp;Справочник_ОКВЭД_НР!$A$3:$A$62&amp;".",","&amp;SUBSTITUTE(F300," ","")&amp;",")))*Справочник_ОКВЭД_НР!$L$9 +
  SUMPRODUCT(ISNUMBER(SEARCH(","&amp;Справочник_ОКВЭД_НР!$C$3:$C$62&amp;".",","&amp;SUBSTITUTE(F300," ","")&amp;",")))*Справочник_ОКВЭД_НР!$L$10 +
  SUMPRODUCT(ISNUMBER(SEARCH(","&amp;Справочник_ОКВЭД_НР!$E$3:$E$62&amp;".",","&amp;SUBSTITUTE(F300," ","")&amp;",")))*Справочник_ОКВЭД_НР!$L$11 +
  SUMPRODUCT(ISNUMBER(SEARCH(","&amp;Справочник_ОКВЭД_НР!$G$3:$G$62&amp;".",","&amp;SUBSTITUTE(F300," ","")&amp;",")))*Справочник_ОКВЭД_НР!$L$12) /
 (SUMPRODUCT(ISNUMBER(SEARCH(","&amp;Справочник_ОКВЭД_НР!$A$3:$A$62&amp;".",","&amp;SUBSTITUTE(F300," ","")&amp;","))) +
  SUMPRODUCT(ISNUMBER(SEARCH(","&amp;Справочник_ОКВЭД_НР!$C$3:$C$62&amp;".",","&amp;SUBSTITUTE(F300," ","")&amp;","))) +
  SUMPRODUCT(ISNUMBER(SEARCH(","&amp;Справочник_ОКВЭД_НР!$E$3:$E$62&amp;".",","&amp;SUBSTITUTE(F300," ","")&amp;","))) +
  SUMPRODUCT(ISNUMBER(SEARCH(","&amp;Справочник_ОКВЭД_НР!$G$3:$G$62&amp;".",","&amp;SUBSTITUTE(F300," ","")&amp;",")))),
50)</f>
        <v>50</v>
      </c>
      <c r="K300" s="30">
        <f>IFERROR(VLOOKUP(G300,Справочник_ОКВЭД_НР!$O:$P,2,FALSE()),50)</f>
        <v>50</v>
      </c>
      <c r="L300" s="45">
        <f>(I300*Справочник_ОКВЭД_НР!$L$2+J300*Справочник_ОКВЭД_НР!$L$3+K300*Справочник_ОКВЭД_НР!$L$4)*M300</f>
        <v>56</v>
      </c>
      <c r="M300" s="47">
        <f>IF(COUNTIF(Справочник_ОКВЭД_НР!$G$3:$G$62,H300)&gt;0,0,1)</f>
        <v>1</v>
      </c>
    </row>
    <row r="301" spans="1:13" x14ac:dyDescent="0.25">
      <c r="A301" s="4">
        <f>ЛИК_дляСкорингаДП!A301</f>
        <v>1247700824623</v>
      </c>
      <c r="B301" s="4">
        <f>ЛИК_дляСкорингаДП!B301</f>
        <v>7751345450</v>
      </c>
      <c r="C301" s="4" t="str">
        <f>ЛИК_дляСкорингаДП!C301</f>
        <v>ООО "МАГАЗИН "ЦЕНТРАЛЬНЫЙ"</v>
      </c>
      <c r="D301" s="5" t="str">
        <f>ЛИК_дляСкорингаДП!M301</f>
        <v>Торговля розничная преимущественно пищевыми продуктами, включая напитки, и табачными изделиями в неспециализированных магазинах</v>
      </c>
      <c r="E301" s="4" t="str">
        <f>ЛИК_дляСкорингаДП!L301</f>
        <v>47.11</v>
      </c>
      <c r="F301" t="str">
        <f>ЛИК_дляСкорингаДП!N301</f>
        <v>46.31,46.32,46.33,46.34,46.36,46.37,46.38,46.39,47.11,47.19,47.19.2</v>
      </c>
      <c r="G301" s="25" t="str">
        <f>ЛИК_дляСкорингаДП!AG301</f>
        <v>ОСН</v>
      </c>
      <c r="H301" s="55" t="str">
        <f>IF(ISNUMBER(E301),E301,
IFERROR(LEFT(E301,FIND(".",E301)-1),E301))</f>
        <v>47</v>
      </c>
      <c r="I301" s="30">
        <f>IF(COUNTIF(Справочник_ОКВЭД_НР!$A$3:$A$62,H301)&gt;0,Справочник_ОКВЭД_НР!$L$8,
 IF(COUNTIF(Справочник_ОКВЭД_НР!$C$3:$C$62,H301)&gt;0,Справочник_ОКВЭД_НР!$L$9,
  IF(COUNTIF(Справочник_ОКВЭД_НР!$E$3:$E$62,H301)&gt;0,Справочник_ОКВЭД_НР!$L$10,
   IF(COUNTIF(Справочник_ОКВЭД_НР!$G$3:$G$62,H301)&gt;0,Справочник_ОКВЭД_НР!$L$11,50))))</f>
        <v>60</v>
      </c>
      <c r="J301" s="30" cm="1">
        <f t="array" ref="J301">IFERROR(
 (SUMPRODUCT(ISNUMBER(SEARCH(","&amp;Справочник_ОКВЭД_НР!$A$3:$A$62&amp;".",","&amp;SUBSTITUTE(F301," ","")&amp;",")))*Справочник_ОКВЭД_НР!$L$9 +
  SUMPRODUCT(ISNUMBER(SEARCH(","&amp;Справочник_ОКВЭД_НР!$C$3:$C$62&amp;".",","&amp;SUBSTITUTE(F301," ","")&amp;",")))*Справочник_ОКВЭД_НР!$L$10 +
  SUMPRODUCT(ISNUMBER(SEARCH(","&amp;Справочник_ОКВЭД_НР!$E$3:$E$62&amp;".",","&amp;SUBSTITUTE(F301," ","")&amp;",")))*Справочник_ОКВЭД_НР!$L$11 +
  SUMPRODUCT(ISNUMBER(SEARCH(","&amp;Справочник_ОКВЭД_НР!$G$3:$G$62&amp;".",","&amp;SUBSTITUTE(F301," ","")&amp;",")))*Справочник_ОКВЭД_НР!$L$12) /
 (SUMPRODUCT(ISNUMBER(SEARCH(","&amp;Справочник_ОКВЭД_НР!$A$3:$A$62&amp;".",","&amp;SUBSTITUTE(F301," ","")&amp;","))) +
  SUMPRODUCT(ISNUMBER(SEARCH(","&amp;Справочник_ОКВЭД_НР!$C$3:$C$62&amp;".",","&amp;SUBSTITUTE(F301," ","")&amp;","))) +
  SUMPRODUCT(ISNUMBER(SEARCH(","&amp;Справочник_ОКВЭД_НР!$E$3:$E$62&amp;".",","&amp;SUBSTITUTE(F301," ","")&amp;","))) +
  SUMPRODUCT(ISNUMBER(SEARCH(","&amp;Справочник_ОКВЭД_НР!$G$3:$G$62&amp;".",","&amp;SUBSTITUTE(F301," ","")&amp;",")))),
50)</f>
        <v>50</v>
      </c>
      <c r="K301" s="30">
        <f>IFERROR(VLOOKUP(G301,Справочник_ОКВЭД_НР!$O:$P,2,FALSE()),50)</f>
        <v>100</v>
      </c>
      <c r="L301" s="45">
        <f>(I301*Справочник_ОКВЭД_НР!$L$2+J301*Справочник_ОКВЭД_НР!$L$3+K301*Справочник_ОКВЭД_НР!$L$4)*M301</f>
        <v>63.5</v>
      </c>
      <c r="M301" s="47">
        <f>IF(COUNTIF(Справочник_ОКВЭД_НР!$G$3:$G$62,H301)&gt;0,0,1)</f>
        <v>1</v>
      </c>
    </row>
    <row r="302" spans="1:13" x14ac:dyDescent="0.25">
      <c r="A302" s="4">
        <f>ЛИК_дляСкорингаДП!A302</f>
        <v>1155024000471</v>
      </c>
      <c r="B302" s="4">
        <f>ЛИК_дляСкорингаДП!B302</f>
        <v>5024151174</v>
      </c>
      <c r="C302" s="4" t="str">
        <f>ЛИК_дляСкорингаДП!C302</f>
        <v>ООО "РВ"</v>
      </c>
      <c r="D302" s="5" t="str">
        <f>ЛИК_дляСкорингаДП!M302</f>
        <v>Производство инструментов и приборов для измерения, тестирования и навигации</v>
      </c>
      <c r="E302" s="4" t="str">
        <f>ЛИК_дляСкорингаДП!L302</f>
        <v>26.51</v>
      </c>
      <c r="F302" t="str">
        <f>ЛИК_дляСкорингаДП!N302</f>
        <v>26.20,26.70,46.51.1,46.51.2,46.52.2,46.69.2,46.69.7,47.41,47.78.1,47.91.2,47.99.1,62.01,62.02,63.11,63.11.1,68.10,68.20,72.19,77.33,95.11</v>
      </c>
      <c r="G302" s="25" t="str">
        <f>ЛИК_дляСкорингаДП!AG302</f>
        <v>ОСН</v>
      </c>
      <c r="H302" s="55" t="str">
        <f>IF(ISNUMBER(E302),E302,
IFERROR(LEFT(E302,FIND(".",E302)-1),E302))</f>
        <v>26</v>
      </c>
      <c r="I302" s="30">
        <f>IF(COUNTIF(Справочник_ОКВЭД_НР!$A$3:$A$62,H302)&gt;0,Справочник_ОКВЭД_НР!$L$8,
 IF(COUNTIF(Справочник_ОКВЭД_НР!$C$3:$C$62,H302)&gt;0,Справочник_ОКВЭД_НР!$L$9,
  IF(COUNTIF(Справочник_ОКВЭД_НР!$E$3:$E$62,H302)&gt;0,Справочник_ОКВЭД_НР!$L$10,
   IF(COUNTIF(Справочник_ОКВЭД_НР!$G$3:$G$62,H302)&gt;0,Справочник_ОКВЭД_НР!$L$11,50))))</f>
        <v>60</v>
      </c>
      <c r="J302" s="30" cm="1">
        <f t="array" ref="J302">IFERROR(
 (SUMPRODUCT(ISNUMBER(SEARCH(","&amp;Справочник_ОКВЭД_НР!$A$3:$A$62&amp;".",","&amp;SUBSTITUTE(F302," ","")&amp;",")))*Справочник_ОКВЭД_НР!$L$9 +
  SUMPRODUCT(ISNUMBER(SEARCH(","&amp;Справочник_ОКВЭД_НР!$C$3:$C$62&amp;".",","&amp;SUBSTITUTE(F302," ","")&amp;",")))*Справочник_ОКВЭД_НР!$L$10 +
  SUMPRODUCT(ISNUMBER(SEARCH(","&amp;Справочник_ОКВЭД_НР!$E$3:$E$62&amp;".",","&amp;SUBSTITUTE(F302," ","")&amp;",")))*Справочник_ОКВЭД_НР!$L$11 +
  SUMPRODUCT(ISNUMBER(SEARCH(","&amp;Справочник_ОКВЭД_НР!$G$3:$G$62&amp;".",","&amp;SUBSTITUTE(F302," ","")&amp;",")))*Справочник_ОКВЭД_НР!$L$12) /
 (SUMPRODUCT(ISNUMBER(SEARCH(","&amp;Справочник_ОКВЭД_НР!$A$3:$A$62&amp;".",","&amp;SUBSTITUTE(F302," ","")&amp;","))) +
  SUMPRODUCT(ISNUMBER(SEARCH(","&amp;Справочник_ОКВЭД_НР!$C$3:$C$62&amp;".",","&amp;SUBSTITUTE(F302," ","")&amp;","))) +
  SUMPRODUCT(ISNUMBER(SEARCH(","&amp;Справочник_ОКВЭД_НР!$E$3:$E$62&amp;".",","&amp;SUBSTITUTE(F302," ","")&amp;","))) +
  SUMPRODUCT(ISNUMBER(SEARCH(","&amp;Справочник_ОКВЭД_НР!$G$3:$G$62&amp;".",","&amp;SUBSTITUTE(F302," ","")&amp;",")))),
50)</f>
        <v>50</v>
      </c>
      <c r="K302" s="30">
        <f>IFERROR(VLOOKUP(G302,Справочник_ОКВЭД_НР!$O:$P,2,FALSE()),50)</f>
        <v>100</v>
      </c>
      <c r="L302" s="45">
        <f>(I302*Справочник_ОКВЭД_НР!$L$2+J302*Справочник_ОКВЭД_НР!$L$3+K302*Справочник_ОКВЭД_НР!$L$4)*M302</f>
        <v>63.5</v>
      </c>
      <c r="M302" s="47">
        <f>IF(COUNTIF(Справочник_ОКВЭД_НР!$G$3:$G$62,H302)&gt;0,0,1)</f>
        <v>1</v>
      </c>
    </row>
    <row r="303" spans="1:13" x14ac:dyDescent="0.25">
      <c r="A303" s="4">
        <f>ЛИК_дляСкорингаДП!A303</f>
        <v>1045002353736</v>
      </c>
      <c r="B303" s="4">
        <f>ЛИК_дляСкорингаДП!B303</f>
        <v>5011023841</v>
      </c>
      <c r="C303" s="4" t="str">
        <f>ЛИК_дляСкорингаДП!C303</f>
        <v>ООО "ТАЛАН"</v>
      </c>
      <c r="D303" s="5" t="str">
        <f>ЛИК_дляСкорингаДП!M303</f>
        <v>Деятельность по складированию и хранению</v>
      </c>
      <c r="E303" s="4" t="str">
        <f>ЛИК_дляСкорингаДП!L303</f>
        <v>52.10</v>
      </c>
      <c r="F303" t="str">
        <f>ЛИК_дляСкорингаДП!N303</f>
        <v>46.90,47.9,49.4,49.41.1,52.10.9,52.21.24,52.24,68.2,68.20,82.92</v>
      </c>
      <c r="G303" s="25" t="str">
        <f>ЛИК_дляСкорингаДП!AG303</f>
        <v>ОСН</v>
      </c>
      <c r="H303" s="55" t="str">
        <f>IF(ISNUMBER(E303),E303,
IFERROR(LEFT(E303,FIND(".",E303)-1),E303))</f>
        <v>52</v>
      </c>
      <c r="I303" s="30">
        <f>IF(COUNTIF(Справочник_ОКВЭД_НР!$A$3:$A$62,H303)&gt;0,Справочник_ОКВЭД_НР!$L$8,
 IF(COUNTIF(Справочник_ОКВЭД_НР!$C$3:$C$62,H303)&gt;0,Справочник_ОКВЭД_НР!$L$9,
  IF(COUNTIF(Справочник_ОКВЭД_НР!$E$3:$E$62,H303)&gt;0,Справочник_ОКВЭД_НР!$L$10,
   IF(COUNTIF(Справочник_ОКВЭД_НР!$G$3:$G$62,H303)&gt;0,Справочник_ОКВЭД_НР!$L$11,50))))</f>
        <v>60</v>
      </c>
      <c r="J303" s="30" cm="1">
        <f t="array" ref="J303">IFERROR(
 (SUMPRODUCT(ISNUMBER(SEARCH(","&amp;Справочник_ОКВЭД_НР!$A$3:$A$62&amp;".",","&amp;SUBSTITUTE(F303," ","")&amp;",")))*Справочник_ОКВЭД_НР!$L$9 +
  SUMPRODUCT(ISNUMBER(SEARCH(","&amp;Справочник_ОКВЭД_НР!$C$3:$C$62&amp;".",","&amp;SUBSTITUTE(F303," ","")&amp;",")))*Справочник_ОКВЭД_НР!$L$10 +
  SUMPRODUCT(ISNUMBER(SEARCH(","&amp;Справочник_ОКВЭД_НР!$E$3:$E$62&amp;".",","&amp;SUBSTITUTE(F303," ","")&amp;",")))*Справочник_ОКВЭД_НР!$L$11 +
  SUMPRODUCT(ISNUMBER(SEARCH(","&amp;Справочник_ОКВЭД_НР!$G$3:$G$62&amp;".",","&amp;SUBSTITUTE(F303," ","")&amp;",")))*Справочник_ОКВЭД_НР!$L$12) /
 (SUMPRODUCT(ISNUMBER(SEARCH(","&amp;Справочник_ОКВЭД_НР!$A$3:$A$62&amp;".",","&amp;SUBSTITUTE(F303," ","")&amp;","))) +
  SUMPRODUCT(ISNUMBER(SEARCH(","&amp;Справочник_ОКВЭД_НР!$C$3:$C$62&amp;".",","&amp;SUBSTITUTE(F303," ","")&amp;","))) +
  SUMPRODUCT(ISNUMBER(SEARCH(","&amp;Справочник_ОКВЭД_НР!$E$3:$E$62&amp;".",","&amp;SUBSTITUTE(F303," ","")&amp;","))) +
  SUMPRODUCT(ISNUMBER(SEARCH(","&amp;Справочник_ОКВЭД_НР!$G$3:$G$62&amp;".",","&amp;SUBSTITUTE(F303," ","")&amp;",")))),
50)</f>
        <v>50</v>
      </c>
      <c r="K303" s="30">
        <f>IFERROR(VLOOKUP(G303,Справочник_ОКВЭД_НР!$O:$P,2,FALSE()),50)</f>
        <v>100</v>
      </c>
      <c r="L303" s="45">
        <f>(I303*Справочник_ОКВЭД_НР!$L$2+J303*Справочник_ОКВЭД_НР!$L$3+K303*Справочник_ОКВЭД_НР!$L$4)*M303</f>
        <v>63.5</v>
      </c>
      <c r="M303" s="47">
        <f>IF(COUNTIF(Справочник_ОКВЭД_НР!$G$3:$G$62,H303)&gt;0,0,1)</f>
        <v>1</v>
      </c>
    </row>
    <row r="304" spans="1:13" x14ac:dyDescent="0.25">
      <c r="A304" s="4">
        <f>ЛИК_дляСкорингаДП!A304</f>
        <v>1067760318295</v>
      </c>
      <c r="B304" s="4">
        <f>ЛИК_дляСкорингаДП!B304</f>
        <v>7703617664</v>
      </c>
      <c r="C304" s="4" t="str">
        <f>ЛИК_дляСкорингаДП!C304</f>
        <v>ООО "КЛР"</v>
      </c>
      <c r="D304" s="5" t="str">
        <f>ЛИК_дляСкорингаДП!M304</f>
        <v>Аренда и управление собственным или арендованным недвижимым имуществом</v>
      </c>
      <c r="E304" s="4" t="str">
        <f>ЛИК_дляСкорингаДП!L304</f>
        <v>68.20</v>
      </c>
      <c r="F304" t="str">
        <f>ЛИК_дляСкорингаДП!N304</f>
        <v>27.11,28.22,28.22.41,28.22.42,28.22.5,28.22.9,28.25.1,28.25.2,28.29,28.41,28.91,33.12,41.20,43.11,43.12.3,43.39,43.91,43.99,46.49,46.61,46.62,46.63,46.69,46.69.1,46.69.2,46.69.3,46.9,47.52.7,47.9,52.10,52.29,68.10,68.31,69,69.20,70.22,73.1,73.20,74.20,74.30,77.39.21,82.92,82.99</v>
      </c>
      <c r="G304" s="25" t="str">
        <f>ЛИК_дляСкорингаДП!AG304</f>
        <v>ОСН</v>
      </c>
      <c r="H304" s="55" t="str">
        <f>IF(ISNUMBER(E304),E304,
IFERROR(LEFT(E304,FIND(".",E304)-1),E304))</f>
        <v>68</v>
      </c>
      <c r="I304" s="30">
        <f>IF(COUNTIF(Справочник_ОКВЭД_НР!$A$3:$A$62,H304)&gt;0,Справочник_ОКВЭД_НР!$L$8,
 IF(COUNTIF(Справочник_ОКВЭД_НР!$C$3:$C$62,H304)&gt;0,Справочник_ОКВЭД_НР!$L$9,
  IF(COUNTIF(Справочник_ОКВЭД_НР!$E$3:$E$62,H304)&gt;0,Справочник_ОКВЭД_НР!$L$10,
   IF(COUNTIF(Справочник_ОКВЭД_НР!$G$3:$G$62,H304)&gt;0,Справочник_ОКВЭД_НР!$L$11,50))))</f>
        <v>100</v>
      </c>
      <c r="J304" s="30" cm="1">
        <f t="array" ref="J304">IFERROR(
 (SUMPRODUCT(ISNUMBER(SEARCH(","&amp;Справочник_ОКВЭД_НР!$A$3:$A$62&amp;".",","&amp;SUBSTITUTE(F304," ","")&amp;",")))*Справочник_ОКВЭД_НР!$L$9 +
  SUMPRODUCT(ISNUMBER(SEARCH(","&amp;Справочник_ОКВЭД_НР!$C$3:$C$62&amp;".",","&amp;SUBSTITUTE(F304," ","")&amp;",")))*Справочник_ОКВЭД_НР!$L$10 +
  SUMPRODUCT(ISNUMBER(SEARCH(","&amp;Справочник_ОКВЭД_НР!$E$3:$E$62&amp;".",","&amp;SUBSTITUTE(F304," ","")&amp;",")))*Справочник_ОКВЭД_НР!$L$11 +
  SUMPRODUCT(ISNUMBER(SEARCH(","&amp;Справочник_ОКВЭД_НР!$G$3:$G$62&amp;".",","&amp;SUBSTITUTE(F304," ","")&amp;",")))*Справочник_ОКВЭД_НР!$L$12) /
 (SUMPRODUCT(ISNUMBER(SEARCH(","&amp;Справочник_ОКВЭД_НР!$A$3:$A$62&amp;".",","&amp;SUBSTITUTE(F304," ","")&amp;","))) +
  SUMPRODUCT(ISNUMBER(SEARCH(","&amp;Справочник_ОКВЭД_НР!$C$3:$C$62&amp;".",","&amp;SUBSTITUTE(F304," ","")&amp;","))) +
  SUMPRODUCT(ISNUMBER(SEARCH(","&amp;Справочник_ОКВЭД_НР!$E$3:$E$62&amp;".",","&amp;SUBSTITUTE(F304," ","")&amp;","))) +
  SUMPRODUCT(ISNUMBER(SEARCH(","&amp;Справочник_ОКВЭД_НР!$G$3:$G$62&amp;".",","&amp;SUBSTITUTE(F304," ","")&amp;",")))),
50)</f>
        <v>50</v>
      </c>
      <c r="K304" s="30">
        <f>IFERROR(VLOOKUP(G304,Справочник_ОКВЭД_НР!$O:$P,2,FALSE()),50)</f>
        <v>100</v>
      </c>
      <c r="L304" s="45">
        <f>(I304*Справочник_ОКВЭД_НР!$L$2+J304*Справочник_ОКВЭД_НР!$L$3+K304*Справочник_ОКВЭД_НР!$L$4)*M304</f>
        <v>87.5</v>
      </c>
      <c r="M304" s="47">
        <f>IF(COUNTIF(Справочник_ОКВЭД_НР!$G$3:$G$62,H304)&gt;0,0,1)</f>
        <v>1</v>
      </c>
    </row>
    <row r="305" spans="1:13" x14ac:dyDescent="0.25">
      <c r="A305" s="4">
        <f>ЛИК_дляСкорингаДП!A305</f>
        <v>1067761100043</v>
      </c>
      <c r="B305" s="4">
        <f>ЛИК_дляСкорингаДП!B305</f>
        <v>7743623801</v>
      </c>
      <c r="C305" s="4" t="str">
        <f>ЛИК_дляСкорингаДП!C305</f>
        <v>ООО "БИС РУС"</v>
      </c>
      <c r="D305" s="5" t="str">
        <f>ЛИК_дляСкорингаДП!M305</f>
        <v>Торговля оптовая неспециализированная</v>
      </c>
      <c r="E305" s="4" t="str">
        <f>ЛИК_дляСкорингаДП!L305</f>
        <v>46.90</v>
      </c>
      <c r="F305" t="str">
        <f>ЛИК_дляСкорингаДП!N305</f>
        <v>26.20,28.14,28.23,28.29,41.20,42.91,43.21,46.14,46.15,46.43,46.66,47.43,47.54,47.7,47.99,62.01,62.02,62.09,63.11,63.11.1,70.22,71.11.1,82.99,95.11,95.12</v>
      </c>
      <c r="G305" s="25" t="str">
        <f>ЛИК_дляСкорингаДП!AG305</f>
        <v>ОСН</v>
      </c>
      <c r="H305" s="55" t="str">
        <f>IF(ISNUMBER(E305),E305,
IFERROR(LEFT(E305,FIND(".",E305)-1),E305))</f>
        <v>46</v>
      </c>
      <c r="I305" s="30">
        <f>IF(COUNTIF(Справочник_ОКВЭД_НР!$A$3:$A$62,H305)&gt;0,Справочник_ОКВЭД_НР!$L$8,
 IF(COUNTIF(Справочник_ОКВЭД_НР!$C$3:$C$62,H305)&gt;0,Справочник_ОКВЭД_НР!$L$9,
  IF(COUNTIF(Справочник_ОКВЭД_НР!$E$3:$E$62,H305)&gt;0,Справочник_ОКВЭД_НР!$L$10,
   IF(COUNTIF(Справочник_ОКВЭД_НР!$G$3:$G$62,H305)&gt;0,Справочник_ОКВЭД_НР!$L$11,50))))</f>
        <v>60</v>
      </c>
      <c r="J305" s="30" cm="1">
        <f t="array" ref="J305">IFERROR(
 (SUMPRODUCT(ISNUMBER(SEARCH(","&amp;Справочник_ОКВЭД_НР!$A$3:$A$62&amp;".",","&amp;SUBSTITUTE(F305," ","")&amp;",")))*Справочник_ОКВЭД_НР!$L$9 +
  SUMPRODUCT(ISNUMBER(SEARCH(","&amp;Справочник_ОКВЭД_НР!$C$3:$C$62&amp;".",","&amp;SUBSTITUTE(F305," ","")&amp;",")))*Справочник_ОКВЭД_НР!$L$10 +
  SUMPRODUCT(ISNUMBER(SEARCH(","&amp;Справочник_ОКВЭД_НР!$E$3:$E$62&amp;".",","&amp;SUBSTITUTE(F305," ","")&amp;",")))*Справочник_ОКВЭД_НР!$L$11 +
  SUMPRODUCT(ISNUMBER(SEARCH(","&amp;Справочник_ОКВЭД_НР!$G$3:$G$62&amp;".",","&amp;SUBSTITUTE(F305," ","")&amp;",")))*Справочник_ОКВЭД_НР!$L$12) /
 (SUMPRODUCT(ISNUMBER(SEARCH(","&amp;Справочник_ОКВЭД_НР!$A$3:$A$62&amp;".",","&amp;SUBSTITUTE(F305," ","")&amp;","))) +
  SUMPRODUCT(ISNUMBER(SEARCH(","&amp;Справочник_ОКВЭД_НР!$C$3:$C$62&amp;".",","&amp;SUBSTITUTE(F305," ","")&amp;","))) +
  SUMPRODUCT(ISNUMBER(SEARCH(","&amp;Справочник_ОКВЭД_НР!$E$3:$E$62&amp;".",","&amp;SUBSTITUTE(F305," ","")&amp;","))) +
  SUMPRODUCT(ISNUMBER(SEARCH(","&amp;Справочник_ОКВЭД_НР!$G$3:$G$62&amp;".",","&amp;SUBSTITUTE(F305," ","")&amp;",")))),
50)</f>
        <v>50</v>
      </c>
      <c r="K305" s="30">
        <f>IFERROR(VLOOKUP(G305,Справочник_ОКВЭД_НР!$O:$P,2,FALSE()),50)</f>
        <v>100</v>
      </c>
      <c r="L305" s="45">
        <f>(I305*Справочник_ОКВЭД_НР!$L$2+J305*Справочник_ОКВЭД_НР!$L$3+K305*Справочник_ОКВЭД_НР!$L$4)*M305</f>
        <v>63.5</v>
      </c>
      <c r="M305" s="47">
        <f>IF(COUNTIF(Справочник_ОКВЭД_НР!$G$3:$G$62,H305)&gt;0,0,1)</f>
        <v>1</v>
      </c>
    </row>
    <row r="306" spans="1:13" x14ac:dyDescent="0.25">
      <c r="A306" s="4">
        <f>ЛИК_дляСкорингаДП!A306</f>
        <v>1045004261906</v>
      </c>
      <c r="B306" s="4">
        <f>ЛИК_дляСкорингаДП!B306</f>
        <v>5022037324</v>
      </c>
      <c r="C306" s="4" t="str">
        <f>ЛИК_дляСкорингаДП!C306</f>
        <v>АО "СЕВЕРКА"</v>
      </c>
      <c r="D306" s="5" t="str">
        <f>ЛИК_дляСкорингаДП!M306</f>
        <v>Выращивание столовых корнеплодных и клубнеплодных культур с высоким содержанием крахмала или инулина</v>
      </c>
      <c r="E306" s="4" t="str">
        <f>ЛИК_дляСкорингаДП!L306</f>
        <v>01.13.3</v>
      </c>
      <c r="F306" t="str">
        <f>ЛИК_дляСкорингаДП!N306</f>
        <v>01.11.1,01.13.1,01.61,01.63,68.10.11,01.11,01.11.1,01.11.2,01.13.1,01.13.3,01.19,01.19.1,01.29,01.41,01.42,01.61,01.63,01.64,10.11.1,10.11.2,10.11.3,10.31,10.39.1,46.31.11,47.21,49.41,52.10,52.29,68.20,71.11,77.11,77.12,77.31</v>
      </c>
      <c r="G306" s="25" t="str">
        <f>ЛИК_дляСкорингаДП!AG306</f>
        <v>ОСН</v>
      </c>
      <c r="H306" s="55" t="str">
        <f>IF(ISNUMBER(E306),E306,
IFERROR(LEFT(E306,FIND(".",E306)-1),E306))</f>
        <v>01</v>
      </c>
      <c r="I306" s="30">
        <f>IF(COUNTIF(Справочник_ОКВЭД_НР!$A$3:$A$62,H306)&gt;0,Справочник_ОКВЭД_НР!$L$8,
 IF(COUNTIF(Справочник_ОКВЭД_НР!$C$3:$C$62,H306)&gt;0,Справочник_ОКВЭД_НР!$L$9,
  IF(COUNTIF(Справочник_ОКВЭД_НР!$E$3:$E$62,H306)&gt;0,Справочник_ОКВЭД_НР!$L$10,
   IF(COUNTIF(Справочник_ОКВЭД_НР!$G$3:$G$62,H306)&gt;0,Справочник_ОКВЭД_НР!$L$11,50))))</f>
        <v>60</v>
      </c>
      <c r="J306" s="30" cm="1">
        <f t="array" ref="J306">IFERROR(
 (SUMPRODUCT(ISNUMBER(SEARCH(","&amp;Справочник_ОКВЭД_НР!$A$3:$A$62&amp;".",","&amp;SUBSTITUTE(F306," ","")&amp;",")))*Справочник_ОКВЭД_НР!$L$9 +
  SUMPRODUCT(ISNUMBER(SEARCH(","&amp;Справочник_ОКВЭД_НР!$C$3:$C$62&amp;".",","&amp;SUBSTITUTE(F306," ","")&amp;",")))*Справочник_ОКВЭД_НР!$L$10 +
  SUMPRODUCT(ISNUMBER(SEARCH(","&amp;Справочник_ОКВЭД_НР!$E$3:$E$62&amp;".",","&amp;SUBSTITUTE(F306," ","")&amp;",")))*Справочник_ОКВЭД_НР!$L$11 +
  SUMPRODUCT(ISNUMBER(SEARCH(","&amp;Справочник_ОКВЭД_НР!$G$3:$G$62&amp;".",","&amp;SUBSTITUTE(F306," ","")&amp;",")))*Справочник_ОКВЭД_НР!$L$12) /
 (SUMPRODUCT(ISNUMBER(SEARCH(","&amp;Справочник_ОКВЭД_НР!$A$3:$A$62&amp;".",","&amp;SUBSTITUTE(F306," ","")&amp;","))) +
  SUMPRODUCT(ISNUMBER(SEARCH(","&amp;Справочник_ОКВЭД_НР!$C$3:$C$62&amp;".",","&amp;SUBSTITUTE(F306," ","")&amp;","))) +
  SUMPRODUCT(ISNUMBER(SEARCH(","&amp;Справочник_ОКВЭД_НР!$E$3:$E$62&amp;".",","&amp;SUBSTITUTE(F306," ","")&amp;","))) +
  SUMPRODUCT(ISNUMBER(SEARCH(","&amp;Справочник_ОКВЭД_НР!$G$3:$G$62&amp;".",","&amp;SUBSTITUTE(F306," ","")&amp;",")))),
50)</f>
        <v>50</v>
      </c>
      <c r="K306" s="30">
        <f>IFERROR(VLOOKUP(G306,Справочник_ОКВЭД_НР!$O:$P,2,FALSE()),50)</f>
        <v>100</v>
      </c>
      <c r="L306" s="45">
        <f>(I306*Справочник_ОКВЭД_НР!$L$2+J306*Справочник_ОКВЭД_НР!$L$3+K306*Справочник_ОКВЭД_НР!$L$4)*M306</f>
        <v>63.5</v>
      </c>
      <c r="M306" s="47">
        <f>IF(COUNTIF(Справочник_ОКВЭД_НР!$G$3:$G$62,H306)&gt;0,0,1)</f>
        <v>1</v>
      </c>
    </row>
    <row r="307" spans="1:13" x14ac:dyDescent="0.25">
      <c r="A307" s="4">
        <f>ЛИК_дляСкорингаДП!A307</f>
        <v>1155050005219</v>
      </c>
      <c r="B307" s="4">
        <f>ЛИК_дляСкорингаДП!B307</f>
        <v>5050120662</v>
      </c>
      <c r="C307" s="4" t="str">
        <f>ЛИК_дляСкорингаДП!C307</f>
        <v>ООО "МИРАСТРОЙ"</v>
      </c>
      <c r="D307" s="5" t="str">
        <f>ЛИК_дляСкорингаДП!M307</f>
        <v>Производство товарного бетона</v>
      </c>
      <c r="E307" s="4" t="str">
        <f>ЛИК_дляСкорингаДП!L307</f>
        <v>23.63</v>
      </c>
      <c r="F307" t="str">
        <f>ЛИК_дляСкорингаДП!N307</f>
        <v>23.61,23.64,23.69,46.13,46.13.2,46.69,46.90,49.4,49.41,49.42,52.10,52.21,52.24,52.29,68.10,68.20,77.12,77.32,77.39.11,77.39.2</v>
      </c>
      <c r="G307" s="25" t="str">
        <f>ЛИК_дляСкорингаДП!AG307</f>
        <v>ОСН</v>
      </c>
      <c r="H307" s="55" t="str">
        <f>IF(ISNUMBER(E307),E307,
IFERROR(LEFT(E307,FIND(".",E307)-1),E307))</f>
        <v>23</v>
      </c>
      <c r="I307" s="30">
        <f>IF(COUNTIF(Справочник_ОКВЭД_НР!$A$3:$A$62,H307)&gt;0,Справочник_ОКВЭД_НР!$L$8,
 IF(COUNTIF(Справочник_ОКВЭД_НР!$C$3:$C$62,H307)&gt;0,Справочник_ОКВЭД_НР!$L$9,
  IF(COUNTIF(Справочник_ОКВЭД_НР!$E$3:$E$62,H307)&gt;0,Справочник_ОКВЭД_НР!$L$10,
   IF(COUNTIF(Справочник_ОКВЭД_НР!$G$3:$G$62,H307)&gt;0,Справочник_ОКВЭД_НР!$L$11,50))))</f>
        <v>60</v>
      </c>
      <c r="J307" s="30" cm="1">
        <f t="array" ref="J307">IFERROR(
 (SUMPRODUCT(ISNUMBER(SEARCH(","&amp;Справочник_ОКВЭД_НР!$A$3:$A$62&amp;".",","&amp;SUBSTITUTE(F307," ","")&amp;",")))*Справочник_ОКВЭД_НР!$L$9 +
  SUMPRODUCT(ISNUMBER(SEARCH(","&amp;Справочник_ОКВЭД_НР!$C$3:$C$62&amp;".",","&amp;SUBSTITUTE(F307," ","")&amp;",")))*Справочник_ОКВЭД_НР!$L$10 +
  SUMPRODUCT(ISNUMBER(SEARCH(","&amp;Справочник_ОКВЭД_НР!$E$3:$E$62&amp;".",","&amp;SUBSTITUTE(F307," ","")&amp;",")))*Справочник_ОКВЭД_НР!$L$11 +
  SUMPRODUCT(ISNUMBER(SEARCH(","&amp;Справочник_ОКВЭД_НР!$G$3:$G$62&amp;".",","&amp;SUBSTITUTE(F307," ","")&amp;",")))*Справочник_ОКВЭД_НР!$L$12) /
 (SUMPRODUCT(ISNUMBER(SEARCH(","&amp;Справочник_ОКВЭД_НР!$A$3:$A$62&amp;".",","&amp;SUBSTITUTE(F307," ","")&amp;","))) +
  SUMPRODUCT(ISNUMBER(SEARCH(","&amp;Справочник_ОКВЭД_НР!$C$3:$C$62&amp;".",","&amp;SUBSTITUTE(F307," ","")&amp;","))) +
  SUMPRODUCT(ISNUMBER(SEARCH(","&amp;Справочник_ОКВЭД_НР!$E$3:$E$62&amp;".",","&amp;SUBSTITUTE(F307," ","")&amp;","))) +
  SUMPRODUCT(ISNUMBER(SEARCH(","&amp;Справочник_ОКВЭД_НР!$G$3:$G$62&amp;".",","&amp;SUBSTITUTE(F307," ","")&amp;",")))),
50)</f>
        <v>50</v>
      </c>
      <c r="K307" s="30">
        <f>IFERROR(VLOOKUP(G307,Справочник_ОКВЭД_НР!$O:$P,2,FALSE()),50)</f>
        <v>100</v>
      </c>
      <c r="L307" s="45">
        <f>(I307*Справочник_ОКВЭД_НР!$L$2+J307*Справочник_ОКВЭД_НР!$L$3+K307*Справочник_ОКВЭД_НР!$L$4)*M307</f>
        <v>63.5</v>
      </c>
      <c r="M307" s="47">
        <f>IF(COUNTIF(Справочник_ОКВЭД_НР!$G$3:$G$62,H307)&gt;0,0,1)</f>
        <v>1</v>
      </c>
    </row>
    <row r="308" spans="1:13" x14ac:dyDescent="0.25">
      <c r="A308" s="4">
        <f>ЛИК_дляСкорингаДП!A308</f>
        <v>1045011452573</v>
      </c>
      <c r="B308" s="4">
        <f>ЛИК_дляСкорингаДП!B308</f>
        <v>5074026891</v>
      </c>
      <c r="C308" s="4" t="str">
        <f>ЛИК_дляСкорингаДП!C308</f>
        <v>ООО "ЛОГИСТИКА СЕРВИС"</v>
      </c>
      <c r="D308" s="5" t="str">
        <f>ЛИК_дляСкорингаДП!M308</f>
        <v>Аренда и управление собственным или арендованным недвижимым имуществом</v>
      </c>
      <c r="E308" s="4" t="str">
        <f>ЛИК_дляСкорингаДП!L308</f>
        <v>68.2</v>
      </c>
      <c r="F308" t="str">
        <f>ЛИК_дляСкорингаДП!N308</f>
        <v>46.33,52.10</v>
      </c>
      <c r="G308" s="25" t="str">
        <f>ЛИК_дляСкорингаДП!AG308</f>
        <v>ОСН</v>
      </c>
      <c r="H308" s="55" t="str">
        <f>IF(ISNUMBER(E308),E308,
IFERROR(LEFT(E308,FIND(".",E308)-1),E308))</f>
        <v>68</v>
      </c>
      <c r="I308" s="30">
        <f>IF(COUNTIF(Справочник_ОКВЭД_НР!$A$3:$A$62,H308)&gt;0,Справочник_ОКВЭД_НР!$L$8,
 IF(COUNTIF(Справочник_ОКВЭД_НР!$C$3:$C$62,H308)&gt;0,Справочник_ОКВЭД_НР!$L$9,
  IF(COUNTIF(Справочник_ОКВЭД_НР!$E$3:$E$62,H308)&gt;0,Справочник_ОКВЭД_НР!$L$10,
   IF(COUNTIF(Справочник_ОКВЭД_НР!$G$3:$G$62,H308)&gt;0,Справочник_ОКВЭД_НР!$L$11,50))))</f>
        <v>100</v>
      </c>
      <c r="J308" s="30" cm="1">
        <f t="array" ref="J308">IFERROR(
 (SUMPRODUCT(ISNUMBER(SEARCH(","&amp;Справочник_ОКВЭД_НР!$A$3:$A$62&amp;".",","&amp;SUBSTITUTE(F308," ","")&amp;",")))*Справочник_ОКВЭД_НР!$L$9 +
  SUMPRODUCT(ISNUMBER(SEARCH(","&amp;Справочник_ОКВЭД_НР!$C$3:$C$62&amp;".",","&amp;SUBSTITUTE(F308," ","")&amp;",")))*Справочник_ОКВЭД_НР!$L$10 +
  SUMPRODUCT(ISNUMBER(SEARCH(","&amp;Справочник_ОКВЭД_НР!$E$3:$E$62&amp;".",","&amp;SUBSTITUTE(F308," ","")&amp;",")))*Справочник_ОКВЭД_НР!$L$11 +
  SUMPRODUCT(ISNUMBER(SEARCH(","&amp;Справочник_ОКВЭД_НР!$G$3:$G$62&amp;".",","&amp;SUBSTITUTE(F308," ","")&amp;",")))*Справочник_ОКВЭД_НР!$L$12) /
 (SUMPRODUCT(ISNUMBER(SEARCH(","&amp;Справочник_ОКВЭД_НР!$A$3:$A$62&amp;".",","&amp;SUBSTITUTE(F308," ","")&amp;","))) +
  SUMPRODUCT(ISNUMBER(SEARCH(","&amp;Справочник_ОКВЭД_НР!$C$3:$C$62&amp;".",","&amp;SUBSTITUTE(F308," ","")&amp;","))) +
  SUMPRODUCT(ISNUMBER(SEARCH(","&amp;Справочник_ОКВЭД_НР!$E$3:$E$62&amp;".",","&amp;SUBSTITUTE(F308," ","")&amp;","))) +
  SUMPRODUCT(ISNUMBER(SEARCH(","&amp;Справочник_ОКВЭД_НР!$G$3:$G$62&amp;".",","&amp;SUBSTITUTE(F308," ","")&amp;",")))),
50)</f>
        <v>50</v>
      </c>
      <c r="K308" s="30">
        <f>IFERROR(VLOOKUP(G308,Справочник_ОКВЭД_НР!$O:$P,2,FALSE()),50)</f>
        <v>100</v>
      </c>
      <c r="L308" s="45">
        <f>(I308*Справочник_ОКВЭД_НР!$L$2+J308*Справочник_ОКВЭД_НР!$L$3+K308*Справочник_ОКВЭД_НР!$L$4)*M308</f>
        <v>87.5</v>
      </c>
      <c r="M308" s="47">
        <f>IF(COUNTIF(Справочник_ОКВЭД_НР!$G$3:$G$62,H308)&gt;0,0,1)</f>
        <v>1</v>
      </c>
    </row>
    <row r="309" spans="1:13" x14ac:dyDescent="0.25">
      <c r="A309" s="4">
        <f>ЛИК_дляСкорингаДП!A309</f>
        <v>1045007101655</v>
      </c>
      <c r="B309" s="4">
        <f>ЛИК_дляСкорингаДП!B309</f>
        <v>5035025559</v>
      </c>
      <c r="C309" s="4" t="str">
        <f>ЛИК_дляСкорингаДП!C309</f>
        <v>АО "МАРТИНЕЛЛИ ЭТТОРЕ"</v>
      </c>
      <c r="D309" s="5" t="str">
        <f>ЛИК_дляСкорингаДП!M309</f>
        <v>Ремонт машин и оборудования</v>
      </c>
      <c r="E309" s="4" t="str">
        <f>ЛИК_дляСкорингаДП!L309</f>
        <v>33.12</v>
      </c>
      <c r="F309" t="str">
        <f>ЛИК_дляСкорингаДП!N309</f>
        <v>46.69.9,28.99,28.99.9,33.12,46.69,46.73.6</v>
      </c>
      <c r="G309" s="25" t="str">
        <f>ЛИК_дляСкорингаДП!AG309</f>
        <v>ОСН</v>
      </c>
      <c r="H309" s="55" t="str">
        <f>IF(ISNUMBER(E309),E309,
IFERROR(LEFT(E309,FIND(".",E309)-1),E309))</f>
        <v>33</v>
      </c>
      <c r="I309" s="30">
        <f>IF(COUNTIF(Справочник_ОКВЭД_НР!$A$3:$A$62,H309)&gt;0,Справочник_ОКВЭД_НР!$L$8,
 IF(COUNTIF(Справочник_ОКВЭД_НР!$C$3:$C$62,H309)&gt;0,Справочник_ОКВЭД_НР!$L$9,
  IF(COUNTIF(Справочник_ОКВЭД_НР!$E$3:$E$62,H309)&gt;0,Справочник_ОКВЭД_НР!$L$10,
   IF(COUNTIF(Справочник_ОКВЭД_НР!$G$3:$G$62,H309)&gt;0,Справочник_ОКВЭД_НР!$L$11,50))))</f>
        <v>60</v>
      </c>
      <c r="J309" s="30" cm="1">
        <f t="array" ref="J309">IFERROR(
 (SUMPRODUCT(ISNUMBER(SEARCH(","&amp;Справочник_ОКВЭД_НР!$A$3:$A$62&amp;".",","&amp;SUBSTITUTE(F309," ","")&amp;",")))*Справочник_ОКВЭД_НР!$L$9 +
  SUMPRODUCT(ISNUMBER(SEARCH(","&amp;Справочник_ОКВЭД_НР!$C$3:$C$62&amp;".",","&amp;SUBSTITUTE(F309," ","")&amp;",")))*Справочник_ОКВЭД_НР!$L$10 +
  SUMPRODUCT(ISNUMBER(SEARCH(","&amp;Справочник_ОКВЭД_НР!$E$3:$E$62&amp;".",","&amp;SUBSTITUTE(F309," ","")&amp;",")))*Справочник_ОКВЭД_НР!$L$11 +
  SUMPRODUCT(ISNUMBER(SEARCH(","&amp;Справочник_ОКВЭД_НР!$G$3:$G$62&amp;".",","&amp;SUBSTITUTE(F309," ","")&amp;",")))*Справочник_ОКВЭД_НР!$L$12) /
 (SUMPRODUCT(ISNUMBER(SEARCH(","&amp;Справочник_ОКВЭД_НР!$A$3:$A$62&amp;".",","&amp;SUBSTITUTE(F309," ","")&amp;","))) +
  SUMPRODUCT(ISNUMBER(SEARCH(","&amp;Справочник_ОКВЭД_НР!$C$3:$C$62&amp;".",","&amp;SUBSTITUTE(F309," ","")&amp;","))) +
  SUMPRODUCT(ISNUMBER(SEARCH(","&amp;Справочник_ОКВЭД_НР!$E$3:$E$62&amp;".",","&amp;SUBSTITUTE(F309," ","")&amp;","))) +
  SUMPRODUCT(ISNUMBER(SEARCH(","&amp;Справочник_ОКВЭД_НР!$G$3:$G$62&amp;".",","&amp;SUBSTITUTE(F309," ","")&amp;",")))),
50)</f>
        <v>50</v>
      </c>
      <c r="K309" s="30">
        <f>IFERROR(VLOOKUP(G309,Справочник_ОКВЭД_НР!$O:$P,2,FALSE()),50)</f>
        <v>100</v>
      </c>
      <c r="L309" s="45">
        <f>(I309*Справочник_ОКВЭД_НР!$L$2+J309*Справочник_ОКВЭД_НР!$L$3+K309*Справочник_ОКВЭД_НР!$L$4)*M309</f>
        <v>63.5</v>
      </c>
      <c r="M309" s="47">
        <f>IF(COUNTIF(Справочник_ОКВЭД_НР!$G$3:$G$62,H309)&gt;0,0,1)</f>
        <v>1</v>
      </c>
    </row>
    <row r="310" spans="1:13" x14ac:dyDescent="0.25">
      <c r="A310" s="4">
        <f>ЛИК_дляСкорингаДП!A310</f>
        <v>1045010553125</v>
      </c>
      <c r="B310" s="4">
        <f>ЛИК_дляСкорингаДП!B310</f>
        <v>5052014973</v>
      </c>
      <c r="C310" s="4" t="str">
        <f>ЛИК_дляСкорингаДП!C310</f>
        <v>АО "НЬЮКО"</v>
      </c>
      <c r="D310" s="5" t="str">
        <f>ЛИК_дляСкорингаДП!M310</f>
        <v>Торговля розничная изделиями, применяемыми в медицинских целях, ортопедическими изделиями в специализированных магазинах</v>
      </c>
      <c r="E310" s="4" t="str">
        <f>ЛИК_дляСкорингаДП!L310</f>
        <v>47.74</v>
      </c>
      <c r="F310" t="str">
        <f>ЛИК_дляСкорингаДП!N310</f>
        <v>26.60.1,33.13,46.46.2,72.19,74.30,82.19,86.21</v>
      </c>
      <c r="G310" s="25" t="str">
        <f>ЛИК_дляСкорингаДП!AG310</f>
        <v>ОСН</v>
      </c>
      <c r="H310" s="55" t="str">
        <f>IF(ISNUMBER(E310),E310,
IFERROR(LEFT(E310,FIND(".",E310)-1),E310))</f>
        <v>47</v>
      </c>
      <c r="I310" s="30">
        <f>IF(COUNTIF(Справочник_ОКВЭД_НР!$A$3:$A$62,H310)&gt;0,Справочник_ОКВЭД_НР!$L$8,
 IF(COUNTIF(Справочник_ОКВЭД_НР!$C$3:$C$62,H310)&gt;0,Справочник_ОКВЭД_НР!$L$9,
  IF(COUNTIF(Справочник_ОКВЭД_НР!$E$3:$E$62,H310)&gt;0,Справочник_ОКВЭД_НР!$L$10,
   IF(COUNTIF(Справочник_ОКВЭД_НР!$G$3:$G$62,H310)&gt;0,Справочник_ОКВЭД_НР!$L$11,50))))</f>
        <v>60</v>
      </c>
      <c r="J310" s="30" cm="1">
        <f t="array" ref="J310">IFERROR(
 (SUMPRODUCT(ISNUMBER(SEARCH(","&amp;Справочник_ОКВЭД_НР!$A$3:$A$62&amp;".",","&amp;SUBSTITUTE(F310," ","")&amp;",")))*Справочник_ОКВЭД_НР!$L$9 +
  SUMPRODUCT(ISNUMBER(SEARCH(","&amp;Справочник_ОКВЭД_НР!$C$3:$C$62&amp;".",","&amp;SUBSTITUTE(F310," ","")&amp;",")))*Справочник_ОКВЭД_НР!$L$10 +
  SUMPRODUCT(ISNUMBER(SEARCH(","&amp;Справочник_ОКВЭД_НР!$E$3:$E$62&amp;".",","&amp;SUBSTITUTE(F310," ","")&amp;",")))*Справочник_ОКВЭД_НР!$L$11 +
  SUMPRODUCT(ISNUMBER(SEARCH(","&amp;Справочник_ОКВЭД_НР!$G$3:$G$62&amp;".",","&amp;SUBSTITUTE(F310," ","")&amp;",")))*Справочник_ОКВЭД_НР!$L$12) /
 (SUMPRODUCT(ISNUMBER(SEARCH(","&amp;Справочник_ОКВЭД_НР!$A$3:$A$62&amp;".",","&amp;SUBSTITUTE(F310," ","")&amp;","))) +
  SUMPRODUCT(ISNUMBER(SEARCH(","&amp;Справочник_ОКВЭД_НР!$C$3:$C$62&amp;".",","&amp;SUBSTITUTE(F310," ","")&amp;","))) +
  SUMPRODUCT(ISNUMBER(SEARCH(","&amp;Справочник_ОКВЭД_НР!$E$3:$E$62&amp;".",","&amp;SUBSTITUTE(F310," ","")&amp;","))) +
  SUMPRODUCT(ISNUMBER(SEARCH(","&amp;Справочник_ОКВЭД_НР!$G$3:$G$62&amp;".",","&amp;SUBSTITUTE(F310," ","")&amp;",")))),
50)</f>
        <v>50</v>
      </c>
      <c r="K310" s="30">
        <f>IFERROR(VLOOKUP(G310,Справочник_ОКВЭД_НР!$O:$P,2,FALSE()),50)</f>
        <v>100</v>
      </c>
      <c r="L310" s="45">
        <f>(I310*Справочник_ОКВЭД_НР!$L$2+J310*Справочник_ОКВЭД_НР!$L$3+K310*Справочник_ОКВЭД_НР!$L$4)*M310</f>
        <v>63.5</v>
      </c>
      <c r="M310" s="47">
        <f>IF(COUNTIF(Справочник_ОКВЭД_НР!$G$3:$G$62,H310)&gt;0,0,1)</f>
        <v>1</v>
      </c>
    </row>
    <row r="311" spans="1:13" x14ac:dyDescent="0.25">
      <c r="A311" s="4">
        <f>ЛИК_дляСкорингаДП!A311</f>
        <v>1045010950577</v>
      </c>
      <c r="B311" s="4">
        <f>ЛИК_дляСкорингаДП!B311</f>
        <v>5056004454</v>
      </c>
      <c r="C311" s="4" t="str">
        <f>ЛИК_дляСкорингаДП!C311</f>
        <v>ООО "ПЛАФЕН"</v>
      </c>
      <c r="D311" s="5" t="str">
        <f>ЛИК_дляСкорингаДП!M311</f>
        <v>Производство материалов, изделий и конструкций строительного назначения из полимерных композитов</v>
      </c>
      <c r="E311" s="4" t="str">
        <f>ЛИК_дляСкорингаДП!L311</f>
        <v>22.23.1</v>
      </c>
      <c r="F311" t="str">
        <f>ЛИК_дляСкорингаДП!N311</f>
        <v>25.11,46.73.6,16.23,22.23,22.29.9,23.12,23.19.2,25.11,25.12,28.99.9,33.12,38.32.51,38.32.53,41.20,43.32,46.73.5,46.73.6,47.52.3,47.52.7,52.29,71.11.1,73.20.1</v>
      </c>
      <c r="G311" s="25" t="str">
        <f>ЛИК_дляСкорингаДП!AG311</f>
        <v>ОСН</v>
      </c>
      <c r="H311" s="55" t="str">
        <f>IF(ISNUMBER(E311),E311,
IFERROR(LEFT(E311,FIND(".",E311)-1),E311))</f>
        <v>22</v>
      </c>
      <c r="I311" s="30">
        <f>IF(COUNTIF(Справочник_ОКВЭД_НР!$A$3:$A$62,H311)&gt;0,Справочник_ОКВЭД_НР!$L$8,
 IF(COUNTIF(Справочник_ОКВЭД_НР!$C$3:$C$62,H311)&gt;0,Справочник_ОКВЭД_НР!$L$9,
  IF(COUNTIF(Справочник_ОКВЭД_НР!$E$3:$E$62,H311)&gt;0,Справочник_ОКВЭД_НР!$L$10,
   IF(COUNTIF(Справочник_ОКВЭД_НР!$G$3:$G$62,H311)&gt;0,Справочник_ОКВЭД_НР!$L$11,50))))</f>
        <v>60</v>
      </c>
      <c r="J311" s="30" cm="1">
        <f t="array" ref="J311">IFERROR(
 (SUMPRODUCT(ISNUMBER(SEARCH(","&amp;Справочник_ОКВЭД_НР!$A$3:$A$62&amp;".",","&amp;SUBSTITUTE(F311," ","")&amp;",")))*Справочник_ОКВЭД_НР!$L$9 +
  SUMPRODUCT(ISNUMBER(SEARCH(","&amp;Справочник_ОКВЭД_НР!$C$3:$C$62&amp;".",","&amp;SUBSTITUTE(F311," ","")&amp;",")))*Справочник_ОКВЭД_НР!$L$10 +
  SUMPRODUCT(ISNUMBER(SEARCH(","&amp;Справочник_ОКВЭД_НР!$E$3:$E$62&amp;".",","&amp;SUBSTITUTE(F311," ","")&amp;",")))*Справочник_ОКВЭД_НР!$L$11 +
  SUMPRODUCT(ISNUMBER(SEARCH(","&amp;Справочник_ОКВЭД_НР!$G$3:$G$62&amp;".",","&amp;SUBSTITUTE(F311," ","")&amp;",")))*Справочник_ОКВЭД_НР!$L$12) /
 (SUMPRODUCT(ISNUMBER(SEARCH(","&amp;Справочник_ОКВЭД_НР!$A$3:$A$62&amp;".",","&amp;SUBSTITUTE(F311," ","")&amp;","))) +
  SUMPRODUCT(ISNUMBER(SEARCH(","&amp;Справочник_ОКВЭД_НР!$C$3:$C$62&amp;".",","&amp;SUBSTITUTE(F311," ","")&amp;","))) +
  SUMPRODUCT(ISNUMBER(SEARCH(","&amp;Справочник_ОКВЭД_НР!$E$3:$E$62&amp;".",","&amp;SUBSTITUTE(F311," ","")&amp;","))) +
  SUMPRODUCT(ISNUMBER(SEARCH(","&amp;Справочник_ОКВЭД_НР!$G$3:$G$62&amp;".",","&amp;SUBSTITUTE(F311," ","")&amp;",")))),
50)</f>
        <v>50</v>
      </c>
      <c r="K311" s="30">
        <f>IFERROR(VLOOKUP(G311,Справочник_ОКВЭД_НР!$O:$P,2,FALSE()),50)</f>
        <v>100</v>
      </c>
      <c r="L311" s="45">
        <f>(I311*Справочник_ОКВЭД_НР!$L$2+J311*Справочник_ОКВЭД_НР!$L$3+K311*Справочник_ОКВЭД_НР!$L$4)*M311</f>
        <v>63.5</v>
      </c>
      <c r="M311" s="47">
        <f>IF(COUNTIF(Справочник_ОКВЭД_НР!$G$3:$G$62,H311)&gt;0,0,1)</f>
        <v>1</v>
      </c>
    </row>
    <row r="312" spans="1:13" x14ac:dyDescent="0.25">
      <c r="A312" s="4">
        <f>ЛИК_дляСкорингаДП!A312</f>
        <v>1157746115878</v>
      </c>
      <c r="B312" s="4">
        <f>ЛИК_дляСкорингаДП!B312</f>
        <v>7710490881</v>
      </c>
      <c r="C312" s="4" t="str">
        <f>ЛИК_дляСкорингаДП!C312</f>
        <v>ООО "ОЛИ РУС"</v>
      </c>
      <c r="D312" s="5" t="str">
        <f>ЛИК_дляСкорингаДП!M312</f>
        <v>Производство прочих изделий из пластмасс, не включенных в другие группировки, кроме устройств пломбировочных из пластика</v>
      </c>
      <c r="E312" s="4" t="str">
        <f>ЛИК_дляСкорингаДП!L312</f>
        <v>22.29.2</v>
      </c>
      <c r="F312" t="str">
        <f>ЛИК_дляСкорингаДП!N312</f>
        <v>46.73.3,22.21,22.23,22.29,25.99,37.00,37.00,43.22,46.73.3,46.73.3,46.73.6,46.73.6,46.74.2,46.74.3,46.90,47.52,47.52.5,47.52.73,47.91,47.99</v>
      </c>
      <c r="G312" s="25" t="str">
        <f>ЛИК_дляСкорингаДП!AG312</f>
        <v>ОСН</v>
      </c>
      <c r="H312" s="55" t="str">
        <f>IF(ISNUMBER(E312),E312,
IFERROR(LEFT(E312,FIND(".",E312)-1),E312))</f>
        <v>22</v>
      </c>
      <c r="I312" s="30">
        <f>IF(COUNTIF(Справочник_ОКВЭД_НР!$A$3:$A$62,H312)&gt;0,Справочник_ОКВЭД_НР!$L$8,
 IF(COUNTIF(Справочник_ОКВЭД_НР!$C$3:$C$62,H312)&gt;0,Справочник_ОКВЭД_НР!$L$9,
  IF(COUNTIF(Справочник_ОКВЭД_НР!$E$3:$E$62,H312)&gt;0,Справочник_ОКВЭД_НР!$L$10,
   IF(COUNTIF(Справочник_ОКВЭД_НР!$G$3:$G$62,H312)&gt;0,Справочник_ОКВЭД_НР!$L$11,50))))</f>
        <v>60</v>
      </c>
      <c r="J312" s="30" cm="1">
        <f t="array" ref="J312">IFERROR(
 (SUMPRODUCT(ISNUMBER(SEARCH(","&amp;Справочник_ОКВЭД_НР!$A$3:$A$62&amp;".",","&amp;SUBSTITUTE(F312," ","")&amp;",")))*Справочник_ОКВЭД_НР!$L$9 +
  SUMPRODUCT(ISNUMBER(SEARCH(","&amp;Справочник_ОКВЭД_НР!$C$3:$C$62&amp;".",","&amp;SUBSTITUTE(F312," ","")&amp;",")))*Справочник_ОКВЭД_НР!$L$10 +
  SUMPRODUCT(ISNUMBER(SEARCH(","&amp;Справочник_ОКВЭД_НР!$E$3:$E$62&amp;".",","&amp;SUBSTITUTE(F312," ","")&amp;",")))*Справочник_ОКВЭД_НР!$L$11 +
  SUMPRODUCT(ISNUMBER(SEARCH(","&amp;Справочник_ОКВЭД_НР!$G$3:$G$62&amp;".",","&amp;SUBSTITUTE(F312," ","")&amp;",")))*Справочник_ОКВЭД_НР!$L$12) /
 (SUMPRODUCT(ISNUMBER(SEARCH(","&amp;Справочник_ОКВЭД_НР!$A$3:$A$62&amp;".",","&amp;SUBSTITUTE(F312," ","")&amp;","))) +
  SUMPRODUCT(ISNUMBER(SEARCH(","&amp;Справочник_ОКВЭД_НР!$C$3:$C$62&amp;".",","&amp;SUBSTITUTE(F312," ","")&amp;","))) +
  SUMPRODUCT(ISNUMBER(SEARCH(","&amp;Справочник_ОКВЭД_НР!$E$3:$E$62&amp;".",","&amp;SUBSTITUTE(F312," ","")&amp;","))) +
  SUMPRODUCT(ISNUMBER(SEARCH(","&amp;Справочник_ОКВЭД_НР!$G$3:$G$62&amp;".",","&amp;SUBSTITUTE(F312," ","")&amp;",")))),
50)</f>
        <v>50</v>
      </c>
      <c r="K312" s="30">
        <f>IFERROR(VLOOKUP(G312,Справочник_ОКВЭД_НР!$O:$P,2,FALSE()),50)</f>
        <v>100</v>
      </c>
      <c r="L312" s="45">
        <f>(I312*Справочник_ОКВЭД_НР!$L$2+J312*Справочник_ОКВЭД_НР!$L$3+K312*Справочник_ОКВЭД_НР!$L$4)*M312</f>
        <v>63.5</v>
      </c>
      <c r="M312" s="47">
        <f>IF(COUNTIF(Справочник_ОКВЭД_НР!$G$3:$G$62,H312)&gt;0,0,1)</f>
        <v>1</v>
      </c>
    </row>
    <row r="313" spans="1:13" x14ac:dyDescent="0.25">
      <c r="A313" s="4">
        <f>ЛИК_дляСкорингаДП!A313</f>
        <v>1157746080986</v>
      </c>
      <c r="B313" s="4">
        <f>ЛИК_дляСкорингаДП!B313</f>
        <v>7701079192</v>
      </c>
      <c r="C313" s="4" t="str">
        <f>ЛИК_дляСкорингаДП!C313</f>
        <v>ООО "МЕТАСИНТЕЗ"</v>
      </c>
      <c r="D313" s="5" t="str">
        <f>ЛИК_дляСкорингаДП!M313</f>
        <v>Торговля оптовая твердым, жидким и газообразным топливом и подобными продуктами</v>
      </c>
      <c r="E313" s="4" t="str">
        <f>ЛИК_дляСкорингаДП!L313</f>
        <v>46.71</v>
      </c>
      <c r="F313" t="str">
        <f>ЛИК_дляСкорингаДП!N313</f>
        <v>46.12,46.12.1,46.71.1,46.71.2,46.71.3,46.71.4,46.71.5,46.71.51,46.71.52,46.71.9,62.01,62.02,63.11,63.11.1,64.19,64.20,66.12,70.10.1,70.10.2,70.22,71.11,71.11.1,71.12,71.12.1,71.12.12,71.12.13,71.12.41,71.12.45,71.12.5,71.12.53,71.12.6,71.12.63,71.20,71.20.1,71.20.3,71.20.6,71.20.8,71.20.9,73.20</v>
      </c>
      <c r="G313" s="25" t="str">
        <f>ЛИК_дляСкорингаДП!AG313</f>
        <v>ОСН</v>
      </c>
      <c r="H313" s="55" t="str">
        <f>IF(ISNUMBER(E313),E313,
IFERROR(LEFT(E313,FIND(".",E313)-1),E313))</f>
        <v>46</v>
      </c>
      <c r="I313" s="30">
        <f>IF(COUNTIF(Справочник_ОКВЭД_НР!$A$3:$A$62,H313)&gt;0,Справочник_ОКВЭД_НР!$L$8,
 IF(COUNTIF(Справочник_ОКВЭД_НР!$C$3:$C$62,H313)&gt;0,Справочник_ОКВЭД_НР!$L$9,
  IF(COUNTIF(Справочник_ОКВЭД_НР!$E$3:$E$62,H313)&gt;0,Справочник_ОКВЭД_НР!$L$10,
   IF(COUNTIF(Справочник_ОКВЭД_НР!$G$3:$G$62,H313)&gt;0,Справочник_ОКВЭД_НР!$L$11,50))))</f>
        <v>60</v>
      </c>
      <c r="J313" s="30" cm="1">
        <f t="array" ref="J313">IFERROR(
 (SUMPRODUCT(ISNUMBER(SEARCH(","&amp;Справочник_ОКВЭД_НР!$A$3:$A$62&amp;".",","&amp;SUBSTITUTE(F313," ","")&amp;",")))*Справочник_ОКВЭД_НР!$L$9 +
  SUMPRODUCT(ISNUMBER(SEARCH(","&amp;Справочник_ОКВЭД_НР!$C$3:$C$62&amp;".",","&amp;SUBSTITUTE(F313," ","")&amp;",")))*Справочник_ОКВЭД_НР!$L$10 +
  SUMPRODUCT(ISNUMBER(SEARCH(","&amp;Справочник_ОКВЭД_НР!$E$3:$E$62&amp;".",","&amp;SUBSTITUTE(F313," ","")&amp;",")))*Справочник_ОКВЭД_НР!$L$11 +
  SUMPRODUCT(ISNUMBER(SEARCH(","&amp;Справочник_ОКВЭД_НР!$G$3:$G$62&amp;".",","&amp;SUBSTITUTE(F313," ","")&amp;",")))*Справочник_ОКВЭД_НР!$L$12) /
 (SUMPRODUCT(ISNUMBER(SEARCH(","&amp;Справочник_ОКВЭД_НР!$A$3:$A$62&amp;".",","&amp;SUBSTITUTE(F313," ","")&amp;","))) +
  SUMPRODUCT(ISNUMBER(SEARCH(","&amp;Справочник_ОКВЭД_НР!$C$3:$C$62&amp;".",","&amp;SUBSTITUTE(F313," ","")&amp;","))) +
  SUMPRODUCT(ISNUMBER(SEARCH(","&amp;Справочник_ОКВЭД_НР!$E$3:$E$62&amp;".",","&amp;SUBSTITUTE(F313," ","")&amp;","))) +
  SUMPRODUCT(ISNUMBER(SEARCH(","&amp;Справочник_ОКВЭД_НР!$G$3:$G$62&amp;".",","&amp;SUBSTITUTE(F313," ","")&amp;",")))),
50)</f>
        <v>50</v>
      </c>
      <c r="K313" s="30">
        <f>IFERROR(VLOOKUP(G313,Справочник_ОКВЭД_НР!$O:$P,2,FALSE()),50)</f>
        <v>100</v>
      </c>
      <c r="L313" s="45">
        <f>(I313*Справочник_ОКВЭД_НР!$L$2+J313*Справочник_ОКВЭД_НР!$L$3+K313*Справочник_ОКВЭД_НР!$L$4)*M313</f>
        <v>63.5</v>
      </c>
      <c r="M313" s="47">
        <f>IF(COUNTIF(Справочник_ОКВЭД_НР!$G$3:$G$62,H313)&gt;0,0,1)</f>
        <v>1</v>
      </c>
    </row>
    <row r="314" spans="1:13" x14ac:dyDescent="0.25">
      <c r="A314" s="4">
        <f>ЛИК_дляСкорингаДП!A314</f>
        <v>5157746213125</v>
      </c>
      <c r="B314" s="4">
        <f>ЛИК_дляСкорингаДП!B314</f>
        <v>7703404419</v>
      </c>
      <c r="C314" s="4" t="str">
        <f>ЛИК_дляСкорингаДП!C314</f>
        <v>ООО "УПРАВЛЯЮЩАЯ КОМПАНИЯ "ТУШИНО 2018"</v>
      </c>
      <c r="D314" s="5" t="str">
        <f>ЛИК_дляСкорингаДП!M314</f>
        <v>Покупка и продажа собственного недвижимого имущества</v>
      </c>
      <c r="E314" s="4" t="str">
        <f>ЛИК_дляСкорингаДП!L314</f>
        <v>68.10.2</v>
      </c>
      <c r="F314" t="str">
        <f>ЛИК_дляСкорингаДП!N314</f>
        <v>37.00,41.20,43.22,43.31,43.32,43.33,43.34.1,43.91,52.21.24,64.99.3,68.10,68.20,68.20.2,68.31.1,68.31.2,68.31.3,68.31.4,68.31.5,68.32,68.32.1,68.32.2,73.11,73.20.1,81.22,82.99</v>
      </c>
      <c r="G314" s="25" t="str">
        <f>ЛИК_дляСкорингаДП!AG314</f>
        <v>ОСН</v>
      </c>
      <c r="H314" s="55" t="str">
        <f>IF(ISNUMBER(E314),E314,
IFERROR(LEFT(E314,FIND(".",E314)-1),E314))</f>
        <v>68</v>
      </c>
      <c r="I314" s="30">
        <f>IF(COUNTIF(Справочник_ОКВЭД_НР!$A$3:$A$62,H314)&gt;0,Справочник_ОКВЭД_НР!$L$8,
 IF(COUNTIF(Справочник_ОКВЭД_НР!$C$3:$C$62,H314)&gt;0,Справочник_ОКВЭД_НР!$L$9,
  IF(COUNTIF(Справочник_ОКВЭД_НР!$E$3:$E$62,H314)&gt;0,Справочник_ОКВЭД_НР!$L$10,
   IF(COUNTIF(Справочник_ОКВЭД_НР!$G$3:$G$62,H314)&gt;0,Справочник_ОКВЭД_НР!$L$11,50))))</f>
        <v>100</v>
      </c>
      <c r="J314" s="30" cm="1">
        <f t="array" ref="J314">IFERROR(
 (SUMPRODUCT(ISNUMBER(SEARCH(","&amp;Справочник_ОКВЭД_НР!$A$3:$A$62&amp;".",","&amp;SUBSTITUTE(F314," ","")&amp;",")))*Справочник_ОКВЭД_НР!$L$9 +
  SUMPRODUCT(ISNUMBER(SEARCH(","&amp;Справочник_ОКВЭД_НР!$C$3:$C$62&amp;".",","&amp;SUBSTITUTE(F314," ","")&amp;",")))*Справочник_ОКВЭД_НР!$L$10 +
  SUMPRODUCT(ISNUMBER(SEARCH(","&amp;Справочник_ОКВЭД_НР!$E$3:$E$62&amp;".",","&amp;SUBSTITUTE(F314," ","")&amp;",")))*Справочник_ОКВЭД_НР!$L$11 +
  SUMPRODUCT(ISNUMBER(SEARCH(","&amp;Справочник_ОКВЭД_НР!$G$3:$G$62&amp;".",","&amp;SUBSTITUTE(F314," ","")&amp;",")))*Справочник_ОКВЭД_НР!$L$12) /
 (SUMPRODUCT(ISNUMBER(SEARCH(","&amp;Справочник_ОКВЭД_НР!$A$3:$A$62&amp;".",","&amp;SUBSTITUTE(F314," ","")&amp;","))) +
  SUMPRODUCT(ISNUMBER(SEARCH(","&amp;Справочник_ОКВЭД_НР!$C$3:$C$62&amp;".",","&amp;SUBSTITUTE(F314," ","")&amp;","))) +
  SUMPRODUCT(ISNUMBER(SEARCH(","&amp;Справочник_ОКВЭД_НР!$E$3:$E$62&amp;".",","&amp;SUBSTITUTE(F314," ","")&amp;","))) +
  SUMPRODUCT(ISNUMBER(SEARCH(","&amp;Справочник_ОКВЭД_НР!$G$3:$G$62&amp;".",","&amp;SUBSTITUTE(F314," ","")&amp;",")))),
50)</f>
        <v>50</v>
      </c>
      <c r="K314" s="30">
        <f>IFERROR(VLOOKUP(G314,Справочник_ОКВЭД_НР!$O:$P,2,FALSE()),50)</f>
        <v>100</v>
      </c>
      <c r="L314" s="45">
        <f>(I314*Справочник_ОКВЭД_НР!$L$2+J314*Справочник_ОКВЭД_НР!$L$3+K314*Справочник_ОКВЭД_НР!$L$4)*M314</f>
        <v>87.5</v>
      </c>
      <c r="M314" s="47">
        <f>IF(COUNTIF(Справочник_ОКВЭД_НР!$G$3:$G$62,H314)&gt;0,0,1)</f>
        <v>1</v>
      </c>
    </row>
    <row r="315" spans="1:13" x14ac:dyDescent="0.25">
      <c r="A315" s="4">
        <f>ЛИК_дляСкорингаДП!A315</f>
        <v>1157746860127</v>
      </c>
      <c r="B315" s="4">
        <f>ЛИК_дляСкорингаДП!B315</f>
        <v>7724334152</v>
      </c>
      <c r="C315" s="4" t="str">
        <f>ЛИК_дляСкорингаДП!C315</f>
        <v>ООО "НОВОСТЬ"</v>
      </c>
      <c r="D315" s="5" t="str">
        <f>ЛИК_дляСкорингаДП!M315</f>
        <v>Аренда и управление собственным или арендованным нежилым недвижимым имуществом</v>
      </c>
      <c r="E315" s="4" t="str">
        <f>ЛИК_дляСкорингаДП!L315</f>
        <v>68.20.2</v>
      </c>
      <c r="F315" t="str">
        <f>ЛИК_дляСкорингаДП!N315</f>
        <v>77.11,77.39</v>
      </c>
      <c r="G315" s="25" t="str">
        <f>ЛИК_дляСкорингаДП!AG315</f>
        <v>ОСН</v>
      </c>
      <c r="H315" s="55" t="str">
        <f>IF(ISNUMBER(E315),E315,
IFERROR(LEFT(E315,FIND(".",E315)-1),E315))</f>
        <v>68</v>
      </c>
      <c r="I315" s="30">
        <f>IF(COUNTIF(Справочник_ОКВЭД_НР!$A$3:$A$62,H315)&gt;0,Справочник_ОКВЭД_НР!$L$8,
 IF(COUNTIF(Справочник_ОКВЭД_НР!$C$3:$C$62,H315)&gt;0,Справочник_ОКВЭД_НР!$L$9,
  IF(COUNTIF(Справочник_ОКВЭД_НР!$E$3:$E$62,H315)&gt;0,Справочник_ОКВЭД_НР!$L$10,
   IF(COUNTIF(Справочник_ОКВЭД_НР!$G$3:$G$62,H315)&gt;0,Справочник_ОКВЭД_НР!$L$11,50))))</f>
        <v>100</v>
      </c>
      <c r="J315" s="30" cm="1">
        <f t="array" ref="J315">IFERROR(
 (SUMPRODUCT(ISNUMBER(SEARCH(","&amp;Справочник_ОКВЭД_НР!$A$3:$A$62&amp;".",","&amp;SUBSTITUTE(F315," ","")&amp;",")))*Справочник_ОКВЭД_НР!$L$9 +
  SUMPRODUCT(ISNUMBER(SEARCH(","&amp;Справочник_ОКВЭД_НР!$C$3:$C$62&amp;".",","&amp;SUBSTITUTE(F315," ","")&amp;",")))*Справочник_ОКВЭД_НР!$L$10 +
  SUMPRODUCT(ISNUMBER(SEARCH(","&amp;Справочник_ОКВЭД_НР!$E$3:$E$62&amp;".",","&amp;SUBSTITUTE(F315," ","")&amp;",")))*Справочник_ОКВЭД_НР!$L$11 +
  SUMPRODUCT(ISNUMBER(SEARCH(","&amp;Справочник_ОКВЭД_НР!$G$3:$G$62&amp;".",","&amp;SUBSTITUTE(F315," ","")&amp;",")))*Справочник_ОКВЭД_НР!$L$12) /
 (SUMPRODUCT(ISNUMBER(SEARCH(","&amp;Справочник_ОКВЭД_НР!$A$3:$A$62&amp;".",","&amp;SUBSTITUTE(F315," ","")&amp;","))) +
  SUMPRODUCT(ISNUMBER(SEARCH(","&amp;Справочник_ОКВЭД_НР!$C$3:$C$62&amp;".",","&amp;SUBSTITUTE(F315," ","")&amp;","))) +
  SUMPRODUCT(ISNUMBER(SEARCH(","&amp;Справочник_ОКВЭД_НР!$E$3:$E$62&amp;".",","&amp;SUBSTITUTE(F315," ","")&amp;","))) +
  SUMPRODUCT(ISNUMBER(SEARCH(","&amp;Справочник_ОКВЭД_НР!$G$3:$G$62&amp;".",","&amp;SUBSTITUTE(F315," ","")&amp;",")))),
50)</f>
        <v>50</v>
      </c>
      <c r="K315" s="30">
        <f>IFERROR(VLOOKUP(G315,Справочник_ОКВЭД_НР!$O:$P,2,FALSE()),50)</f>
        <v>100</v>
      </c>
      <c r="L315" s="45">
        <f>(I315*Справочник_ОКВЭД_НР!$L$2+J315*Справочник_ОКВЭД_НР!$L$3+K315*Справочник_ОКВЭД_НР!$L$4)*M315</f>
        <v>87.5</v>
      </c>
      <c r="M315" s="47">
        <f>IF(COUNTIF(Справочник_ОКВЭД_НР!$G$3:$G$62,H315)&gt;0,0,1)</f>
        <v>1</v>
      </c>
    </row>
    <row r="316" spans="1:13" x14ac:dyDescent="0.25">
      <c r="A316" s="4">
        <f>ЛИК_дляСкорингаДП!A316</f>
        <v>1217700555060</v>
      </c>
      <c r="B316" s="4">
        <f>ЛИК_дляСкорингаДП!B316</f>
        <v>9721149660</v>
      </c>
      <c r="C316" s="4" t="str">
        <f>ЛИК_дляСкорингаДП!C316</f>
        <v>ООО "СПУТНИК"</v>
      </c>
      <c r="D316" s="5" t="str">
        <f>ЛИК_дляСкорингаДП!M316</f>
        <v>Управление эксплуатацией нежилого фонда за вознаграждение или на договорной основе</v>
      </c>
      <c r="E316" s="4" t="str">
        <f>ЛИК_дляСкорингаДП!L316</f>
        <v>68.32.2</v>
      </c>
      <c r="F316" t="str">
        <f>ЛИК_дляСкорингаДП!N316</f>
        <v>10.39.1,46.11.39,46.31,46.31.11,46.31.2,46.90,47.21,47.21.2,52.10,52.24,64.91,68.20.2,73.20.1,82.99</v>
      </c>
      <c r="G316" s="25" t="str">
        <f>ЛИК_дляСкорингаДП!AG316</f>
        <v>ОСН</v>
      </c>
      <c r="H316" s="55" t="str">
        <f>IF(ISNUMBER(E316),E316,
IFERROR(LEFT(E316,FIND(".",E316)-1),E316))</f>
        <v>68</v>
      </c>
      <c r="I316" s="30">
        <f>IF(COUNTIF(Справочник_ОКВЭД_НР!$A$3:$A$62,H316)&gt;0,Справочник_ОКВЭД_НР!$L$8,
 IF(COUNTIF(Справочник_ОКВЭД_НР!$C$3:$C$62,H316)&gt;0,Справочник_ОКВЭД_НР!$L$9,
  IF(COUNTIF(Справочник_ОКВЭД_НР!$E$3:$E$62,H316)&gt;0,Справочник_ОКВЭД_НР!$L$10,
   IF(COUNTIF(Справочник_ОКВЭД_НР!$G$3:$G$62,H316)&gt;0,Справочник_ОКВЭД_НР!$L$11,50))))</f>
        <v>100</v>
      </c>
      <c r="J316" s="30" cm="1">
        <f t="array" ref="J316">IFERROR(
 (SUMPRODUCT(ISNUMBER(SEARCH(","&amp;Справочник_ОКВЭД_НР!$A$3:$A$62&amp;".",","&amp;SUBSTITUTE(F316," ","")&amp;",")))*Справочник_ОКВЭД_НР!$L$9 +
  SUMPRODUCT(ISNUMBER(SEARCH(","&amp;Справочник_ОКВЭД_НР!$C$3:$C$62&amp;".",","&amp;SUBSTITUTE(F316," ","")&amp;",")))*Справочник_ОКВЭД_НР!$L$10 +
  SUMPRODUCT(ISNUMBER(SEARCH(","&amp;Справочник_ОКВЭД_НР!$E$3:$E$62&amp;".",","&amp;SUBSTITUTE(F316," ","")&amp;",")))*Справочник_ОКВЭД_НР!$L$11 +
  SUMPRODUCT(ISNUMBER(SEARCH(","&amp;Справочник_ОКВЭД_НР!$G$3:$G$62&amp;".",","&amp;SUBSTITUTE(F316," ","")&amp;",")))*Справочник_ОКВЭД_НР!$L$12) /
 (SUMPRODUCT(ISNUMBER(SEARCH(","&amp;Справочник_ОКВЭД_НР!$A$3:$A$62&amp;".",","&amp;SUBSTITUTE(F316," ","")&amp;","))) +
  SUMPRODUCT(ISNUMBER(SEARCH(","&amp;Справочник_ОКВЭД_НР!$C$3:$C$62&amp;".",","&amp;SUBSTITUTE(F316," ","")&amp;","))) +
  SUMPRODUCT(ISNUMBER(SEARCH(","&amp;Справочник_ОКВЭД_НР!$E$3:$E$62&amp;".",","&amp;SUBSTITUTE(F316," ","")&amp;","))) +
  SUMPRODUCT(ISNUMBER(SEARCH(","&amp;Справочник_ОКВЭД_НР!$G$3:$G$62&amp;".",","&amp;SUBSTITUTE(F316," ","")&amp;",")))),
50)</f>
        <v>50</v>
      </c>
      <c r="K316" s="30">
        <f>IFERROR(VLOOKUP(G316,Справочник_ОКВЭД_НР!$O:$P,2,FALSE()),50)</f>
        <v>100</v>
      </c>
      <c r="L316" s="45">
        <f>(I316*Справочник_ОКВЭД_НР!$L$2+J316*Справочник_ОКВЭД_НР!$L$3+K316*Справочник_ОКВЭД_НР!$L$4)*M316</f>
        <v>87.5</v>
      </c>
      <c r="M316" s="47">
        <f>IF(COUNTIF(Справочник_ОКВЭД_НР!$G$3:$G$62,H316)&gt;0,0,1)</f>
        <v>1</v>
      </c>
    </row>
    <row r="317" spans="1:13" x14ac:dyDescent="0.25">
      <c r="A317" s="4">
        <f>ЛИК_дляСкорингаДП!A317</f>
        <v>1157847053319</v>
      </c>
      <c r="B317" s="4">
        <f>ЛИК_дляСкорингаДП!B317</f>
        <v>7806089046</v>
      </c>
      <c r="C317" s="4" t="str">
        <f>ЛИК_дляСкорингаДП!C317</f>
        <v>ООО "ДХ РУС СЕРВИСЕЗ"</v>
      </c>
      <c r="D317" s="5" t="str">
        <f>ЛИК_дляСкорингаДП!M317</f>
        <v>Деятельность по оказанию услуг в области бухгалтерского учета, по проведению финансового аудита, по налоговому консультированию</v>
      </c>
      <c r="E317" s="4" t="str">
        <f>ЛИК_дляСкорингаДП!L317</f>
        <v>69.20</v>
      </c>
      <c r="F317" t="str">
        <f>ЛИК_дляСкорингаДП!N317</f>
        <v>63.11,68.20.2,70.22,73.20.1,74.30,82.19,82.99</v>
      </c>
      <c r="G317" s="25" t="str">
        <f>ЛИК_дляСкорингаДП!AG317</f>
        <v>ОСН</v>
      </c>
      <c r="H317" s="55" t="str">
        <f>IF(ISNUMBER(E317),E317,
IFERROR(LEFT(E317,FIND(".",E317)-1),E317))</f>
        <v>69</v>
      </c>
      <c r="I317" s="30">
        <f>IF(COUNTIF(Справочник_ОКВЭД_НР!$A$3:$A$62,H317)&gt;0,Справочник_ОКВЭД_НР!$L$8,
 IF(COUNTIF(Справочник_ОКВЭД_НР!$C$3:$C$62,H317)&gt;0,Справочник_ОКВЭД_НР!$L$9,
  IF(COUNTIF(Справочник_ОКВЭД_НР!$E$3:$E$62,H317)&gt;0,Справочник_ОКВЭД_НР!$L$10,
   IF(COUNTIF(Справочник_ОКВЭД_НР!$G$3:$G$62,H317)&gt;0,Справочник_ОКВЭД_НР!$L$11,50))))</f>
        <v>30</v>
      </c>
      <c r="J317" s="30" cm="1">
        <f t="array" ref="J317">IFERROR(
 (SUMPRODUCT(ISNUMBER(SEARCH(","&amp;Справочник_ОКВЭД_НР!$A$3:$A$62&amp;".",","&amp;SUBSTITUTE(F317," ","")&amp;",")))*Справочник_ОКВЭД_НР!$L$9 +
  SUMPRODUCT(ISNUMBER(SEARCH(","&amp;Справочник_ОКВЭД_НР!$C$3:$C$62&amp;".",","&amp;SUBSTITUTE(F317," ","")&amp;",")))*Справочник_ОКВЭД_НР!$L$10 +
  SUMPRODUCT(ISNUMBER(SEARCH(","&amp;Справочник_ОКВЭД_НР!$E$3:$E$62&amp;".",","&amp;SUBSTITUTE(F317," ","")&amp;",")))*Справочник_ОКВЭД_НР!$L$11 +
  SUMPRODUCT(ISNUMBER(SEARCH(","&amp;Справочник_ОКВЭД_НР!$G$3:$G$62&amp;".",","&amp;SUBSTITUTE(F317," ","")&amp;",")))*Справочник_ОКВЭД_НР!$L$12) /
 (SUMPRODUCT(ISNUMBER(SEARCH(","&amp;Справочник_ОКВЭД_НР!$A$3:$A$62&amp;".",","&amp;SUBSTITUTE(F317," ","")&amp;","))) +
  SUMPRODUCT(ISNUMBER(SEARCH(","&amp;Справочник_ОКВЭД_НР!$C$3:$C$62&amp;".",","&amp;SUBSTITUTE(F317," ","")&amp;","))) +
  SUMPRODUCT(ISNUMBER(SEARCH(","&amp;Справочник_ОКВЭД_НР!$E$3:$E$62&amp;".",","&amp;SUBSTITUTE(F317," ","")&amp;","))) +
  SUMPRODUCT(ISNUMBER(SEARCH(","&amp;Справочник_ОКВЭД_НР!$G$3:$G$62&amp;".",","&amp;SUBSTITUTE(F317," ","")&amp;",")))),
50)</f>
        <v>50</v>
      </c>
      <c r="K317" s="30">
        <f>IFERROR(VLOOKUP(G317,Справочник_ОКВЭД_НР!$O:$P,2,FALSE()),50)</f>
        <v>100</v>
      </c>
      <c r="L317" s="45">
        <f>(I317*Справочник_ОКВЭД_НР!$L$2+J317*Справочник_ОКВЭД_НР!$L$3+K317*Справочник_ОКВЭД_НР!$L$4)*M317</f>
        <v>45.5</v>
      </c>
      <c r="M317" s="47">
        <f>IF(COUNTIF(Справочник_ОКВЭД_НР!$G$3:$G$62,H317)&gt;0,0,1)</f>
        <v>1</v>
      </c>
    </row>
    <row r="318" spans="1:13" x14ac:dyDescent="0.25">
      <c r="A318" s="4">
        <f>ЛИК_дляСкорингаДП!A318</f>
        <v>1047796212661</v>
      </c>
      <c r="B318" s="4">
        <f>ЛИК_дляСкорингаДП!B318</f>
        <v>7710535349</v>
      </c>
      <c r="C318" s="4" t="str">
        <f>ЛИК_дляСкорингаДП!C318</f>
        <v>ООО "ДОМЗ"</v>
      </c>
      <c r="D318" s="5" t="str">
        <f>ЛИК_дляСкорингаДП!M318</f>
        <v>Производство прочих приборов, датчиков, аппаратуры и инструментов для измерения, контроля и испытаний</v>
      </c>
      <c r="E318" s="4" t="str">
        <f>ЛИК_дляСкорингаДП!L318</f>
        <v>26.51.6</v>
      </c>
      <c r="F318" t="str">
        <f>ЛИК_дляСкорингаДП!N318</f>
        <v>46.69.9,68.20.29,26.51.6,33.13,46.51,46.69.9,46.90,62.01,62.02,63.11.1,68.20.2,71.12.12,71.12.61,71.20,77.39.22,77.39.29</v>
      </c>
      <c r="G318" s="25" t="str">
        <f>ЛИК_дляСкорингаДП!AG318</f>
        <v>ОСН</v>
      </c>
      <c r="H318" s="55" t="str">
        <f>IF(ISNUMBER(E318),E318,
IFERROR(LEFT(E318,FIND(".",E318)-1),E318))</f>
        <v>26</v>
      </c>
      <c r="I318" s="30">
        <f>IF(COUNTIF(Справочник_ОКВЭД_НР!$A$3:$A$62,H318)&gt;0,Справочник_ОКВЭД_НР!$L$8,
 IF(COUNTIF(Справочник_ОКВЭД_НР!$C$3:$C$62,H318)&gt;0,Справочник_ОКВЭД_НР!$L$9,
  IF(COUNTIF(Справочник_ОКВЭД_НР!$E$3:$E$62,H318)&gt;0,Справочник_ОКВЭД_НР!$L$10,
   IF(COUNTIF(Справочник_ОКВЭД_НР!$G$3:$G$62,H318)&gt;0,Справочник_ОКВЭД_НР!$L$11,50))))</f>
        <v>60</v>
      </c>
      <c r="J318" s="30" cm="1">
        <f t="array" ref="J318">IFERROR(
 (SUMPRODUCT(ISNUMBER(SEARCH(","&amp;Справочник_ОКВЭД_НР!$A$3:$A$62&amp;".",","&amp;SUBSTITUTE(F318," ","")&amp;",")))*Справочник_ОКВЭД_НР!$L$9 +
  SUMPRODUCT(ISNUMBER(SEARCH(","&amp;Справочник_ОКВЭД_НР!$C$3:$C$62&amp;".",","&amp;SUBSTITUTE(F318," ","")&amp;",")))*Справочник_ОКВЭД_НР!$L$10 +
  SUMPRODUCT(ISNUMBER(SEARCH(","&amp;Справочник_ОКВЭД_НР!$E$3:$E$62&amp;".",","&amp;SUBSTITUTE(F318," ","")&amp;",")))*Справочник_ОКВЭД_НР!$L$11 +
  SUMPRODUCT(ISNUMBER(SEARCH(","&amp;Справочник_ОКВЭД_НР!$G$3:$G$62&amp;".",","&amp;SUBSTITUTE(F318," ","")&amp;",")))*Справочник_ОКВЭД_НР!$L$12) /
 (SUMPRODUCT(ISNUMBER(SEARCH(","&amp;Справочник_ОКВЭД_НР!$A$3:$A$62&amp;".",","&amp;SUBSTITUTE(F318," ","")&amp;","))) +
  SUMPRODUCT(ISNUMBER(SEARCH(","&amp;Справочник_ОКВЭД_НР!$C$3:$C$62&amp;".",","&amp;SUBSTITUTE(F318," ","")&amp;","))) +
  SUMPRODUCT(ISNUMBER(SEARCH(","&amp;Справочник_ОКВЭД_НР!$E$3:$E$62&amp;".",","&amp;SUBSTITUTE(F318," ","")&amp;","))) +
  SUMPRODUCT(ISNUMBER(SEARCH(","&amp;Справочник_ОКВЭД_НР!$G$3:$G$62&amp;".",","&amp;SUBSTITUTE(F318," ","")&amp;",")))),
50)</f>
        <v>50</v>
      </c>
      <c r="K318" s="30">
        <f>IFERROR(VLOOKUP(G318,Справочник_ОКВЭД_НР!$O:$P,2,FALSE()),50)</f>
        <v>100</v>
      </c>
      <c r="L318" s="45">
        <f>(I318*Справочник_ОКВЭД_НР!$L$2+J318*Справочник_ОКВЭД_НР!$L$3+K318*Справочник_ОКВЭД_НР!$L$4)*M318</f>
        <v>63.5</v>
      </c>
      <c r="M318" s="47">
        <f>IF(COUNTIF(Справочник_ОКВЭД_НР!$G$3:$G$62,H318)&gt;0,0,1)</f>
        <v>1</v>
      </c>
    </row>
    <row r="319" spans="1:13" x14ac:dyDescent="0.25">
      <c r="A319" s="4">
        <f>ЛИК_дляСкорингаДП!A319</f>
        <v>1047796035704</v>
      </c>
      <c r="B319" s="4">
        <f>ЛИК_дляСкорингаДП!B319</f>
        <v>7714534480</v>
      </c>
      <c r="C319" s="4" t="str">
        <f>ЛИК_дляСкорингаДП!C319</f>
        <v>ООО "АРТ-КУРЬЕР"</v>
      </c>
      <c r="D319" s="5" t="str">
        <f>ЛИК_дляСкорингаДП!M319</f>
        <v>Хранение и складирование прочих грузов</v>
      </c>
      <c r="E319" s="4" t="str">
        <f>ЛИК_дляСкорингаДП!L319</f>
        <v>52.10.9</v>
      </c>
      <c r="F319" t="str">
        <f>ЛИК_дляСкорингаДП!N319</f>
        <v>16.23,16.24,28.29.22,28.29.3,43.31,43.32,43.34,47.78.5,49.41,52.10,52.29,65.12.2,66.1,74.30,82.92,82.92,82.99,90.0,91.03,93.2</v>
      </c>
      <c r="G319" s="25" t="str">
        <f>ЛИК_дляСкорингаДП!AG319</f>
        <v>ОСН</v>
      </c>
      <c r="H319" s="55" t="str">
        <f>IF(ISNUMBER(E319),E319,
IFERROR(LEFT(E319,FIND(".",E319)-1),E319))</f>
        <v>52</v>
      </c>
      <c r="I319" s="30">
        <f>IF(COUNTIF(Справочник_ОКВЭД_НР!$A$3:$A$62,H319)&gt;0,Справочник_ОКВЭД_НР!$L$8,
 IF(COUNTIF(Справочник_ОКВЭД_НР!$C$3:$C$62,H319)&gt;0,Справочник_ОКВЭД_НР!$L$9,
  IF(COUNTIF(Справочник_ОКВЭД_НР!$E$3:$E$62,H319)&gt;0,Справочник_ОКВЭД_НР!$L$10,
   IF(COUNTIF(Справочник_ОКВЭД_НР!$G$3:$G$62,H319)&gt;0,Справочник_ОКВЭД_НР!$L$11,50))))</f>
        <v>60</v>
      </c>
      <c r="J319" s="30" cm="1">
        <f t="array" ref="J319">IFERROR(
 (SUMPRODUCT(ISNUMBER(SEARCH(","&amp;Справочник_ОКВЭД_НР!$A$3:$A$62&amp;".",","&amp;SUBSTITUTE(F319," ","")&amp;",")))*Справочник_ОКВЭД_НР!$L$9 +
  SUMPRODUCT(ISNUMBER(SEARCH(","&amp;Справочник_ОКВЭД_НР!$C$3:$C$62&amp;".",","&amp;SUBSTITUTE(F319," ","")&amp;",")))*Справочник_ОКВЭД_НР!$L$10 +
  SUMPRODUCT(ISNUMBER(SEARCH(","&amp;Справочник_ОКВЭД_НР!$E$3:$E$62&amp;".",","&amp;SUBSTITUTE(F319," ","")&amp;",")))*Справочник_ОКВЭД_НР!$L$11 +
  SUMPRODUCT(ISNUMBER(SEARCH(","&amp;Справочник_ОКВЭД_НР!$G$3:$G$62&amp;".",","&amp;SUBSTITUTE(F319," ","")&amp;",")))*Справочник_ОКВЭД_НР!$L$12) /
 (SUMPRODUCT(ISNUMBER(SEARCH(","&amp;Справочник_ОКВЭД_НР!$A$3:$A$62&amp;".",","&amp;SUBSTITUTE(F319," ","")&amp;","))) +
  SUMPRODUCT(ISNUMBER(SEARCH(","&amp;Справочник_ОКВЭД_НР!$C$3:$C$62&amp;".",","&amp;SUBSTITUTE(F319," ","")&amp;","))) +
  SUMPRODUCT(ISNUMBER(SEARCH(","&amp;Справочник_ОКВЭД_НР!$E$3:$E$62&amp;".",","&amp;SUBSTITUTE(F319," ","")&amp;","))) +
  SUMPRODUCT(ISNUMBER(SEARCH(","&amp;Справочник_ОКВЭД_НР!$G$3:$G$62&amp;".",","&amp;SUBSTITUTE(F319," ","")&amp;",")))),
50)</f>
        <v>50</v>
      </c>
      <c r="K319" s="30">
        <f>IFERROR(VLOOKUP(G319,Справочник_ОКВЭД_НР!$O:$P,2,FALSE()),50)</f>
        <v>100</v>
      </c>
      <c r="L319" s="45">
        <f>(I319*Справочник_ОКВЭД_НР!$L$2+J319*Справочник_ОКВЭД_НР!$L$3+K319*Справочник_ОКВЭД_НР!$L$4)*M319</f>
        <v>63.5</v>
      </c>
      <c r="M319" s="47">
        <f>IF(COUNTIF(Справочник_ОКВЭД_НР!$G$3:$G$62,H319)&gt;0,0,1)</f>
        <v>1</v>
      </c>
    </row>
    <row r="320" spans="1:13" x14ac:dyDescent="0.25">
      <c r="A320" s="4">
        <f>ЛИК_дляСкорингаДП!A320</f>
        <v>1047796422794</v>
      </c>
      <c r="B320" s="4">
        <f>ЛИК_дляСкорингаДП!B320</f>
        <v>7743530434</v>
      </c>
      <c r="C320" s="4" t="str">
        <f>ЛИК_дляСкорингаДП!C320</f>
        <v>АО "АМТЕЛ-СВЯЗЬ"</v>
      </c>
      <c r="D320" s="5" t="str">
        <f>ЛИК_дляСкорингаДП!M320</f>
        <v>Деятельность в области связи на базе проводных технологий</v>
      </c>
      <c r="E320" s="4" t="str">
        <f>ЛИК_дляСкорингаДП!L320</f>
        <v>61.1</v>
      </c>
      <c r="F320" t="str">
        <f>ЛИК_дляСкорингаДП!N320</f>
        <v>33.20,42.21,42.22.2,43.21,43.29,45.1,46.51,46.69.5,46.90,47.41,47.41.4,52.29,61.10.1,61.10.9,61.20,61.30,61.30.1,61.90,62.01,62.02,62.09,63.11,63.11.1,68.10,68.10.1,85.42.9,95.11</v>
      </c>
      <c r="G320" s="25" t="str">
        <f>ЛИК_дляСкорингаДП!AG320</f>
        <v>ОСН</v>
      </c>
      <c r="H320" s="55" t="str">
        <f>IF(ISNUMBER(E320),E320,
IFERROR(LEFT(E320,FIND(".",E320)-1),E320))</f>
        <v>61</v>
      </c>
      <c r="I320" s="30">
        <f>IF(COUNTIF(Справочник_ОКВЭД_НР!$A$3:$A$62,H320)&gt;0,Справочник_ОКВЭД_НР!$L$8,
 IF(COUNTIF(Справочник_ОКВЭД_НР!$C$3:$C$62,H320)&gt;0,Справочник_ОКВЭД_НР!$L$9,
  IF(COUNTIF(Справочник_ОКВЭД_НР!$E$3:$E$62,H320)&gt;0,Справочник_ОКВЭД_НР!$L$10,
   IF(COUNTIF(Справочник_ОКВЭД_НР!$G$3:$G$62,H320)&gt;0,Справочник_ОКВЭД_НР!$L$11,50))))</f>
        <v>60</v>
      </c>
      <c r="J320" s="30" cm="1">
        <f t="array" ref="J320">IFERROR(
 (SUMPRODUCT(ISNUMBER(SEARCH(","&amp;Справочник_ОКВЭД_НР!$A$3:$A$62&amp;".",","&amp;SUBSTITUTE(F320," ","")&amp;",")))*Справочник_ОКВЭД_НР!$L$9 +
  SUMPRODUCT(ISNUMBER(SEARCH(","&amp;Справочник_ОКВЭД_НР!$C$3:$C$62&amp;".",","&amp;SUBSTITUTE(F320," ","")&amp;",")))*Справочник_ОКВЭД_НР!$L$10 +
  SUMPRODUCT(ISNUMBER(SEARCH(","&amp;Справочник_ОКВЭД_НР!$E$3:$E$62&amp;".",","&amp;SUBSTITUTE(F320," ","")&amp;",")))*Справочник_ОКВЭД_НР!$L$11 +
  SUMPRODUCT(ISNUMBER(SEARCH(","&amp;Справочник_ОКВЭД_НР!$G$3:$G$62&amp;".",","&amp;SUBSTITUTE(F320," ","")&amp;",")))*Справочник_ОКВЭД_НР!$L$12) /
 (SUMPRODUCT(ISNUMBER(SEARCH(","&amp;Справочник_ОКВЭД_НР!$A$3:$A$62&amp;".",","&amp;SUBSTITUTE(F320," ","")&amp;","))) +
  SUMPRODUCT(ISNUMBER(SEARCH(","&amp;Справочник_ОКВЭД_НР!$C$3:$C$62&amp;".",","&amp;SUBSTITUTE(F320," ","")&amp;","))) +
  SUMPRODUCT(ISNUMBER(SEARCH(","&amp;Справочник_ОКВЭД_НР!$E$3:$E$62&amp;".",","&amp;SUBSTITUTE(F320," ","")&amp;","))) +
  SUMPRODUCT(ISNUMBER(SEARCH(","&amp;Справочник_ОКВЭД_НР!$G$3:$G$62&amp;".",","&amp;SUBSTITUTE(F320," ","")&amp;",")))),
50)</f>
        <v>50</v>
      </c>
      <c r="K320" s="30">
        <f>IFERROR(VLOOKUP(G320,Справочник_ОКВЭД_НР!$O:$P,2,FALSE()),50)</f>
        <v>100</v>
      </c>
      <c r="L320" s="45">
        <f>(I320*Справочник_ОКВЭД_НР!$L$2+J320*Справочник_ОКВЭД_НР!$L$3+K320*Справочник_ОКВЭД_НР!$L$4)*M320</f>
        <v>63.5</v>
      </c>
      <c r="M320" s="47">
        <f>IF(COUNTIF(Справочник_ОКВЭД_НР!$G$3:$G$62,H320)&gt;0,0,1)</f>
        <v>1</v>
      </c>
    </row>
    <row r="321" spans="1:13" x14ac:dyDescent="0.25">
      <c r="A321" s="4">
        <f>ЛИК_дляСкорингаДП!A321</f>
        <v>1207700201983</v>
      </c>
      <c r="B321" s="4">
        <f>ЛИК_дляСкорингаДП!B321</f>
        <v>9705144671</v>
      </c>
      <c r="C321" s="4" t="str">
        <f>ЛИК_дляСкорингаДП!C321</f>
        <v>АО "ЦРТ"</v>
      </c>
      <c r="D321" s="5" t="str">
        <f>ЛИК_дляСкорингаДП!M321</f>
        <v>Производство прочих машин и оборудования специального назначения, не включенных в другие группировки</v>
      </c>
      <c r="E321" s="4" t="str">
        <f>ЛИК_дляСкорингаДП!L321</f>
        <v>28.99</v>
      </c>
      <c r="F321" t="str">
        <f>ЛИК_дляСкорингаДП!N321</f>
        <v>28.99.5,33.20,62.01,62.02,71.12,72.19,74.90,85.30,85.41,85.42</v>
      </c>
      <c r="G321" s="25" t="str">
        <f>ЛИК_дляСкорингаДП!AG321</f>
        <v>ОСН</v>
      </c>
      <c r="H321" s="55" t="str">
        <f>IF(ISNUMBER(E321),E321,
IFERROR(LEFT(E321,FIND(".",E321)-1),E321))</f>
        <v>28</v>
      </c>
      <c r="I321" s="30">
        <f>IF(COUNTIF(Справочник_ОКВЭД_НР!$A$3:$A$62,H321)&gt;0,Справочник_ОКВЭД_НР!$L$8,
 IF(COUNTIF(Справочник_ОКВЭД_НР!$C$3:$C$62,H321)&gt;0,Справочник_ОКВЭД_НР!$L$9,
  IF(COUNTIF(Справочник_ОКВЭД_НР!$E$3:$E$62,H321)&gt;0,Справочник_ОКВЭД_НР!$L$10,
   IF(COUNTIF(Справочник_ОКВЭД_НР!$G$3:$G$62,H321)&gt;0,Справочник_ОКВЭД_НР!$L$11,50))))</f>
        <v>60</v>
      </c>
      <c r="J321" s="30" cm="1">
        <f t="array" ref="J321">IFERROR(
 (SUMPRODUCT(ISNUMBER(SEARCH(","&amp;Справочник_ОКВЭД_НР!$A$3:$A$62&amp;".",","&amp;SUBSTITUTE(F321," ","")&amp;",")))*Справочник_ОКВЭД_НР!$L$9 +
  SUMPRODUCT(ISNUMBER(SEARCH(","&amp;Справочник_ОКВЭД_НР!$C$3:$C$62&amp;".",","&amp;SUBSTITUTE(F321," ","")&amp;",")))*Справочник_ОКВЭД_НР!$L$10 +
  SUMPRODUCT(ISNUMBER(SEARCH(","&amp;Справочник_ОКВЭД_НР!$E$3:$E$62&amp;".",","&amp;SUBSTITUTE(F321," ","")&amp;",")))*Справочник_ОКВЭД_НР!$L$11 +
  SUMPRODUCT(ISNUMBER(SEARCH(","&amp;Справочник_ОКВЭД_НР!$G$3:$G$62&amp;".",","&amp;SUBSTITUTE(F321," ","")&amp;",")))*Справочник_ОКВЭД_НР!$L$12) /
 (SUMPRODUCT(ISNUMBER(SEARCH(","&amp;Справочник_ОКВЭД_НР!$A$3:$A$62&amp;".",","&amp;SUBSTITUTE(F321," ","")&amp;","))) +
  SUMPRODUCT(ISNUMBER(SEARCH(","&amp;Справочник_ОКВЭД_НР!$C$3:$C$62&amp;".",","&amp;SUBSTITUTE(F321," ","")&amp;","))) +
  SUMPRODUCT(ISNUMBER(SEARCH(","&amp;Справочник_ОКВЭД_НР!$E$3:$E$62&amp;".",","&amp;SUBSTITUTE(F321," ","")&amp;","))) +
  SUMPRODUCT(ISNUMBER(SEARCH(","&amp;Справочник_ОКВЭД_НР!$G$3:$G$62&amp;".",","&amp;SUBSTITUTE(F321," ","")&amp;",")))),
50)</f>
        <v>50</v>
      </c>
      <c r="K321" s="30">
        <f>IFERROR(VLOOKUP(G321,Справочник_ОКВЭД_НР!$O:$P,2,FALSE()),50)</f>
        <v>100</v>
      </c>
      <c r="L321" s="45">
        <f>(I321*Справочник_ОКВЭД_НР!$L$2+J321*Справочник_ОКВЭД_НР!$L$3+K321*Справочник_ОКВЭД_НР!$L$4)*M321</f>
        <v>63.5</v>
      </c>
      <c r="M321" s="47">
        <f>IF(COUNTIF(Справочник_ОКВЭД_НР!$G$3:$G$62,H321)&gt;0,0,1)</f>
        <v>1</v>
      </c>
    </row>
    <row r="322" spans="1:13" x14ac:dyDescent="0.25">
      <c r="A322" s="4">
        <f>ЛИК_дляСкорингаДП!A322</f>
        <v>1047796355914</v>
      </c>
      <c r="B322" s="4">
        <f>ЛИК_дляСкорингаДП!B322</f>
        <v>7733521494</v>
      </c>
      <c r="C322" s="4" t="str">
        <f>ЛИК_дляСкорингаДП!C322</f>
        <v>АО "ЛК СДМ"</v>
      </c>
      <c r="D322" s="5" t="str">
        <f>ЛИК_дляСкорингаДП!M322</f>
        <v>Деятельность по финансовой аренде (лизингу/сублизингу) в прочих областях, кроме племенных животных</v>
      </c>
      <c r="E322" s="4" t="str">
        <f>ЛИК_дляСкорингаДП!L322</f>
        <v>64.91.2</v>
      </c>
      <c r="F322" t="str">
        <f>ЛИК_дляСкорингаДП!N322</f>
        <v>68.20.2,41.20,45.1,45.20,64.19,64.91,68.10,68.20</v>
      </c>
      <c r="G322" s="25" t="str">
        <f>ЛИК_дляСкорингаДП!AG322</f>
        <v>ОСН</v>
      </c>
      <c r="H322" s="55" t="str">
        <f>IF(ISNUMBER(E322),E322,
IFERROR(LEFT(E322,FIND(".",E322)-1),E322))</f>
        <v>64</v>
      </c>
      <c r="I322" s="30">
        <f>IF(COUNTIF(Справочник_ОКВЭД_НР!$A$3:$A$62,H322)&gt;0,Справочник_ОКВЭД_НР!$L$8,
 IF(COUNTIF(Справочник_ОКВЭД_НР!$C$3:$C$62,H322)&gt;0,Справочник_ОКВЭД_НР!$L$9,
  IF(COUNTIF(Справочник_ОКВЭД_НР!$E$3:$E$62,H322)&gt;0,Справочник_ОКВЭД_НР!$L$10,
   IF(COUNTIF(Справочник_ОКВЭД_НР!$G$3:$G$62,H322)&gt;0,Справочник_ОКВЭД_НР!$L$11,50))))</f>
        <v>60</v>
      </c>
      <c r="J322" s="30" cm="1">
        <f t="array" ref="J322">IFERROR(
 (SUMPRODUCT(ISNUMBER(SEARCH(","&amp;Справочник_ОКВЭД_НР!$A$3:$A$62&amp;".",","&amp;SUBSTITUTE(F322," ","")&amp;",")))*Справочник_ОКВЭД_НР!$L$9 +
  SUMPRODUCT(ISNUMBER(SEARCH(","&amp;Справочник_ОКВЭД_НР!$C$3:$C$62&amp;".",","&amp;SUBSTITUTE(F322," ","")&amp;",")))*Справочник_ОКВЭД_НР!$L$10 +
  SUMPRODUCT(ISNUMBER(SEARCH(","&amp;Справочник_ОКВЭД_НР!$E$3:$E$62&amp;".",","&amp;SUBSTITUTE(F322," ","")&amp;",")))*Справочник_ОКВЭД_НР!$L$11 +
  SUMPRODUCT(ISNUMBER(SEARCH(","&amp;Справочник_ОКВЭД_НР!$G$3:$G$62&amp;".",","&amp;SUBSTITUTE(F322," ","")&amp;",")))*Справочник_ОКВЭД_НР!$L$12) /
 (SUMPRODUCT(ISNUMBER(SEARCH(","&amp;Справочник_ОКВЭД_НР!$A$3:$A$62&amp;".",","&amp;SUBSTITUTE(F322," ","")&amp;","))) +
  SUMPRODUCT(ISNUMBER(SEARCH(","&amp;Справочник_ОКВЭД_НР!$C$3:$C$62&amp;".",","&amp;SUBSTITUTE(F322," ","")&amp;","))) +
  SUMPRODUCT(ISNUMBER(SEARCH(","&amp;Справочник_ОКВЭД_НР!$E$3:$E$62&amp;".",","&amp;SUBSTITUTE(F322," ","")&amp;","))) +
  SUMPRODUCT(ISNUMBER(SEARCH(","&amp;Справочник_ОКВЭД_НР!$G$3:$G$62&amp;".",","&amp;SUBSTITUTE(F322," ","")&amp;",")))),
50)</f>
        <v>50</v>
      </c>
      <c r="K322" s="30">
        <f>IFERROR(VLOOKUP(G322,Справочник_ОКВЭД_НР!$O:$P,2,FALSE()),50)</f>
        <v>100</v>
      </c>
      <c r="L322" s="45">
        <f>(I322*Справочник_ОКВЭД_НР!$L$2+J322*Справочник_ОКВЭД_НР!$L$3+K322*Справочник_ОКВЭД_НР!$L$4)*M322</f>
        <v>63.5</v>
      </c>
      <c r="M322" s="47">
        <f>IF(COUNTIF(Справочник_ОКВЭД_НР!$G$3:$G$62,H322)&gt;0,0,1)</f>
        <v>1</v>
      </c>
    </row>
    <row r="323" spans="1:13" x14ac:dyDescent="0.25">
      <c r="A323" s="4">
        <f>ЛИК_дляСкорингаДП!A323</f>
        <v>1207700148171</v>
      </c>
      <c r="B323" s="4">
        <f>ЛИК_дляСкорингаДП!B323</f>
        <v>9728002112</v>
      </c>
      <c r="C323" s="4" t="str">
        <f>ЛИК_дляСкорингаДП!C323</f>
        <v>ООО "ДЖОЙКО"</v>
      </c>
      <c r="D323" s="5" t="str">
        <f>ЛИК_дляСкорингаДП!M323</f>
        <v>Производство мучных кондитерских изделий, тортов и пирожных недлительного хранения</v>
      </c>
      <c r="E323" s="4" t="str">
        <f>ЛИК_дляСкорингаДП!L323</f>
        <v>10.71.2</v>
      </c>
      <c r="F323" t="str">
        <f>ЛИК_дляСкорингаДП!N323</f>
        <v>10.61,10.71,10.72,10.82,10.86,46.36.2,46.36.3,46.38.2,46.38.29,46.90,47.11,47.19,52.10,82.92</v>
      </c>
      <c r="G323" s="25" t="str">
        <f>ЛИК_дляСкорингаДП!AG323</f>
        <v>ОСН</v>
      </c>
      <c r="H323" s="55" t="str">
        <f>IF(ISNUMBER(E323),E323,
IFERROR(LEFT(E323,FIND(".",E323)-1),E323))</f>
        <v>10</v>
      </c>
      <c r="I323" s="30">
        <f>IF(COUNTIF(Справочник_ОКВЭД_НР!$A$3:$A$62,H323)&gt;0,Справочник_ОКВЭД_НР!$L$8,
 IF(COUNTIF(Справочник_ОКВЭД_НР!$C$3:$C$62,H323)&gt;0,Справочник_ОКВЭД_НР!$L$9,
  IF(COUNTIF(Справочник_ОКВЭД_НР!$E$3:$E$62,H323)&gt;0,Справочник_ОКВЭД_НР!$L$10,
   IF(COUNTIF(Справочник_ОКВЭД_НР!$G$3:$G$62,H323)&gt;0,Справочник_ОКВЭД_НР!$L$11,50))))</f>
        <v>100</v>
      </c>
      <c r="J323" s="30" cm="1">
        <f t="array" ref="J323">IFERROR(
 (SUMPRODUCT(ISNUMBER(SEARCH(","&amp;Справочник_ОКВЭД_НР!$A$3:$A$62&amp;".",","&amp;SUBSTITUTE(F323," ","")&amp;",")))*Справочник_ОКВЭД_НР!$L$9 +
  SUMPRODUCT(ISNUMBER(SEARCH(","&amp;Справочник_ОКВЭД_НР!$C$3:$C$62&amp;".",","&amp;SUBSTITUTE(F323," ","")&amp;",")))*Справочник_ОКВЭД_НР!$L$10 +
  SUMPRODUCT(ISNUMBER(SEARCH(","&amp;Справочник_ОКВЭД_НР!$E$3:$E$62&amp;".",","&amp;SUBSTITUTE(F323," ","")&amp;",")))*Справочник_ОКВЭД_НР!$L$11 +
  SUMPRODUCT(ISNUMBER(SEARCH(","&amp;Справочник_ОКВЭД_НР!$G$3:$G$62&amp;".",","&amp;SUBSTITUTE(F323," ","")&amp;",")))*Справочник_ОКВЭД_НР!$L$12) /
 (SUMPRODUCT(ISNUMBER(SEARCH(","&amp;Справочник_ОКВЭД_НР!$A$3:$A$62&amp;".",","&amp;SUBSTITUTE(F323," ","")&amp;","))) +
  SUMPRODUCT(ISNUMBER(SEARCH(","&amp;Справочник_ОКВЭД_НР!$C$3:$C$62&amp;".",","&amp;SUBSTITUTE(F323," ","")&amp;","))) +
  SUMPRODUCT(ISNUMBER(SEARCH(","&amp;Справочник_ОКВЭД_НР!$E$3:$E$62&amp;".",","&amp;SUBSTITUTE(F323," ","")&amp;","))) +
  SUMPRODUCT(ISNUMBER(SEARCH(","&amp;Справочник_ОКВЭД_НР!$G$3:$G$62&amp;".",","&amp;SUBSTITUTE(F323," ","")&amp;",")))),
50)</f>
        <v>50</v>
      </c>
      <c r="K323" s="30">
        <f>IFERROR(VLOOKUP(G323,Справочник_ОКВЭД_НР!$O:$P,2,FALSE()),50)</f>
        <v>100</v>
      </c>
      <c r="L323" s="45">
        <f>(I323*Справочник_ОКВЭД_НР!$L$2+J323*Справочник_ОКВЭД_НР!$L$3+K323*Справочник_ОКВЭД_НР!$L$4)*M323</f>
        <v>87.5</v>
      </c>
      <c r="M323" s="47">
        <f>IF(COUNTIF(Справочник_ОКВЭД_НР!$G$3:$G$62,H323)&gt;0,0,1)</f>
        <v>1</v>
      </c>
    </row>
    <row r="324" spans="1:13" x14ac:dyDescent="0.25">
      <c r="A324" s="4">
        <f>ЛИК_дляСкорингаДП!A324</f>
        <v>1207700238811</v>
      </c>
      <c r="B324" s="4">
        <f>ЛИК_дляСкорингаДП!B324</f>
        <v>9709063342</v>
      </c>
      <c r="C324" s="4" t="str">
        <f>ЛИК_дляСкорингаДП!C324</f>
        <v>ООО "СИНАРА - ГТР"</v>
      </c>
      <c r="D324" s="5" t="str">
        <f>ЛИК_дляСкорингаДП!M324</f>
        <v>Деятельность головных офисов</v>
      </c>
      <c r="E324" s="4" t="str">
        <f>ЛИК_дляСкорингаДП!L324</f>
        <v>70.10</v>
      </c>
      <c r="F324" t="str">
        <f>ЛИК_дляСкорингаДП!N324</f>
        <v>16.23,16.23.1,23.20.1,23.20.2,41.20,42.11,42.12,42.13,42.22,42.99,43.12,43.12.1,43.12.3,43.99,46.13.2,46.73,46.73.6,47.52.7,63.99.1,64.99,64.99.3,68.20,68.20.2,68.31.1,68.31.2,68.32,70.10.1,70.10.2,70.22,71.11,71.11.1,71.12,71.12.2,71.12.3,71.12.4,74.90,77.32,77.39.2</v>
      </c>
      <c r="G324" s="25" t="str">
        <f>ЛИК_дляСкорингаДП!AG324</f>
        <v>ОСН</v>
      </c>
      <c r="H324" s="55" t="str">
        <f>IF(ISNUMBER(E324),E324,
IFERROR(LEFT(E324,FIND(".",E324)-1),E324))</f>
        <v>70</v>
      </c>
      <c r="I324" s="30">
        <f>IF(COUNTIF(Справочник_ОКВЭД_НР!$A$3:$A$62,H324)&gt;0,Справочник_ОКВЭД_НР!$L$8,
 IF(COUNTIF(Справочник_ОКВЭД_НР!$C$3:$C$62,H324)&gt;0,Справочник_ОКВЭД_НР!$L$9,
  IF(COUNTIF(Справочник_ОКВЭД_НР!$E$3:$E$62,H324)&gt;0,Справочник_ОКВЭД_НР!$L$10,
   IF(COUNTIF(Справочник_ОКВЭД_НР!$G$3:$G$62,H324)&gt;0,Справочник_ОКВЭД_НР!$L$11,50))))</f>
        <v>60</v>
      </c>
      <c r="J324" s="30" cm="1">
        <f t="array" ref="J324">IFERROR(
 (SUMPRODUCT(ISNUMBER(SEARCH(","&amp;Справочник_ОКВЭД_НР!$A$3:$A$62&amp;".",","&amp;SUBSTITUTE(F324," ","")&amp;",")))*Справочник_ОКВЭД_НР!$L$9 +
  SUMPRODUCT(ISNUMBER(SEARCH(","&amp;Справочник_ОКВЭД_НР!$C$3:$C$62&amp;".",","&amp;SUBSTITUTE(F324," ","")&amp;",")))*Справочник_ОКВЭД_НР!$L$10 +
  SUMPRODUCT(ISNUMBER(SEARCH(","&amp;Справочник_ОКВЭД_НР!$E$3:$E$62&amp;".",","&amp;SUBSTITUTE(F324," ","")&amp;",")))*Справочник_ОКВЭД_НР!$L$11 +
  SUMPRODUCT(ISNUMBER(SEARCH(","&amp;Справочник_ОКВЭД_НР!$G$3:$G$62&amp;".",","&amp;SUBSTITUTE(F324," ","")&amp;",")))*Справочник_ОКВЭД_НР!$L$12) /
 (SUMPRODUCT(ISNUMBER(SEARCH(","&amp;Справочник_ОКВЭД_НР!$A$3:$A$62&amp;".",","&amp;SUBSTITUTE(F324," ","")&amp;","))) +
  SUMPRODUCT(ISNUMBER(SEARCH(","&amp;Справочник_ОКВЭД_НР!$C$3:$C$62&amp;".",","&amp;SUBSTITUTE(F324," ","")&amp;","))) +
  SUMPRODUCT(ISNUMBER(SEARCH(","&amp;Справочник_ОКВЭД_НР!$E$3:$E$62&amp;".",","&amp;SUBSTITUTE(F324," ","")&amp;","))) +
  SUMPRODUCT(ISNUMBER(SEARCH(","&amp;Справочник_ОКВЭД_НР!$G$3:$G$62&amp;".",","&amp;SUBSTITUTE(F324," ","")&amp;",")))),
50)</f>
        <v>50</v>
      </c>
      <c r="K324" s="30">
        <f>IFERROR(VLOOKUP(G324,Справочник_ОКВЭД_НР!$O:$P,2,FALSE()),50)</f>
        <v>100</v>
      </c>
      <c r="L324" s="45">
        <f>(I324*Справочник_ОКВЭД_НР!$L$2+J324*Справочник_ОКВЭД_НР!$L$3+K324*Справочник_ОКВЭД_НР!$L$4)*M324</f>
        <v>63.5</v>
      </c>
      <c r="M324" s="47">
        <f>IF(COUNTIF(Справочник_ОКВЭД_НР!$G$3:$G$62,H324)&gt;0,0,1)</f>
        <v>1</v>
      </c>
    </row>
    <row r="325" spans="1:13" x14ac:dyDescent="0.25">
      <c r="A325" s="4">
        <f>ЛИК_дляСкорингаДП!A325</f>
        <v>1047796670008</v>
      </c>
      <c r="B325" s="4">
        <f>ЛИК_дляСкорингаДП!B325</f>
        <v>7705616994</v>
      </c>
      <c r="C325" s="4" t="str">
        <f>ЛИК_дляСкорингаДП!C325</f>
        <v>ООО "РТДА"</v>
      </c>
      <c r="D325" s="5" t="str">
        <f>ЛИК_дляСкорингаДП!M325</f>
        <v>Деятельность в области архитектуры, связанная с созданием архитектурного объекта</v>
      </c>
      <c r="E325" s="4" t="str">
        <f>ЛИК_дляСкорингаДП!L325</f>
        <v>71.11.1</v>
      </c>
      <c r="F325" t="str">
        <f>ЛИК_дляСкорингаДП!N325</f>
        <v>68.1,68.20,68.3,71.11.2,71.11.3,74.10</v>
      </c>
      <c r="G325" s="25" t="str">
        <f>ЛИК_дляСкорингаДП!AG325</f>
        <v>УСН</v>
      </c>
      <c r="H325" s="55" t="str">
        <f>IF(ISNUMBER(E325),E325,
IFERROR(LEFT(E325,FIND(".",E325)-1),E325))</f>
        <v>71</v>
      </c>
      <c r="I325" s="30">
        <f>IF(COUNTIF(Справочник_ОКВЭД_НР!$A$3:$A$62,H325)&gt;0,Справочник_ОКВЭД_НР!$L$8,
 IF(COUNTIF(Справочник_ОКВЭД_НР!$C$3:$C$62,H325)&gt;0,Справочник_ОКВЭД_НР!$L$9,
  IF(COUNTIF(Справочник_ОКВЭД_НР!$E$3:$E$62,H325)&gt;0,Справочник_ОКВЭД_НР!$L$10,
   IF(COUNTIF(Справочник_ОКВЭД_НР!$G$3:$G$62,H325)&gt;0,Справочник_ОКВЭД_НР!$L$11,50))))</f>
        <v>100</v>
      </c>
      <c r="J325" s="30" cm="1">
        <f t="array" ref="J325">IFERROR(
 (SUMPRODUCT(ISNUMBER(SEARCH(","&amp;Справочник_ОКВЭД_НР!$A$3:$A$62&amp;".",","&amp;SUBSTITUTE(F325," ","")&amp;",")))*Справочник_ОКВЭД_НР!$L$9 +
  SUMPRODUCT(ISNUMBER(SEARCH(","&amp;Справочник_ОКВЭД_НР!$C$3:$C$62&amp;".",","&amp;SUBSTITUTE(F325," ","")&amp;",")))*Справочник_ОКВЭД_НР!$L$10 +
  SUMPRODUCT(ISNUMBER(SEARCH(","&amp;Справочник_ОКВЭД_НР!$E$3:$E$62&amp;".",","&amp;SUBSTITUTE(F325," ","")&amp;",")))*Справочник_ОКВЭД_НР!$L$11 +
  SUMPRODUCT(ISNUMBER(SEARCH(","&amp;Справочник_ОКВЭД_НР!$G$3:$G$62&amp;".",","&amp;SUBSTITUTE(F325," ","")&amp;",")))*Справочник_ОКВЭД_НР!$L$12) /
 (SUMPRODUCT(ISNUMBER(SEARCH(","&amp;Справочник_ОКВЭД_НР!$A$3:$A$62&amp;".",","&amp;SUBSTITUTE(F325," ","")&amp;","))) +
  SUMPRODUCT(ISNUMBER(SEARCH(","&amp;Справочник_ОКВЭД_НР!$C$3:$C$62&amp;".",","&amp;SUBSTITUTE(F325," ","")&amp;","))) +
  SUMPRODUCT(ISNUMBER(SEARCH(","&amp;Справочник_ОКВЭД_НР!$E$3:$E$62&amp;".",","&amp;SUBSTITUTE(F325," ","")&amp;","))) +
  SUMPRODUCT(ISNUMBER(SEARCH(","&amp;Справочник_ОКВЭД_НР!$G$3:$G$62&amp;".",","&amp;SUBSTITUTE(F325," ","")&amp;",")))),
50)</f>
        <v>50</v>
      </c>
      <c r="K325" s="30">
        <f>IFERROR(VLOOKUP(G325,Справочник_ОКВЭД_НР!$O:$P,2,FALSE()),50)</f>
        <v>50</v>
      </c>
      <c r="L325" s="45">
        <f>(I325*Справочник_ОКВЭД_НР!$L$2+J325*Справочник_ОКВЭД_НР!$L$3+K325*Справочник_ОКВЭД_НР!$L$4)*M325</f>
        <v>80</v>
      </c>
      <c r="M325" s="47">
        <f>IF(COUNTIF(Справочник_ОКВЭД_НР!$G$3:$G$62,H325)&gt;0,0,1)</f>
        <v>1</v>
      </c>
    </row>
    <row r="326" spans="1:13" x14ac:dyDescent="0.25">
      <c r="A326" s="4">
        <f>ЛИК_дляСкорингаДП!A326</f>
        <v>1207700491855</v>
      </c>
      <c r="B326" s="4">
        <f>ЛИК_дляСкорингаДП!B326</f>
        <v>7736332054</v>
      </c>
      <c r="C326" s="4" t="str">
        <f>ЛИК_дляСкорингаДП!C326</f>
        <v>ООО "ПОЛЕ"</v>
      </c>
      <c r="D326" s="5" t="str">
        <f>ЛИК_дляСкорингаДП!M326</f>
        <v>Разработка компьютерного программного обеспечения</v>
      </c>
      <c r="E326" s="4" t="str">
        <f>ЛИК_дляСкорингаДП!L326</f>
        <v>62.01</v>
      </c>
      <c r="F326" t="str">
        <f>ЛИК_дляСкорингаДП!N326</f>
        <v>46.11,46.75,47.11,62.01,63.11.1,63.99,63.99.1,63.99.12,73.11,74.90</v>
      </c>
      <c r="G326" s="25" t="str">
        <f>ЛИК_дляСкорингаДП!AG326</f>
        <v>ОСН</v>
      </c>
      <c r="H326" s="55" t="str">
        <f>IF(ISNUMBER(E326),E326,
IFERROR(LEFT(E326,FIND(".",E326)-1),E326))</f>
        <v>62</v>
      </c>
      <c r="I326" s="30">
        <f>IF(COUNTIF(Справочник_ОКВЭД_НР!$A$3:$A$62,H326)&gt;0,Справочник_ОКВЭД_НР!$L$8,
 IF(COUNTIF(Справочник_ОКВЭД_НР!$C$3:$C$62,H326)&gt;0,Справочник_ОКВЭД_НР!$L$9,
  IF(COUNTIF(Справочник_ОКВЭД_НР!$E$3:$E$62,H326)&gt;0,Справочник_ОКВЭД_НР!$L$10,
   IF(COUNTIF(Справочник_ОКВЭД_НР!$G$3:$G$62,H326)&gt;0,Справочник_ОКВЭД_НР!$L$11,50))))</f>
        <v>100</v>
      </c>
      <c r="J326" s="30" cm="1">
        <f t="array" ref="J326">IFERROR(
 (SUMPRODUCT(ISNUMBER(SEARCH(","&amp;Справочник_ОКВЭД_НР!$A$3:$A$62&amp;".",","&amp;SUBSTITUTE(F326," ","")&amp;",")))*Справочник_ОКВЭД_НР!$L$9 +
  SUMPRODUCT(ISNUMBER(SEARCH(","&amp;Справочник_ОКВЭД_НР!$C$3:$C$62&amp;".",","&amp;SUBSTITUTE(F326," ","")&amp;",")))*Справочник_ОКВЭД_НР!$L$10 +
  SUMPRODUCT(ISNUMBER(SEARCH(","&amp;Справочник_ОКВЭД_НР!$E$3:$E$62&amp;".",","&amp;SUBSTITUTE(F326," ","")&amp;",")))*Справочник_ОКВЭД_НР!$L$11 +
  SUMPRODUCT(ISNUMBER(SEARCH(","&amp;Справочник_ОКВЭД_НР!$G$3:$G$62&amp;".",","&amp;SUBSTITUTE(F326," ","")&amp;",")))*Справочник_ОКВЭД_НР!$L$12) /
 (SUMPRODUCT(ISNUMBER(SEARCH(","&amp;Справочник_ОКВЭД_НР!$A$3:$A$62&amp;".",","&amp;SUBSTITUTE(F326," ","")&amp;","))) +
  SUMPRODUCT(ISNUMBER(SEARCH(","&amp;Справочник_ОКВЭД_НР!$C$3:$C$62&amp;".",","&amp;SUBSTITUTE(F326," ","")&amp;","))) +
  SUMPRODUCT(ISNUMBER(SEARCH(","&amp;Справочник_ОКВЭД_НР!$E$3:$E$62&amp;".",","&amp;SUBSTITUTE(F326," ","")&amp;","))) +
  SUMPRODUCT(ISNUMBER(SEARCH(","&amp;Справочник_ОКВЭД_НР!$G$3:$G$62&amp;".",","&amp;SUBSTITUTE(F326," ","")&amp;",")))),
50)</f>
        <v>50</v>
      </c>
      <c r="K326" s="30">
        <f>IFERROR(VLOOKUP(G326,Справочник_ОКВЭД_НР!$O:$P,2,FALSE()),50)</f>
        <v>100</v>
      </c>
      <c r="L326" s="45">
        <f>(I326*Справочник_ОКВЭД_НР!$L$2+J326*Справочник_ОКВЭД_НР!$L$3+K326*Справочник_ОКВЭД_НР!$L$4)*M326</f>
        <v>87.5</v>
      </c>
      <c r="M326" s="47">
        <f>IF(COUNTIF(Справочник_ОКВЭД_НР!$G$3:$G$62,H326)&gt;0,0,1)</f>
        <v>1</v>
      </c>
    </row>
    <row r="327" spans="1:13" x14ac:dyDescent="0.25">
      <c r="A327" s="4">
        <f>ЛИК_дляСкорингаДП!A327</f>
        <v>1207700495331</v>
      </c>
      <c r="B327" s="4">
        <f>ЛИК_дляСкорингаДП!B327</f>
        <v>9729303480</v>
      </c>
      <c r="C327" s="4" t="str">
        <f>ЛИК_дляСкорингаДП!C327</f>
        <v>ООО "СОЛНЦЕВО"</v>
      </c>
      <c r="D327" s="5" t="str">
        <f>ЛИК_дляСкорингаДП!M327</f>
        <v>Управление недвижимым имуществом за вознаграждение или на договорной основе</v>
      </c>
      <c r="E327" s="4" t="str">
        <f>ЛИК_дляСкорингаДП!L327</f>
        <v>68.32</v>
      </c>
      <c r="F327" t="str">
        <f>ЛИК_дляСкорингаДП!N327</f>
        <v>18.12,33.14,46.31,68.10,68.20,68.31.2,68.31.3,68.31.4</v>
      </c>
      <c r="G327" s="25" t="str">
        <f>ЛИК_дляСкорингаДП!AG327</f>
        <v>ОСН</v>
      </c>
      <c r="H327" s="55" t="str">
        <f>IF(ISNUMBER(E327),E327,
IFERROR(LEFT(E327,FIND(".",E327)-1),E327))</f>
        <v>68</v>
      </c>
      <c r="I327" s="30">
        <f>IF(COUNTIF(Справочник_ОКВЭД_НР!$A$3:$A$62,H327)&gt;0,Справочник_ОКВЭД_НР!$L$8,
 IF(COUNTIF(Справочник_ОКВЭД_НР!$C$3:$C$62,H327)&gt;0,Справочник_ОКВЭД_НР!$L$9,
  IF(COUNTIF(Справочник_ОКВЭД_НР!$E$3:$E$62,H327)&gt;0,Справочник_ОКВЭД_НР!$L$10,
   IF(COUNTIF(Справочник_ОКВЭД_НР!$G$3:$G$62,H327)&gt;0,Справочник_ОКВЭД_НР!$L$11,50))))</f>
        <v>100</v>
      </c>
      <c r="J327" s="30" cm="1">
        <f t="array" ref="J327">IFERROR(
 (SUMPRODUCT(ISNUMBER(SEARCH(","&amp;Справочник_ОКВЭД_НР!$A$3:$A$62&amp;".",","&amp;SUBSTITUTE(F327," ","")&amp;",")))*Справочник_ОКВЭД_НР!$L$9 +
  SUMPRODUCT(ISNUMBER(SEARCH(","&amp;Справочник_ОКВЭД_НР!$C$3:$C$62&amp;".",","&amp;SUBSTITUTE(F327," ","")&amp;",")))*Справочник_ОКВЭД_НР!$L$10 +
  SUMPRODUCT(ISNUMBER(SEARCH(","&amp;Справочник_ОКВЭД_НР!$E$3:$E$62&amp;".",","&amp;SUBSTITUTE(F327," ","")&amp;",")))*Справочник_ОКВЭД_НР!$L$11 +
  SUMPRODUCT(ISNUMBER(SEARCH(","&amp;Справочник_ОКВЭД_НР!$G$3:$G$62&amp;".",","&amp;SUBSTITUTE(F327," ","")&amp;",")))*Справочник_ОКВЭД_НР!$L$12) /
 (SUMPRODUCT(ISNUMBER(SEARCH(","&amp;Справочник_ОКВЭД_НР!$A$3:$A$62&amp;".",","&amp;SUBSTITUTE(F327," ","")&amp;","))) +
  SUMPRODUCT(ISNUMBER(SEARCH(","&amp;Справочник_ОКВЭД_НР!$C$3:$C$62&amp;".",","&amp;SUBSTITUTE(F327," ","")&amp;","))) +
  SUMPRODUCT(ISNUMBER(SEARCH(","&amp;Справочник_ОКВЭД_НР!$E$3:$E$62&amp;".",","&amp;SUBSTITUTE(F327," ","")&amp;","))) +
  SUMPRODUCT(ISNUMBER(SEARCH(","&amp;Справочник_ОКВЭД_НР!$G$3:$G$62&amp;".",","&amp;SUBSTITUTE(F327," ","")&amp;",")))),
50)</f>
        <v>50</v>
      </c>
      <c r="K327" s="30">
        <f>IFERROR(VLOOKUP(G327,Справочник_ОКВЭД_НР!$O:$P,2,FALSE()),50)</f>
        <v>100</v>
      </c>
      <c r="L327" s="45">
        <f>(I327*Справочник_ОКВЭД_НР!$L$2+J327*Справочник_ОКВЭД_НР!$L$3+K327*Справочник_ОКВЭД_НР!$L$4)*M327</f>
        <v>87.5</v>
      </c>
      <c r="M327" s="47">
        <f>IF(COUNTIF(Справочник_ОКВЭД_НР!$G$3:$G$62,H327)&gt;0,0,1)</f>
        <v>1</v>
      </c>
    </row>
    <row r="328" spans="1:13" x14ac:dyDescent="0.25">
      <c r="A328" s="4">
        <f>ЛИК_дляСкорингаДП!A328</f>
        <v>1197746473473</v>
      </c>
      <c r="B328" s="4">
        <f>ЛИК_дляСкорингаДП!B328</f>
        <v>7727424598</v>
      </c>
      <c r="C328" s="4" t="str">
        <f>ЛИК_дляСкорингаДП!C328</f>
        <v>ООО "ИНСТИТУТ МИКРОЭКОНОМИКИ"</v>
      </c>
      <c r="D328" s="5" t="str">
        <f>ЛИК_дляСкорингаДП!M328</f>
        <v>Аренда и управление собственным или арендованным недвижимым имуществом</v>
      </c>
      <c r="E328" s="4" t="str">
        <f>ЛИК_дляСкорингаДП!L328</f>
        <v>68.20</v>
      </c>
      <c r="F328" t="str">
        <f>ЛИК_дляСкорингаДП!N328</f>
        <v>68.10,68.10.1,68.10.2,68.20.1,68.20.2,68.31,68.31.1,68.31.2,68.31.3,68.31.4,68.31.5,68.32,69.20.2,69.20.3,72.20</v>
      </c>
      <c r="G328" s="25" t="str">
        <f>ЛИК_дляСкорингаДП!AG328</f>
        <v>УСН</v>
      </c>
      <c r="H328" s="55" t="str">
        <f>IF(ISNUMBER(E328),E328,
IFERROR(LEFT(E328,FIND(".",E328)-1),E328))</f>
        <v>68</v>
      </c>
      <c r="I328" s="30">
        <f>IF(COUNTIF(Справочник_ОКВЭД_НР!$A$3:$A$62,H328)&gt;0,Справочник_ОКВЭД_НР!$L$8,
 IF(COUNTIF(Справочник_ОКВЭД_НР!$C$3:$C$62,H328)&gt;0,Справочник_ОКВЭД_НР!$L$9,
  IF(COUNTIF(Справочник_ОКВЭД_НР!$E$3:$E$62,H328)&gt;0,Справочник_ОКВЭД_НР!$L$10,
   IF(COUNTIF(Справочник_ОКВЭД_НР!$G$3:$G$62,H328)&gt;0,Справочник_ОКВЭД_НР!$L$11,50))))</f>
        <v>100</v>
      </c>
      <c r="J328" s="30" cm="1">
        <f t="array" ref="J328">IFERROR(
 (SUMPRODUCT(ISNUMBER(SEARCH(","&amp;Справочник_ОКВЭД_НР!$A$3:$A$62&amp;".",","&amp;SUBSTITUTE(F328," ","")&amp;",")))*Справочник_ОКВЭД_НР!$L$9 +
  SUMPRODUCT(ISNUMBER(SEARCH(","&amp;Справочник_ОКВЭД_НР!$C$3:$C$62&amp;".",","&amp;SUBSTITUTE(F328," ","")&amp;",")))*Справочник_ОКВЭД_НР!$L$10 +
  SUMPRODUCT(ISNUMBER(SEARCH(","&amp;Справочник_ОКВЭД_НР!$E$3:$E$62&amp;".",","&amp;SUBSTITUTE(F328," ","")&amp;",")))*Справочник_ОКВЭД_НР!$L$11 +
  SUMPRODUCT(ISNUMBER(SEARCH(","&amp;Справочник_ОКВЭД_НР!$G$3:$G$62&amp;".",","&amp;SUBSTITUTE(F328," ","")&amp;",")))*Справочник_ОКВЭД_НР!$L$12) /
 (SUMPRODUCT(ISNUMBER(SEARCH(","&amp;Справочник_ОКВЭД_НР!$A$3:$A$62&amp;".",","&amp;SUBSTITUTE(F328," ","")&amp;","))) +
  SUMPRODUCT(ISNUMBER(SEARCH(","&amp;Справочник_ОКВЭД_НР!$C$3:$C$62&amp;".",","&amp;SUBSTITUTE(F328," ","")&amp;","))) +
  SUMPRODUCT(ISNUMBER(SEARCH(","&amp;Справочник_ОКВЭД_НР!$E$3:$E$62&amp;".",","&amp;SUBSTITUTE(F328," ","")&amp;","))) +
  SUMPRODUCT(ISNUMBER(SEARCH(","&amp;Справочник_ОКВЭД_НР!$G$3:$G$62&amp;".",","&amp;SUBSTITUTE(F328," ","")&amp;",")))),
50)</f>
        <v>50</v>
      </c>
      <c r="K328" s="30">
        <f>IFERROR(VLOOKUP(G328,Справочник_ОКВЭД_НР!$O:$P,2,FALSE()),50)</f>
        <v>50</v>
      </c>
      <c r="L328" s="45">
        <f>(I328*Справочник_ОКВЭД_НР!$L$2+J328*Справочник_ОКВЭД_НР!$L$3+K328*Справочник_ОКВЭД_НР!$L$4)*M328</f>
        <v>80</v>
      </c>
      <c r="M328" s="47">
        <f>IF(COUNTIF(Справочник_ОКВЭД_НР!$G$3:$G$62,H328)&gt;0,0,1)</f>
        <v>1</v>
      </c>
    </row>
    <row r="329" spans="1:13" x14ac:dyDescent="0.25">
      <c r="A329" s="4">
        <f>ЛИК_дляСкорингаДП!A329</f>
        <v>1026402661251</v>
      </c>
      <c r="B329" s="4">
        <f>ЛИК_дляСкорингаДП!B329</f>
        <v>6452043770</v>
      </c>
      <c r="C329" s="4" t="str">
        <f>ЛИК_дляСкорингаДП!C329</f>
        <v>ООО "ТЭНКАРД"</v>
      </c>
      <c r="D329" s="5" t="str">
        <f>ЛИК_дляСкорингаДП!M329</f>
        <v>Торговля оптовая неспециализированная пищевыми продуктами, напитками и табачными изделиями</v>
      </c>
      <c r="E329" s="4" t="str">
        <f>ЛИК_дляСкорингаДП!L329</f>
        <v>46.39</v>
      </c>
      <c r="F329" t="str">
        <f>ЛИК_дляСкорингаДП!N329</f>
        <v>46.17,47.11,49.42,52.10,68.20.2,77.11,77.12</v>
      </c>
      <c r="G329" s="25" t="str">
        <f>ЛИК_дляСкорингаДП!AG329</f>
        <v>ОСН</v>
      </c>
      <c r="H329" s="55" t="str">
        <f>IF(ISNUMBER(E329),E329,
IFERROR(LEFT(E329,FIND(".",E329)-1),E329))</f>
        <v>46</v>
      </c>
      <c r="I329" s="30">
        <f>IF(COUNTIF(Справочник_ОКВЭД_НР!$A$3:$A$62,H329)&gt;0,Справочник_ОКВЭД_НР!$L$8,
 IF(COUNTIF(Справочник_ОКВЭД_НР!$C$3:$C$62,H329)&gt;0,Справочник_ОКВЭД_НР!$L$9,
  IF(COUNTIF(Справочник_ОКВЭД_НР!$E$3:$E$62,H329)&gt;0,Справочник_ОКВЭД_НР!$L$10,
   IF(COUNTIF(Справочник_ОКВЭД_НР!$G$3:$G$62,H329)&gt;0,Справочник_ОКВЭД_НР!$L$11,50))))</f>
        <v>60</v>
      </c>
      <c r="J329" s="30" cm="1">
        <f t="array" ref="J329">IFERROR(
 (SUMPRODUCT(ISNUMBER(SEARCH(","&amp;Справочник_ОКВЭД_НР!$A$3:$A$62&amp;".",","&amp;SUBSTITUTE(F329," ","")&amp;",")))*Справочник_ОКВЭД_НР!$L$9 +
  SUMPRODUCT(ISNUMBER(SEARCH(","&amp;Справочник_ОКВЭД_НР!$C$3:$C$62&amp;".",","&amp;SUBSTITUTE(F329," ","")&amp;",")))*Справочник_ОКВЭД_НР!$L$10 +
  SUMPRODUCT(ISNUMBER(SEARCH(","&amp;Справочник_ОКВЭД_НР!$E$3:$E$62&amp;".",","&amp;SUBSTITUTE(F329," ","")&amp;",")))*Справочник_ОКВЭД_НР!$L$11 +
  SUMPRODUCT(ISNUMBER(SEARCH(","&amp;Справочник_ОКВЭД_НР!$G$3:$G$62&amp;".",","&amp;SUBSTITUTE(F329," ","")&amp;",")))*Справочник_ОКВЭД_НР!$L$12) /
 (SUMPRODUCT(ISNUMBER(SEARCH(","&amp;Справочник_ОКВЭД_НР!$A$3:$A$62&amp;".",","&amp;SUBSTITUTE(F329," ","")&amp;","))) +
  SUMPRODUCT(ISNUMBER(SEARCH(","&amp;Справочник_ОКВЭД_НР!$C$3:$C$62&amp;".",","&amp;SUBSTITUTE(F329," ","")&amp;","))) +
  SUMPRODUCT(ISNUMBER(SEARCH(","&amp;Справочник_ОКВЭД_НР!$E$3:$E$62&amp;".",","&amp;SUBSTITUTE(F329," ","")&amp;","))) +
  SUMPRODUCT(ISNUMBER(SEARCH(","&amp;Справочник_ОКВЭД_НР!$G$3:$G$62&amp;".",","&amp;SUBSTITUTE(F329," ","")&amp;",")))),
50)</f>
        <v>50</v>
      </c>
      <c r="K329" s="30">
        <f>IFERROR(VLOOKUP(G329,Справочник_ОКВЭД_НР!$O:$P,2,FALSE()),50)</f>
        <v>100</v>
      </c>
      <c r="L329" s="45">
        <f>(I329*Справочник_ОКВЭД_НР!$L$2+J329*Справочник_ОКВЭД_НР!$L$3+K329*Справочник_ОКВЭД_НР!$L$4)*M329</f>
        <v>63.5</v>
      </c>
      <c r="M329" s="47">
        <f>IF(COUNTIF(Справочник_ОКВЭД_НР!$G$3:$G$62,H329)&gt;0,0,1)</f>
        <v>1</v>
      </c>
    </row>
    <row r="330" spans="1:13" x14ac:dyDescent="0.25">
      <c r="A330" s="4">
        <f>ЛИК_дляСкорингаДП!A330</f>
        <v>1197746712470</v>
      </c>
      <c r="B330" s="4">
        <f>ЛИК_дляСкорингаДП!B330</f>
        <v>9706004050</v>
      </c>
      <c r="C330" s="4" t="str">
        <f>ЛИК_дляСкорингаДП!C330</f>
        <v>ООО "КЕССЕБЕМЕР РУС"</v>
      </c>
      <c r="D330" s="5" t="str">
        <f>ЛИК_дляСкорингаДП!M330</f>
        <v>Торговля оптовая прочими бытовыми товарами</v>
      </c>
      <c r="E330" s="4" t="str">
        <f>ЛИК_дляСкорингаДП!L330</f>
        <v>46.49</v>
      </c>
      <c r="F330" t="str">
        <f>ЛИК_дляСкорингаДП!N330</f>
        <v>18.12,25.91,25.92,25.93,25.94,25.99,31.02,31.09,46.15,46.15.1,46.16.2,46.42,46.47,46.47.1,46.49,46.49.3,46.49.4,46.49.49,46.52.1,46.65,46.76.3,46.90,47.19,47.42,47.52.1,47.52.4,47.52.7,47.59,47.59.1,47.61,47.62,47.71,47.78.3,47.89,47.91,49.41,53.20.3,58.19,70.22,73.11,85.30,85.41.9</v>
      </c>
      <c r="G330" s="25" t="str">
        <f>ЛИК_дляСкорингаДП!AG330</f>
        <v>ОСН</v>
      </c>
      <c r="H330" s="55" t="str">
        <f>IF(ISNUMBER(E330),E330,
IFERROR(LEFT(E330,FIND(".",E330)-1),E330))</f>
        <v>46</v>
      </c>
      <c r="I330" s="30">
        <f>IF(COUNTIF(Справочник_ОКВЭД_НР!$A$3:$A$62,H330)&gt;0,Справочник_ОКВЭД_НР!$L$8,
 IF(COUNTIF(Справочник_ОКВЭД_НР!$C$3:$C$62,H330)&gt;0,Справочник_ОКВЭД_НР!$L$9,
  IF(COUNTIF(Справочник_ОКВЭД_НР!$E$3:$E$62,H330)&gt;0,Справочник_ОКВЭД_НР!$L$10,
   IF(COUNTIF(Справочник_ОКВЭД_НР!$G$3:$G$62,H330)&gt;0,Справочник_ОКВЭД_НР!$L$11,50))))</f>
        <v>60</v>
      </c>
      <c r="J330" s="30" cm="1">
        <f t="array" ref="J330">IFERROR(
 (SUMPRODUCT(ISNUMBER(SEARCH(","&amp;Справочник_ОКВЭД_НР!$A$3:$A$62&amp;".",","&amp;SUBSTITUTE(F330," ","")&amp;",")))*Справочник_ОКВЭД_НР!$L$9 +
  SUMPRODUCT(ISNUMBER(SEARCH(","&amp;Справочник_ОКВЭД_НР!$C$3:$C$62&amp;".",","&amp;SUBSTITUTE(F330," ","")&amp;",")))*Справочник_ОКВЭД_НР!$L$10 +
  SUMPRODUCT(ISNUMBER(SEARCH(","&amp;Справочник_ОКВЭД_НР!$E$3:$E$62&amp;".",","&amp;SUBSTITUTE(F330," ","")&amp;",")))*Справочник_ОКВЭД_НР!$L$11 +
  SUMPRODUCT(ISNUMBER(SEARCH(","&amp;Справочник_ОКВЭД_НР!$G$3:$G$62&amp;".",","&amp;SUBSTITUTE(F330," ","")&amp;",")))*Справочник_ОКВЭД_НР!$L$12) /
 (SUMPRODUCT(ISNUMBER(SEARCH(","&amp;Справочник_ОКВЭД_НР!$A$3:$A$62&amp;".",","&amp;SUBSTITUTE(F330," ","")&amp;","))) +
  SUMPRODUCT(ISNUMBER(SEARCH(","&amp;Справочник_ОКВЭД_НР!$C$3:$C$62&amp;".",","&amp;SUBSTITUTE(F330," ","")&amp;","))) +
  SUMPRODUCT(ISNUMBER(SEARCH(","&amp;Справочник_ОКВЭД_НР!$E$3:$E$62&amp;".",","&amp;SUBSTITUTE(F330," ","")&amp;","))) +
  SUMPRODUCT(ISNUMBER(SEARCH(","&amp;Справочник_ОКВЭД_НР!$G$3:$G$62&amp;".",","&amp;SUBSTITUTE(F330," ","")&amp;",")))),
50)</f>
        <v>50</v>
      </c>
      <c r="K330" s="30">
        <f>IFERROR(VLOOKUP(G330,Справочник_ОКВЭД_НР!$O:$P,2,FALSE()),50)</f>
        <v>100</v>
      </c>
      <c r="L330" s="45">
        <f>(I330*Справочник_ОКВЭД_НР!$L$2+J330*Справочник_ОКВЭД_НР!$L$3+K330*Справочник_ОКВЭД_НР!$L$4)*M330</f>
        <v>63.5</v>
      </c>
      <c r="M330" s="47">
        <f>IF(COUNTIF(Справочник_ОКВЭД_НР!$G$3:$G$62,H330)&gt;0,0,1)</f>
        <v>1</v>
      </c>
    </row>
    <row r="331" spans="1:13" x14ac:dyDescent="0.25">
      <c r="A331" s="4">
        <f>ЛИК_дляСкорингаДП!A331</f>
        <v>1215000036536</v>
      </c>
      <c r="B331" s="4">
        <f>ЛИК_дляСкорингаДП!B331</f>
        <v>5032327544</v>
      </c>
      <c r="C331" s="4" t="str">
        <f>ЛИК_дляСкорингаДП!C331</f>
        <v>ООО "ЭКСПОРТ ТРЕЙДИНГ КОМПАНИ"</v>
      </c>
      <c r="D331" s="5" t="str">
        <f>ЛИК_дляСкорингаДП!M331</f>
        <v>Торговля оптовая фармацевтической продукцией</v>
      </c>
      <c r="E331" s="4" t="str">
        <f>ЛИК_дляСкорингаДП!L331</f>
        <v>46.46</v>
      </c>
      <c r="F331" t="str">
        <f>ЛИК_дляСкорингаДП!N331</f>
        <v>46.18,46.19,46.21,46.22,46.23,46.24,46.31,46.32,46.33,46.34,46.45,46.61,46.69,46.71,46.73,46.75,46.90,47.73,47.74,47.75,49.41,49.42,52.10,52.24,52.29,68.10,68.20,70.22,73.11,73.12,73.20</v>
      </c>
      <c r="G331" s="25" t="str">
        <f>ЛИК_дляСкорингаДП!AG331</f>
        <v>ОСН</v>
      </c>
      <c r="H331" s="55" t="str">
        <f>IF(ISNUMBER(E331),E331,
IFERROR(LEFT(E331,FIND(".",E331)-1),E331))</f>
        <v>46</v>
      </c>
      <c r="I331" s="30">
        <f>IF(COUNTIF(Справочник_ОКВЭД_НР!$A$3:$A$62,H331)&gt;0,Справочник_ОКВЭД_НР!$L$8,
 IF(COUNTIF(Справочник_ОКВЭД_НР!$C$3:$C$62,H331)&gt;0,Справочник_ОКВЭД_НР!$L$9,
  IF(COUNTIF(Справочник_ОКВЭД_НР!$E$3:$E$62,H331)&gt;0,Справочник_ОКВЭД_НР!$L$10,
   IF(COUNTIF(Справочник_ОКВЭД_НР!$G$3:$G$62,H331)&gt;0,Справочник_ОКВЭД_НР!$L$11,50))))</f>
        <v>60</v>
      </c>
      <c r="J331" s="30" cm="1">
        <f t="array" ref="J331">IFERROR(
 (SUMPRODUCT(ISNUMBER(SEARCH(","&amp;Справочник_ОКВЭД_НР!$A$3:$A$62&amp;".",","&amp;SUBSTITUTE(F331," ","")&amp;",")))*Справочник_ОКВЭД_НР!$L$9 +
  SUMPRODUCT(ISNUMBER(SEARCH(","&amp;Справочник_ОКВЭД_НР!$C$3:$C$62&amp;".",","&amp;SUBSTITUTE(F331," ","")&amp;",")))*Справочник_ОКВЭД_НР!$L$10 +
  SUMPRODUCT(ISNUMBER(SEARCH(","&amp;Справочник_ОКВЭД_НР!$E$3:$E$62&amp;".",","&amp;SUBSTITUTE(F331," ","")&amp;",")))*Справочник_ОКВЭД_НР!$L$11 +
  SUMPRODUCT(ISNUMBER(SEARCH(","&amp;Справочник_ОКВЭД_НР!$G$3:$G$62&amp;".",","&amp;SUBSTITUTE(F331," ","")&amp;",")))*Справочник_ОКВЭД_НР!$L$12) /
 (SUMPRODUCT(ISNUMBER(SEARCH(","&amp;Справочник_ОКВЭД_НР!$A$3:$A$62&amp;".",","&amp;SUBSTITUTE(F331," ","")&amp;","))) +
  SUMPRODUCT(ISNUMBER(SEARCH(","&amp;Справочник_ОКВЭД_НР!$C$3:$C$62&amp;".",","&amp;SUBSTITUTE(F331," ","")&amp;","))) +
  SUMPRODUCT(ISNUMBER(SEARCH(","&amp;Справочник_ОКВЭД_НР!$E$3:$E$62&amp;".",","&amp;SUBSTITUTE(F331," ","")&amp;","))) +
  SUMPRODUCT(ISNUMBER(SEARCH(","&amp;Справочник_ОКВЭД_НР!$G$3:$G$62&amp;".",","&amp;SUBSTITUTE(F331," ","")&amp;",")))),
50)</f>
        <v>50</v>
      </c>
      <c r="K331" s="30">
        <f>IFERROR(VLOOKUP(G331,Справочник_ОКВЭД_НР!$O:$P,2,FALSE()),50)</f>
        <v>100</v>
      </c>
      <c r="L331" s="45">
        <f>(I331*Справочник_ОКВЭД_НР!$L$2+J331*Справочник_ОКВЭД_НР!$L$3+K331*Справочник_ОКВЭД_НР!$L$4)*M331</f>
        <v>63.5</v>
      </c>
      <c r="M331" s="47">
        <f>IF(COUNTIF(Справочник_ОКВЭД_НР!$G$3:$G$62,H331)&gt;0,0,1)</f>
        <v>1</v>
      </c>
    </row>
    <row r="332" spans="1:13" x14ac:dyDescent="0.25">
      <c r="A332" s="4">
        <f>ЛИК_дляСкорингаДП!A332</f>
        <v>1075074002057</v>
      </c>
      <c r="B332" s="4">
        <f>ЛИК_дляСкорингаДП!B332</f>
        <v>5036079469</v>
      </c>
      <c r="C332" s="4" t="str">
        <f>ЛИК_дляСкорингаДП!C332</f>
        <v>ОАО "ПФОП"</v>
      </c>
      <c r="D332" s="5" t="str">
        <f>ЛИК_дляСкорингаДП!M332</f>
        <v>Прочие виды полиграфической деятельности</v>
      </c>
      <c r="E332" s="4" t="str">
        <f>ЛИК_дляСкорингаДП!L332</f>
        <v>18.12</v>
      </c>
      <c r="F332" t="str">
        <f>ЛИК_дляСкорингаДП!N332</f>
        <v>17.2,18.1,18.11,18.13,18.14,18.20,47.1,49.4,66.1,69,73.11</v>
      </c>
      <c r="G332" s="25" t="str">
        <f>ЛИК_дляСкорингаДП!AG332</f>
        <v>ОСН</v>
      </c>
      <c r="H332" s="55" t="str">
        <f>IF(ISNUMBER(E332),E332,
IFERROR(LEFT(E332,FIND(".",E332)-1),E332))</f>
        <v>18</v>
      </c>
      <c r="I332" s="30">
        <f>IF(COUNTIF(Справочник_ОКВЭД_НР!$A$3:$A$62,H332)&gt;0,Справочник_ОКВЭД_НР!$L$8,
 IF(COUNTIF(Справочник_ОКВЭД_НР!$C$3:$C$62,H332)&gt;0,Справочник_ОКВЭД_НР!$L$9,
  IF(COUNTIF(Справочник_ОКВЭД_НР!$E$3:$E$62,H332)&gt;0,Справочник_ОКВЭД_НР!$L$10,
   IF(COUNTIF(Справочник_ОКВЭД_НР!$G$3:$G$62,H332)&gt;0,Справочник_ОКВЭД_НР!$L$11,50))))</f>
        <v>30</v>
      </c>
      <c r="J332" s="30" cm="1">
        <f t="array" ref="J332">IFERROR(
 (SUMPRODUCT(ISNUMBER(SEARCH(","&amp;Справочник_ОКВЭД_НР!$A$3:$A$62&amp;".",","&amp;SUBSTITUTE(F332," ","")&amp;",")))*Справочник_ОКВЭД_НР!$L$9 +
  SUMPRODUCT(ISNUMBER(SEARCH(","&amp;Справочник_ОКВЭД_НР!$C$3:$C$62&amp;".",","&amp;SUBSTITUTE(F332," ","")&amp;",")))*Справочник_ОКВЭД_НР!$L$10 +
  SUMPRODUCT(ISNUMBER(SEARCH(","&amp;Справочник_ОКВЭД_НР!$E$3:$E$62&amp;".",","&amp;SUBSTITUTE(F332," ","")&amp;",")))*Справочник_ОКВЭД_НР!$L$11 +
  SUMPRODUCT(ISNUMBER(SEARCH(","&amp;Справочник_ОКВЭД_НР!$G$3:$G$62&amp;".",","&amp;SUBSTITUTE(F332," ","")&amp;",")))*Справочник_ОКВЭД_НР!$L$12) /
 (SUMPRODUCT(ISNUMBER(SEARCH(","&amp;Справочник_ОКВЭД_НР!$A$3:$A$62&amp;".",","&amp;SUBSTITUTE(F332," ","")&amp;","))) +
  SUMPRODUCT(ISNUMBER(SEARCH(","&amp;Справочник_ОКВЭД_НР!$C$3:$C$62&amp;".",","&amp;SUBSTITUTE(F332," ","")&amp;","))) +
  SUMPRODUCT(ISNUMBER(SEARCH(","&amp;Справочник_ОКВЭД_НР!$E$3:$E$62&amp;".",","&amp;SUBSTITUTE(F332," ","")&amp;","))) +
  SUMPRODUCT(ISNUMBER(SEARCH(","&amp;Справочник_ОКВЭД_НР!$G$3:$G$62&amp;".",","&amp;SUBSTITUTE(F332," ","")&amp;",")))),
50)</f>
        <v>50</v>
      </c>
      <c r="K332" s="30">
        <f>IFERROR(VLOOKUP(G332,Справочник_ОКВЭД_НР!$O:$P,2,FALSE()),50)</f>
        <v>100</v>
      </c>
      <c r="L332" s="45">
        <f>(I332*Справочник_ОКВЭД_НР!$L$2+J332*Справочник_ОКВЭД_НР!$L$3+K332*Справочник_ОКВЭД_НР!$L$4)*M332</f>
        <v>45.5</v>
      </c>
      <c r="M332" s="47">
        <f>IF(COUNTIF(Справочник_ОКВЭД_НР!$G$3:$G$62,H332)&gt;0,0,1)</f>
        <v>1</v>
      </c>
    </row>
    <row r="333" spans="1:13" x14ac:dyDescent="0.25">
      <c r="A333" s="4">
        <f>ЛИК_дляСкорингаДП!A333</f>
        <v>5187746028542</v>
      </c>
      <c r="B333" s="4">
        <f>ЛИК_дляСкорингаДП!B333</f>
        <v>9709040585</v>
      </c>
      <c r="C333" s="4" t="str">
        <f>ЛИК_дляСкорингаДП!C333</f>
        <v>ООО "СИК МГ"</v>
      </c>
      <c r="D333" s="5" t="str">
        <f>ЛИК_дляСкорингаДП!M333</f>
        <v>Деятельность в области права</v>
      </c>
      <c r="E333" s="4" t="str">
        <f>ЛИК_дляСкорингаДП!L333</f>
        <v>69.10</v>
      </c>
      <c r="F333" t="str">
        <f>ЛИК_дляСкорингаДП!N333</f>
        <v>64.91,64.92,66.21,66.30,68.10,68.20,68.32,69.20,70.10,70.21,70.22,71.12,71.20.2,73.20,74.30,77.11,77.12,77.31,77.32,77.39,79.90,82.11,82.99</v>
      </c>
      <c r="G333" s="25" t="str">
        <f>ЛИК_дляСкорингаДП!AG333</f>
        <v>УСН</v>
      </c>
      <c r="H333" s="55" t="str">
        <f>IF(ISNUMBER(E333),E333,
IFERROR(LEFT(E333,FIND(".",E333)-1),E333))</f>
        <v>69</v>
      </c>
      <c r="I333" s="30">
        <f>IF(COUNTIF(Справочник_ОКВЭД_НР!$A$3:$A$62,H333)&gt;0,Справочник_ОКВЭД_НР!$L$8,
 IF(COUNTIF(Справочник_ОКВЭД_НР!$C$3:$C$62,H333)&gt;0,Справочник_ОКВЭД_НР!$L$9,
  IF(COUNTIF(Справочник_ОКВЭД_НР!$E$3:$E$62,H333)&gt;0,Справочник_ОКВЭД_НР!$L$10,
   IF(COUNTIF(Справочник_ОКВЭД_НР!$G$3:$G$62,H333)&gt;0,Справочник_ОКВЭД_НР!$L$11,50))))</f>
        <v>30</v>
      </c>
      <c r="J333" s="30" cm="1">
        <f t="array" ref="J333">IFERROR(
 (SUMPRODUCT(ISNUMBER(SEARCH(","&amp;Справочник_ОКВЭД_НР!$A$3:$A$62&amp;".",","&amp;SUBSTITUTE(F333," ","")&amp;",")))*Справочник_ОКВЭД_НР!$L$9 +
  SUMPRODUCT(ISNUMBER(SEARCH(","&amp;Справочник_ОКВЭД_НР!$C$3:$C$62&amp;".",","&amp;SUBSTITUTE(F333," ","")&amp;",")))*Справочник_ОКВЭД_НР!$L$10 +
  SUMPRODUCT(ISNUMBER(SEARCH(","&amp;Справочник_ОКВЭД_НР!$E$3:$E$62&amp;".",","&amp;SUBSTITUTE(F333," ","")&amp;",")))*Справочник_ОКВЭД_НР!$L$11 +
  SUMPRODUCT(ISNUMBER(SEARCH(","&amp;Справочник_ОКВЭД_НР!$G$3:$G$62&amp;".",","&amp;SUBSTITUTE(F333," ","")&amp;",")))*Справочник_ОКВЭД_НР!$L$12) /
 (SUMPRODUCT(ISNUMBER(SEARCH(","&amp;Справочник_ОКВЭД_НР!$A$3:$A$62&amp;".",","&amp;SUBSTITUTE(F333," ","")&amp;","))) +
  SUMPRODUCT(ISNUMBER(SEARCH(","&amp;Справочник_ОКВЭД_НР!$C$3:$C$62&amp;".",","&amp;SUBSTITUTE(F333," ","")&amp;","))) +
  SUMPRODUCT(ISNUMBER(SEARCH(","&amp;Справочник_ОКВЭД_НР!$E$3:$E$62&amp;".",","&amp;SUBSTITUTE(F333," ","")&amp;","))) +
  SUMPRODUCT(ISNUMBER(SEARCH(","&amp;Справочник_ОКВЭД_НР!$G$3:$G$62&amp;".",","&amp;SUBSTITUTE(F333," ","")&amp;",")))),
50)</f>
        <v>50</v>
      </c>
      <c r="K333" s="30">
        <f>IFERROR(VLOOKUP(G333,Справочник_ОКВЭД_НР!$O:$P,2,FALSE()),50)</f>
        <v>50</v>
      </c>
      <c r="L333" s="45">
        <f>(I333*Справочник_ОКВЭД_НР!$L$2+J333*Справочник_ОКВЭД_НР!$L$3+K333*Справочник_ОКВЭД_НР!$L$4)*M333</f>
        <v>38</v>
      </c>
      <c r="M333" s="47">
        <f>IF(COUNTIF(Справочник_ОКВЭД_НР!$G$3:$G$62,H333)&gt;0,0,1)</f>
        <v>1</v>
      </c>
    </row>
    <row r="334" spans="1:13" x14ac:dyDescent="0.25">
      <c r="A334" s="4">
        <f>ЛИК_дляСкорингаДП!A334</f>
        <v>5167746274944</v>
      </c>
      <c r="B334" s="4">
        <f>ЛИК_дляСкорингаДП!B334</f>
        <v>7707374691</v>
      </c>
      <c r="C334" s="4" t="str">
        <f>ЛИК_дляСкорингаДП!C334</f>
        <v>ООО "АГС"</v>
      </c>
      <c r="D334" s="5" t="str">
        <f>ЛИК_дляСкорингаДП!M334</f>
        <v>Деятельность по чистке и уборке жилых зданий и нежилых помещений прочая</v>
      </c>
      <c r="E334" s="4" t="str">
        <f>ЛИК_дляСкорингаДП!L334</f>
        <v>81.22</v>
      </c>
      <c r="F334" t="str">
        <f>ЛИК_дляСкорингаДП!N334</f>
        <v>33.12,38.11,38.12,38.21,38.22,43.21,43.22,43.29,68.32.2,70.22,81.10,81.21,81.22,81.29,81.29.2,81.29.9</v>
      </c>
      <c r="G334" s="25" t="str">
        <f>ЛИК_дляСкорингаДП!AG334</f>
        <v>ОСН</v>
      </c>
      <c r="H334" s="55" t="str">
        <f>IF(ISNUMBER(E334),E334,
IFERROR(LEFT(E334,FIND(".",E334)-1),E334))</f>
        <v>81</v>
      </c>
      <c r="I334" s="30">
        <f>IF(COUNTIF(Справочник_ОКВЭД_НР!$A$3:$A$62,H334)&gt;0,Справочник_ОКВЭД_НР!$L$8,
 IF(COUNTIF(Справочник_ОКВЭД_НР!$C$3:$C$62,H334)&gt;0,Справочник_ОКВЭД_НР!$L$9,
  IF(COUNTIF(Справочник_ОКВЭД_НР!$E$3:$E$62,H334)&gt;0,Справочник_ОКВЭД_НР!$L$10,
   IF(COUNTIF(Справочник_ОКВЭД_НР!$G$3:$G$62,H334)&gt;0,Справочник_ОКВЭД_НР!$L$11,50))))</f>
        <v>30</v>
      </c>
      <c r="J334" s="30" cm="1">
        <f t="array" ref="J334">IFERROR(
 (SUMPRODUCT(ISNUMBER(SEARCH(","&amp;Справочник_ОКВЭД_НР!$A$3:$A$62&amp;".",","&amp;SUBSTITUTE(F334," ","")&amp;",")))*Справочник_ОКВЭД_НР!$L$9 +
  SUMPRODUCT(ISNUMBER(SEARCH(","&amp;Справочник_ОКВЭД_НР!$C$3:$C$62&amp;".",","&amp;SUBSTITUTE(F334," ","")&amp;",")))*Справочник_ОКВЭД_НР!$L$10 +
  SUMPRODUCT(ISNUMBER(SEARCH(","&amp;Справочник_ОКВЭД_НР!$E$3:$E$62&amp;".",","&amp;SUBSTITUTE(F334," ","")&amp;",")))*Справочник_ОКВЭД_НР!$L$11 +
  SUMPRODUCT(ISNUMBER(SEARCH(","&amp;Справочник_ОКВЭД_НР!$G$3:$G$62&amp;".",","&amp;SUBSTITUTE(F334," ","")&amp;",")))*Справочник_ОКВЭД_НР!$L$12) /
 (SUMPRODUCT(ISNUMBER(SEARCH(","&amp;Справочник_ОКВЭД_НР!$A$3:$A$62&amp;".",","&amp;SUBSTITUTE(F334," ","")&amp;","))) +
  SUMPRODUCT(ISNUMBER(SEARCH(","&amp;Справочник_ОКВЭД_НР!$C$3:$C$62&amp;".",","&amp;SUBSTITUTE(F334," ","")&amp;","))) +
  SUMPRODUCT(ISNUMBER(SEARCH(","&amp;Справочник_ОКВЭД_НР!$E$3:$E$62&amp;".",","&amp;SUBSTITUTE(F334," ","")&amp;","))) +
  SUMPRODUCT(ISNUMBER(SEARCH(","&amp;Справочник_ОКВЭД_НР!$G$3:$G$62&amp;".",","&amp;SUBSTITUTE(F334," ","")&amp;",")))),
50)</f>
        <v>50</v>
      </c>
      <c r="K334" s="30">
        <f>IFERROR(VLOOKUP(G334,Справочник_ОКВЭД_НР!$O:$P,2,FALSE()),50)</f>
        <v>100</v>
      </c>
      <c r="L334" s="45">
        <f>(I334*Справочник_ОКВЭД_НР!$L$2+J334*Справочник_ОКВЭД_НР!$L$3+K334*Справочник_ОКВЭД_НР!$L$4)*M334</f>
        <v>45.5</v>
      </c>
      <c r="M334" s="47">
        <f>IF(COUNTIF(Справочник_ОКВЭД_НР!$G$3:$G$62,H334)&gt;0,0,1)</f>
        <v>1</v>
      </c>
    </row>
    <row r="335" spans="1:13" x14ac:dyDescent="0.25">
      <c r="A335" s="4">
        <f>ЛИК_дляСкорингаДП!A335</f>
        <v>5067746655972</v>
      </c>
      <c r="B335" s="4">
        <f>ЛИК_дляСкорингаДП!B335</f>
        <v>7708611881</v>
      </c>
      <c r="C335" s="4" t="str">
        <f>ЛИК_дляСкорингаДП!C335</f>
        <v>ООО "НТЦ"</v>
      </c>
      <c r="D335" s="5" t="str">
        <f>ЛИК_дляСкорингаДП!M335</f>
        <v>Производство электроэнергии тепловыми электростанциями, в том числе деятельность по обеспечению работоспособности электростанций</v>
      </c>
      <c r="E335" s="4" t="str">
        <f>ЛИК_дляСкорингаДП!L335</f>
        <v>35.11.1</v>
      </c>
      <c r="F335" t="str">
        <f>ЛИК_дляСкорингаДП!N335</f>
        <v>35.30.11,35.11,35.11.1,35.2,35.30,41.2,43.11,43.12.3,43.2,43.3,43.99,78.10</v>
      </c>
      <c r="G335" s="25" t="str">
        <f>ЛИК_дляСкорингаДП!AG335</f>
        <v>ОСН</v>
      </c>
      <c r="H335" s="55" t="str">
        <f>IF(ISNUMBER(E335),E335,
IFERROR(LEFT(E335,FIND(".",E335)-1),E335))</f>
        <v>35</v>
      </c>
      <c r="I335" s="30">
        <f>IF(COUNTIF(Справочник_ОКВЭД_НР!$A$3:$A$62,H335)&gt;0,Справочник_ОКВЭД_НР!$L$8,
 IF(COUNTIF(Справочник_ОКВЭД_НР!$C$3:$C$62,H335)&gt;0,Справочник_ОКВЭД_НР!$L$9,
  IF(COUNTIF(Справочник_ОКВЭД_НР!$E$3:$E$62,H335)&gt;0,Справочник_ОКВЭД_НР!$L$10,
   IF(COUNTIF(Справочник_ОКВЭД_НР!$G$3:$G$62,H335)&gt;0,Справочник_ОКВЭД_НР!$L$11,50))))</f>
        <v>60</v>
      </c>
      <c r="J335" s="30" cm="1">
        <f t="array" ref="J335">IFERROR(
 (SUMPRODUCT(ISNUMBER(SEARCH(","&amp;Справочник_ОКВЭД_НР!$A$3:$A$62&amp;".",","&amp;SUBSTITUTE(F335," ","")&amp;",")))*Справочник_ОКВЭД_НР!$L$9 +
  SUMPRODUCT(ISNUMBER(SEARCH(","&amp;Справочник_ОКВЭД_НР!$C$3:$C$62&amp;".",","&amp;SUBSTITUTE(F335," ","")&amp;",")))*Справочник_ОКВЭД_НР!$L$10 +
  SUMPRODUCT(ISNUMBER(SEARCH(","&amp;Справочник_ОКВЭД_НР!$E$3:$E$62&amp;".",","&amp;SUBSTITUTE(F335," ","")&amp;",")))*Справочник_ОКВЭД_НР!$L$11 +
  SUMPRODUCT(ISNUMBER(SEARCH(","&amp;Справочник_ОКВЭД_НР!$G$3:$G$62&amp;".",","&amp;SUBSTITUTE(F335," ","")&amp;",")))*Справочник_ОКВЭД_НР!$L$12) /
 (SUMPRODUCT(ISNUMBER(SEARCH(","&amp;Справочник_ОКВЭД_НР!$A$3:$A$62&amp;".",","&amp;SUBSTITUTE(F335," ","")&amp;","))) +
  SUMPRODUCT(ISNUMBER(SEARCH(","&amp;Справочник_ОКВЭД_НР!$C$3:$C$62&amp;".",","&amp;SUBSTITUTE(F335," ","")&amp;","))) +
  SUMPRODUCT(ISNUMBER(SEARCH(","&amp;Справочник_ОКВЭД_НР!$E$3:$E$62&amp;".",","&amp;SUBSTITUTE(F335," ","")&amp;","))) +
  SUMPRODUCT(ISNUMBER(SEARCH(","&amp;Справочник_ОКВЭД_НР!$G$3:$G$62&amp;".",","&amp;SUBSTITUTE(F335," ","")&amp;",")))),
50)</f>
        <v>50</v>
      </c>
      <c r="K335" s="30">
        <f>IFERROR(VLOOKUP(G335,Справочник_ОКВЭД_НР!$O:$P,2,FALSE()),50)</f>
        <v>100</v>
      </c>
      <c r="L335" s="45">
        <f>(I335*Справочник_ОКВЭД_НР!$L$2+J335*Справочник_ОКВЭД_НР!$L$3+K335*Справочник_ОКВЭД_НР!$L$4)*M335</f>
        <v>63.5</v>
      </c>
      <c r="M335" s="47">
        <f>IF(COUNTIF(Справочник_ОКВЭД_НР!$G$3:$G$62,H335)&gt;0,0,1)</f>
        <v>1</v>
      </c>
    </row>
    <row r="336" spans="1:13" x14ac:dyDescent="0.25">
      <c r="A336" s="4">
        <f>ЛИК_дляСкорингаДП!A336</f>
        <v>5067746795067</v>
      </c>
      <c r="B336" s="4">
        <f>ЛИК_дляСкорингаДП!B336</f>
        <v>7705754793</v>
      </c>
      <c r="C336" s="4" t="str">
        <f>ЛИК_дляСкорингаДП!C336</f>
        <v>ООО "МОЛ-РУСС"</v>
      </c>
      <c r="D336" s="5" t="str">
        <f>ЛИК_дляСкорингаДП!M336</f>
        <v>Консультирование по вопросам коммерческой деятельности и управления</v>
      </c>
      <c r="E336" s="4" t="str">
        <f>ЛИК_дляСкорингаДП!L336</f>
        <v>70.22</v>
      </c>
      <c r="F336" t="str">
        <f>ЛИК_дляСкорингаДП!N336</f>
        <v>06.1,09.10.9,46.12.1,46.12.3,46.71,46.71,46.75,46.90,49.50.11,49.50.12,49.50.21,49.50.22,52.10.2,52.10.21,52.10.22,69.20.2,70.22,71.12.3,73.20.1,78.30,82.99,85.23</v>
      </c>
      <c r="G336" s="25" t="str">
        <f>ЛИК_дляСкорингаДП!AG336</f>
        <v>ОСН</v>
      </c>
      <c r="H336" s="55" t="str">
        <f>IF(ISNUMBER(E336),E336,
IFERROR(LEFT(E336,FIND(".",E336)-1),E336))</f>
        <v>70</v>
      </c>
      <c r="I336" s="30">
        <f>IF(COUNTIF(Справочник_ОКВЭД_НР!$A$3:$A$62,H336)&gt;0,Справочник_ОКВЭД_НР!$L$8,
 IF(COUNTIF(Справочник_ОКВЭД_НР!$C$3:$C$62,H336)&gt;0,Справочник_ОКВЭД_НР!$L$9,
  IF(COUNTIF(Справочник_ОКВЭД_НР!$E$3:$E$62,H336)&gt;0,Справочник_ОКВЭД_НР!$L$10,
   IF(COUNTIF(Справочник_ОКВЭД_НР!$G$3:$G$62,H336)&gt;0,Справочник_ОКВЭД_НР!$L$11,50))))</f>
        <v>60</v>
      </c>
      <c r="J336" s="30" cm="1">
        <f t="array" ref="J336">IFERROR(
 (SUMPRODUCT(ISNUMBER(SEARCH(","&amp;Справочник_ОКВЭД_НР!$A$3:$A$62&amp;".",","&amp;SUBSTITUTE(F336," ","")&amp;",")))*Справочник_ОКВЭД_НР!$L$9 +
  SUMPRODUCT(ISNUMBER(SEARCH(","&amp;Справочник_ОКВЭД_НР!$C$3:$C$62&amp;".",","&amp;SUBSTITUTE(F336," ","")&amp;",")))*Справочник_ОКВЭД_НР!$L$10 +
  SUMPRODUCT(ISNUMBER(SEARCH(","&amp;Справочник_ОКВЭД_НР!$E$3:$E$62&amp;".",","&amp;SUBSTITUTE(F336," ","")&amp;",")))*Справочник_ОКВЭД_НР!$L$11 +
  SUMPRODUCT(ISNUMBER(SEARCH(","&amp;Справочник_ОКВЭД_НР!$G$3:$G$62&amp;".",","&amp;SUBSTITUTE(F336," ","")&amp;",")))*Справочник_ОКВЭД_НР!$L$12) /
 (SUMPRODUCT(ISNUMBER(SEARCH(","&amp;Справочник_ОКВЭД_НР!$A$3:$A$62&amp;".",","&amp;SUBSTITUTE(F336," ","")&amp;","))) +
  SUMPRODUCT(ISNUMBER(SEARCH(","&amp;Справочник_ОКВЭД_НР!$C$3:$C$62&amp;".",","&amp;SUBSTITUTE(F336," ","")&amp;","))) +
  SUMPRODUCT(ISNUMBER(SEARCH(","&amp;Справочник_ОКВЭД_НР!$E$3:$E$62&amp;".",","&amp;SUBSTITUTE(F336," ","")&amp;","))) +
  SUMPRODUCT(ISNUMBER(SEARCH(","&amp;Справочник_ОКВЭД_НР!$G$3:$G$62&amp;".",","&amp;SUBSTITUTE(F336," ","")&amp;",")))),
50)</f>
        <v>50</v>
      </c>
      <c r="K336" s="30">
        <f>IFERROR(VLOOKUP(G336,Справочник_ОКВЭД_НР!$O:$P,2,FALSE()),50)</f>
        <v>100</v>
      </c>
      <c r="L336" s="45">
        <f>(I336*Справочник_ОКВЭД_НР!$L$2+J336*Справочник_ОКВЭД_НР!$L$3+K336*Справочник_ОКВЭД_НР!$L$4)*M336</f>
        <v>63.5</v>
      </c>
      <c r="M336" s="47">
        <f>IF(COUNTIF(Справочник_ОКВЭД_НР!$G$3:$G$62,H336)&gt;0,0,1)</f>
        <v>1</v>
      </c>
    </row>
    <row r="337" spans="1:13" x14ac:dyDescent="0.25">
      <c r="A337" s="4">
        <f>ЛИК_дляСкорингаДП!A337</f>
        <v>1177746316758</v>
      </c>
      <c r="B337" s="4">
        <f>ЛИК_дляСкорингаДП!B337</f>
        <v>9729069173</v>
      </c>
      <c r="C337" s="4" t="str">
        <f>ЛИК_дляСкорингаДП!C337</f>
        <v>ООО ФИРМА  "ЛАМА"</v>
      </c>
      <c r="D337" s="5" t="str">
        <f>ЛИК_дляСкорингаДП!M337</f>
        <v>Аренда и управление собственным или арендованным нежилым недвижимым имуществом</v>
      </c>
      <c r="E337" s="4" t="str">
        <f>ЛИК_дляСкорингаДП!L337</f>
        <v>68.20.2</v>
      </c>
      <c r="F337" t="str">
        <f>ЛИК_дляСкорингаДП!N337</f>
        <v>56.10.1,56.10.21,96.01</v>
      </c>
      <c r="G337" s="25" t="str">
        <f>ЛИК_дляСкорингаДП!AG337</f>
        <v>УСН</v>
      </c>
      <c r="H337" s="55" t="str">
        <f>IF(ISNUMBER(E337),E337,
IFERROR(LEFT(E337,FIND(".",E337)-1),E337))</f>
        <v>68</v>
      </c>
      <c r="I337" s="30">
        <f>IF(COUNTIF(Справочник_ОКВЭД_НР!$A$3:$A$62,H337)&gt;0,Справочник_ОКВЭД_НР!$L$8,
 IF(COUNTIF(Справочник_ОКВЭД_НР!$C$3:$C$62,H337)&gt;0,Справочник_ОКВЭД_НР!$L$9,
  IF(COUNTIF(Справочник_ОКВЭД_НР!$E$3:$E$62,H337)&gt;0,Справочник_ОКВЭД_НР!$L$10,
   IF(COUNTIF(Справочник_ОКВЭД_НР!$G$3:$G$62,H337)&gt;0,Справочник_ОКВЭД_НР!$L$11,50))))</f>
        <v>100</v>
      </c>
      <c r="J337" s="30" cm="1">
        <f t="array" ref="J337">IFERROR(
 (SUMPRODUCT(ISNUMBER(SEARCH(","&amp;Справочник_ОКВЭД_НР!$A$3:$A$62&amp;".",","&amp;SUBSTITUTE(F337," ","")&amp;",")))*Справочник_ОКВЭД_НР!$L$9 +
  SUMPRODUCT(ISNUMBER(SEARCH(","&amp;Справочник_ОКВЭД_НР!$C$3:$C$62&amp;".",","&amp;SUBSTITUTE(F337," ","")&amp;",")))*Справочник_ОКВЭД_НР!$L$10 +
  SUMPRODUCT(ISNUMBER(SEARCH(","&amp;Справочник_ОКВЭД_НР!$E$3:$E$62&amp;".",","&amp;SUBSTITUTE(F337," ","")&amp;",")))*Справочник_ОКВЭД_НР!$L$11 +
  SUMPRODUCT(ISNUMBER(SEARCH(","&amp;Справочник_ОКВЭД_НР!$G$3:$G$62&amp;".",","&amp;SUBSTITUTE(F337," ","")&amp;",")))*Справочник_ОКВЭД_НР!$L$12) /
 (SUMPRODUCT(ISNUMBER(SEARCH(","&amp;Справочник_ОКВЭД_НР!$A$3:$A$62&amp;".",","&amp;SUBSTITUTE(F337," ","")&amp;","))) +
  SUMPRODUCT(ISNUMBER(SEARCH(","&amp;Справочник_ОКВЭД_НР!$C$3:$C$62&amp;".",","&amp;SUBSTITUTE(F337," ","")&amp;","))) +
  SUMPRODUCT(ISNUMBER(SEARCH(","&amp;Справочник_ОКВЭД_НР!$E$3:$E$62&amp;".",","&amp;SUBSTITUTE(F337," ","")&amp;","))) +
  SUMPRODUCT(ISNUMBER(SEARCH(","&amp;Справочник_ОКВЭД_НР!$G$3:$G$62&amp;".",","&amp;SUBSTITUTE(F337," ","")&amp;",")))),
50)</f>
        <v>50</v>
      </c>
      <c r="K337" s="30">
        <f>IFERROR(VLOOKUP(G337,Справочник_ОКВЭД_НР!$O:$P,2,FALSE()),50)</f>
        <v>50</v>
      </c>
      <c r="L337" s="45">
        <f>(I337*Справочник_ОКВЭД_НР!$L$2+J337*Справочник_ОКВЭД_НР!$L$3+K337*Справочник_ОКВЭД_НР!$L$4)*M337</f>
        <v>80</v>
      </c>
      <c r="M337" s="47">
        <f>IF(COUNTIF(Справочник_ОКВЭД_НР!$G$3:$G$62,H337)&gt;0,0,1)</f>
        <v>1</v>
      </c>
    </row>
    <row r="338" spans="1:13" x14ac:dyDescent="0.25">
      <c r="A338" s="4">
        <f>ЛИК_дляСкорингаДП!A338</f>
        <v>1027700483722</v>
      </c>
      <c r="B338" s="4">
        <f>ЛИК_дляСкорингаДП!B338</f>
        <v>7724199256</v>
      </c>
      <c r="C338" s="4" t="str">
        <f>ЛИК_дляСкорингаДП!C338</f>
        <v>ООО "МПО ЭЛЕКТРОТЕХНИКА"</v>
      </c>
      <c r="D338" s="5" t="str">
        <f>ЛИК_дляСкорингаДП!M338</f>
        <v>Производство электроустановочных изделий</v>
      </c>
      <c r="E338" s="4" t="str">
        <f>ЛИК_дляСкорингаДП!L338</f>
        <v>27.33</v>
      </c>
      <c r="F338" t="str">
        <f>ЛИК_дляСкорингаДП!N338</f>
        <v>22.29.2,46.90,68.20.1,22.29.2,23.41,27.11.1,27.12,27.33,27.51,32.99.3,32.99.9,45.20,45.3,46.90,47.9,56.29,56.29.2,68.20.2</v>
      </c>
      <c r="G338" s="25" t="str">
        <f>ЛИК_дляСкорингаДП!AG338</f>
        <v>ОСН</v>
      </c>
      <c r="H338" s="55" t="str">
        <f>IF(ISNUMBER(E338),E338,
IFERROR(LEFT(E338,FIND(".",E338)-1),E338))</f>
        <v>27</v>
      </c>
      <c r="I338" s="30">
        <f>IF(COUNTIF(Справочник_ОКВЭД_НР!$A$3:$A$62,H338)&gt;0,Справочник_ОКВЭД_НР!$L$8,
 IF(COUNTIF(Справочник_ОКВЭД_НР!$C$3:$C$62,H338)&gt;0,Справочник_ОКВЭД_НР!$L$9,
  IF(COUNTIF(Справочник_ОКВЭД_НР!$E$3:$E$62,H338)&gt;0,Справочник_ОКВЭД_НР!$L$10,
   IF(COUNTIF(Справочник_ОКВЭД_НР!$G$3:$G$62,H338)&gt;0,Справочник_ОКВЭД_НР!$L$11,50))))</f>
        <v>100</v>
      </c>
      <c r="J338" s="30" cm="1">
        <f t="array" ref="J338">IFERROR(
 (SUMPRODUCT(ISNUMBER(SEARCH(","&amp;Справочник_ОКВЭД_НР!$A$3:$A$62&amp;".",","&amp;SUBSTITUTE(F338," ","")&amp;",")))*Справочник_ОКВЭД_НР!$L$9 +
  SUMPRODUCT(ISNUMBER(SEARCH(","&amp;Справочник_ОКВЭД_НР!$C$3:$C$62&amp;".",","&amp;SUBSTITUTE(F338," ","")&amp;",")))*Справочник_ОКВЭД_НР!$L$10 +
  SUMPRODUCT(ISNUMBER(SEARCH(","&amp;Справочник_ОКВЭД_НР!$E$3:$E$62&amp;".",","&amp;SUBSTITUTE(F338," ","")&amp;",")))*Справочник_ОКВЭД_НР!$L$11 +
  SUMPRODUCT(ISNUMBER(SEARCH(","&amp;Справочник_ОКВЭД_НР!$G$3:$G$62&amp;".",","&amp;SUBSTITUTE(F338," ","")&amp;",")))*Справочник_ОКВЭД_НР!$L$12) /
 (SUMPRODUCT(ISNUMBER(SEARCH(","&amp;Справочник_ОКВЭД_НР!$A$3:$A$62&amp;".",","&amp;SUBSTITUTE(F338," ","")&amp;","))) +
  SUMPRODUCT(ISNUMBER(SEARCH(","&amp;Справочник_ОКВЭД_НР!$C$3:$C$62&amp;".",","&amp;SUBSTITUTE(F338," ","")&amp;","))) +
  SUMPRODUCT(ISNUMBER(SEARCH(","&amp;Справочник_ОКВЭД_НР!$E$3:$E$62&amp;".",","&amp;SUBSTITUTE(F338," ","")&amp;","))) +
  SUMPRODUCT(ISNUMBER(SEARCH(","&amp;Справочник_ОКВЭД_НР!$G$3:$G$62&amp;".",","&amp;SUBSTITUTE(F338," ","")&amp;",")))),
50)</f>
        <v>50</v>
      </c>
      <c r="K338" s="30">
        <f>IFERROR(VLOOKUP(G338,Справочник_ОКВЭД_НР!$O:$P,2,FALSE()),50)</f>
        <v>100</v>
      </c>
      <c r="L338" s="45">
        <f>(I338*Справочник_ОКВЭД_НР!$L$2+J338*Справочник_ОКВЭД_НР!$L$3+K338*Справочник_ОКВЭД_НР!$L$4)*M338</f>
        <v>87.5</v>
      </c>
      <c r="M338" s="47">
        <f>IF(COUNTIF(Справочник_ОКВЭД_НР!$G$3:$G$62,H338)&gt;0,0,1)</f>
        <v>1</v>
      </c>
    </row>
    <row r="339" spans="1:13" x14ac:dyDescent="0.25">
      <c r="A339" s="4">
        <f>ЛИК_дляСкорингаДП!A339</f>
        <v>5147746015841</v>
      </c>
      <c r="B339" s="4">
        <f>ЛИК_дляСкорингаДП!B339</f>
        <v>7710967733</v>
      </c>
      <c r="C339" s="4" t="str">
        <f>ЛИК_дляСкорингаДП!C339</f>
        <v>ООО "ДЕЛЬТА ПЛЮС С.Е.И."</v>
      </c>
      <c r="D339" s="5" t="str">
        <f>ЛИК_дляСкорингаДП!M339</f>
        <v>Торговля оптовая одеждой и обувью</v>
      </c>
      <c r="E339" s="4" t="str">
        <f>ЛИК_дляСкорингаДП!L339</f>
        <v>46.42</v>
      </c>
      <c r="F339" t="str">
        <f>ЛИК_дляСкорингаДП!N339</f>
        <v>14.12,14.19,15.20,22.19,22.29,25.73,25.93,25.94,25.99,46.15,46.16,46.18,46.42,46.49,47.7,47.71,47.72</v>
      </c>
      <c r="G339" s="25" t="str">
        <f>ЛИК_дляСкорингаДП!AG339</f>
        <v>ОСН</v>
      </c>
      <c r="H339" s="55" t="str">
        <f>IF(ISNUMBER(E339),E339,
IFERROR(LEFT(E339,FIND(".",E339)-1),E339))</f>
        <v>46</v>
      </c>
      <c r="I339" s="30">
        <f>IF(COUNTIF(Справочник_ОКВЭД_НР!$A$3:$A$62,H339)&gt;0,Справочник_ОКВЭД_НР!$L$8,
 IF(COUNTIF(Справочник_ОКВЭД_НР!$C$3:$C$62,H339)&gt;0,Справочник_ОКВЭД_НР!$L$9,
  IF(COUNTIF(Справочник_ОКВЭД_НР!$E$3:$E$62,H339)&gt;0,Справочник_ОКВЭД_НР!$L$10,
   IF(COUNTIF(Справочник_ОКВЭД_НР!$G$3:$G$62,H339)&gt;0,Справочник_ОКВЭД_НР!$L$11,50))))</f>
        <v>60</v>
      </c>
      <c r="J339" s="30" cm="1">
        <f t="array" ref="J339">IFERROR(
 (SUMPRODUCT(ISNUMBER(SEARCH(","&amp;Справочник_ОКВЭД_НР!$A$3:$A$62&amp;".",","&amp;SUBSTITUTE(F339," ","")&amp;",")))*Справочник_ОКВЭД_НР!$L$9 +
  SUMPRODUCT(ISNUMBER(SEARCH(","&amp;Справочник_ОКВЭД_НР!$C$3:$C$62&amp;".",","&amp;SUBSTITUTE(F339," ","")&amp;",")))*Справочник_ОКВЭД_НР!$L$10 +
  SUMPRODUCT(ISNUMBER(SEARCH(","&amp;Справочник_ОКВЭД_НР!$E$3:$E$62&amp;".",","&amp;SUBSTITUTE(F339," ","")&amp;",")))*Справочник_ОКВЭД_НР!$L$11 +
  SUMPRODUCT(ISNUMBER(SEARCH(","&amp;Справочник_ОКВЭД_НР!$G$3:$G$62&amp;".",","&amp;SUBSTITUTE(F339," ","")&amp;",")))*Справочник_ОКВЭД_НР!$L$12) /
 (SUMPRODUCT(ISNUMBER(SEARCH(","&amp;Справочник_ОКВЭД_НР!$A$3:$A$62&amp;".",","&amp;SUBSTITUTE(F339," ","")&amp;","))) +
  SUMPRODUCT(ISNUMBER(SEARCH(","&amp;Справочник_ОКВЭД_НР!$C$3:$C$62&amp;".",","&amp;SUBSTITUTE(F339," ","")&amp;","))) +
  SUMPRODUCT(ISNUMBER(SEARCH(","&amp;Справочник_ОКВЭД_НР!$E$3:$E$62&amp;".",","&amp;SUBSTITUTE(F339," ","")&amp;","))) +
  SUMPRODUCT(ISNUMBER(SEARCH(","&amp;Справочник_ОКВЭД_НР!$G$3:$G$62&amp;".",","&amp;SUBSTITUTE(F339," ","")&amp;",")))),
50)</f>
        <v>50</v>
      </c>
      <c r="K339" s="30">
        <f>IFERROR(VLOOKUP(G339,Справочник_ОКВЭД_НР!$O:$P,2,FALSE()),50)</f>
        <v>100</v>
      </c>
      <c r="L339" s="45">
        <f>(I339*Справочник_ОКВЭД_НР!$L$2+J339*Справочник_ОКВЭД_НР!$L$3+K339*Справочник_ОКВЭД_НР!$L$4)*M339</f>
        <v>63.5</v>
      </c>
      <c r="M339" s="47">
        <f>IF(COUNTIF(Справочник_ОКВЭД_НР!$G$3:$G$62,H339)&gt;0,0,1)</f>
        <v>1</v>
      </c>
    </row>
    <row r="340" spans="1:13" x14ac:dyDescent="0.25">
      <c r="A340" s="4">
        <f>ЛИК_дляСкорингаДП!A340</f>
        <v>1027700448060</v>
      </c>
      <c r="B340" s="4">
        <f>ЛИК_дляСкорингаДП!B340</f>
        <v>7703039011</v>
      </c>
      <c r="C340" s="4" t="str">
        <f>ЛИК_дляСкорингаДП!C340</f>
        <v>АО "ИНВЕСТИЦИОННАЯ КОМПАНИЯ "ВИКАИНВЕСТ"</v>
      </c>
      <c r="D340" s="5" t="str">
        <f>ЛИК_дляСкорингаДП!M340</f>
        <v>Аренда и управление собственным или арендованным нежилым недвижимым имуществом</v>
      </c>
      <c r="E340" s="4" t="str">
        <f>ЛИК_дляСкорингаДП!L340</f>
        <v>68.20.2</v>
      </c>
      <c r="F340" t="str">
        <f>ЛИК_дляСкорингаДП!N340</f>
        <v>68.32</v>
      </c>
      <c r="G340" s="25" t="str">
        <f>ЛИК_дляСкорингаДП!AG340</f>
        <v>ОСН</v>
      </c>
      <c r="H340" s="55" t="str">
        <f>IF(ISNUMBER(E340),E340,
IFERROR(LEFT(E340,FIND(".",E340)-1),E340))</f>
        <v>68</v>
      </c>
      <c r="I340" s="30">
        <f>IF(COUNTIF(Справочник_ОКВЭД_НР!$A$3:$A$62,H340)&gt;0,Справочник_ОКВЭД_НР!$L$8,
 IF(COUNTIF(Справочник_ОКВЭД_НР!$C$3:$C$62,H340)&gt;0,Справочник_ОКВЭД_НР!$L$9,
  IF(COUNTIF(Справочник_ОКВЭД_НР!$E$3:$E$62,H340)&gt;0,Справочник_ОКВЭД_НР!$L$10,
   IF(COUNTIF(Справочник_ОКВЭД_НР!$G$3:$G$62,H340)&gt;0,Справочник_ОКВЭД_НР!$L$11,50))))</f>
        <v>100</v>
      </c>
      <c r="J340" s="30" cm="1">
        <f t="array" ref="J340">IFERROR(
 (SUMPRODUCT(ISNUMBER(SEARCH(","&amp;Справочник_ОКВЭД_НР!$A$3:$A$62&amp;".",","&amp;SUBSTITUTE(F340," ","")&amp;",")))*Справочник_ОКВЭД_НР!$L$9 +
  SUMPRODUCT(ISNUMBER(SEARCH(","&amp;Справочник_ОКВЭД_НР!$C$3:$C$62&amp;".",","&amp;SUBSTITUTE(F340," ","")&amp;",")))*Справочник_ОКВЭД_НР!$L$10 +
  SUMPRODUCT(ISNUMBER(SEARCH(","&amp;Справочник_ОКВЭД_НР!$E$3:$E$62&amp;".",","&amp;SUBSTITUTE(F340," ","")&amp;",")))*Справочник_ОКВЭД_НР!$L$11 +
  SUMPRODUCT(ISNUMBER(SEARCH(","&amp;Справочник_ОКВЭД_НР!$G$3:$G$62&amp;".",","&amp;SUBSTITUTE(F340," ","")&amp;",")))*Справочник_ОКВЭД_НР!$L$12) /
 (SUMPRODUCT(ISNUMBER(SEARCH(","&amp;Справочник_ОКВЭД_НР!$A$3:$A$62&amp;".",","&amp;SUBSTITUTE(F340," ","")&amp;","))) +
  SUMPRODUCT(ISNUMBER(SEARCH(","&amp;Справочник_ОКВЭД_НР!$C$3:$C$62&amp;".",","&amp;SUBSTITUTE(F340," ","")&amp;","))) +
  SUMPRODUCT(ISNUMBER(SEARCH(","&amp;Справочник_ОКВЭД_НР!$E$3:$E$62&amp;".",","&amp;SUBSTITUTE(F340," ","")&amp;","))) +
  SUMPRODUCT(ISNUMBER(SEARCH(","&amp;Справочник_ОКВЭД_НР!$G$3:$G$62&amp;".",","&amp;SUBSTITUTE(F340," ","")&amp;",")))),
50)</f>
        <v>50</v>
      </c>
      <c r="K340" s="30">
        <f>IFERROR(VLOOKUP(G340,Справочник_ОКВЭД_НР!$O:$P,2,FALSE()),50)</f>
        <v>100</v>
      </c>
      <c r="L340" s="45">
        <f>(I340*Справочник_ОКВЭД_НР!$L$2+J340*Справочник_ОКВЭД_НР!$L$3+K340*Справочник_ОКВЭД_НР!$L$4)*M340</f>
        <v>87.5</v>
      </c>
      <c r="M340" s="47">
        <f>IF(COUNTIF(Справочник_ОКВЭД_НР!$G$3:$G$62,H340)&gt;0,0,1)</f>
        <v>1</v>
      </c>
    </row>
    <row r="341" spans="1:13" x14ac:dyDescent="0.25">
      <c r="A341" s="4">
        <f>ЛИК_дляСкорингаДП!A341</f>
        <v>1027700415852</v>
      </c>
      <c r="B341" s="4">
        <f>ЛИК_дляСкорингаДП!B341</f>
        <v>7711000988</v>
      </c>
      <c r="C341" s="4" t="str">
        <f>ЛИК_дляСкорингаДП!C341</f>
        <v>ОАО "МАРМА"</v>
      </c>
      <c r="D341" s="5" t="str">
        <f>ЛИК_дляСкорингаДП!M341</f>
        <v>Аренда и управление собственным или арендованным нежилым недвижимым имуществом</v>
      </c>
      <c r="E341" s="4" t="str">
        <f>ЛИК_дляСкорингаДП!L341</f>
        <v>68.20.2</v>
      </c>
      <c r="F341" t="str">
        <f>ЛИК_дляСкорингаДП!N341</f>
        <v>31.01,31.02,31.09,35.30.1,35.30.14,35.30.2,35.30.6,46.47.1,46.49,47.59</v>
      </c>
      <c r="G341" s="25" t="str">
        <f>ЛИК_дляСкорингаДП!AG341</f>
        <v>ОСН</v>
      </c>
      <c r="H341" s="55" t="str">
        <f>IF(ISNUMBER(E341),E341,
IFERROR(LEFT(E341,FIND(".",E341)-1),E341))</f>
        <v>68</v>
      </c>
      <c r="I341" s="30">
        <f>IF(COUNTIF(Справочник_ОКВЭД_НР!$A$3:$A$62,H341)&gt;0,Справочник_ОКВЭД_НР!$L$8,
 IF(COUNTIF(Справочник_ОКВЭД_НР!$C$3:$C$62,H341)&gt;0,Справочник_ОКВЭД_НР!$L$9,
  IF(COUNTIF(Справочник_ОКВЭД_НР!$E$3:$E$62,H341)&gt;0,Справочник_ОКВЭД_НР!$L$10,
   IF(COUNTIF(Справочник_ОКВЭД_НР!$G$3:$G$62,H341)&gt;0,Справочник_ОКВЭД_НР!$L$11,50))))</f>
        <v>100</v>
      </c>
      <c r="J341" s="30" cm="1">
        <f t="array" ref="J341">IFERROR(
 (SUMPRODUCT(ISNUMBER(SEARCH(","&amp;Справочник_ОКВЭД_НР!$A$3:$A$62&amp;".",","&amp;SUBSTITUTE(F341," ","")&amp;",")))*Справочник_ОКВЭД_НР!$L$9 +
  SUMPRODUCT(ISNUMBER(SEARCH(","&amp;Справочник_ОКВЭД_НР!$C$3:$C$62&amp;".",","&amp;SUBSTITUTE(F341," ","")&amp;",")))*Справочник_ОКВЭД_НР!$L$10 +
  SUMPRODUCT(ISNUMBER(SEARCH(","&amp;Справочник_ОКВЭД_НР!$E$3:$E$62&amp;".",","&amp;SUBSTITUTE(F341," ","")&amp;",")))*Справочник_ОКВЭД_НР!$L$11 +
  SUMPRODUCT(ISNUMBER(SEARCH(","&amp;Справочник_ОКВЭД_НР!$G$3:$G$62&amp;".",","&amp;SUBSTITUTE(F341," ","")&amp;",")))*Справочник_ОКВЭД_НР!$L$12) /
 (SUMPRODUCT(ISNUMBER(SEARCH(","&amp;Справочник_ОКВЭД_НР!$A$3:$A$62&amp;".",","&amp;SUBSTITUTE(F341," ","")&amp;","))) +
  SUMPRODUCT(ISNUMBER(SEARCH(","&amp;Справочник_ОКВЭД_НР!$C$3:$C$62&amp;".",","&amp;SUBSTITUTE(F341," ","")&amp;","))) +
  SUMPRODUCT(ISNUMBER(SEARCH(","&amp;Справочник_ОКВЭД_НР!$E$3:$E$62&amp;".",","&amp;SUBSTITUTE(F341," ","")&amp;","))) +
  SUMPRODUCT(ISNUMBER(SEARCH(","&amp;Справочник_ОКВЭД_НР!$G$3:$G$62&amp;".",","&amp;SUBSTITUTE(F341," ","")&amp;",")))),
50)</f>
        <v>50</v>
      </c>
      <c r="K341" s="30">
        <f>IFERROR(VLOOKUP(G341,Справочник_ОКВЭД_НР!$O:$P,2,FALSE()),50)</f>
        <v>100</v>
      </c>
      <c r="L341" s="45">
        <f>(I341*Справочник_ОКВЭД_НР!$L$2+J341*Справочник_ОКВЭД_НР!$L$3+K341*Справочник_ОКВЭД_НР!$L$4)*M341</f>
        <v>87.5</v>
      </c>
      <c r="M341" s="47">
        <f>IF(COUNTIF(Справочник_ОКВЭД_НР!$G$3:$G$62,H341)&gt;0,0,1)</f>
        <v>1</v>
      </c>
    </row>
    <row r="342" spans="1:13" x14ac:dyDescent="0.25">
      <c r="A342" s="4">
        <f>ЛИК_дляСкорингаДП!A342</f>
        <v>1027700434299</v>
      </c>
      <c r="B342" s="4">
        <f>ЛИК_дляСкорингаДП!B342</f>
        <v>7737036386</v>
      </c>
      <c r="C342" s="4" t="str">
        <f>ЛИК_дляСкорингаДП!C342</f>
        <v>ООО "ГРАНД-ТРАКТОРОРЕСУРС"</v>
      </c>
      <c r="D342" s="5" t="str">
        <f>ЛИК_дляСкорингаДП!M342</f>
        <v>Торговля оптовая автомобильными деталями, узлами и принадлежностями</v>
      </c>
      <c r="E342" s="4" t="str">
        <f>ЛИК_дляСкорингаДП!L342</f>
        <v>45.31</v>
      </c>
      <c r="F342" t="str">
        <f>ЛИК_дляСкорингаДП!N342</f>
        <v>64.99,70.22,71.20.9,72.19,73.20</v>
      </c>
      <c r="G342" s="25" t="str">
        <f>ЛИК_дляСкорингаДП!AG342</f>
        <v>ОСН</v>
      </c>
      <c r="H342" s="55" t="str">
        <f>IF(ISNUMBER(E342),E342,
IFERROR(LEFT(E342,FIND(".",E342)-1),E342))</f>
        <v>45</v>
      </c>
      <c r="I342" s="30">
        <f>IF(COUNTIF(Справочник_ОКВЭД_НР!$A$3:$A$62,H342)&gt;0,Справочник_ОКВЭД_НР!$L$8,
 IF(COUNTIF(Справочник_ОКВЭД_НР!$C$3:$C$62,H342)&gt;0,Справочник_ОКВЭД_НР!$L$9,
  IF(COUNTIF(Справочник_ОКВЭД_НР!$E$3:$E$62,H342)&gt;0,Справочник_ОКВЭД_НР!$L$10,
   IF(COUNTIF(Справочник_ОКВЭД_НР!$G$3:$G$62,H342)&gt;0,Справочник_ОКВЭД_НР!$L$11,50))))</f>
        <v>60</v>
      </c>
      <c r="J342" s="30" cm="1">
        <f t="array" ref="J342">IFERROR(
 (SUMPRODUCT(ISNUMBER(SEARCH(","&amp;Справочник_ОКВЭД_НР!$A$3:$A$62&amp;".",","&amp;SUBSTITUTE(F342," ","")&amp;",")))*Справочник_ОКВЭД_НР!$L$9 +
  SUMPRODUCT(ISNUMBER(SEARCH(","&amp;Справочник_ОКВЭД_НР!$C$3:$C$62&amp;".",","&amp;SUBSTITUTE(F342," ","")&amp;",")))*Справочник_ОКВЭД_НР!$L$10 +
  SUMPRODUCT(ISNUMBER(SEARCH(","&amp;Справочник_ОКВЭД_НР!$E$3:$E$62&amp;".",","&amp;SUBSTITUTE(F342," ","")&amp;",")))*Справочник_ОКВЭД_НР!$L$11 +
  SUMPRODUCT(ISNUMBER(SEARCH(","&amp;Справочник_ОКВЭД_НР!$G$3:$G$62&amp;".",","&amp;SUBSTITUTE(F342," ","")&amp;",")))*Справочник_ОКВЭД_НР!$L$12) /
 (SUMPRODUCT(ISNUMBER(SEARCH(","&amp;Справочник_ОКВЭД_НР!$A$3:$A$62&amp;".",","&amp;SUBSTITUTE(F342," ","")&amp;","))) +
  SUMPRODUCT(ISNUMBER(SEARCH(","&amp;Справочник_ОКВЭД_НР!$C$3:$C$62&amp;".",","&amp;SUBSTITUTE(F342," ","")&amp;","))) +
  SUMPRODUCT(ISNUMBER(SEARCH(","&amp;Справочник_ОКВЭД_НР!$E$3:$E$62&amp;".",","&amp;SUBSTITUTE(F342," ","")&amp;","))) +
  SUMPRODUCT(ISNUMBER(SEARCH(","&amp;Справочник_ОКВЭД_НР!$G$3:$G$62&amp;".",","&amp;SUBSTITUTE(F342," ","")&amp;",")))),
50)</f>
        <v>50</v>
      </c>
      <c r="K342" s="30">
        <f>IFERROR(VLOOKUP(G342,Справочник_ОКВЭД_НР!$O:$P,2,FALSE()),50)</f>
        <v>100</v>
      </c>
      <c r="L342" s="45">
        <f>(I342*Справочник_ОКВЭД_НР!$L$2+J342*Справочник_ОКВЭД_НР!$L$3+K342*Справочник_ОКВЭД_НР!$L$4)*M342</f>
        <v>63.5</v>
      </c>
      <c r="M342" s="47">
        <f>IF(COUNTIF(Справочник_ОКВЭД_НР!$G$3:$G$62,H342)&gt;0,0,1)</f>
        <v>1</v>
      </c>
    </row>
    <row r="343" spans="1:13" x14ac:dyDescent="0.25">
      <c r="A343" s="4">
        <f>ЛИК_дляСкорингаДП!A343</f>
        <v>5157746028270</v>
      </c>
      <c r="B343" s="4">
        <f>ЛИК_дляСкорингаДП!B343</f>
        <v>7714361510</v>
      </c>
      <c r="C343" s="4" t="str">
        <f>ЛИК_дляСкорингаДП!C343</f>
        <v>ООО "МАРКЕЗИНИ ГРУП РУС"</v>
      </c>
      <c r="D343" s="5" t="str">
        <f>ЛИК_дляСкорингаДП!M343</f>
        <v>Деятельность агентов по оптовой торговле машинами, промышленным оборудованием, судами и летательными аппаратами</v>
      </c>
      <c r="E343" s="4" t="str">
        <f>ЛИК_дляСкорингаДП!L343</f>
        <v>46.14</v>
      </c>
      <c r="F343" t="str">
        <f>ЛИК_дляСкорингаДП!N343</f>
        <v>46.69.8,33.12,46.14.9,46.69.2,46.69.9</v>
      </c>
      <c r="G343" s="25" t="str">
        <f>ЛИК_дляСкорингаДП!AG343</f>
        <v>ОСН</v>
      </c>
      <c r="H343" s="55" t="str">
        <f>IF(ISNUMBER(E343),E343,
IFERROR(LEFT(E343,FIND(".",E343)-1),E343))</f>
        <v>46</v>
      </c>
      <c r="I343" s="30">
        <f>IF(COUNTIF(Справочник_ОКВЭД_НР!$A$3:$A$62,H343)&gt;0,Справочник_ОКВЭД_НР!$L$8,
 IF(COUNTIF(Справочник_ОКВЭД_НР!$C$3:$C$62,H343)&gt;0,Справочник_ОКВЭД_НР!$L$9,
  IF(COUNTIF(Справочник_ОКВЭД_НР!$E$3:$E$62,H343)&gt;0,Справочник_ОКВЭД_НР!$L$10,
   IF(COUNTIF(Справочник_ОКВЭД_НР!$G$3:$G$62,H343)&gt;0,Справочник_ОКВЭД_НР!$L$11,50))))</f>
        <v>60</v>
      </c>
      <c r="J343" s="30" cm="1">
        <f t="array" ref="J343">IFERROR(
 (SUMPRODUCT(ISNUMBER(SEARCH(","&amp;Справочник_ОКВЭД_НР!$A$3:$A$62&amp;".",","&amp;SUBSTITUTE(F343," ","")&amp;",")))*Справочник_ОКВЭД_НР!$L$9 +
  SUMPRODUCT(ISNUMBER(SEARCH(","&amp;Справочник_ОКВЭД_НР!$C$3:$C$62&amp;".",","&amp;SUBSTITUTE(F343," ","")&amp;",")))*Справочник_ОКВЭД_НР!$L$10 +
  SUMPRODUCT(ISNUMBER(SEARCH(","&amp;Справочник_ОКВЭД_НР!$E$3:$E$62&amp;".",","&amp;SUBSTITUTE(F343," ","")&amp;",")))*Справочник_ОКВЭД_НР!$L$11 +
  SUMPRODUCT(ISNUMBER(SEARCH(","&amp;Справочник_ОКВЭД_НР!$G$3:$G$62&amp;".",","&amp;SUBSTITUTE(F343," ","")&amp;",")))*Справочник_ОКВЭД_НР!$L$12) /
 (SUMPRODUCT(ISNUMBER(SEARCH(","&amp;Справочник_ОКВЭД_НР!$A$3:$A$62&amp;".",","&amp;SUBSTITUTE(F343," ","")&amp;","))) +
  SUMPRODUCT(ISNUMBER(SEARCH(","&amp;Справочник_ОКВЭД_НР!$C$3:$C$62&amp;".",","&amp;SUBSTITUTE(F343," ","")&amp;","))) +
  SUMPRODUCT(ISNUMBER(SEARCH(","&amp;Справочник_ОКВЭД_НР!$E$3:$E$62&amp;".",","&amp;SUBSTITUTE(F343," ","")&amp;","))) +
  SUMPRODUCT(ISNUMBER(SEARCH(","&amp;Справочник_ОКВЭД_НР!$G$3:$G$62&amp;".",","&amp;SUBSTITUTE(F343," ","")&amp;",")))),
50)</f>
        <v>50</v>
      </c>
      <c r="K343" s="30">
        <f>IFERROR(VLOOKUP(G343,Справочник_ОКВЭД_НР!$O:$P,2,FALSE()),50)</f>
        <v>100</v>
      </c>
      <c r="L343" s="45">
        <f>(I343*Справочник_ОКВЭД_НР!$L$2+J343*Справочник_ОКВЭД_НР!$L$3+K343*Справочник_ОКВЭД_НР!$L$4)*M343</f>
        <v>63.5</v>
      </c>
      <c r="M343" s="47">
        <f>IF(COUNTIF(Справочник_ОКВЭД_НР!$G$3:$G$62,H343)&gt;0,0,1)</f>
        <v>1</v>
      </c>
    </row>
    <row r="344" spans="1:13" x14ac:dyDescent="0.25">
      <c r="A344" s="4">
        <f>ЛИК_дляСкорингаДП!A344</f>
        <v>1027700589003</v>
      </c>
      <c r="B344" s="4">
        <f>ЛИК_дляСкорингаДП!B344</f>
        <v>7736189319</v>
      </c>
      <c r="C344" s="4" t="str">
        <f>ЛИК_дляСкорингаДП!C344</f>
        <v>ООО "ПРОМСТРОЙХОЛДИНГ"</v>
      </c>
      <c r="D344" s="5" t="str">
        <f>ЛИК_дляСкорингаДП!M344</f>
        <v>Аренда и управление собственным или арендованным недвижимым имуществом</v>
      </c>
      <c r="E344" s="4" t="str">
        <f>ЛИК_дляСкорингаДП!L344</f>
        <v>68.20</v>
      </c>
      <c r="F344" t="str">
        <f>ЛИК_дляСкорингаДП!N344</f>
        <v>22.21,22.23,22.29,41.20,43.31,43.32,43.33,43.34,43.39,43.99,46.69.9,55.90,68.31.1,68.31.2,68.31.3,68.31.4,70.22,71.11.1,71.12.45,77.39.2</v>
      </c>
      <c r="G344" s="25" t="str">
        <f>ЛИК_дляСкорингаДП!AG344</f>
        <v>ОСН</v>
      </c>
      <c r="H344" s="55" t="str">
        <f>IF(ISNUMBER(E344),E344,
IFERROR(LEFT(E344,FIND(".",E344)-1),E344))</f>
        <v>68</v>
      </c>
      <c r="I344" s="30">
        <f>IF(COUNTIF(Справочник_ОКВЭД_НР!$A$3:$A$62,H344)&gt;0,Справочник_ОКВЭД_НР!$L$8,
 IF(COUNTIF(Справочник_ОКВЭД_НР!$C$3:$C$62,H344)&gt;0,Справочник_ОКВЭД_НР!$L$9,
  IF(COUNTIF(Справочник_ОКВЭД_НР!$E$3:$E$62,H344)&gt;0,Справочник_ОКВЭД_НР!$L$10,
   IF(COUNTIF(Справочник_ОКВЭД_НР!$G$3:$G$62,H344)&gt;0,Справочник_ОКВЭД_НР!$L$11,50))))</f>
        <v>100</v>
      </c>
      <c r="J344" s="30" cm="1">
        <f t="array" ref="J344">IFERROR(
 (SUMPRODUCT(ISNUMBER(SEARCH(","&amp;Справочник_ОКВЭД_НР!$A$3:$A$62&amp;".",","&amp;SUBSTITUTE(F344," ","")&amp;",")))*Справочник_ОКВЭД_НР!$L$9 +
  SUMPRODUCT(ISNUMBER(SEARCH(","&amp;Справочник_ОКВЭД_НР!$C$3:$C$62&amp;".",","&amp;SUBSTITUTE(F344," ","")&amp;",")))*Справочник_ОКВЭД_НР!$L$10 +
  SUMPRODUCT(ISNUMBER(SEARCH(","&amp;Справочник_ОКВЭД_НР!$E$3:$E$62&amp;".",","&amp;SUBSTITUTE(F344," ","")&amp;",")))*Справочник_ОКВЭД_НР!$L$11 +
  SUMPRODUCT(ISNUMBER(SEARCH(","&amp;Справочник_ОКВЭД_НР!$G$3:$G$62&amp;".",","&amp;SUBSTITUTE(F344," ","")&amp;",")))*Справочник_ОКВЭД_НР!$L$12) /
 (SUMPRODUCT(ISNUMBER(SEARCH(","&amp;Справочник_ОКВЭД_НР!$A$3:$A$62&amp;".",","&amp;SUBSTITUTE(F344," ","")&amp;","))) +
  SUMPRODUCT(ISNUMBER(SEARCH(","&amp;Справочник_ОКВЭД_НР!$C$3:$C$62&amp;".",","&amp;SUBSTITUTE(F344," ","")&amp;","))) +
  SUMPRODUCT(ISNUMBER(SEARCH(","&amp;Справочник_ОКВЭД_НР!$E$3:$E$62&amp;".",","&amp;SUBSTITUTE(F344," ","")&amp;","))) +
  SUMPRODUCT(ISNUMBER(SEARCH(","&amp;Справочник_ОКВЭД_НР!$G$3:$G$62&amp;".",","&amp;SUBSTITUTE(F344," ","")&amp;",")))),
50)</f>
        <v>50</v>
      </c>
      <c r="K344" s="30">
        <f>IFERROR(VLOOKUP(G344,Справочник_ОКВЭД_НР!$O:$P,2,FALSE()),50)</f>
        <v>100</v>
      </c>
      <c r="L344" s="45">
        <f>(I344*Справочник_ОКВЭД_НР!$L$2+J344*Справочник_ОКВЭД_НР!$L$3+K344*Справочник_ОКВЭД_НР!$L$4)*M344</f>
        <v>87.5</v>
      </c>
      <c r="M344" s="47">
        <f>IF(COUNTIF(Справочник_ОКВЭД_НР!$G$3:$G$62,H344)&gt;0,0,1)</f>
        <v>1</v>
      </c>
    </row>
    <row r="345" spans="1:13" x14ac:dyDescent="0.25">
      <c r="A345" s="4">
        <f>ЛИК_дляСкорингаДП!A345</f>
        <v>1027701003186</v>
      </c>
      <c r="B345" s="4">
        <f>ЛИК_дляСкорингаДП!B345</f>
        <v>7701308646</v>
      </c>
      <c r="C345" s="4" t="str">
        <f>ЛИК_дляСкорингаДП!C345</f>
        <v>ООО "КОСМЕТИК АВТО"</v>
      </c>
      <c r="D345" s="5" t="str">
        <f>ЛИК_дляСкорингаДП!M345</f>
        <v>Ремонт машин и оборудования</v>
      </c>
      <c r="E345" s="4" t="str">
        <f>ЛИК_дляСкорингаДП!L345</f>
        <v>33.12</v>
      </c>
      <c r="F345" t="str">
        <f>ЛИК_дляСкорингаДП!N345</f>
        <v>20.41,20.41.2,20.41.3,20.41.4,20.59.5,46.90,47.7,47.78,52.24,58.19,73.20.1,77.39.2</v>
      </c>
      <c r="G345" s="25" t="str">
        <f>ЛИК_дляСкорингаДП!AG345</f>
        <v>ОСН</v>
      </c>
      <c r="H345" s="55" t="str">
        <f>IF(ISNUMBER(E345),E345,
IFERROR(LEFT(E345,FIND(".",E345)-1),E345))</f>
        <v>33</v>
      </c>
      <c r="I345" s="30">
        <f>IF(COUNTIF(Справочник_ОКВЭД_НР!$A$3:$A$62,H345)&gt;0,Справочник_ОКВЭД_НР!$L$8,
 IF(COUNTIF(Справочник_ОКВЭД_НР!$C$3:$C$62,H345)&gt;0,Справочник_ОКВЭД_НР!$L$9,
  IF(COUNTIF(Справочник_ОКВЭД_НР!$E$3:$E$62,H345)&gt;0,Справочник_ОКВЭД_НР!$L$10,
   IF(COUNTIF(Справочник_ОКВЭД_НР!$G$3:$G$62,H345)&gt;0,Справочник_ОКВЭД_НР!$L$11,50))))</f>
        <v>60</v>
      </c>
      <c r="J345" s="30" cm="1">
        <f t="array" ref="J345">IFERROR(
 (SUMPRODUCT(ISNUMBER(SEARCH(","&amp;Справочник_ОКВЭД_НР!$A$3:$A$62&amp;".",","&amp;SUBSTITUTE(F345," ","")&amp;",")))*Справочник_ОКВЭД_НР!$L$9 +
  SUMPRODUCT(ISNUMBER(SEARCH(","&amp;Справочник_ОКВЭД_НР!$C$3:$C$62&amp;".",","&amp;SUBSTITUTE(F345," ","")&amp;",")))*Справочник_ОКВЭД_НР!$L$10 +
  SUMPRODUCT(ISNUMBER(SEARCH(","&amp;Справочник_ОКВЭД_НР!$E$3:$E$62&amp;".",","&amp;SUBSTITUTE(F345," ","")&amp;",")))*Справочник_ОКВЭД_НР!$L$11 +
  SUMPRODUCT(ISNUMBER(SEARCH(","&amp;Справочник_ОКВЭД_НР!$G$3:$G$62&amp;".",","&amp;SUBSTITUTE(F345," ","")&amp;",")))*Справочник_ОКВЭД_НР!$L$12) /
 (SUMPRODUCT(ISNUMBER(SEARCH(","&amp;Справочник_ОКВЭД_НР!$A$3:$A$62&amp;".",","&amp;SUBSTITUTE(F345," ","")&amp;","))) +
  SUMPRODUCT(ISNUMBER(SEARCH(","&amp;Справочник_ОКВЭД_НР!$C$3:$C$62&amp;".",","&amp;SUBSTITUTE(F345," ","")&amp;","))) +
  SUMPRODUCT(ISNUMBER(SEARCH(","&amp;Справочник_ОКВЭД_НР!$E$3:$E$62&amp;".",","&amp;SUBSTITUTE(F345," ","")&amp;","))) +
  SUMPRODUCT(ISNUMBER(SEARCH(","&amp;Справочник_ОКВЭД_НР!$G$3:$G$62&amp;".",","&amp;SUBSTITUTE(F345," ","")&amp;",")))),
50)</f>
        <v>50</v>
      </c>
      <c r="K345" s="30">
        <f>IFERROR(VLOOKUP(G345,Справочник_ОКВЭД_НР!$O:$P,2,FALSE()),50)</f>
        <v>100</v>
      </c>
      <c r="L345" s="45">
        <f>(I345*Справочник_ОКВЭД_НР!$L$2+J345*Справочник_ОКВЭД_НР!$L$3+K345*Справочник_ОКВЭД_НР!$L$4)*M345</f>
        <v>63.5</v>
      </c>
      <c r="M345" s="47">
        <f>IF(COUNTIF(Справочник_ОКВЭД_НР!$G$3:$G$62,H345)&gt;0,0,1)</f>
        <v>1</v>
      </c>
    </row>
    <row r="346" spans="1:13" x14ac:dyDescent="0.25">
      <c r="A346" s="4">
        <f>ЛИК_дляСкорингаДП!A346</f>
        <v>1027701021875</v>
      </c>
      <c r="B346" s="4">
        <f>ЛИК_дляСкорингаДП!B346</f>
        <v>7701319461</v>
      </c>
      <c r="C346" s="4" t="str">
        <f>ЛИК_дляСкорингаДП!C346</f>
        <v>ООО "ГАРАНТ ПЛЮС"</v>
      </c>
      <c r="D346" s="5" t="str">
        <f>ЛИК_дляСкорингаДП!M346</f>
        <v>Перевозки пассажиров сухопутным транспортом прочие, не включенные в другие группировки</v>
      </c>
      <c r="E346" s="4" t="str">
        <f>ЛИК_дляСкорингаДП!L346</f>
        <v>49.39.39</v>
      </c>
      <c r="F346" t="str">
        <f>ЛИК_дляСкорингаДП!N346</f>
        <v>49.20.1,49.39.39,49.41,49.41.1,49.41.2,49.41.3,77.3</v>
      </c>
      <c r="G346" s="25" t="str">
        <f>ЛИК_дляСкорингаДП!AG346</f>
        <v>ОСН</v>
      </c>
      <c r="H346" s="55" t="str">
        <f>IF(ISNUMBER(E346),E346,
IFERROR(LEFT(E346,FIND(".",E346)-1),E346))</f>
        <v>49</v>
      </c>
      <c r="I346" s="30">
        <f>IF(COUNTIF(Справочник_ОКВЭД_НР!$A$3:$A$62,H346)&gt;0,Справочник_ОКВЭД_НР!$L$8,
 IF(COUNTIF(Справочник_ОКВЭД_НР!$C$3:$C$62,H346)&gt;0,Справочник_ОКВЭД_НР!$L$9,
  IF(COUNTIF(Справочник_ОКВЭД_НР!$E$3:$E$62,H346)&gt;0,Справочник_ОКВЭД_НР!$L$10,
   IF(COUNTIF(Справочник_ОКВЭД_НР!$G$3:$G$62,H346)&gt;0,Справочник_ОКВЭД_НР!$L$11,50))))</f>
        <v>60</v>
      </c>
      <c r="J346" s="30" cm="1">
        <f t="array" ref="J346">IFERROR(
 (SUMPRODUCT(ISNUMBER(SEARCH(","&amp;Справочник_ОКВЭД_НР!$A$3:$A$62&amp;".",","&amp;SUBSTITUTE(F346," ","")&amp;",")))*Справочник_ОКВЭД_НР!$L$9 +
  SUMPRODUCT(ISNUMBER(SEARCH(","&amp;Справочник_ОКВЭД_НР!$C$3:$C$62&amp;".",","&amp;SUBSTITUTE(F346," ","")&amp;",")))*Справочник_ОКВЭД_НР!$L$10 +
  SUMPRODUCT(ISNUMBER(SEARCH(","&amp;Справочник_ОКВЭД_НР!$E$3:$E$62&amp;".",","&amp;SUBSTITUTE(F346," ","")&amp;",")))*Справочник_ОКВЭД_НР!$L$11 +
  SUMPRODUCT(ISNUMBER(SEARCH(","&amp;Справочник_ОКВЭД_НР!$G$3:$G$62&amp;".",","&amp;SUBSTITUTE(F346," ","")&amp;",")))*Справочник_ОКВЭД_НР!$L$12) /
 (SUMPRODUCT(ISNUMBER(SEARCH(","&amp;Справочник_ОКВЭД_НР!$A$3:$A$62&amp;".",","&amp;SUBSTITUTE(F346," ","")&amp;","))) +
  SUMPRODUCT(ISNUMBER(SEARCH(","&amp;Справочник_ОКВЭД_НР!$C$3:$C$62&amp;".",","&amp;SUBSTITUTE(F346," ","")&amp;","))) +
  SUMPRODUCT(ISNUMBER(SEARCH(","&amp;Справочник_ОКВЭД_НР!$E$3:$E$62&amp;".",","&amp;SUBSTITUTE(F346," ","")&amp;","))) +
  SUMPRODUCT(ISNUMBER(SEARCH(","&amp;Справочник_ОКВЭД_НР!$G$3:$G$62&amp;".",","&amp;SUBSTITUTE(F346," ","")&amp;",")))),
50)</f>
        <v>50</v>
      </c>
      <c r="K346" s="30">
        <f>IFERROR(VLOOKUP(G346,Справочник_ОКВЭД_НР!$O:$P,2,FALSE()),50)</f>
        <v>100</v>
      </c>
      <c r="L346" s="45">
        <f>(I346*Справочник_ОКВЭД_НР!$L$2+J346*Справочник_ОКВЭД_НР!$L$3+K346*Справочник_ОКВЭД_НР!$L$4)*M346</f>
        <v>63.5</v>
      </c>
      <c r="M346" s="47">
        <f>IF(COUNTIF(Справочник_ОКВЭД_НР!$G$3:$G$62,H346)&gt;0,0,1)</f>
        <v>1</v>
      </c>
    </row>
    <row r="347" spans="1:13" x14ac:dyDescent="0.25">
      <c r="A347" s="4">
        <f>ЛИК_дляСкорингаДП!A347</f>
        <v>1027700576298</v>
      </c>
      <c r="B347" s="4">
        <f>ЛИК_дляСкорингаДП!B347</f>
        <v>7731151400</v>
      </c>
      <c r="C347" s="4" t="str">
        <f>ЛИК_дляСкорингаДП!C347</f>
        <v>ООО "ЕВРОМАРКЕТ ЦЕНТР"</v>
      </c>
      <c r="D347" s="5" t="str">
        <f>ЛИК_дляСкорингаДП!M347</f>
        <v>Аренда и управление собственным или арендованным недвижимым имуществом</v>
      </c>
      <c r="E347" s="4" t="str">
        <f>ЛИК_дляСкорингаДП!L347</f>
        <v>68.20</v>
      </c>
      <c r="F347" t="str">
        <f>ЛИК_дляСкорингаДП!N347</f>
        <v>46.49,46.73,46.90,68.10,68.31.1,68.31.2,68.31.3,68.31.4,73.11</v>
      </c>
      <c r="G347" s="25" t="str">
        <f>ЛИК_дляСкорингаДП!AG347</f>
        <v>ОСН</v>
      </c>
      <c r="H347" s="55" t="str">
        <f>IF(ISNUMBER(E347),E347,
IFERROR(LEFT(E347,FIND(".",E347)-1),E347))</f>
        <v>68</v>
      </c>
      <c r="I347" s="30">
        <f>IF(COUNTIF(Справочник_ОКВЭД_НР!$A$3:$A$62,H347)&gt;0,Справочник_ОКВЭД_НР!$L$8,
 IF(COUNTIF(Справочник_ОКВЭД_НР!$C$3:$C$62,H347)&gt;0,Справочник_ОКВЭД_НР!$L$9,
  IF(COUNTIF(Справочник_ОКВЭД_НР!$E$3:$E$62,H347)&gt;0,Справочник_ОКВЭД_НР!$L$10,
   IF(COUNTIF(Справочник_ОКВЭД_НР!$G$3:$G$62,H347)&gt;0,Справочник_ОКВЭД_НР!$L$11,50))))</f>
        <v>100</v>
      </c>
      <c r="J347" s="30" cm="1">
        <f t="array" ref="J347">IFERROR(
 (SUMPRODUCT(ISNUMBER(SEARCH(","&amp;Справочник_ОКВЭД_НР!$A$3:$A$62&amp;".",","&amp;SUBSTITUTE(F347," ","")&amp;",")))*Справочник_ОКВЭД_НР!$L$9 +
  SUMPRODUCT(ISNUMBER(SEARCH(","&amp;Справочник_ОКВЭД_НР!$C$3:$C$62&amp;".",","&amp;SUBSTITUTE(F347," ","")&amp;",")))*Справочник_ОКВЭД_НР!$L$10 +
  SUMPRODUCT(ISNUMBER(SEARCH(","&amp;Справочник_ОКВЭД_НР!$E$3:$E$62&amp;".",","&amp;SUBSTITUTE(F347," ","")&amp;",")))*Справочник_ОКВЭД_НР!$L$11 +
  SUMPRODUCT(ISNUMBER(SEARCH(","&amp;Справочник_ОКВЭД_НР!$G$3:$G$62&amp;".",","&amp;SUBSTITUTE(F347," ","")&amp;",")))*Справочник_ОКВЭД_НР!$L$12) /
 (SUMPRODUCT(ISNUMBER(SEARCH(","&amp;Справочник_ОКВЭД_НР!$A$3:$A$62&amp;".",","&amp;SUBSTITUTE(F347," ","")&amp;","))) +
  SUMPRODUCT(ISNUMBER(SEARCH(","&amp;Справочник_ОКВЭД_НР!$C$3:$C$62&amp;".",","&amp;SUBSTITUTE(F347," ","")&amp;","))) +
  SUMPRODUCT(ISNUMBER(SEARCH(","&amp;Справочник_ОКВЭД_НР!$E$3:$E$62&amp;".",","&amp;SUBSTITUTE(F347," ","")&amp;","))) +
  SUMPRODUCT(ISNUMBER(SEARCH(","&amp;Справочник_ОКВЭД_НР!$G$3:$G$62&amp;".",","&amp;SUBSTITUTE(F347," ","")&amp;",")))),
50)</f>
        <v>50</v>
      </c>
      <c r="K347" s="30">
        <f>IFERROR(VLOOKUP(G347,Справочник_ОКВЭД_НР!$O:$P,2,FALSE()),50)</f>
        <v>100</v>
      </c>
      <c r="L347" s="45">
        <f>(I347*Справочник_ОКВЭД_НР!$L$2+J347*Справочник_ОКВЭД_НР!$L$3+K347*Справочник_ОКВЭД_НР!$L$4)*M347</f>
        <v>87.5</v>
      </c>
      <c r="M347" s="47">
        <f>IF(COUNTIF(Справочник_ОКВЭД_НР!$G$3:$G$62,H347)&gt;0,0,1)</f>
        <v>1</v>
      </c>
    </row>
    <row r="348" spans="1:13" x14ac:dyDescent="0.25">
      <c r="A348" s="4">
        <f>ЛИК_дляСкорингаДП!A348</f>
        <v>5157746215215</v>
      </c>
      <c r="B348" s="4">
        <f>ЛИК_дляСкорингаДП!B348</f>
        <v>7706432164</v>
      </c>
      <c r="C348" s="4" t="str">
        <f>ЛИК_дляСкорингаДП!C348</f>
        <v>ООО "СЭЛФ СОФТ ПРОДАКШН"</v>
      </c>
      <c r="D348" s="5" t="str">
        <f>ЛИК_дляСкорингаДП!M348</f>
        <v>Разработка компьютерного программного обеспечения</v>
      </c>
      <c r="E348" s="4" t="str">
        <f>ЛИК_дляСкорингаДП!L348</f>
        <v>62.01</v>
      </c>
      <c r="F348" t="str">
        <f>ЛИК_дляСкорингаДП!N348</f>
        <v>47.91.1,47.91.2,47.91.3,47.91.4,47.99,62.02,62.09,63.11,73.11,73.20</v>
      </c>
      <c r="G348" s="25" t="str">
        <f>ЛИК_дляСкорингаДП!AG348</f>
        <v>УСН</v>
      </c>
      <c r="H348" s="55" t="str">
        <f>IF(ISNUMBER(E348),E348,
IFERROR(LEFT(E348,FIND(".",E348)-1),E348))</f>
        <v>62</v>
      </c>
      <c r="I348" s="30">
        <f>IF(COUNTIF(Справочник_ОКВЭД_НР!$A$3:$A$62,H348)&gt;0,Справочник_ОКВЭД_НР!$L$8,
 IF(COUNTIF(Справочник_ОКВЭД_НР!$C$3:$C$62,H348)&gt;0,Справочник_ОКВЭД_НР!$L$9,
  IF(COUNTIF(Справочник_ОКВЭД_НР!$E$3:$E$62,H348)&gt;0,Справочник_ОКВЭД_НР!$L$10,
   IF(COUNTIF(Справочник_ОКВЭД_НР!$G$3:$G$62,H348)&gt;0,Справочник_ОКВЭД_НР!$L$11,50))))</f>
        <v>100</v>
      </c>
      <c r="J348" s="30" cm="1">
        <f t="array" ref="J348">IFERROR(
 (SUMPRODUCT(ISNUMBER(SEARCH(","&amp;Справочник_ОКВЭД_НР!$A$3:$A$62&amp;".",","&amp;SUBSTITUTE(F348," ","")&amp;",")))*Справочник_ОКВЭД_НР!$L$9 +
  SUMPRODUCT(ISNUMBER(SEARCH(","&amp;Справочник_ОКВЭД_НР!$C$3:$C$62&amp;".",","&amp;SUBSTITUTE(F348," ","")&amp;",")))*Справочник_ОКВЭД_НР!$L$10 +
  SUMPRODUCT(ISNUMBER(SEARCH(","&amp;Справочник_ОКВЭД_НР!$E$3:$E$62&amp;".",","&amp;SUBSTITUTE(F348," ","")&amp;",")))*Справочник_ОКВЭД_НР!$L$11 +
  SUMPRODUCT(ISNUMBER(SEARCH(","&amp;Справочник_ОКВЭД_НР!$G$3:$G$62&amp;".",","&amp;SUBSTITUTE(F348," ","")&amp;",")))*Справочник_ОКВЭД_НР!$L$12) /
 (SUMPRODUCT(ISNUMBER(SEARCH(","&amp;Справочник_ОКВЭД_НР!$A$3:$A$62&amp;".",","&amp;SUBSTITUTE(F348," ","")&amp;","))) +
  SUMPRODUCT(ISNUMBER(SEARCH(","&amp;Справочник_ОКВЭД_НР!$C$3:$C$62&amp;".",","&amp;SUBSTITUTE(F348," ","")&amp;","))) +
  SUMPRODUCT(ISNUMBER(SEARCH(","&amp;Справочник_ОКВЭД_НР!$E$3:$E$62&amp;".",","&amp;SUBSTITUTE(F348," ","")&amp;","))) +
  SUMPRODUCT(ISNUMBER(SEARCH(","&amp;Справочник_ОКВЭД_НР!$G$3:$G$62&amp;".",","&amp;SUBSTITUTE(F348," ","")&amp;",")))),
50)</f>
        <v>50</v>
      </c>
      <c r="K348" s="30">
        <f>IFERROR(VLOOKUP(G348,Справочник_ОКВЭД_НР!$O:$P,2,FALSE()),50)</f>
        <v>50</v>
      </c>
      <c r="L348" s="45">
        <f>(I348*Справочник_ОКВЭД_НР!$L$2+J348*Справочник_ОКВЭД_НР!$L$3+K348*Справочник_ОКВЭД_НР!$L$4)*M348</f>
        <v>80</v>
      </c>
      <c r="M348" s="47">
        <f>IF(COUNTIF(Справочник_ОКВЭД_НР!$G$3:$G$62,H348)&gt;0,0,1)</f>
        <v>1</v>
      </c>
    </row>
    <row r="349" spans="1:13" x14ac:dyDescent="0.25">
      <c r="A349" s="4">
        <f>ЛИК_дляСкорингаДП!A349</f>
        <v>1027700108017</v>
      </c>
      <c r="B349" s="4">
        <f>ЛИК_дляСкорингаДП!B349</f>
        <v>7711002015</v>
      </c>
      <c r="C349" s="4" t="str">
        <f>ЛИК_дляСкорингаДП!C349</f>
        <v>АО "МОСКОВСКИЙ ЗАВОД "СПРИНТ"</v>
      </c>
      <c r="D349" s="5" t="str">
        <f>ЛИК_дляСкорингаДП!M349</f>
        <v>Аренда и управление собственным или арендованным нежилым недвижимым имуществом</v>
      </c>
      <c r="E349" s="4" t="str">
        <f>ЛИК_дляСкорингаДП!L349</f>
        <v>68.20.2</v>
      </c>
      <c r="F349" t="str">
        <f>ЛИК_дляСкорингаДП!N349</f>
        <v>25.99</v>
      </c>
      <c r="G349" s="25" t="str">
        <f>ЛИК_дляСкорингаДП!AG349</f>
        <v>ОСН</v>
      </c>
      <c r="H349" s="55" t="str">
        <f>IF(ISNUMBER(E349),E349,
IFERROR(LEFT(E349,FIND(".",E349)-1),E349))</f>
        <v>68</v>
      </c>
      <c r="I349" s="30">
        <f>IF(COUNTIF(Справочник_ОКВЭД_НР!$A$3:$A$62,H349)&gt;0,Справочник_ОКВЭД_НР!$L$8,
 IF(COUNTIF(Справочник_ОКВЭД_НР!$C$3:$C$62,H349)&gt;0,Справочник_ОКВЭД_НР!$L$9,
  IF(COUNTIF(Справочник_ОКВЭД_НР!$E$3:$E$62,H349)&gt;0,Справочник_ОКВЭД_НР!$L$10,
   IF(COUNTIF(Справочник_ОКВЭД_НР!$G$3:$G$62,H349)&gt;0,Справочник_ОКВЭД_НР!$L$11,50))))</f>
        <v>100</v>
      </c>
      <c r="J349" s="30" cm="1">
        <f t="array" ref="J349">IFERROR(
 (SUMPRODUCT(ISNUMBER(SEARCH(","&amp;Справочник_ОКВЭД_НР!$A$3:$A$62&amp;".",","&amp;SUBSTITUTE(F349," ","")&amp;",")))*Справочник_ОКВЭД_НР!$L$9 +
  SUMPRODUCT(ISNUMBER(SEARCH(","&amp;Справочник_ОКВЭД_НР!$C$3:$C$62&amp;".",","&amp;SUBSTITUTE(F349," ","")&amp;",")))*Справочник_ОКВЭД_НР!$L$10 +
  SUMPRODUCT(ISNUMBER(SEARCH(","&amp;Справочник_ОКВЭД_НР!$E$3:$E$62&amp;".",","&amp;SUBSTITUTE(F349," ","")&amp;",")))*Справочник_ОКВЭД_НР!$L$11 +
  SUMPRODUCT(ISNUMBER(SEARCH(","&amp;Справочник_ОКВЭД_НР!$G$3:$G$62&amp;".",","&amp;SUBSTITUTE(F349," ","")&amp;",")))*Справочник_ОКВЭД_НР!$L$12) /
 (SUMPRODUCT(ISNUMBER(SEARCH(","&amp;Справочник_ОКВЭД_НР!$A$3:$A$62&amp;".",","&amp;SUBSTITUTE(F349," ","")&amp;","))) +
  SUMPRODUCT(ISNUMBER(SEARCH(","&amp;Справочник_ОКВЭД_НР!$C$3:$C$62&amp;".",","&amp;SUBSTITUTE(F349," ","")&amp;","))) +
  SUMPRODUCT(ISNUMBER(SEARCH(","&amp;Справочник_ОКВЭД_НР!$E$3:$E$62&amp;".",","&amp;SUBSTITUTE(F349," ","")&amp;","))) +
  SUMPRODUCT(ISNUMBER(SEARCH(","&amp;Справочник_ОКВЭД_НР!$G$3:$G$62&amp;".",","&amp;SUBSTITUTE(F349," ","")&amp;",")))),
50)</f>
        <v>50</v>
      </c>
      <c r="K349" s="30">
        <f>IFERROR(VLOOKUP(G349,Справочник_ОКВЭД_НР!$O:$P,2,FALSE()),50)</f>
        <v>100</v>
      </c>
      <c r="L349" s="45">
        <f>(I349*Справочник_ОКВЭД_НР!$L$2+J349*Справочник_ОКВЭД_НР!$L$3+K349*Справочник_ОКВЭД_НР!$L$4)*M349</f>
        <v>87.5</v>
      </c>
      <c r="M349" s="47">
        <f>IF(COUNTIF(Справочник_ОКВЭД_НР!$G$3:$G$62,H349)&gt;0,0,1)</f>
        <v>1</v>
      </c>
    </row>
    <row r="350" spans="1:13" x14ac:dyDescent="0.25">
      <c r="A350" s="4">
        <f>ЛИК_дляСкорингаДП!A350</f>
        <v>1112100000011</v>
      </c>
      <c r="B350" s="4">
        <f>ЛИК_дляСкорингаДП!B350</f>
        <v>2104008008</v>
      </c>
      <c r="C350" s="4">
        <f>ЛИК_дляСкорингаДП!C350</f>
        <v>0</v>
      </c>
      <c r="D350" s="5" t="str">
        <f>ЛИК_дляСкорингаДП!M350</f>
        <v>Деятельность религиозных организаций</v>
      </c>
      <c r="E350" s="4" t="str">
        <f>ЛИК_дляСкорингаДП!L350</f>
        <v>94.91</v>
      </c>
      <c r="F350">
        <f>ЛИК_дляСкорингаДП!N350</f>
        <v>0</v>
      </c>
      <c r="G350" s="25" t="str">
        <f>ЛИК_дляСкорингаДП!AG350</f>
        <v>ОСН</v>
      </c>
      <c r="H350" s="55" t="str">
        <f>IF(ISNUMBER(E350),E350,
IFERROR(LEFT(E350,FIND(".",E350)-1),E350))</f>
        <v>94</v>
      </c>
      <c r="I350" s="30">
        <f>IF(COUNTIF(Справочник_ОКВЭД_НР!$A$3:$A$62,H350)&gt;0,Справочник_ОКВЭД_НР!$L$8,
 IF(COUNTIF(Справочник_ОКВЭД_НР!$C$3:$C$62,H350)&gt;0,Справочник_ОКВЭД_НР!$L$9,
  IF(COUNTIF(Справочник_ОКВЭД_НР!$E$3:$E$62,H350)&gt;0,Справочник_ОКВЭД_НР!$L$10,
   IF(COUNTIF(Справочник_ОКВЭД_НР!$G$3:$G$62,H350)&gt;0,Справочник_ОКВЭД_НР!$L$11,50))))</f>
        <v>0</v>
      </c>
      <c r="J350" s="30" cm="1">
        <f t="array" ref="J350">IFERROR(
 (SUMPRODUCT(ISNUMBER(SEARCH(","&amp;Справочник_ОКВЭД_НР!$A$3:$A$62&amp;".",","&amp;SUBSTITUTE(F350," ","")&amp;",")))*Справочник_ОКВЭД_НР!$L$9 +
  SUMPRODUCT(ISNUMBER(SEARCH(","&amp;Справочник_ОКВЭД_НР!$C$3:$C$62&amp;".",","&amp;SUBSTITUTE(F350," ","")&amp;",")))*Справочник_ОКВЭД_НР!$L$10 +
  SUMPRODUCT(ISNUMBER(SEARCH(","&amp;Справочник_ОКВЭД_НР!$E$3:$E$62&amp;".",","&amp;SUBSTITUTE(F350," ","")&amp;",")))*Справочник_ОКВЭД_НР!$L$11 +
  SUMPRODUCT(ISNUMBER(SEARCH(","&amp;Справочник_ОКВЭД_НР!$G$3:$G$62&amp;".",","&amp;SUBSTITUTE(F350," ","")&amp;",")))*Справочник_ОКВЭД_НР!$L$12) /
 (SUMPRODUCT(ISNUMBER(SEARCH(","&amp;Справочник_ОКВЭД_НР!$A$3:$A$62&amp;".",","&amp;SUBSTITUTE(F350," ","")&amp;","))) +
  SUMPRODUCT(ISNUMBER(SEARCH(","&amp;Справочник_ОКВЭД_НР!$C$3:$C$62&amp;".",","&amp;SUBSTITUTE(F350," ","")&amp;","))) +
  SUMPRODUCT(ISNUMBER(SEARCH(","&amp;Справочник_ОКВЭД_НР!$E$3:$E$62&amp;".",","&amp;SUBSTITUTE(F350," ","")&amp;","))) +
  SUMPRODUCT(ISNUMBER(SEARCH(","&amp;Справочник_ОКВЭД_НР!$G$3:$G$62&amp;".",","&amp;SUBSTITUTE(F350," ","")&amp;",")))),
50)</f>
        <v>50</v>
      </c>
      <c r="K350" s="30">
        <f>IFERROR(VLOOKUP(G350,Справочник_ОКВЭД_НР!$O:$P,2,FALSE()),50)</f>
        <v>100</v>
      </c>
      <c r="L350" s="45">
        <f>(I350*Справочник_ОКВЭД_НР!$L$2+J350*Справочник_ОКВЭД_НР!$L$3+K350*Справочник_ОКВЭД_НР!$L$4)*M350</f>
        <v>0</v>
      </c>
      <c r="M350" s="47">
        <f>IF(COUNTIF(Справочник_ОКВЭД_НР!$G$3:$G$62,H350)&gt;0,0,1)</f>
        <v>0</v>
      </c>
    </row>
    <row r="351" spans="1:13" x14ac:dyDescent="0.25">
      <c r="A351" s="4">
        <f>ЛИК_дляСкорингаДП!A351</f>
        <v>1242100000086</v>
      </c>
      <c r="B351" s="4">
        <f>ЛИК_дляСкорингаДП!B351</f>
        <v>2100013060</v>
      </c>
      <c r="C351" s="4" t="str">
        <f>ЛИК_дляСкорингаДП!C351</f>
        <v>МКУ ЦБ</v>
      </c>
      <c r="D351" s="5" t="str">
        <f>ЛИК_дляСкорингаДП!M351</f>
        <v>Деятельность по оказанию услуг в области бухгалтерского учета</v>
      </c>
      <c r="E351" s="4" t="str">
        <f>ЛИК_дляСкорингаДП!L351</f>
        <v>69.20.2</v>
      </c>
      <c r="F351">
        <f>ЛИК_дляСкорингаДП!N351</f>
        <v>0</v>
      </c>
      <c r="G351" s="25" t="str">
        <f>ЛИК_дляСкорингаДП!AG351</f>
        <v>ОСН</v>
      </c>
      <c r="H351" s="55" t="str">
        <f>IF(ISNUMBER(E351),E351,
IFERROR(LEFT(E351,FIND(".",E351)-1),E351))</f>
        <v>69</v>
      </c>
      <c r="I351" s="30">
        <f>IF(COUNTIF(Справочник_ОКВЭД_НР!$A$3:$A$62,H351)&gt;0,Справочник_ОКВЭД_НР!$L$8,
 IF(COUNTIF(Справочник_ОКВЭД_НР!$C$3:$C$62,H351)&gt;0,Справочник_ОКВЭД_НР!$L$9,
  IF(COUNTIF(Справочник_ОКВЭД_НР!$E$3:$E$62,H351)&gt;0,Справочник_ОКВЭД_НР!$L$10,
   IF(COUNTIF(Справочник_ОКВЭД_НР!$G$3:$G$62,H351)&gt;0,Справочник_ОКВЭД_НР!$L$11,50))))</f>
        <v>30</v>
      </c>
      <c r="J351" s="30" cm="1">
        <f t="array" ref="J351">IFERROR(
 (SUMPRODUCT(ISNUMBER(SEARCH(","&amp;Справочник_ОКВЭД_НР!$A$3:$A$62&amp;".",","&amp;SUBSTITUTE(F351," ","")&amp;",")))*Справочник_ОКВЭД_НР!$L$9 +
  SUMPRODUCT(ISNUMBER(SEARCH(","&amp;Справочник_ОКВЭД_НР!$C$3:$C$62&amp;".",","&amp;SUBSTITUTE(F351," ","")&amp;",")))*Справочник_ОКВЭД_НР!$L$10 +
  SUMPRODUCT(ISNUMBER(SEARCH(","&amp;Справочник_ОКВЭД_НР!$E$3:$E$62&amp;".",","&amp;SUBSTITUTE(F351," ","")&amp;",")))*Справочник_ОКВЭД_НР!$L$11 +
  SUMPRODUCT(ISNUMBER(SEARCH(","&amp;Справочник_ОКВЭД_НР!$G$3:$G$62&amp;".",","&amp;SUBSTITUTE(F351," ","")&amp;",")))*Справочник_ОКВЭД_НР!$L$12) /
 (SUMPRODUCT(ISNUMBER(SEARCH(","&amp;Справочник_ОКВЭД_НР!$A$3:$A$62&amp;".",","&amp;SUBSTITUTE(F351," ","")&amp;","))) +
  SUMPRODUCT(ISNUMBER(SEARCH(","&amp;Справочник_ОКВЭД_НР!$C$3:$C$62&amp;".",","&amp;SUBSTITUTE(F351," ","")&amp;","))) +
  SUMPRODUCT(ISNUMBER(SEARCH(","&amp;Справочник_ОКВЭД_НР!$E$3:$E$62&amp;".",","&amp;SUBSTITUTE(F351," ","")&amp;","))) +
  SUMPRODUCT(ISNUMBER(SEARCH(","&amp;Справочник_ОКВЭД_НР!$G$3:$G$62&amp;".",","&amp;SUBSTITUTE(F351," ","")&amp;",")))),
50)</f>
        <v>50</v>
      </c>
      <c r="K351" s="30">
        <f>IFERROR(VLOOKUP(G351,Справочник_ОКВЭД_НР!$O:$P,2,FALSE()),50)</f>
        <v>100</v>
      </c>
      <c r="L351" s="45">
        <f>(I351*Справочник_ОКВЭД_НР!$L$2+J351*Справочник_ОКВЭД_НР!$L$3+K351*Справочник_ОКВЭД_НР!$L$4)*M351</f>
        <v>45.5</v>
      </c>
      <c r="M351" s="47">
        <f>IF(COUNTIF(Справочник_ОКВЭД_НР!$G$3:$G$62,H351)&gt;0,0,1)</f>
        <v>1</v>
      </c>
    </row>
    <row r="352" spans="1:13" x14ac:dyDescent="0.25">
      <c r="A352" s="4">
        <f>ЛИК_дляСкорингаДП!A352</f>
        <v>1232100002837</v>
      </c>
      <c r="B352" s="4">
        <f>ЛИК_дляСкорингаДП!B352</f>
        <v>2100006320</v>
      </c>
      <c r="C352" s="4">
        <f>ЛИК_дляСкорингаДП!C352</f>
        <v>0</v>
      </c>
      <c r="D352" s="5" t="str">
        <f>ЛИК_дляСкорингаДП!M352</f>
        <v>Деятельность религиозных организаций</v>
      </c>
      <c r="E352" s="4" t="str">
        <f>ЛИК_дляСкорингаДП!L352</f>
        <v>94.91</v>
      </c>
      <c r="F352">
        <f>ЛИК_дляСкорингаДП!N352</f>
        <v>0</v>
      </c>
      <c r="G352" s="25" t="str">
        <f>ЛИК_дляСкорингаДП!AG352</f>
        <v>ОСН</v>
      </c>
      <c r="H352" s="55" t="str">
        <f>IF(ISNUMBER(E352),E352,
IFERROR(LEFT(E352,FIND(".",E352)-1),E352))</f>
        <v>94</v>
      </c>
      <c r="I352" s="30">
        <f>IF(COUNTIF(Справочник_ОКВЭД_НР!$A$3:$A$62,H352)&gt;0,Справочник_ОКВЭД_НР!$L$8,
 IF(COUNTIF(Справочник_ОКВЭД_НР!$C$3:$C$62,H352)&gt;0,Справочник_ОКВЭД_НР!$L$9,
  IF(COUNTIF(Справочник_ОКВЭД_НР!$E$3:$E$62,H352)&gt;0,Справочник_ОКВЭД_НР!$L$10,
   IF(COUNTIF(Справочник_ОКВЭД_НР!$G$3:$G$62,H352)&gt;0,Справочник_ОКВЭД_НР!$L$11,50))))</f>
        <v>0</v>
      </c>
      <c r="J352" s="30" cm="1">
        <f t="array" ref="J352">IFERROR(
 (SUMPRODUCT(ISNUMBER(SEARCH(","&amp;Справочник_ОКВЭД_НР!$A$3:$A$62&amp;".",","&amp;SUBSTITUTE(F352," ","")&amp;",")))*Справочник_ОКВЭД_НР!$L$9 +
  SUMPRODUCT(ISNUMBER(SEARCH(","&amp;Справочник_ОКВЭД_НР!$C$3:$C$62&amp;".",","&amp;SUBSTITUTE(F352," ","")&amp;",")))*Справочник_ОКВЭД_НР!$L$10 +
  SUMPRODUCT(ISNUMBER(SEARCH(","&amp;Справочник_ОКВЭД_НР!$E$3:$E$62&amp;".",","&amp;SUBSTITUTE(F352," ","")&amp;",")))*Справочник_ОКВЭД_НР!$L$11 +
  SUMPRODUCT(ISNUMBER(SEARCH(","&amp;Справочник_ОКВЭД_НР!$G$3:$G$62&amp;".",","&amp;SUBSTITUTE(F352," ","")&amp;",")))*Справочник_ОКВЭД_НР!$L$12) /
 (SUMPRODUCT(ISNUMBER(SEARCH(","&amp;Справочник_ОКВЭД_НР!$A$3:$A$62&amp;".",","&amp;SUBSTITUTE(F352," ","")&amp;","))) +
  SUMPRODUCT(ISNUMBER(SEARCH(","&amp;Справочник_ОКВЭД_НР!$C$3:$C$62&amp;".",","&amp;SUBSTITUTE(F352," ","")&amp;","))) +
  SUMPRODUCT(ISNUMBER(SEARCH(","&amp;Справочник_ОКВЭД_НР!$E$3:$E$62&amp;".",","&amp;SUBSTITUTE(F352," ","")&amp;","))) +
  SUMPRODUCT(ISNUMBER(SEARCH(","&amp;Справочник_ОКВЭД_НР!$G$3:$G$62&amp;".",","&amp;SUBSTITUTE(F352," ","")&amp;",")))),
50)</f>
        <v>50</v>
      </c>
      <c r="K352" s="30">
        <f>IFERROR(VLOOKUP(G352,Справочник_ОКВЭД_НР!$O:$P,2,FALSE()),50)</f>
        <v>100</v>
      </c>
      <c r="L352" s="45">
        <f>(I352*Справочник_ОКВЭД_НР!$L$2+J352*Справочник_ОКВЭД_НР!$L$3+K352*Справочник_ОКВЭД_НР!$L$4)*M352</f>
        <v>0</v>
      </c>
      <c r="M352" s="47">
        <f>IF(COUNTIF(Справочник_ОКВЭД_НР!$G$3:$G$62,H352)&gt;0,0,1)</f>
        <v>0</v>
      </c>
    </row>
    <row r="353" spans="1:13" x14ac:dyDescent="0.25">
      <c r="A353" s="4">
        <f>ЛИК_дляСкорингаДП!A353</f>
        <v>1222100009240</v>
      </c>
      <c r="B353" s="4">
        <f>ЛИК_дляСкорингаДП!B353</f>
        <v>2100002781</v>
      </c>
      <c r="C353" s="4" t="str">
        <f>ЛИК_дляСкорингаДП!C353</f>
        <v>АДМИНИСТРАЦИЯ КОМСОМОЛЬСКОГО МУНИЦИПАЛЬНОГО ОКРУГА</v>
      </c>
      <c r="D353" s="5" t="str">
        <f>ЛИК_дляСкорингаДП!M353</f>
        <v>Деятельность органов местного самоуправления муниципальных округов</v>
      </c>
      <c r="E353" s="4" t="str">
        <f>ЛИК_дляСкорингаДП!L353</f>
        <v>84.11.34</v>
      </c>
      <c r="F353" t="str">
        <f>ЛИК_дляСкорингаДП!N353</f>
        <v>84.11.3</v>
      </c>
      <c r="G353" s="25" t="str">
        <f>ЛИК_дляСкорингаДП!AG353</f>
        <v>ОСН</v>
      </c>
      <c r="H353" s="55" t="str">
        <f>IF(ISNUMBER(E353),E353,
IFERROR(LEFT(E353,FIND(".",E353)-1),E353))</f>
        <v>84</v>
      </c>
      <c r="I353" s="30">
        <f>IF(COUNTIF(Справочник_ОКВЭД_НР!$A$3:$A$62,H353)&gt;0,Справочник_ОКВЭД_НР!$L$8,
 IF(COUNTIF(Справочник_ОКВЭД_НР!$C$3:$C$62,H353)&gt;0,Справочник_ОКВЭД_НР!$L$9,
  IF(COUNTIF(Справочник_ОКВЭД_НР!$E$3:$E$62,H353)&gt;0,Справочник_ОКВЭД_НР!$L$10,
   IF(COUNTIF(Справочник_ОКВЭД_НР!$G$3:$G$62,H353)&gt;0,Справочник_ОКВЭД_НР!$L$11,50))))</f>
        <v>0</v>
      </c>
      <c r="J353" s="30" cm="1">
        <f t="array" ref="J353">IFERROR(
 (SUMPRODUCT(ISNUMBER(SEARCH(","&amp;Справочник_ОКВЭД_НР!$A$3:$A$62&amp;".",","&amp;SUBSTITUTE(F353," ","")&amp;",")))*Справочник_ОКВЭД_НР!$L$9 +
  SUMPRODUCT(ISNUMBER(SEARCH(","&amp;Справочник_ОКВЭД_НР!$C$3:$C$62&amp;".",","&amp;SUBSTITUTE(F353," ","")&amp;",")))*Справочник_ОКВЭД_НР!$L$10 +
  SUMPRODUCT(ISNUMBER(SEARCH(","&amp;Справочник_ОКВЭД_НР!$E$3:$E$62&amp;".",","&amp;SUBSTITUTE(F353," ","")&amp;",")))*Справочник_ОКВЭД_НР!$L$11 +
  SUMPRODUCT(ISNUMBER(SEARCH(","&amp;Справочник_ОКВЭД_НР!$G$3:$G$62&amp;".",","&amp;SUBSTITUTE(F353," ","")&amp;",")))*Справочник_ОКВЭД_НР!$L$12) /
 (SUMPRODUCT(ISNUMBER(SEARCH(","&amp;Справочник_ОКВЭД_НР!$A$3:$A$62&amp;".",","&amp;SUBSTITUTE(F353," ","")&amp;","))) +
  SUMPRODUCT(ISNUMBER(SEARCH(","&amp;Справочник_ОКВЭД_НР!$C$3:$C$62&amp;".",","&amp;SUBSTITUTE(F353," ","")&amp;","))) +
  SUMPRODUCT(ISNUMBER(SEARCH(","&amp;Справочник_ОКВЭД_НР!$E$3:$E$62&amp;".",","&amp;SUBSTITUTE(F353," ","")&amp;","))) +
  SUMPRODUCT(ISNUMBER(SEARCH(","&amp;Справочник_ОКВЭД_НР!$G$3:$G$62&amp;".",","&amp;SUBSTITUTE(F353," ","")&amp;",")))),
50)</f>
        <v>50</v>
      </c>
      <c r="K353" s="30">
        <f>IFERROR(VLOOKUP(G353,Справочник_ОКВЭД_НР!$O:$P,2,FALSE()),50)</f>
        <v>100</v>
      </c>
      <c r="L353" s="45">
        <f>(I353*Справочник_ОКВЭД_НР!$L$2+J353*Справочник_ОКВЭД_НР!$L$3+K353*Справочник_ОКВЭД_НР!$L$4)*M353</f>
        <v>0</v>
      </c>
      <c r="M353" s="47">
        <f>IF(COUNTIF(Справочник_ОКВЭД_НР!$G$3:$G$62,H353)&gt;0,0,1)</f>
        <v>0</v>
      </c>
    </row>
    <row r="354" spans="1:13" x14ac:dyDescent="0.25">
      <c r="A354" s="4">
        <f>ЛИК_дляСкорингаДП!A354</f>
        <v>1222100009230</v>
      </c>
      <c r="B354" s="4">
        <f>ЛИК_дляСкорингаДП!B354</f>
        <v>2100002774</v>
      </c>
      <c r="C354" s="4" t="str">
        <f>ЛИК_дляСкорингаДП!C354</f>
        <v>АДМИНИСТРАЦИЯ АЛИКОВСКОГО МУНИЦИПАЛЬНОГО ОКРУГА</v>
      </c>
      <c r="D354" s="5" t="str">
        <f>ЛИК_дляСкорингаДП!M354</f>
        <v>Деятельность органов местного самоуправления муниципальных округов</v>
      </c>
      <c r="E354" s="4" t="str">
        <f>ЛИК_дляСкорингаДП!L354</f>
        <v>84.11.34</v>
      </c>
      <c r="F354" t="str">
        <f>ЛИК_дляСкорингаДП!N354</f>
        <v>84.22,84.25.1</v>
      </c>
      <c r="G354" s="25" t="str">
        <f>ЛИК_дляСкорингаДП!AG354</f>
        <v>ОСН</v>
      </c>
      <c r="H354" s="55" t="str">
        <f>IF(ISNUMBER(E354),E354,
IFERROR(LEFT(E354,FIND(".",E354)-1),E354))</f>
        <v>84</v>
      </c>
      <c r="I354" s="30">
        <f>IF(COUNTIF(Справочник_ОКВЭД_НР!$A$3:$A$62,H354)&gt;0,Справочник_ОКВЭД_НР!$L$8,
 IF(COUNTIF(Справочник_ОКВЭД_НР!$C$3:$C$62,H354)&gt;0,Справочник_ОКВЭД_НР!$L$9,
  IF(COUNTIF(Справочник_ОКВЭД_НР!$E$3:$E$62,H354)&gt;0,Справочник_ОКВЭД_НР!$L$10,
   IF(COUNTIF(Справочник_ОКВЭД_НР!$G$3:$G$62,H354)&gt;0,Справочник_ОКВЭД_НР!$L$11,50))))</f>
        <v>0</v>
      </c>
      <c r="J354" s="30" cm="1">
        <f t="array" ref="J354">IFERROR(
 (SUMPRODUCT(ISNUMBER(SEARCH(","&amp;Справочник_ОКВЭД_НР!$A$3:$A$62&amp;".",","&amp;SUBSTITUTE(F354," ","")&amp;",")))*Справочник_ОКВЭД_НР!$L$9 +
  SUMPRODUCT(ISNUMBER(SEARCH(","&amp;Справочник_ОКВЭД_НР!$C$3:$C$62&amp;".",","&amp;SUBSTITUTE(F354," ","")&amp;",")))*Справочник_ОКВЭД_НР!$L$10 +
  SUMPRODUCT(ISNUMBER(SEARCH(","&amp;Справочник_ОКВЭД_НР!$E$3:$E$62&amp;".",","&amp;SUBSTITUTE(F354," ","")&amp;",")))*Справочник_ОКВЭД_НР!$L$11 +
  SUMPRODUCT(ISNUMBER(SEARCH(","&amp;Справочник_ОКВЭД_НР!$G$3:$G$62&amp;".",","&amp;SUBSTITUTE(F354," ","")&amp;",")))*Справочник_ОКВЭД_НР!$L$12) /
 (SUMPRODUCT(ISNUMBER(SEARCH(","&amp;Справочник_ОКВЭД_НР!$A$3:$A$62&amp;".",","&amp;SUBSTITUTE(F354," ","")&amp;","))) +
  SUMPRODUCT(ISNUMBER(SEARCH(","&amp;Справочник_ОКВЭД_НР!$C$3:$C$62&amp;".",","&amp;SUBSTITUTE(F354," ","")&amp;","))) +
  SUMPRODUCT(ISNUMBER(SEARCH(","&amp;Справочник_ОКВЭД_НР!$E$3:$E$62&amp;".",","&amp;SUBSTITUTE(F354," ","")&amp;","))) +
  SUMPRODUCT(ISNUMBER(SEARCH(","&amp;Справочник_ОКВЭД_НР!$G$3:$G$62&amp;".",","&amp;SUBSTITUTE(F354," ","")&amp;",")))),
50)</f>
        <v>50</v>
      </c>
      <c r="K354" s="30">
        <f>IFERROR(VLOOKUP(G354,Справочник_ОКВЭД_НР!$O:$P,2,FALSE()),50)</f>
        <v>100</v>
      </c>
      <c r="L354" s="45">
        <f>(I354*Справочник_ОКВЭД_НР!$L$2+J354*Справочник_ОКВЭД_НР!$L$3+K354*Справочник_ОКВЭД_НР!$L$4)*M354</f>
        <v>0</v>
      </c>
      <c r="M354" s="47">
        <f>IF(COUNTIF(Справочник_ОКВЭД_НР!$G$3:$G$62,H354)&gt;0,0,1)</f>
        <v>0</v>
      </c>
    </row>
    <row r="355" spans="1:13" x14ac:dyDescent="0.25">
      <c r="A355" s="4">
        <f>ЛИК_дляСкорингаДП!A355</f>
        <v>1222100009702</v>
      </c>
      <c r="B355" s="4">
        <f>ЛИК_дляСкорингаДП!B355</f>
        <v>2100003256</v>
      </c>
      <c r="C355" s="4" t="str">
        <f>ЛИК_дляСкорингаДП!C355</f>
        <v>АНО СЗС "ЛАСТОЧКА"</v>
      </c>
      <c r="D355" s="5" t="str">
        <f>ЛИК_дляСкорингаДП!M355</f>
        <v>Предоставление прочих социальных услуг без обеспечения проживания, не включенных в другие группировки</v>
      </c>
      <c r="E355" s="4" t="str">
        <f>ЛИК_дляСкорингаДП!L355</f>
        <v>88.99</v>
      </c>
      <c r="F355" t="str">
        <f>ЛИК_дляСкорингаДП!N355</f>
        <v>70.22</v>
      </c>
      <c r="G355" s="25" t="str">
        <f>ЛИК_дляСкорингаДП!AG355</f>
        <v>ОСН</v>
      </c>
      <c r="H355" s="55" t="str">
        <f>IF(ISNUMBER(E355),E355,
IFERROR(LEFT(E355,FIND(".",E355)-1),E355))</f>
        <v>88</v>
      </c>
      <c r="I355" s="30">
        <f>IF(COUNTIF(Справочник_ОКВЭД_НР!$A$3:$A$62,H355)&gt;0,Справочник_ОКВЭД_НР!$L$8,
 IF(COUNTIF(Справочник_ОКВЭД_НР!$C$3:$C$62,H355)&gt;0,Справочник_ОКВЭД_НР!$L$9,
  IF(COUNTIF(Справочник_ОКВЭД_НР!$E$3:$E$62,H355)&gt;0,Справочник_ОКВЭД_НР!$L$10,
   IF(COUNTIF(Справочник_ОКВЭД_НР!$G$3:$G$62,H355)&gt;0,Справочник_ОКВЭД_НР!$L$11,50))))</f>
        <v>30</v>
      </c>
      <c r="J355" s="30" cm="1">
        <f t="array" ref="J355">IFERROR(
 (SUMPRODUCT(ISNUMBER(SEARCH(","&amp;Справочник_ОКВЭД_НР!$A$3:$A$62&amp;".",","&amp;SUBSTITUTE(F355," ","")&amp;",")))*Справочник_ОКВЭД_НР!$L$9 +
  SUMPRODUCT(ISNUMBER(SEARCH(","&amp;Справочник_ОКВЭД_НР!$C$3:$C$62&amp;".",","&amp;SUBSTITUTE(F355," ","")&amp;",")))*Справочник_ОКВЭД_НР!$L$10 +
  SUMPRODUCT(ISNUMBER(SEARCH(","&amp;Справочник_ОКВЭД_НР!$E$3:$E$62&amp;".",","&amp;SUBSTITUTE(F355," ","")&amp;",")))*Справочник_ОКВЭД_НР!$L$11 +
  SUMPRODUCT(ISNUMBER(SEARCH(","&amp;Справочник_ОКВЭД_НР!$G$3:$G$62&amp;".",","&amp;SUBSTITUTE(F355," ","")&amp;",")))*Справочник_ОКВЭД_НР!$L$12) /
 (SUMPRODUCT(ISNUMBER(SEARCH(","&amp;Справочник_ОКВЭД_НР!$A$3:$A$62&amp;".",","&amp;SUBSTITUTE(F355," ","")&amp;","))) +
  SUMPRODUCT(ISNUMBER(SEARCH(","&amp;Справочник_ОКВЭД_НР!$C$3:$C$62&amp;".",","&amp;SUBSTITUTE(F355," ","")&amp;","))) +
  SUMPRODUCT(ISNUMBER(SEARCH(","&amp;Справочник_ОКВЭД_НР!$E$3:$E$62&amp;".",","&amp;SUBSTITUTE(F355," ","")&amp;","))) +
  SUMPRODUCT(ISNUMBER(SEARCH(","&amp;Справочник_ОКВЭД_НР!$G$3:$G$62&amp;".",","&amp;SUBSTITUTE(F355," ","")&amp;",")))),
50)</f>
        <v>50</v>
      </c>
      <c r="K355" s="30">
        <f>IFERROR(VLOOKUP(G355,Справочник_ОКВЭД_НР!$O:$P,2,FALSE()),50)</f>
        <v>100</v>
      </c>
      <c r="L355" s="45">
        <f>(I355*Справочник_ОКВЭД_НР!$L$2+J355*Справочник_ОКВЭД_НР!$L$3+K355*Справочник_ОКВЭД_НР!$L$4)*M355</f>
        <v>45.5</v>
      </c>
      <c r="M355" s="47">
        <f>IF(COUNTIF(Справочник_ОКВЭД_НР!$G$3:$G$62,H355)&gt;0,0,1)</f>
        <v>1</v>
      </c>
    </row>
    <row r="356" spans="1:13" x14ac:dyDescent="0.25">
      <c r="A356" s="4">
        <f>ЛИК_дляСкорингаДП!A356</f>
        <v>1232100002925</v>
      </c>
      <c r="B356" s="4">
        <f>ЛИК_дляСкорингаДП!B356</f>
        <v>2100006419</v>
      </c>
      <c r="C356" s="4" t="str">
        <f>ЛИК_дляСкорингаДП!C356</f>
        <v>РСОО "ФЕДЕРАЦИЯ ФУНКЦИОНАЛЬНОГО МНОГОБОРЬЯ ПО ЧУВАШСКОЙ РЕСПУБЛИКЕ"</v>
      </c>
      <c r="D356" s="5" t="str">
        <f>ЛИК_дляСкорингаДП!M356</f>
        <v>Деятельность спортивных объектов</v>
      </c>
      <c r="E356" s="4" t="str">
        <f>ЛИК_дляСкорингаДП!L356</f>
        <v>93.11</v>
      </c>
      <c r="F356" t="str">
        <f>ЛИК_дляСкорингаДП!N356</f>
        <v>93.19</v>
      </c>
      <c r="G356" s="25" t="str">
        <f>ЛИК_дляСкорингаДП!AG356</f>
        <v>ОСН</v>
      </c>
      <c r="H356" s="55" t="str">
        <f>IF(ISNUMBER(E356),E356,
IFERROR(LEFT(E356,FIND(".",E356)-1),E356))</f>
        <v>93</v>
      </c>
      <c r="I356" s="30">
        <f>IF(COUNTIF(Справочник_ОКВЭД_НР!$A$3:$A$62,H356)&gt;0,Справочник_ОКВЭД_НР!$L$8,
 IF(COUNTIF(Справочник_ОКВЭД_НР!$C$3:$C$62,H356)&gt;0,Справочник_ОКВЭД_НР!$L$9,
  IF(COUNTIF(Справочник_ОКВЭД_НР!$E$3:$E$62,H356)&gt;0,Справочник_ОКВЭД_НР!$L$10,
   IF(COUNTIF(Справочник_ОКВЭД_НР!$G$3:$G$62,H356)&gt;0,Справочник_ОКВЭД_НР!$L$11,50))))</f>
        <v>30</v>
      </c>
      <c r="J356" s="30" cm="1">
        <f t="array" ref="J356">IFERROR(
 (SUMPRODUCT(ISNUMBER(SEARCH(","&amp;Справочник_ОКВЭД_НР!$A$3:$A$62&amp;".",","&amp;SUBSTITUTE(F356," ","")&amp;",")))*Справочник_ОКВЭД_НР!$L$9 +
  SUMPRODUCT(ISNUMBER(SEARCH(","&amp;Справочник_ОКВЭД_НР!$C$3:$C$62&amp;".",","&amp;SUBSTITUTE(F356," ","")&amp;",")))*Справочник_ОКВЭД_НР!$L$10 +
  SUMPRODUCT(ISNUMBER(SEARCH(","&amp;Справочник_ОКВЭД_НР!$E$3:$E$62&amp;".",","&amp;SUBSTITUTE(F356," ","")&amp;",")))*Справочник_ОКВЭД_НР!$L$11 +
  SUMPRODUCT(ISNUMBER(SEARCH(","&amp;Справочник_ОКВЭД_НР!$G$3:$G$62&amp;".",","&amp;SUBSTITUTE(F356," ","")&amp;",")))*Справочник_ОКВЭД_НР!$L$12) /
 (SUMPRODUCT(ISNUMBER(SEARCH(","&amp;Справочник_ОКВЭД_НР!$A$3:$A$62&amp;".",","&amp;SUBSTITUTE(F356," ","")&amp;","))) +
  SUMPRODUCT(ISNUMBER(SEARCH(","&amp;Справочник_ОКВЭД_НР!$C$3:$C$62&amp;".",","&amp;SUBSTITUTE(F356," ","")&amp;","))) +
  SUMPRODUCT(ISNUMBER(SEARCH(","&amp;Справочник_ОКВЭД_НР!$E$3:$E$62&amp;".",","&amp;SUBSTITUTE(F356," ","")&amp;","))) +
  SUMPRODUCT(ISNUMBER(SEARCH(","&amp;Справочник_ОКВЭД_НР!$G$3:$G$62&amp;".",","&amp;SUBSTITUTE(F356," ","")&amp;",")))),
50)</f>
        <v>50</v>
      </c>
      <c r="K356" s="30">
        <f>IFERROR(VLOOKUP(G356,Справочник_ОКВЭД_НР!$O:$P,2,FALSE()),50)</f>
        <v>100</v>
      </c>
      <c r="L356" s="45">
        <f>(I356*Справочник_ОКВЭД_НР!$L$2+J356*Справочник_ОКВЭД_НР!$L$3+K356*Справочник_ОКВЭД_НР!$L$4)*M356</f>
        <v>45.5</v>
      </c>
      <c r="M356" s="47">
        <f>IF(COUNTIF(Справочник_ОКВЭД_НР!$G$3:$G$62,H356)&gt;0,0,1)</f>
        <v>1</v>
      </c>
    </row>
    <row r="357" spans="1:13" x14ac:dyDescent="0.25">
      <c r="A357" s="4">
        <f>ЛИК_дляСкорингаДП!A357</f>
        <v>1232100009294</v>
      </c>
      <c r="B357" s="4">
        <f>ЛИК_дляСкорингаДП!B357</f>
        <v>2100012733</v>
      </c>
      <c r="C357" s="4" t="str">
        <f>ЛИК_дляСкорингаДП!C357</f>
        <v>БФ "ПРИКОСНИСЬ К СОЛНЦУ"</v>
      </c>
      <c r="D357" s="5" t="str">
        <f>ЛИК_дляСкорингаДП!M357</f>
        <v>Предоставление социальных услуг без обеспечения проживания престарелым и инвалидам</v>
      </c>
      <c r="E357" s="4" t="str">
        <f>ЛИК_дляСкорингаДП!L357</f>
        <v>88.10</v>
      </c>
      <c r="F357" t="str">
        <f>ЛИК_дляСкорингаДП!N357</f>
        <v>63.11,64.99.6,86.90.5,87.10,87.30,91.02,91.03,93.29,94.99.1,94.99.2,94.99.3,94.99.4</v>
      </c>
      <c r="G357" s="25" t="str">
        <f>ЛИК_дляСкорингаДП!AG357</f>
        <v>ОСН</v>
      </c>
      <c r="H357" s="55" t="str">
        <f>IF(ISNUMBER(E357),E357,
IFERROR(LEFT(E357,FIND(".",E357)-1),E357))</f>
        <v>88</v>
      </c>
      <c r="I357" s="30">
        <f>IF(COUNTIF(Справочник_ОКВЭД_НР!$A$3:$A$62,H357)&gt;0,Справочник_ОКВЭД_НР!$L$8,
 IF(COUNTIF(Справочник_ОКВЭД_НР!$C$3:$C$62,H357)&gt;0,Справочник_ОКВЭД_НР!$L$9,
  IF(COUNTIF(Справочник_ОКВЭД_НР!$E$3:$E$62,H357)&gt;0,Справочник_ОКВЭД_НР!$L$10,
   IF(COUNTIF(Справочник_ОКВЭД_НР!$G$3:$G$62,H357)&gt;0,Справочник_ОКВЭД_НР!$L$11,50))))</f>
        <v>30</v>
      </c>
      <c r="J357" s="30" cm="1">
        <f t="array" ref="J357">IFERROR(
 (SUMPRODUCT(ISNUMBER(SEARCH(","&amp;Справочник_ОКВЭД_НР!$A$3:$A$62&amp;".",","&amp;SUBSTITUTE(F357," ","")&amp;",")))*Справочник_ОКВЭД_НР!$L$9 +
  SUMPRODUCT(ISNUMBER(SEARCH(","&amp;Справочник_ОКВЭД_НР!$C$3:$C$62&amp;".",","&amp;SUBSTITUTE(F357," ","")&amp;",")))*Справочник_ОКВЭД_НР!$L$10 +
  SUMPRODUCT(ISNUMBER(SEARCH(","&amp;Справочник_ОКВЭД_НР!$E$3:$E$62&amp;".",","&amp;SUBSTITUTE(F357," ","")&amp;",")))*Справочник_ОКВЭД_НР!$L$11 +
  SUMPRODUCT(ISNUMBER(SEARCH(","&amp;Справочник_ОКВЭД_НР!$G$3:$G$62&amp;".",","&amp;SUBSTITUTE(F357," ","")&amp;",")))*Справочник_ОКВЭД_НР!$L$12) /
 (SUMPRODUCT(ISNUMBER(SEARCH(","&amp;Справочник_ОКВЭД_НР!$A$3:$A$62&amp;".",","&amp;SUBSTITUTE(F357," ","")&amp;","))) +
  SUMPRODUCT(ISNUMBER(SEARCH(","&amp;Справочник_ОКВЭД_НР!$C$3:$C$62&amp;".",","&amp;SUBSTITUTE(F357," ","")&amp;","))) +
  SUMPRODUCT(ISNUMBER(SEARCH(","&amp;Справочник_ОКВЭД_НР!$E$3:$E$62&amp;".",","&amp;SUBSTITUTE(F357," ","")&amp;","))) +
  SUMPRODUCT(ISNUMBER(SEARCH(","&amp;Справочник_ОКВЭД_НР!$G$3:$G$62&amp;".",","&amp;SUBSTITUTE(F357," ","")&amp;",")))),
50)</f>
        <v>50</v>
      </c>
      <c r="K357" s="30">
        <f>IFERROR(VLOOKUP(G357,Справочник_ОКВЭД_НР!$O:$P,2,FALSE()),50)</f>
        <v>100</v>
      </c>
      <c r="L357" s="45">
        <f>(I357*Справочник_ОКВЭД_НР!$L$2+J357*Справочник_ОКВЭД_НР!$L$3+K357*Справочник_ОКВЭД_НР!$L$4)*M357</f>
        <v>45.5</v>
      </c>
      <c r="M357" s="47">
        <f>IF(COUNTIF(Справочник_ОКВЭД_НР!$G$3:$G$62,H357)&gt;0,0,1)</f>
        <v>1</v>
      </c>
    </row>
    <row r="358" spans="1:13" x14ac:dyDescent="0.25">
      <c r="A358" s="4">
        <f>ЛИК_дляСкорингаДП!A358</f>
        <v>1222100004037</v>
      </c>
      <c r="B358" s="4">
        <f>ЛИК_дляСкорингаДП!B358</f>
        <v>2108003667</v>
      </c>
      <c r="C358" s="4" t="str">
        <f>ЛИК_дляСкорингаДП!C358</f>
        <v>ЧРОО "НКОТ ЧР"</v>
      </c>
      <c r="D358" s="5" t="str">
        <f>ЛИК_дляСкорингаДП!M358</f>
        <v>Деятельность прочих общественных организаций и некоммерческих организаций, кроме религиозных и политических организаций</v>
      </c>
      <c r="E358" s="4" t="str">
        <f>ЛИК_дляСкорингаДП!L358</f>
        <v>94.99</v>
      </c>
      <c r="F358">
        <f>ЛИК_дляСкорингаДП!N358</f>
        <v>0</v>
      </c>
      <c r="G358" s="25" t="str">
        <f>ЛИК_дляСкорингаДП!AG358</f>
        <v>ОСН</v>
      </c>
      <c r="H358" s="55" t="str">
        <f>IF(ISNUMBER(E358),E358,
IFERROR(LEFT(E358,FIND(".",E358)-1),E358))</f>
        <v>94</v>
      </c>
      <c r="I358" s="30">
        <f>IF(COUNTIF(Справочник_ОКВЭД_НР!$A$3:$A$62,H358)&gt;0,Справочник_ОКВЭД_НР!$L$8,
 IF(COUNTIF(Справочник_ОКВЭД_НР!$C$3:$C$62,H358)&gt;0,Справочник_ОКВЭД_НР!$L$9,
  IF(COUNTIF(Справочник_ОКВЭД_НР!$E$3:$E$62,H358)&gt;0,Справочник_ОКВЭД_НР!$L$10,
   IF(COUNTIF(Справочник_ОКВЭД_НР!$G$3:$G$62,H358)&gt;0,Справочник_ОКВЭД_НР!$L$11,50))))</f>
        <v>0</v>
      </c>
      <c r="J358" s="30" cm="1">
        <f t="array" ref="J358">IFERROR(
 (SUMPRODUCT(ISNUMBER(SEARCH(","&amp;Справочник_ОКВЭД_НР!$A$3:$A$62&amp;".",","&amp;SUBSTITUTE(F358," ","")&amp;",")))*Справочник_ОКВЭД_НР!$L$9 +
  SUMPRODUCT(ISNUMBER(SEARCH(","&amp;Справочник_ОКВЭД_НР!$C$3:$C$62&amp;".",","&amp;SUBSTITUTE(F358," ","")&amp;",")))*Справочник_ОКВЭД_НР!$L$10 +
  SUMPRODUCT(ISNUMBER(SEARCH(","&amp;Справочник_ОКВЭД_НР!$E$3:$E$62&amp;".",","&amp;SUBSTITUTE(F358," ","")&amp;",")))*Справочник_ОКВЭД_НР!$L$11 +
  SUMPRODUCT(ISNUMBER(SEARCH(","&amp;Справочник_ОКВЭД_НР!$G$3:$G$62&amp;".",","&amp;SUBSTITUTE(F358," ","")&amp;",")))*Справочник_ОКВЭД_НР!$L$12) /
 (SUMPRODUCT(ISNUMBER(SEARCH(","&amp;Справочник_ОКВЭД_НР!$A$3:$A$62&amp;".",","&amp;SUBSTITUTE(F358," ","")&amp;","))) +
  SUMPRODUCT(ISNUMBER(SEARCH(","&amp;Справочник_ОКВЭД_НР!$C$3:$C$62&amp;".",","&amp;SUBSTITUTE(F358," ","")&amp;","))) +
  SUMPRODUCT(ISNUMBER(SEARCH(","&amp;Справочник_ОКВЭД_НР!$E$3:$E$62&amp;".",","&amp;SUBSTITUTE(F358," ","")&amp;","))) +
  SUMPRODUCT(ISNUMBER(SEARCH(","&amp;Справочник_ОКВЭД_НР!$G$3:$G$62&amp;".",","&amp;SUBSTITUTE(F358," ","")&amp;",")))),
50)</f>
        <v>50</v>
      </c>
      <c r="K358" s="30">
        <f>IFERROR(VLOOKUP(G358,Справочник_ОКВЭД_НР!$O:$P,2,FALSE()),50)</f>
        <v>100</v>
      </c>
      <c r="L358" s="45">
        <f>(I358*Справочник_ОКВЭД_НР!$L$2+J358*Справочник_ОКВЭД_НР!$L$3+K358*Справочник_ОКВЭД_НР!$L$4)*M358</f>
        <v>0</v>
      </c>
      <c r="M358" s="47">
        <f>IF(COUNTIF(Справочник_ОКВЭД_НР!$G$3:$G$62,H358)&gt;0,0,1)</f>
        <v>0</v>
      </c>
    </row>
    <row r="359" spans="1:13" x14ac:dyDescent="0.25">
      <c r="A359" s="4">
        <f>ЛИК_дляСкорингаДП!A359</f>
        <v>1242100007181</v>
      </c>
      <c r="B359" s="4">
        <f>ЛИК_дляСкорингаДП!B359</f>
        <v>2100020149</v>
      </c>
      <c r="C359" s="4">
        <f>ЛИК_дляСкорингаДП!C359</f>
        <v>0</v>
      </c>
      <c r="D359" s="5" t="str">
        <f>ЛИК_дляСкорингаДП!M359</f>
        <v>Деятельность прочих общественных организаций и некоммерческих организаций, кроме религиозных и политических организаций</v>
      </c>
      <c r="E359" s="4" t="str">
        <f>ЛИК_дляСкорингаДП!L359</f>
        <v>94.99</v>
      </c>
      <c r="F359" t="str">
        <f>ЛИК_дляСкорингаДП!N359</f>
        <v>94.99.4,94.99.5,94.99.6,94.99.9</v>
      </c>
      <c r="G359" s="25" t="str">
        <f>ЛИК_дляСкорингаДП!AG359</f>
        <v>ОСН</v>
      </c>
      <c r="H359" s="55" t="str">
        <f>IF(ISNUMBER(E359),E359,
IFERROR(LEFT(E359,FIND(".",E359)-1),E359))</f>
        <v>94</v>
      </c>
      <c r="I359" s="30">
        <f>IF(COUNTIF(Справочник_ОКВЭД_НР!$A$3:$A$62,H359)&gt;0,Справочник_ОКВЭД_НР!$L$8,
 IF(COUNTIF(Справочник_ОКВЭД_НР!$C$3:$C$62,H359)&gt;0,Справочник_ОКВЭД_НР!$L$9,
  IF(COUNTIF(Справочник_ОКВЭД_НР!$E$3:$E$62,H359)&gt;0,Справочник_ОКВЭД_НР!$L$10,
   IF(COUNTIF(Справочник_ОКВЭД_НР!$G$3:$G$62,H359)&gt;0,Справочник_ОКВЭД_НР!$L$11,50))))</f>
        <v>0</v>
      </c>
      <c r="J359" s="30" cm="1">
        <f t="array" ref="J359">IFERROR(
 (SUMPRODUCT(ISNUMBER(SEARCH(","&amp;Справочник_ОКВЭД_НР!$A$3:$A$62&amp;".",","&amp;SUBSTITUTE(F359," ","")&amp;",")))*Справочник_ОКВЭД_НР!$L$9 +
  SUMPRODUCT(ISNUMBER(SEARCH(","&amp;Справочник_ОКВЭД_НР!$C$3:$C$62&amp;".",","&amp;SUBSTITUTE(F359," ","")&amp;",")))*Справочник_ОКВЭД_НР!$L$10 +
  SUMPRODUCT(ISNUMBER(SEARCH(","&amp;Справочник_ОКВЭД_НР!$E$3:$E$62&amp;".",","&amp;SUBSTITUTE(F359," ","")&amp;",")))*Справочник_ОКВЭД_НР!$L$11 +
  SUMPRODUCT(ISNUMBER(SEARCH(","&amp;Справочник_ОКВЭД_НР!$G$3:$G$62&amp;".",","&amp;SUBSTITUTE(F359," ","")&amp;",")))*Справочник_ОКВЭД_НР!$L$12) /
 (SUMPRODUCT(ISNUMBER(SEARCH(","&amp;Справочник_ОКВЭД_НР!$A$3:$A$62&amp;".",","&amp;SUBSTITUTE(F359," ","")&amp;","))) +
  SUMPRODUCT(ISNUMBER(SEARCH(","&amp;Справочник_ОКВЭД_НР!$C$3:$C$62&amp;".",","&amp;SUBSTITUTE(F359," ","")&amp;","))) +
  SUMPRODUCT(ISNUMBER(SEARCH(","&amp;Справочник_ОКВЭД_НР!$E$3:$E$62&amp;".",","&amp;SUBSTITUTE(F359," ","")&amp;","))) +
  SUMPRODUCT(ISNUMBER(SEARCH(","&amp;Справочник_ОКВЭД_НР!$G$3:$G$62&amp;".",","&amp;SUBSTITUTE(F359," ","")&amp;",")))),
50)</f>
        <v>50</v>
      </c>
      <c r="K359" s="30">
        <f>IFERROR(VLOOKUP(G359,Справочник_ОКВЭД_НР!$O:$P,2,FALSE()),50)</f>
        <v>100</v>
      </c>
      <c r="L359" s="45">
        <f>(I359*Справочник_ОКВЭД_НР!$L$2+J359*Справочник_ОКВЭД_НР!$L$3+K359*Справочник_ОКВЭД_НР!$L$4)*M359</f>
        <v>0</v>
      </c>
      <c r="M359" s="47">
        <f>IF(COUNTIF(Справочник_ОКВЭД_НР!$G$3:$G$62,H359)&gt;0,0,1)</f>
        <v>0</v>
      </c>
    </row>
    <row r="360" spans="1:13" x14ac:dyDescent="0.25">
      <c r="A360" s="4">
        <f>ЛИК_дляСкорингаДП!A360</f>
        <v>1232100006764</v>
      </c>
      <c r="B360" s="4">
        <f>ЛИК_дляСкорингаДП!B360</f>
        <v>2100010214</v>
      </c>
      <c r="C360" s="4" t="str">
        <f>ЛИК_дляСкорингаДП!C360</f>
        <v>ТСЖ "БЛАГОВЕЩЕНСКИЙ"</v>
      </c>
      <c r="D360" s="5" t="str">
        <f>ЛИК_дляСкорингаДП!M360</f>
        <v>Управление эксплуатацией жилого фонда за вознаграждение или на договорной основе</v>
      </c>
      <c r="E360" s="4" t="str">
        <f>ЛИК_дляСкорингаДП!L360</f>
        <v>68.32.1</v>
      </c>
      <c r="F360" t="str">
        <f>ЛИК_дляСкорингаДП!N360</f>
        <v>68.20,68.32</v>
      </c>
      <c r="G360" s="25" t="str">
        <f>ЛИК_дляСкорингаДП!AG360</f>
        <v>ОСН</v>
      </c>
      <c r="H360" s="55" t="str">
        <f>IF(ISNUMBER(E360),E360,
IFERROR(LEFT(E360,FIND(".",E360)-1),E360))</f>
        <v>68</v>
      </c>
      <c r="I360" s="30">
        <f>IF(COUNTIF(Справочник_ОКВЭД_НР!$A$3:$A$62,H360)&gt;0,Справочник_ОКВЭД_НР!$L$8,
 IF(COUNTIF(Справочник_ОКВЭД_НР!$C$3:$C$62,H360)&gt;0,Справочник_ОКВЭД_НР!$L$9,
  IF(COUNTIF(Справочник_ОКВЭД_НР!$E$3:$E$62,H360)&gt;0,Справочник_ОКВЭД_НР!$L$10,
   IF(COUNTIF(Справочник_ОКВЭД_НР!$G$3:$G$62,H360)&gt;0,Справочник_ОКВЭД_НР!$L$11,50))))</f>
        <v>100</v>
      </c>
      <c r="J360" s="30" cm="1">
        <f t="array" ref="J360">IFERROR(
 (SUMPRODUCT(ISNUMBER(SEARCH(","&amp;Справочник_ОКВЭД_НР!$A$3:$A$62&amp;".",","&amp;SUBSTITUTE(F360," ","")&amp;",")))*Справочник_ОКВЭД_НР!$L$9 +
  SUMPRODUCT(ISNUMBER(SEARCH(","&amp;Справочник_ОКВЭД_НР!$C$3:$C$62&amp;".",","&amp;SUBSTITUTE(F360," ","")&amp;",")))*Справочник_ОКВЭД_НР!$L$10 +
  SUMPRODUCT(ISNUMBER(SEARCH(","&amp;Справочник_ОКВЭД_НР!$E$3:$E$62&amp;".",","&amp;SUBSTITUTE(F360," ","")&amp;",")))*Справочник_ОКВЭД_НР!$L$11 +
  SUMPRODUCT(ISNUMBER(SEARCH(","&amp;Справочник_ОКВЭД_НР!$G$3:$G$62&amp;".",","&amp;SUBSTITUTE(F360," ","")&amp;",")))*Справочник_ОКВЭД_НР!$L$12) /
 (SUMPRODUCT(ISNUMBER(SEARCH(","&amp;Справочник_ОКВЭД_НР!$A$3:$A$62&amp;".",","&amp;SUBSTITUTE(F360," ","")&amp;","))) +
  SUMPRODUCT(ISNUMBER(SEARCH(","&amp;Справочник_ОКВЭД_НР!$C$3:$C$62&amp;".",","&amp;SUBSTITUTE(F360," ","")&amp;","))) +
  SUMPRODUCT(ISNUMBER(SEARCH(","&amp;Справочник_ОКВЭД_НР!$E$3:$E$62&amp;".",","&amp;SUBSTITUTE(F360," ","")&amp;","))) +
  SUMPRODUCT(ISNUMBER(SEARCH(","&amp;Справочник_ОКВЭД_НР!$G$3:$G$62&amp;".",","&amp;SUBSTITUTE(F360," ","")&amp;",")))),
50)</f>
        <v>50</v>
      </c>
      <c r="K360" s="30">
        <f>IFERROR(VLOOKUP(G360,Справочник_ОКВЭД_НР!$O:$P,2,FALSE()),50)</f>
        <v>100</v>
      </c>
      <c r="L360" s="45">
        <f>(I360*Справочник_ОКВЭД_НР!$L$2+J360*Справочник_ОКВЭД_НР!$L$3+K360*Справочник_ОКВЭД_НР!$L$4)*M360</f>
        <v>87.5</v>
      </c>
      <c r="M360" s="47">
        <f>IF(COUNTIF(Справочник_ОКВЭД_НР!$G$3:$G$62,H360)&gt;0,0,1)</f>
        <v>1</v>
      </c>
    </row>
    <row r="361" spans="1:13" x14ac:dyDescent="0.25">
      <c r="A361" s="4">
        <f>ЛИК_дляСкорингаДП!A361</f>
        <v>1222100004125</v>
      </c>
      <c r="B361" s="4">
        <f>ЛИК_дляСкорингаДП!B361</f>
        <v>2130232422</v>
      </c>
      <c r="C361" s="4" t="str">
        <f>ЛИК_дляСкорингаДП!C361</f>
        <v>ЧРОО РСМ "СМЧ"</v>
      </c>
      <c r="D361" s="5" t="str">
        <f>ЛИК_дляСкорингаДП!M361</f>
        <v>Деятельность прочих общественных организаций и некоммерческих организаций, кроме религиозных и политических организаций</v>
      </c>
      <c r="E361" s="4" t="str">
        <f>ЛИК_дляСкорингаДП!L361</f>
        <v>94.99</v>
      </c>
      <c r="F361" t="str">
        <f>ЛИК_дляСкорингаДП!N361</f>
        <v>58.11,58.19,63.11,63.99.1,73.20,82.30,85.41,85.42.9,88.99,90.01,90.02,90.04.2,93.19,93.29</v>
      </c>
      <c r="G361" s="25" t="str">
        <f>ЛИК_дляСкорингаДП!AG361</f>
        <v>ОСН</v>
      </c>
      <c r="H361" s="55" t="str">
        <f>IF(ISNUMBER(E361),E361,
IFERROR(LEFT(E361,FIND(".",E361)-1),E361))</f>
        <v>94</v>
      </c>
      <c r="I361" s="30">
        <f>IF(COUNTIF(Справочник_ОКВЭД_НР!$A$3:$A$62,H361)&gt;0,Справочник_ОКВЭД_НР!$L$8,
 IF(COUNTIF(Справочник_ОКВЭД_НР!$C$3:$C$62,H361)&gt;0,Справочник_ОКВЭД_НР!$L$9,
  IF(COUNTIF(Справочник_ОКВЭД_НР!$E$3:$E$62,H361)&gt;0,Справочник_ОКВЭД_НР!$L$10,
   IF(COUNTIF(Справочник_ОКВЭД_НР!$G$3:$G$62,H361)&gt;0,Справочник_ОКВЭД_НР!$L$11,50))))</f>
        <v>0</v>
      </c>
      <c r="J361" s="30" cm="1">
        <f t="array" ref="J361">IFERROR(
 (SUMPRODUCT(ISNUMBER(SEARCH(","&amp;Справочник_ОКВЭД_НР!$A$3:$A$62&amp;".",","&amp;SUBSTITUTE(F361," ","")&amp;",")))*Справочник_ОКВЭД_НР!$L$9 +
  SUMPRODUCT(ISNUMBER(SEARCH(","&amp;Справочник_ОКВЭД_НР!$C$3:$C$62&amp;".",","&amp;SUBSTITUTE(F361," ","")&amp;",")))*Справочник_ОКВЭД_НР!$L$10 +
  SUMPRODUCT(ISNUMBER(SEARCH(","&amp;Справочник_ОКВЭД_НР!$E$3:$E$62&amp;".",","&amp;SUBSTITUTE(F361," ","")&amp;",")))*Справочник_ОКВЭД_НР!$L$11 +
  SUMPRODUCT(ISNUMBER(SEARCH(","&amp;Справочник_ОКВЭД_НР!$G$3:$G$62&amp;".",","&amp;SUBSTITUTE(F361," ","")&amp;",")))*Справочник_ОКВЭД_НР!$L$12) /
 (SUMPRODUCT(ISNUMBER(SEARCH(","&amp;Справочник_ОКВЭД_НР!$A$3:$A$62&amp;".",","&amp;SUBSTITUTE(F361," ","")&amp;","))) +
  SUMPRODUCT(ISNUMBER(SEARCH(","&amp;Справочник_ОКВЭД_НР!$C$3:$C$62&amp;".",","&amp;SUBSTITUTE(F361," ","")&amp;","))) +
  SUMPRODUCT(ISNUMBER(SEARCH(","&amp;Справочник_ОКВЭД_НР!$E$3:$E$62&amp;".",","&amp;SUBSTITUTE(F361," ","")&amp;","))) +
  SUMPRODUCT(ISNUMBER(SEARCH(","&amp;Справочник_ОКВЭД_НР!$G$3:$G$62&amp;".",","&amp;SUBSTITUTE(F361," ","")&amp;",")))),
50)</f>
        <v>50</v>
      </c>
      <c r="K361" s="30">
        <f>IFERROR(VLOOKUP(G361,Справочник_ОКВЭД_НР!$O:$P,2,FALSE()),50)</f>
        <v>100</v>
      </c>
      <c r="L361" s="45">
        <f>(I361*Справочник_ОКВЭД_НР!$L$2+J361*Справочник_ОКВЭД_НР!$L$3+K361*Справочник_ОКВЭД_НР!$L$4)*M361</f>
        <v>0</v>
      </c>
      <c r="M361" s="47">
        <f>IF(COUNTIF(Справочник_ОКВЭД_НР!$G$3:$G$62,H361)&gt;0,0,1)</f>
        <v>0</v>
      </c>
    </row>
    <row r="362" spans="1:13" x14ac:dyDescent="0.25">
      <c r="A362" s="4">
        <f>ЛИК_дляСкорингаДП!A362</f>
        <v>1222100004114</v>
      </c>
      <c r="B362" s="4">
        <f>ЛИК_дляСкорингаДП!B362</f>
        <v>2130232415</v>
      </c>
      <c r="C362" s="4" t="str">
        <f>ЛИК_дляСкорингаДП!C362</f>
        <v>МО ЧГО ООО "РОССИЙСКИЙ КРАСНЫЙ КРЕСТ"</v>
      </c>
      <c r="D362" s="5" t="str">
        <f>ЛИК_дляСкорингаДП!M362</f>
        <v>Деятельность в области медицины прочая, не включенная в другие группировки</v>
      </c>
      <c r="E362" s="4" t="str">
        <f>ЛИК_дляСкорингаДП!L362</f>
        <v>86.90.9</v>
      </c>
      <c r="F362" t="str">
        <f>ЛИК_дляСкорингаДП!N362</f>
        <v>85.30,85.41,85.41.2,85.41.9,85.42.9,86.90,86.90.3,86.90.4,87.10,87.20,87.30,87.90,88.10,88.91,88.99,90.01,90.02,90.03,90.04,93.29.9,94.99</v>
      </c>
      <c r="G362" s="25" t="str">
        <f>ЛИК_дляСкорингаДП!AG362</f>
        <v>ОСН</v>
      </c>
      <c r="H362" s="55" t="str">
        <f>IF(ISNUMBER(E362),E362,
IFERROR(LEFT(E362,FIND(".",E362)-1),E362))</f>
        <v>86</v>
      </c>
      <c r="I362" s="30">
        <f>IF(COUNTIF(Справочник_ОКВЭД_НР!$A$3:$A$62,H362)&gt;0,Справочник_ОКВЭД_НР!$L$8,
 IF(COUNTIF(Справочник_ОКВЭД_НР!$C$3:$C$62,H362)&gt;0,Справочник_ОКВЭД_НР!$L$9,
  IF(COUNTIF(Справочник_ОКВЭД_НР!$E$3:$E$62,H362)&gt;0,Справочник_ОКВЭД_НР!$L$10,
   IF(COUNTIF(Справочник_ОКВЭД_НР!$G$3:$G$62,H362)&gt;0,Справочник_ОКВЭД_НР!$L$11,50))))</f>
        <v>100</v>
      </c>
      <c r="J362" s="30" cm="1">
        <f t="array" ref="J362">IFERROR(
 (SUMPRODUCT(ISNUMBER(SEARCH(","&amp;Справочник_ОКВЭД_НР!$A$3:$A$62&amp;".",","&amp;SUBSTITUTE(F362," ","")&amp;",")))*Справочник_ОКВЭД_НР!$L$9 +
  SUMPRODUCT(ISNUMBER(SEARCH(","&amp;Справочник_ОКВЭД_НР!$C$3:$C$62&amp;".",","&amp;SUBSTITUTE(F362," ","")&amp;",")))*Справочник_ОКВЭД_НР!$L$10 +
  SUMPRODUCT(ISNUMBER(SEARCH(","&amp;Справочник_ОКВЭД_НР!$E$3:$E$62&amp;".",","&amp;SUBSTITUTE(F362," ","")&amp;",")))*Справочник_ОКВЭД_НР!$L$11 +
  SUMPRODUCT(ISNUMBER(SEARCH(","&amp;Справочник_ОКВЭД_НР!$G$3:$G$62&amp;".",","&amp;SUBSTITUTE(F362," ","")&amp;",")))*Справочник_ОКВЭД_НР!$L$12) /
 (SUMPRODUCT(ISNUMBER(SEARCH(","&amp;Справочник_ОКВЭД_НР!$A$3:$A$62&amp;".",","&amp;SUBSTITUTE(F362," ","")&amp;","))) +
  SUMPRODUCT(ISNUMBER(SEARCH(","&amp;Справочник_ОКВЭД_НР!$C$3:$C$62&amp;".",","&amp;SUBSTITUTE(F362," ","")&amp;","))) +
  SUMPRODUCT(ISNUMBER(SEARCH(","&amp;Справочник_ОКВЭД_НР!$E$3:$E$62&amp;".",","&amp;SUBSTITUTE(F362," ","")&amp;","))) +
  SUMPRODUCT(ISNUMBER(SEARCH(","&amp;Справочник_ОКВЭД_НР!$G$3:$G$62&amp;".",","&amp;SUBSTITUTE(F362," ","")&amp;",")))),
50)</f>
        <v>50</v>
      </c>
      <c r="K362" s="30">
        <f>IFERROR(VLOOKUP(G362,Справочник_ОКВЭД_НР!$O:$P,2,FALSE()),50)</f>
        <v>100</v>
      </c>
      <c r="L362" s="45">
        <f>(I362*Справочник_ОКВЭД_НР!$L$2+J362*Справочник_ОКВЭД_НР!$L$3+K362*Справочник_ОКВЭД_НР!$L$4)*M362</f>
        <v>87.5</v>
      </c>
      <c r="M362" s="47">
        <f>IF(COUNTIF(Справочник_ОКВЭД_НР!$G$3:$G$62,H362)&gt;0,0,1)</f>
        <v>1</v>
      </c>
    </row>
    <row r="363" spans="1:13" x14ac:dyDescent="0.25">
      <c r="A363" s="4">
        <f>ЛИК_дляСкорингаДП!A363</f>
        <v>1222100009801</v>
      </c>
      <c r="B363" s="4">
        <f>ЛИК_дляСкорингаДП!B363</f>
        <v>2100003344</v>
      </c>
      <c r="C363" s="4" t="str">
        <f>ЛИК_дляСкорингаДП!C363</f>
        <v>УБИРТ АДМИНИСТРАЦИИ БАТЫРЕВСКОГО МУНИЦИПАЛЬНОГО ОКРУГА</v>
      </c>
      <c r="D363" s="5" t="str">
        <f>ЛИК_дляСкорингаДП!M363</f>
        <v>Деятельность органов местного самоуправления муниципальных округов</v>
      </c>
      <c r="E363" s="4" t="str">
        <f>ЛИК_дляСкорингаДП!L363</f>
        <v>84.11.34</v>
      </c>
      <c r="F363" t="str">
        <f>ЛИК_дляСкорингаДП!N363</f>
        <v>84.11.3</v>
      </c>
      <c r="G363" s="25" t="str">
        <f>ЛИК_дляСкорингаДП!AG363</f>
        <v>ОСН</v>
      </c>
      <c r="H363" s="55" t="str">
        <f>IF(ISNUMBER(E363),E363,
IFERROR(LEFT(E363,FIND(".",E363)-1),E363))</f>
        <v>84</v>
      </c>
      <c r="I363" s="30">
        <f>IF(COUNTIF(Справочник_ОКВЭД_НР!$A$3:$A$62,H363)&gt;0,Справочник_ОКВЭД_НР!$L$8,
 IF(COUNTIF(Справочник_ОКВЭД_НР!$C$3:$C$62,H363)&gt;0,Справочник_ОКВЭД_НР!$L$9,
  IF(COUNTIF(Справочник_ОКВЭД_НР!$E$3:$E$62,H363)&gt;0,Справочник_ОКВЭД_НР!$L$10,
   IF(COUNTIF(Справочник_ОКВЭД_НР!$G$3:$G$62,H363)&gt;0,Справочник_ОКВЭД_НР!$L$11,50))))</f>
        <v>0</v>
      </c>
      <c r="J363" s="30" cm="1">
        <f t="array" ref="J363">IFERROR(
 (SUMPRODUCT(ISNUMBER(SEARCH(","&amp;Справочник_ОКВЭД_НР!$A$3:$A$62&amp;".",","&amp;SUBSTITUTE(F363," ","")&amp;",")))*Справочник_ОКВЭД_НР!$L$9 +
  SUMPRODUCT(ISNUMBER(SEARCH(","&amp;Справочник_ОКВЭД_НР!$C$3:$C$62&amp;".",","&amp;SUBSTITUTE(F363," ","")&amp;",")))*Справочник_ОКВЭД_НР!$L$10 +
  SUMPRODUCT(ISNUMBER(SEARCH(","&amp;Справочник_ОКВЭД_НР!$E$3:$E$62&amp;".",","&amp;SUBSTITUTE(F363," ","")&amp;",")))*Справочник_ОКВЭД_НР!$L$11 +
  SUMPRODUCT(ISNUMBER(SEARCH(","&amp;Справочник_ОКВЭД_НР!$G$3:$G$62&amp;".",","&amp;SUBSTITUTE(F363," ","")&amp;",")))*Справочник_ОКВЭД_НР!$L$12) /
 (SUMPRODUCT(ISNUMBER(SEARCH(","&amp;Справочник_ОКВЭД_НР!$A$3:$A$62&amp;".",","&amp;SUBSTITUTE(F363," ","")&amp;","))) +
  SUMPRODUCT(ISNUMBER(SEARCH(","&amp;Справочник_ОКВЭД_НР!$C$3:$C$62&amp;".",","&amp;SUBSTITUTE(F363," ","")&amp;","))) +
  SUMPRODUCT(ISNUMBER(SEARCH(","&amp;Справочник_ОКВЭД_НР!$E$3:$E$62&amp;".",","&amp;SUBSTITUTE(F363," ","")&amp;","))) +
  SUMPRODUCT(ISNUMBER(SEARCH(","&amp;Справочник_ОКВЭД_НР!$G$3:$G$62&amp;".",","&amp;SUBSTITUTE(F363," ","")&amp;",")))),
50)</f>
        <v>50</v>
      </c>
      <c r="K363" s="30">
        <f>IFERROR(VLOOKUP(G363,Справочник_ОКВЭД_НР!$O:$P,2,FALSE()),50)</f>
        <v>100</v>
      </c>
      <c r="L363" s="45">
        <f>(I363*Справочник_ОКВЭД_НР!$L$2+J363*Справочник_ОКВЭД_НР!$L$3+K363*Справочник_ОКВЭД_НР!$L$4)*M363</f>
        <v>0</v>
      </c>
      <c r="M363" s="47">
        <f>IF(COUNTIF(Справочник_ОКВЭД_НР!$G$3:$G$62,H363)&gt;0,0,1)</f>
        <v>0</v>
      </c>
    </row>
    <row r="364" spans="1:13" x14ac:dyDescent="0.25">
      <c r="A364" s="4">
        <f>ЛИК_дляСкорингаДП!A364</f>
        <v>1222100009812</v>
      </c>
      <c r="B364" s="4">
        <f>ЛИК_дляСкорингаДП!B364</f>
        <v>2100003351</v>
      </c>
      <c r="C364" s="4" t="str">
        <f>ЛИК_дляСкорингаДП!C364</f>
        <v>АНО ДО "ЦЕНТР "ПЕРСПЕКТИВА-Ч"</v>
      </c>
      <c r="D364" s="5" t="str">
        <f>ЛИК_дляСкорингаДП!M364</f>
        <v>Образование дополнительное детей и взрослых</v>
      </c>
      <c r="E364" s="4" t="str">
        <f>ЛИК_дляСкорингаДП!L364</f>
        <v>85.41</v>
      </c>
      <c r="F364" t="str">
        <f>ЛИК_дляСкорингаДП!N364</f>
        <v>62.02,68.20,72.19,74.10,85.30</v>
      </c>
      <c r="G364" s="25" t="str">
        <f>ЛИК_дляСкорингаДП!AG364</f>
        <v>ОСН</v>
      </c>
      <c r="H364" s="55" t="str">
        <f>IF(ISNUMBER(E364),E364,
IFERROR(LEFT(E364,FIND(".",E364)-1),E364))</f>
        <v>85</v>
      </c>
      <c r="I364" s="30">
        <f>IF(COUNTIF(Справочник_ОКВЭД_НР!$A$3:$A$62,H364)&gt;0,Справочник_ОКВЭД_НР!$L$8,
 IF(COUNTIF(Справочник_ОКВЭД_НР!$C$3:$C$62,H364)&gt;0,Справочник_ОКВЭД_НР!$L$9,
  IF(COUNTIF(Справочник_ОКВЭД_НР!$E$3:$E$62,H364)&gt;0,Справочник_ОКВЭД_НР!$L$10,
   IF(COUNTIF(Справочник_ОКВЭД_НР!$G$3:$G$62,H364)&gt;0,Справочник_ОКВЭД_НР!$L$11,50))))</f>
        <v>30</v>
      </c>
      <c r="J364" s="30" cm="1">
        <f t="array" ref="J364">IFERROR(
 (SUMPRODUCT(ISNUMBER(SEARCH(","&amp;Справочник_ОКВЭД_НР!$A$3:$A$62&amp;".",","&amp;SUBSTITUTE(F364," ","")&amp;",")))*Справочник_ОКВЭД_НР!$L$9 +
  SUMPRODUCT(ISNUMBER(SEARCH(","&amp;Справочник_ОКВЭД_НР!$C$3:$C$62&amp;".",","&amp;SUBSTITUTE(F364," ","")&amp;",")))*Справочник_ОКВЭД_НР!$L$10 +
  SUMPRODUCT(ISNUMBER(SEARCH(","&amp;Справочник_ОКВЭД_НР!$E$3:$E$62&amp;".",","&amp;SUBSTITUTE(F364," ","")&amp;",")))*Справочник_ОКВЭД_НР!$L$11 +
  SUMPRODUCT(ISNUMBER(SEARCH(","&amp;Справочник_ОКВЭД_НР!$G$3:$G$62&amp;".",","&amp;SUBSTITUTE(F364," ","")&amp;",")))*Справочник_ОКВЭД_НР!$L$12) /
 (SUMPRODUCT(ISNUMBER(SEARCH(","&amp;Справочник_ОКВЭД_НР!$A$3:$A$62&amp;".",","&amp;SUBSTITUTE(F364," ","")&amp;","))) +
  SUMPRODUCT(ISNUMBER(SEARCH(","&amp;Справочник_ОКВЭД_НР!$C$3:$C$62&amp;".",","&amp;SUBSTITUTE(F364," ","")&amp;","))) +
  SUMPRODUCT(ISNUMBER(SEARCH(","&amp;Справочник_ОКВЭД_НР!$E$3:$E$62&amp;".",","&amp;SUBSTITUTE(F364," ","")&amp;","))) +
  SUMPRODUCT(ISNUMBER(SEARCH(","&amp;Справочник_ОКВЭД_НР!$G$3:$G$62&amp;".",","&amp;SUBSTITUTE(F364," ","")&amp;",")))),
50)</f>
        <v>50</v>
      </c>
      <c r="K364" s="30">
        <f>IFERROR(VLOOKUP(G364,Справочник_ОКВЭД_НР!$O:$P,2,FALSE()),50)</f>
        <v>100</v>
      </c>
      <c r="L364" s="45">
        <f>(I364*Справочник_ОКВЭД_НР!$L$2+J364*Справочник_ОКВЭД_НР!$L$3+K364*Справочник_ОКВЭД_НР!$L$4)*M364</f>
        <v>45.5</v>
      </c>
      <c r="M364" s="47">
        <f>IF(COUNTIF(Справочник_ОКВЭД_НР!$G$3:$G$62,H364)&gt;0,0,1)</f>
        <v>1</v>
      </c>
    </row>
    <row r="365" spans="1:13" x14ac:dyDescent="0.25">
      <c r="A365" s="4">
        <f>ЛИК_дляСкорингаДП!A365</f>
        <v>1222100008657</v>
      </c>
      <c r="B365" s="4">
        <f>ЛИК_дляСкорингаДП!B365</f>
        <v>2100002196</v>
      </c>
      <c r="C365" s="4" t="str">
        <f>ЛИК_дляСкорингаДП!C365</f>
        <v>АДМИНИСТРАЦИЯ ЯДРИНСКОГО МУНИЦИПАЛЬНОГО ОКРУГА</v>
      </c>
      <c r="D365" s="5" t="str">
        <f>ЛИК_дляСкорингаДП!M365</f>
        <v>Деятельность органов местного самоуправления муниципальных округов</v>
      </c>
      <c r="E365" s="4" t="str">
        <f>ЛИК_дляСкорингаДП!L365</f>
        <v>84.11.34</v>
      </c>
      <c r="F365" t="str">
        <f>ЛИК_дляСкорингаДП!N365</f>
        <v>84.22</v>
      </c>
      <c r="G365" s="25" t="str">
        <f>ЛИК_дляСкорингаДП!AG365</f>
        <v>ОСН</v>
      </c>
      <c r="H365" s="55" t="str">
        <f>IF(ISNUMBER(E365),E365,
IFERROR(LEFT(E365,FIND(".",E365)-1),E365))</f>
        <v>84</v>
      </c>
      <c r="I365" s="30">
        <f>IF(COUNTIF(Справочник_ОКВЭД_НР!$A$3:$A$62,H365)&gt;0,Справочник_ОКВЭД_НР!$L$8,
 IF(COUNTIF(Справочник_ОКВЭД_НР!$C$3:$C$62,H365)&gt;0,Справочник_ОКВЭД_НР!$L$9,
  IF(COUNTIF(Справочник_ОКВЭД_НР!$E$3:$E$62,H365)&gt;0,Справочник_ОКВЭД_НР!$L$10,
   IF(COUNTIF(Справочник_ОКВЭД_НР!$G$3:$G$62,H365)&gt;0,Справочник_ОКВЭД_НР!$L$11,50))))</f>
        <v>0</v>
      </c>
      <c r="J365" s="30" cm="1">
        <f t="array" ref="J365">IFERROR(
 (SUMPRODUCT(ISNUMBER(SEARCH(","&amp;Справочник_ОКВЭД_НР!$A$3:$A$62&amp;".",","&amp;SUBSTITUTE(F365," ","")&amp;",")))*Справочник_ОКВЭД_НР!$L$9 +
  SUMPRODUCT(ISNUMBER(SEARCH(","&amp;Справочник_ОКВЭД_НР!$C$3:$C$62&amp;".",","&amp;SUBSTITUTE(F365," ","")&amp;",")))*Справочник_ОКВЭД_НР!$L$10 +
  SUMPRODUCT(ISNUMBER(SEARCH(","&amp;Справочник_ОКВЭД_НР!$E$3:$E$62&amp;".",","&amp;SUBSTITUTE(F365," ","")&amp;",")))*Справочник_ОКВЭД_НР!$L$11 +
  SUMPRODUCT(ISNUMBER(SEARCH(","&amp;Справочник_ОКВЭД_НР!$G$3:$G$62&amp;".",","&amp;SUBSTITUTE(F365," ","")&amp;",")))*Справочник_ОКВЭД_НР!$L$12) /
 (SUMPRODUCT(ISNUMBER(SEARCH(","&amp;Справочник_ОКВЭД_НР!$A$3:$A$62&amp;".",","&amp;SUBSTITUTE(F365," ","")&amp;","))) +
  SUMPRODUCT(ISNUMBER(SEARCH(","&amp;Справочник_ОКВЭД_НР!$C$3:$C$62&amp;".",","&amp;SUBSTITUTE(F365," ","")&amp;","))) +
  SUMPRODUCT(ISNUMBER(SEARCH(","&amp;Справочник_ОКВЭД_НР!$E$3:$E$62&amp;".",","&amp;SUBSTITUTE(F365," ","")&amp;","))) +
  SUMPRODUCT(ISNUMBER(SEARCH(","&amp;Справочник_ОКВЭД_НР!$G$3:$G$62&amp;".",","&amp;SUBSTITUTE(F365," ","")&amp;",")))),
50)</f>
        <v>50</v>
      </c>
      <c r="K365" s="30">
        <f>IFERROR(VLOOKUP(G365,Справочник_ОКВЭД_НР!$O:$P,2,FALSE()),50)</f>
        <v>100</v>
      </c>
      <c r="L365" s="45">
        <f>(I365*Справочник_ОКВЭД_НР!$L$2+J365*Справочник_ОКВЭД_НР!$L$3+K365*Справочник_ОКВЭД_НР!$L$4)*M365</f>
        <v>0</v>
      </c>
      <c r="M365" s="47">
        <f>IF(COUNTIF(Справочник_ОКВЭД_НР!$G$3:$G$62,H365)&gt;0,0,1)</f>
        <v>0</v>
      </c>
    </row>
    <row r="366" spans="1:13" x14ac:dyDescent="0.25">
      <c r="A366" s="4">
        <f>ЛИК_дляСкорингаДП!A366</f>
        <v>1222100008646</v>
      </c>
      <c r="B366" s="4">
        <f>ЛИК_дляСкорингаДП!B366</f>
        <v>2100002171</v>
      </c>
      <c r="C366" s="4" t="str">
        <f>ЛИК_дляСкорингаДП!C366</f>
        <v>СОБРАНИЕ ДЕПУТАТОВ ВУРНАРСКОГО МУНИЦИПАЛЬНОГО ОКРУГА</v>
      </c>
      <c r="D366" s="5" t="str">
        <f>ЛИК_дляСкорингаДП!M366</f>
        <v>Деятельность органов местного самоуправления муниципальных округов</v>
      </c>
      <c r="E366" s="4" t="str">
        <f>ЛИК_дляСкорингаДП!L366</f>
        <v>84.11.34</v>
      </c>
      <c r="F366">
        <f>ЛИК_дляСкорингаДП!N366</f>
        <v>0</v>
      </c>
      <c r="G366" s="25" t="str">
        <f>ЛИК_дляСкорингаДП!AG366</f>
        <v>ОСН</v>
      </c>
      <c r="H366" s="55" t="str">
        <f>IF(ISNUMBER(E366),E366,
IFERROR(LEFT(E366,FIND(".",E366)-1),E366))</f>
        <v>84</v>
      </c>
      <c r="I366" s="30">
        <f>IF(COUNTIF(Справочник_ОКВЭД_НР!$A$3:$A$62,H366)&gt;0,Справочник_ОКВЭД_НР!$L$8,
 IF(COUNTIF(Справочник_ОКВЭД_НР!$C$3:$C$62,H366)&gt;0,Справочник_ОКВЭД_НР!$L$9,
  IF(COUNTIF(Справочник_ОКВЭД_НР!$E$3:$E$62,H366)&gt;0,Справочник_ОКВЭД_НР!$L$10,
   IF(COUNTIF(Справочник_ОКВЭД_НР!$G$3:$G$62,H366)&gt;0,Справочник_ОКВЭД_НР!$L$11,50))))</f>
        <v>0</v>
      </c>
      <c r="J366" s="30" cm="1">
        <f t="array" ref="J366">IFERROR(
 (SUMPRODUCT(ISNUMBER(SEARCH(","&amp;Справочник_ОКВЭД_НР!$A$3:$A$62&amp;".",","&amp;SUBSTITUTE(F366," ","")&amp;",")))*Справочник_ОКВЭД_НР!$L$9 +
  SUMPRODUCT(ISNUMBER(SEARCH(","&amp;Справочник_ОКВЭД_НР!$C$3:$C$62&amp;".",","&amp;SUBSTITUTE(F366," ","")&amp;",")))*Справочник_ОКВЭД_НР!$L$10 +
  SUMPRODUCT(ISNUMBER(SEARCH(","&amp;Справочник_ОКВЭД_НР!$E$3:$E$62&amp;".",","&amp;SUBSTITUTE(F366," ","")&amp;",")))*Справочник_ОКВЭД_НР!$L$11 +
  SUMPRODUCT(ISNUMBER(SEARCH(","&amp;Справочник_ОКВЭД_НР!$G$3:$G$62&amp;".",","&amp;SUBSTITUTE(F366," ","")&amp;",")))*Справочник_ОКВЭД_НР!$L$12) /
 (SUMPRODUCT(ISNUMBER(SEARCH(","&amp;Справочник_ОКВЭД_НР!$A$3:$A$62&amp;".",","&amp;SUBSTITUTE(F366," ","")&amp;","))) +
  SUMPRODUCT(ISNUMBER(SEARCH(","&amp;Справочник_ОКВЭД_НР!$C$3:$C$62&amp;".",","&amp;SUBSTITUTE(F366," ","")&amp;","))) +
  SUMPRODUCT(ISNUMBER(SEARCH(","&amp;Справочник_ОКВЭД_НР!$E$3:$E$62&amp;".",","&amp;SUBSTITUTE(F366," ","")&amp;","))) +
  SUMPRODUCT(ISNUMBER(SEARCH(","&amp;Справочник_ОКВЭД_НР!$G$3:$G$62&amp;".",","&amp;SUBSTITUTE(F366," ","")&amp;",")))),
50)</f>
        <v>50</v>
      </c>
      <c r="K366" s="30">
        <f>IFERROR(VLOOKUP(G366,Справочник_ОКВЭД_НР!$O:$P,2,FALSE()),50)</f>
        <v>100</v>
      </c>
      <c r="L366" s="45">
        <f>(I366*Справочник_ОКВЭД_НР!$L$2+J366*Справочник_ОКВЭД_НР!$L$3+K366*Справочник_ОКВЭД_НР!$L$4)*M366</f>
        <v>0</v>
      </c>
      <c r="M366" s="47">
        <f>IF(COUNTIF(Справочник_ОКВЭД_НР!$G$3:$G$62,H366)&gt;0,0,1)</f>
        <v>0</v>
      </c>
    </row>
    <row r="367" spans="1:13" x14ac:dyDescent="0.25">
      <c r="A367" s="4">
        <f>ЛИК_дляСкорингаДП!A367</f>
        <v>1112100000540</v>
      </c>
      <c r="B367" s="4">
        <f>ЛИК_дляСкорингаДП!B367</f>
        <v>2130998249</v>
      </c>
      <c r="C367" s="4" t="str">
        <f>ЛИК_дляСкорингаДП!C367</f>
        <v>РФСОО "СОЮЗ ТХЭКВОНДО ЧУВАШИИ"</v>
      </c>
      <c r="D367" s="5" t="str">
        <f>ЛИК_дляСкорингаДП!M367</f>
        <v>Деятельность в области спорта прочая</v>
      </c>
      <c r="E367" s="4" t="str">
        <f>ЛИК_дляСкорингаДП!L367</f>
        <v>93.19</v>
      </c>
      <c r="F367">
        <f>ЛИК_дляСкорингаДП!N367</f>
        <v>0</v>
      </c>
      <c r="G367" s="25" t="str">
        <f>ЛИК_дляСкорингаДП!AG367</f>
        <v>ОСН</v>
      </c>
      <c r="H367" s="55" t="str">
        <f>IF(ISNUMBER(E367),E367,
IFERROR(LEFT(E367,FIND(".",E367)-1),E367))</f>
        <v>93</v>
      </c>
      <c r="I367" s="30">
        <f>IF(COUNTIF(Справочник_ОКВЭД_НР!$A$3:$A$62,H367)&gt;0,Справочник_ОКВЭД_НР!$L$8,
 IF(COUNTIF(Справочник_ОКВЭД_НР!$C$3:$C$62,H367)&gt;0,Справочник_ОКВЭД_НР!$L$9,
  IF(COUNTIF(Справочник_ОКВЭД_НР!$E$3:$E$62,H367)&gt;0,Справочник_ОКВЭД_НР!$L$10,
   IF(COUNTIF(Справочник_ОКВЭД_НР!$G$3:$G$62,H367)&gt;0,Справочник_ОКВЭД_НР!$L$11,50))))</f>
        <v>30</v>
      </c>
      <c r="J367" s="30" cm="1">
        <f t="array" ref="J367">IFERROR(
 (SUMPRODUCT(ISNUMBER(SEARCH(","&amp;Справочник_ОКВЭД_НР!$A$3:$A$62&amp;".",","&amp;SUBSTITUTE(F367," ","")&amp;",")))*Справочник_ОКВЭД_НР!$L$9 +
  SUMPRODUCT(ISNUMBER(SEARCH(","&amp;Справочник_ОКВЭД_НР!$C$3:$C$62&amp;".",","&amp;SUBSTITUTE(F367," ","")&amp;",")))*Справочник_ОКВЭД_НР!$L$10 +
  SUMPRODUCT(ISNUMBER(SEARCH(","&amp;Справочник_ОКВЭД_НР!$E$3:$E$62&amp;".",","&amp;SUBSTITUTE(F367," ","")&amp;",")))*Справочник_ОКВЭД_НР!$L$11 +
  SUMPRODUCT(ISNUMBER(SEARCH(","&amp;Справочник_ОКВЭД_НР!$G$3:$G$62&amp;".",","&amp;SUBSTITUTE(F367," ","")&amp;",")))*Справочник_ОКВЭД_НР!$L$12) /
 (SUMPRODUCT(ISNUMBER(SEARCH(","&amp;Справочник_ОКВЭД_НР!$A$3:$A$62&amp;".",","&amp;SUBSTITUTE(F367," ","")&amp;","))) +
  SUMPRODUCT(ISNUMBER(SEARCH(","&amp;Справочник_ОКВЭД_НР!$C$3:$C$62&amp;".",","&amp;SUBSTITUTE(F367," ","")&amp;","))) +
  SUMPRODUCT(ISNUMBER(SEARCH(","&amp;Справочник_ОКВЭД_НР!$E$3:$E$62&amp;".",","&amp;SUBSTITUTE(F367," ","")&amp;","))) +
  SUMPRODUCT(ISNUMBER(SEARCH(","&amp;Справочник_ОКВЭД_НР!$G$3:$G$62&amp;".",","&amp;SUBSTITUTE(F367," ","")&amp;",")))),
50)</f>
        <v>50</v>
      </c>
      <c r="K367" s="30">
        <f>IFERROR(VLOOKUP(G367,Справочник_ОКВЭД_НР!$O:$P,2,FALSE()),50)</f>
        <v>100</v>
      </c>
      <c r="L367" s="45">
        <f>(I367*Справочник_ОКВЭД_НР!$L$2+J367*Справочник_ОКВЭД_НР!$L$3+K367*Справочник_ОКВЭД_НР!$L$4)*M367</f>
        <v>45.5</v>
      </c>
      <c r="M367" s="47">
        <f>IF(COUNTIF(Справочник_ОКВЭД_НР!$G$3:$G$62,H367)&gt;0,0,1)</f>
        <v>1</v>
      </c>
    </row>
    <row r="368" spans="1:13" x14ac:dyDescent="0.25">
      <c r="A368" s="4">
        <f>ЛИК_дляСкорингаДП!A368</f>
        <v>1242100007313</v>
      </c>
      <c r="B368" s="4">
        <f>ЛИК_дляСкорингаДП!B368</f>
        <v>2100020276</v>
      </c>
      <c r="C368" s="4" t="str">
        <f>ЛИК_дляСкорингаДП!C368</f>
        <v>РФСОО "ФЕДЕРАЦИЯ ПАДЕЛ ЧР"</v>
      </c>
      <c r="D368" s="5" t="str">
        <f>ЛИК_дляСкорингаДП!M368</f>
        <v>Деятельность в области спорта прочая</v>
      </c>
      <c r="E368" s="4" t="str">
        <f>ЛИК_дляСкорингаДП!L368</f>
        <v>93.19</v>
      </c>
      <c r="F368" t="str">
        <f>ЛИК_дляСкорингаДП!N368</f>
        <v>58.11,58.14,93.11,94.99</v>
      </c>
      <c r="G368" s="25" t="str">
        <f>ЛИК_дляСкорингаДП!AG368</f>
        <v>ОСН</v>
      </c>
      <c r="H368" s="55" t="str">
        <f>IF(ISNUMBER(E368),E368,
IFERROR(LEFT(E368,FIND(".",E368)-1),E368))</f>
        <v>93</v>
      </c>
      <c r="I368" s="30">
        <f>IF(COUNTIF(Справочник_ОКВЭД_НР!$A$3:$A$62,H368)&gt;0,Справочник_ОКВЭД_НР!$L$8,
 IF(COUNTIF(Справочник_ОКВЭД_НР!$C$3:$C$62,H368)&gt;0,Справочник_ОКВЭД_НР!$L$9,
  IF(COUNTIF(Справочник_ОКВЭД_НР!$E$3:$E$62,H368)&gt;0,Справочник_ОКВЭД_НР!$L$10,
   IF(COUNTIF(Справочник_ОКВЭД_НР!$G$3:$G$62,H368)&gt;0,Справочник_ОКВЭД_НР!$L$11,50))))</f>
        <v>30</v>
      </c>
      <c r="J368" s="30" cm="1">
        <f t="array" ref="J368">IFERROR(
 (SUMPRODUCT(ISNUMBER(SEARCH(","&amp;Справочник_ОКВЭД_НР!$A$3:$A$62&amp;".",","&amp;SUBSTITUTE(F368," ","")&amp;",")))*Справочник_ОКВЭД_НР!$L$9 +
  SUMPRODUCT(ISNUMBER(SEARCH(","&amp;Справочник_ОКВЭД_НР!$C$3:$C$62&amp;".",","&amp;SUBSTITUTE(F368," ","")&amp;",")))*Справочник_ОКВЭД_НР!$L$10 +
  SUMPRODUCT(ISNUMBER(SEARCH(","&amp;Справочник_ОКВЭД_НР!$E$3:$E$62&amp;".",","&amp;SUBSTITUTE(F368," ","")&amp;",")))*Справочник_ОКВЭД_НР!$L$11 +
  SUMPRODUCT(ISNUMBER(SEARCH(","&amp;Справочник_ОКВЭД_НР!$G$3:$G$62&amp;".",","&amp;SUBSTITUTE(F368," ","")&amp;",")))*Справочник_ОКВЭД_НР!$L$12) /
 (SUMPRODUCT(ISNUMBER(SEARCH(","&amp;Справочник_ОКВЭД_НР!$A$3:$A$62&amp;".",","&amp;SUBSTITUTE(F368," ","")&amp;","))) +
  SUMPRODUCT(ISNUMBER(SEARCH(","&amp;Справочник_ОКВЭД_НР!$C$3:$C$62&amp;".",","&amp;SUBSTITUTE(F368," ","")&amp;","))) +
  SUMPRODUCT(ISNUMBER(SEARCH(","&amp;Справочник_ОКВЭД_НР!$E$3:$E$62&amp;".",","&amp;SUBSTITUTE(F368," ","")&amp;","))) +
  SUMPRODUCT(ISNUMBER(SEARCH(","&amp;Справочник_ОКВЭД_НР!$G$3:$G$62&amp;".",","&amp;SUBSTITUTE(F368," ","")&amp;",")))),
50)</f>
        <v>50</v>
      </c>
      <c r="K368" s="30">
        <f>IFERROR(VLOOKUP(G368,Справочник_ОКВЭД_НР!$O:$P,2,FALSE()),50)</f>
        <v>100</v>
      </c>
      <c r="L368" s="45">
        <f>(I368*Справочник_ОКВЭД_НР!$L$2+J368*Справочник_ОКВЭД_НР!$L$3+K368*Справочник_ОКВЭД_НР!$L$4)*M368</f>
        <v>45.5</v>
      </c>
      <c r="M368" s="47">
        <f>IF(COUNTIF(Справочник_ОКВЭД_НР!$G$3:$G$62,H368)&gt;0,0,1)</f>
        <v>1</v>
      </c>
    </row>
    <row r="369" spans="1:13" x14ac:dyDescent="0.25">
      <c r="A369" s="4">
        <f>ЛИК_дляСкорингаДП!A369</f>
        <v>1222100009317</v>
      </c>
      <c r="B369" s="4">
        <f>ЛИК_дляСкорингаДП!B369</f>
        <v>2100002855</v>
      </c>
      <c r="C369" s="4" t="str">
        <f>ЛИК_дляСкорингаДП!C369</f>
        <v>АДМИНИСТРАЦИЯ МАРИИНСКО-ПОСАДСКОГО МУНИЦИПАЛЬНОГО ОКРУГА</v>
      </c>
      <c r="D369" s="5" t="str">
        <f>ЛИК_дляСкорингаДП!M369</f>
        <v>Деятельность органов местного самоуправления муниципальных округов</v>
      </c>
      <c r="E369" s="4" t="str">
        <f>ЛИК_дляСкорингаДП!L369</f>
        <v>84.11.34</v>
      </c>
      <c r="F369" t="str">
        <f>ЛИК_дляСкорингаДП!N369</f>
        <v>84.22</v>
      </c>
      <c r="G369" s="25" t="str">
        <f>ЛИК_дляСкорингаДП!AG369</f>
        <v>ОСН</v>
      </c>
      <c r="H369" s="55" t="str">
        <f>IF(ISNUMBER(E369),E369,
IFERROR(LEFT(E369,FIND(".",E369)-1),E369))</f>
        <v>84</v>
      </c>
      <c r="I369" s="30">
        <f>IF(COUNTIF(Справочник_ОКВЭД_НР!$A$3:$A$62,H369)&gt;0,Справочник_ОКВЭД_НР!$L$8,
 IF(COUNTIF(Справочник_ОКВЭД_НР!$C$3:$C$62,H369)&gt;0,Справочник_ОКВЭД_НР!$L$9,
  IF(COUNTIF(Справочник_ОКВЭД_НР!$E$3:$E$62,H369)&gt;0,Справочник_ОКВЭД_НР!$L$10,
   IF(COUNTIF(Справочник_ОКВЭД_НР!$G$3:$G$62,H369)&gt;0,Справочник_ОКВЭД_НР!$L$11,50))))</f>
        <v>0</v>
      </c>
      <c r="J369" s="30" cm="1">
        <f t="array" ref="J369">IFERROR(
 (SUMPRODUCT(ISNUMBER(SEARCH(","&amp;Справочник_ОКВЭД_НР!$A$3:$A$62&amp;".",","&amp;SUBSTITUTE(F369," ","")&amp;",")))*Справочник_ОКВЭД_НР!$L$9 +
  SUMPRODUCT(ISNUMBER(SEARCH(","&amp;Справочник_ОКВЭД_НР!$C$3:$C$62&amp;".",","&amp;SUBSTITUTE(F369," ","")&amp;",")))*Справочник_ОКВЭД_НР!$L$10 +
  SUMPRODUCT(ISNUMBER(SEARCH(","&amp;Справочник_ОКВЭД_НР!$E$3:$E$62&amp;".",","&amp;SUBSTITUTE(F369," ","")&amp;",")))*Справочник_ОКВЭД_НР!$L$11 +
  SUMPRODUCT(ISNUMBER(SEARCH(","&amp;Справочник_ОКВЭД_НР!$G$3:$G$62&amp;".",","&amp;SUBSTITUTE(F369," ","")&amp;",")))*Справочник_ОКВЭД_НР!$L$12) /
 (SUMPRODUCT(ISNUMBER(SEARCH(","&amp;Справочник_ОКВЭД_НР!$A$3:$A$62&amp;".",","&amp;SUBSTITUTE(F369," ","")&amp;","))) +
  SUMPRODUCT(ISNUMBER(SEARCH(","&amp;Справочник_ОКВЭД_НР!$C$3:$C$62&amp;".",","&amp;SUBSTITUTE(F369," ","")&amp;","))) +
  SUMPRODUCT(ISNUMBER(SEARCH(","&amp;Справочник_ОКВЭД_НР!$E$3:$E$62&amp;".",","&amp;SUBSTITUTE(F369," ","")&amp;","))) +
  SUMPRODUCT(ISNUMBER(SEARCH(","&amp;Справочник_ОКВЭД_НР!$G$3:$G$62&amp;".",","&amp;SUBSTITUTE(F369," ","")&amp;",")))),
50)</f>
        <v>50</v>
      </c>
      <c r="K369" s="30">
        <f>IFERROR(VLOOKUP(G369,Справочник_ОКВЭД_НР!$O:$P,2,FALSE()),50)</f>
        <v>100</v>
      </c>
      <c r="L369" s="45">
        <f>(I369*Справочник_ОКВЭД_НР!$L$2+J369*Справочник_ОКВЭД_НР!$L$3+K369*Справочник_ОКВЭД_НР!$L$4)*M369</f>
        <v>0</v>
      </c>
      <c r="M369" s="47">
        <f>IF(COUNTIF(Справочник_ОКВЭД_НР!$G$3:$G$62,H369)&gt;0,0,1)</f>
        <v>0</v>
      </c>
    </row>
    <row r="370" spans="1:13" x14ac:dyDescent="0.25">
      <c r="A370" s="4">
        <f>ЛИК_дляСкорингаДП!A370</f>
        <v>1232100007260</v>
      </c>
      <c r="B370" s="4">
        <f>ЛИК_дляСкорингаДП!B370</f>
        <v>2100010711</v>
      </c>
      <c r="C370" s="4" t="str">
        <f>ЛИК_дляСкорингаДП!C370</f>
        <v>ТОС "РОДИНА"</v>
      </c>
      <c r="D370" s="5" t="str">
        <f>ЛИК_дляСкорингаДП!M370</f>
        <v>Деятельность прочих общественных организаций и некоммерческих организаций, кроме религиозных и политических организаций</v>
      </c>
      <c r="E370" s="4" t="str">
        <f>ЛИК_дляСкорингаДП!L370</f>
        <v>94.99</v>
      </c>
      <c r="F370">
        <f>ЛИК_дляСкорингаДП!N370</f>
        <v>0</v>
      </c>
      <c r="G370" s="25" t="str">
        <f>ЛИК_дляСкорингаДП!AG370</f>
        <v>ОСН</v>
      </c>
      <c r="H370" s="55" t="str">
        <f>IF(ISNUMBER(E370),E370,
IFERROR(LEFT(E370,FIND(".",E370)-1),E370))</f>
        <v>94</v>
      </c>
      <c r="I370" s="30">
        <f>IF(COUNTIF(Справочник_ОКВЭД_НР!$A$3:$A$62,H370)&gt;0,Справочник_ОКВЭД_НР!$L$8,
 IF(COUNTIF(Справочник_ОКВЭД_НР!$C$3:$C$62,H370)&gt;0,Справочник_ОКВЭД_НР!$L$9,
  IF(COUNTIF(Справочник_ОКВЭД_НР!$E$3:$E$62,H370)&gt;0,Справочник_ОКВЭД_НР!$L$10,
   IF(COUNTIF(Справочник_ОКВЭД_НР!$G$3:$G$62,H370)&gt;0,Справочник_ОКВЭД_НР!$L$11,50))))</f>
        <v>0</v>
      </c>
      <c r="J370" s="30" cm="1">
        <f t="array" ref="J370">IFERROR(
 (SUMPRODUCT(ISNUMBER(SEARCH(","&amp;Справочник_ОКВЭД_НР!$A$3:$A$62&amp;".",","&amp;SUBSTITUTE(F370," ","")&amp;",")))*Справочник_ОКВЭД_НР!$L$9 +
  SUMPRODUCT(ISNUMBER(SEARCH(","&amp;Справочник_ОКВЭД_НР!$C$3:$C$62&amp;".",","&amp;SUBSTITUTE(F370," ","")&amp;",")))*Справочник_ОКВЭД_НР!$L$10 +
  SUMPRODUCT(ISNUMBER(SEARCH(","&amp;Справочник_ОКВЭД_НР!$E$3:$E$62&amp;".",","&amp;SUBSTITUTE(F370," ","")&amp;",")))*Справочник_ОКВЭД_НР!$L$11 +
  SUMPRODUCT(ISNUMBER(SEARCH(","&amp;Справочник_ОКВЭД_НР!$G$3:$G$62&amp;".",","&amp;SUBSTITUTE(F370," ","")&amp;",")))*Справочник_ОКВЭД_НР!$L$12) /
 (SUMPRODUCT(ISNUMBER(SEARCH(","&amp;Справочник_ОКВЭД_НР!$A$3:$A$62&amp;".",","&amp;SUBSTITUTE(F370," ","")&amp;","))) +
  SUMPRODUCT(ISNUMBER(SEARCH(","&amp;Справочник_ОКВЭД_НР!$C$3:$C$62&amp;".",","&amp;SUBSTITUTE(F370," ","")&amp;","))) +
  SUMPRODUCT(ISNUMBER(SEARCH(","&amp;Справочник_ОКВЭД_НР!$E$3:$E$62&amp;".",","&amp;SUBSTITUTE(F370," ","")&amp;","))) +
  SUMPRODUCT(ISNUMBER(SEARCH(","&amp;Справочник_ОКВЭД_НР!$G$3:$G$62&amp;".",","&amp;SUBSTITUTE(F370," ","")&amp;",")))),
50)</f>
        <v>50</v>
      </c>
      <c r="K370" s="30">
        <f>IFERROR(VLOOKUP(G370,Справочник_ОКВЭД_НР!$O:$P,2,FALSE()),50)</f>
        <v>100</v>
      </c>
      <c r="L370" s="45">
        <f>(I370*Справочник_ОКВЭД_НР!$L$2+J370*Справочник_ОКВЭД_НР!$L$3+K370*Справочник_ОКВЭД_НР!$L$4)*M370</f>
        <v>0</v>
      </c>
      <c r="M370" s="47">
        <f>IF(COUNTIF(Справочник_ОКВЭД_НР!$G$3:$G$62,H370)&gt;0,0,1)</f>
        <v>0</v>
      </c>
    </row>
    <row r="371" spans="1:13" x14ac:dyDescent="0.25">
      <c r="A371" s="4">
        <f>ЛИК_дляСкорингаДП!A371</f>
        <v>1242100007456</v>
      </c>
      <c r="B371" s="4">
        <f>ЛИК_дляСкорингаДП!B371</f>
        <v>2100020420</v>
      </c>
      <c r="C371" s="4" t="str">
        <f>ЛИК_дляСкорингаДП!C371</f>
        <v>ТОС "ЮХМА"</v>
      </c>
      <c r="D371" s="5" t="str">
        <f>ЛИК_дляСкорингаДП!M371</f>
        <v>Деятельность прочих общественных организаций и некоммерческих организаций, кроме религиозных и политических организаций</v>
      </c>
      <c r="E371" s="4" t="str">
        <f>ЛИК_дляСкорингаДП!L371</f>
        <v>94.99</v>
      </c>
      <c r="F371">
        <f>ЛИК_дляСкорингаДП!N371</f>
        <v>0</v>
      </c>
      <c r="G371" s="25" t="str">
        <f>ЛИК_дляСкорингаДП!AG371</f>
        <v>ОСН</v>
      </c>
      <c r="H371" s="55" t="str">
        <f>IF(ISNUMBER(E371),E371,
IFERROR(LEFT(E371,FIND(".",E371)-1),E371))</f>
        <v>94</v>
      </c>
      <c r="I371" s="30">
        <f>IF(COUNTIF(Справочник_ОКВЭД_НР!$A$3:$A$62,H371)&gt;0,Справочник_ОКВЭД_НР!$L$8,
 IF(COUNTIF(Справочник_ОКВЭД_НР!$C$3:$C$62,H371)&gt;0,Справочник_ОКВЭД_НР!$L$9,
  IF(COUNTIF(Справочник_ОКВЭД_НР!$E$3:$E$62,H371)&gt;0,Справочник_ОКВЭД_НР!$L$10,
   IF(COUNTIF(Справочник_ОКВЭД_НР!$G$3:$G$62,H371)&gt;0,Справочник_ОКВЭД_НР!$L$11,50))))</f>
        <v>0</v>
      </c>
      <c r="J371" s="30" cm="1">
        <f t="array" ref="J371">IFERROR(
 (SUMPRODUCT(ISNUMBER(SEARCH(","&amp;Справочник_ОКВЭД_НР!$A$3:$A$62&amp;".",","&amp;SUBSTITUTE(F371," ","")&amp;",")))*Справочник_ОКВЭД_НР!$L$9 +
  SUMPRODUCT(ISNUMBER(SEARCH(","&amp;Справочник_ОКВЭД_НР!$C$3:$C$62&amp;".",","&amp;SUBSTITUTE(F371," ","")&amp;",")))*Справочник_ОКВЭД_НР!$L$10 +
  SUMPRODUCT(ISNUMBER(SEARCH(","&amp;Справочник_ОКВЭД_НР!$E$3:$E$62&amp;".",","&amp;SUBSTITUTE(F371," ","")&amp;",")))*Справочник_ОКВЭД_НР!$L$11 +
  SUMPRODUCT(ISNUMBER(SEARCH(","&amp;Справочник_ОКВЭД_НР!$G$3:$G$62&amp;".",","&amp;SUBSTITUTE(F371," ","")&amp;",")))*Справочник_ОКВЭД_НР!$L$12) /
 (SUMPRODUCT(ISNUMBER(SEARCH(","&amp;Справочник_ОКВЭД_НР!$A$3:$A$62&amp;".",","&amp;SUBSTITUTE(F371," ","")&amp;","))) +
  SUMPRODUCT(ISNUMBER(SEARCH(","&amp;Справочник_ОКВЭД_НР!$C$3:$C$62&amp;".",","&amp;SUBSTITUTE(F371," ","")&amp;","))) +
  SUMPRODUCT(ISNUMBER(SEARCH(","&amp;Справочник_ОКВЭД_НР!$E$3:$E$62&amp;".",","&amp;SUBSTITUTE(F371," ","")&amp;","))) +
  SUMPRODUCT(ISNUMBER(SEARCH(","&amp;Справочник_ОКВЭД_НР!$G$3:$G$62&amp;".",","&amp;SUBSTITUTE(F371," ","")&amp;",")))),
50)</f>
        <v>50</v>
      </c>
      <c r="K371" s="30">
        <f>IFERROR(VLOOKUP(G371,Справочник_ОКВЭД_НР!$O:$P,2,FALSE()),50)</f>
        <v>100</v>
      </c>
      <c r="L371" s="45">
        <f>(I371*Справочник_ОКВЭД_НР!$L$2+J371*Справочник_ОКВЭД_НР!$L$3+K371*Справочник_ОКВЭД_НР!$L$4)*M371</f>
        <v>0</v>
      </c>
      <c r="M371" s="47">
        <f>IF(COUNTIF(Справочник_ОКВЭД_НР!$G$3:$G$62,H371)&gt;0,0,1)</f>
        <v>0</v>
      </c>
    </row>
    <row r="372" spans="1:13" x14ac:dyDescent="0.25">
      <c r="A372" s="4">
        <f>ЛИК_дляСкорингаДП!A372</f>
        <v>1242100000218</v>
      </c>
      <c r="B372" s="4">
        <f>ЛИК_дляСкорингаДП!B372</f>
        <v>2100013198</v>
      </c>
      <c r="C372" s="4" t="str">
        <f>ЛИК_дляСкорингаДП!C372</f>
        <v>БУ ЧР "РИРС" МИНСТРОЯ ЧУВАШИИ</v>
      </c>
      <c r="D372" s="5" t="str">
        <f>ЛИК_дляСкорингаДП!M372</f>
        <v>Деятельность в области архитектуры</v>
      </c>
      <c r="E372" s="4" t="str">
        <f>ЛИК_дляСкорингаДП!L372</f>
        <v>71.11</v>
      </c>
      <c r="F372" t="str">
        <f>ЛИК_дляСкорингаДП!N372</f>
        <v>62.02,62.02.1,62.02.3,62.02.9,63.11,63.11.1,63.11.9,63.91,63.99,68.32,70.22,71.11.1,71.11.2,71.11.3,71.12,71.12.1,71.12.11,71.12.12,71.12.13,71.12.44,71.12.45,82.19,82.99</v>
      </c>
      <c r="G372" s="25" t="str">
        <f>ЛИК_дляСкорингаДП!AG372</f>
        <v>ОСН</v>
      </c>
      <c r="H372" s="55" t="str">
        <f>IF(ISNUMBER(E372),E372,
IFERROR(LEFT(E372,FIND(".",E372)-1),E372))</f>
        <v>71</v>
      </c>
      <c r="I372" s="30">
        <f>IF(COUNTIF(Справочник_ОКВЭД_НР!$A$3:$A$62,H372)&gt;0,Справочник_ОКВЭД_НР!$L$8,
 IF(COUNTIF(Справочник_ОКВЭД_НР!$C$3:$C$62,H372)&gt;0,Справочник_ОКВЭД_НР!$L$9,
  IF(COUNTIF(Справочник_ОКВЭД_НР!$E$3:$E$62,H372)&gt;0,Справочник_ОКВЭД_НР!$L$10,
   IF(COUNTIF(Справочник_ОКВЭД_НР!$G$3:$G$62,H372)&gt;0,Справочник_ОКВЭД_НР!$L$11,50))))</f>
        <v>100</v>
      </c>
      <c r="J372" s="30" cm="1">
        <f t="array" ref="J372">IFERROR(
 (SUMPRODUCT(ISNUMBER(SEARCH(","&amp;Справочник_ОКВЭД_НР!$A$3:$A$62&amp;".",","&amp;SUBSTITUTE(F372," ","")&amp;",")))*Справочник_ОКВЭД_НР!$L$9 +
  SUMPRODUCT(ISNUMBER(SEARCH(","&amp;Справочник_ОКВЭД_НР!$C$3:$C$62&amp;".",","&amp;SUBSTITUTE(F372," ","")&amp;",")))*Справочник_ОКВЭД_НР!$L$10 +
  SUMPRODUCT(ISNUMBER(SEARCH(","&amp;Справочник_ОКВЭД_НР!$E$3:$E$62&amp;".",","&amp;SUBSTITUTE(F372," ","")&amp;",")))*Справочник_ОКВЭД_НР!$L$11 +
  SUMPRODUCT(ISNUMBER(SEARCH(","&amp;Справочник_ОКВЭД_НР!$G$3:$G$62&amp;".",","&amp;SUBSTITUTE(F372," ","")&amp;",")))*Справочник_ОКВЭД_НР!$L$12) /
 (SUMPRODUCT(ISNUMBER(SEARCH(","&amp;Справочник_ОКВЭД_НР!$A$3:$A$62&amp;".",","&amp;SUBSTITUTE(F372," ","")&amp;","))) +
  SUMPRODUCT(ISNUMBER(SEARCH(","&amp;Справочник_ОКВЭД_НР!$C$3:$C$62&amp;".",","&amp;SUBSTITUTE(F372," ","")&amp;","))) +
  SUMPRODUCT(ISNUMBER(SEARCH(","&amp;Справочник_ОКВЭД_НР!$E$3:$E$62&amp;".",","&amp;SUBSTITUTE(F372," ","")&amp;","))) +
  SUMPRODUCT(ISNUMBER(SEARCH(","&amp;Справочник_ОКВЭД_НР!$G$3:$G$62&amp;".",","&amp;SUBSTITUTE(F372," ","")&amp;",")))),
50)</f>
        <v>50</v>
      </c>
      <c r="K372" s="30">
        <f>IFERROR(VLOOKUP(G372,Справочник_ОКВЭД_НР!$O:$P,2,FALSE()),50)</f>
        <v>100</v>
      </c>
      <c r="L372" s="45">
        <f>(I372*Справочник_ОКВЭД_НР!$L$2+J372*Справочник_ОКВЭД_НР!$L$3+K372*Справочник_ОКВЭД_НР!$L$4)*M372</f>
        <v>87.5</v>
      </c>
      <c r="M372" s="47">
        <f>IF(COUNTIF(Справочник_ОКВЭД_НР!$G$3:$G$62,H372)&gt;0,0,1)</f>
        <v>1</v>
      </c>
    </row>
    <row r="373" spans="1:13" x14ac:dyDescent="0.25">
      <c r="A373" s="4">
        <f>ЛИК_дляСкорингаДП!A373</f>
        <v>1222100009064</v>
      </c>
      <c r="B373" s="4">
        <f>ЛИК_дляСкорингаДП!B373</f>
        <v>2100002608</v>
      </c>
      <c r="C373" s="4" t="str">
        <f>ЛИК_дляСкорингаДП!C373</f>
        <v>АДМИНИСТРАЦИЯ БАТЫРЕВСКОГО МУНИЦИПАЛЬНОГО ОКРУГА</v>
      </c>
      <c r="D373" s="5" t="str">
        <f>ЛИК_дляСкорингаДП!M373</f>
        <v>Деятельность органов местного самоуправления муниципальных округов</v>
      </c>
      <c r="E373" s="4" t="str">
        <f>ЛИК_дляСкорингаДП!L373</f>
        <v>84.11.34</v>
      </c>
      <c r="F373" t="str">
        <f>ЛИК_дляСкорингаДП!N373</f>
        <v>84.22,84.11.3</v>
      </c>
      <c r="G373" s="25" t="str">
        <f>ЛИК_дляСкорингаДП!AG373</f>
        <v>ОСН</v>
      </c>
      <c r="H373" s="55" t="str">
        <f>IF(ISNUMBER(E373),E373,
IFERROR(LEFT(E373,FIND(".",E373)-1),E373))</f>
        <v>84</v>
      </c>
      <c r="I373" s="30">
        <f>IF(COUNTIF(Справочник_ОКВЭД_НР!$A$3:$A$62,H373)&gt;0,Справочник_ОКВЭД_НР!$L$8,
 IF(COUNTIF(Справочник_ОКВЭД_НР!$C$3:$C$62,H373)&gt;0,Справочник_ОКВЭД_НР!$L$9,
  IF(COUNTIF(Справочник_ОКВЭД_НР!$E$3:$E$62,H373)&gt;0,Справочник_ОКВЭД_НР!$L$10,
   IF(COUNTIF(Справочник_ОКВЭД_НР!$G$3:$G$62,H373)&gt;0,Справочник_ОКВЭД_НР!$L$11,50))))</f>
        <v>0</v>
      </c>
      <c r="J373" s="30" cm="1">
        <f t="array" ref="J373">IFERROR(
 (SUMPRODUCT(ISNUMBER(SEARCH(","&amp;Справочник_ОКВЭД_НР!$A$3:$A$62&amp;".",","&amp;SUBSTITUTE(F373," ","")&amp;",")))*Справочник_ОКВЭД_НР!$L$9 +
  SUMPRODUCT(ISNUMBER(SEARCH(","&amp;Справочник_ОКВЭД_НР!$C$3:$C$62&amp;".",","&amp;SUBSTITUTE(F373," ","")&amp;",")))*Справочник_ОКВЭД_НР!$L$10 +
  SUMPRODUCT(ISNUMBER(SEARCH(","&amp;Справочник_ОКВЭД_НР!$E$3:$E$62&amp;".",","&amp;SUBSTITUTE(F373," ","")&amp;",")))*Справочник_ОКВЭД_НР!$L$11 +
  SUMPRODUCT(ISNUMBER(SEARCH(","&amp;Справочник_ОКВЭД_НР!$G$3:$G$62&amp;".",","&amp;SUBSTITUTE(F373," ","")&amp;",")))*Справочник_ОКВЭД_НР!$L$12) /
 (SUMPRODUCT(ISNUMBER(SEARCH(","&amp;Справочник_ОКВЭД_НР!$A$3:$A$62&amp;".",","&amp;SUBSTITUTE(F373," ","")&amp;","))) +
  SUMPRODUCT(ISNUMBER(SEARCH(","&amp;Справочник_ОКВЭД_НР!$C$3:$C$62&amp;".",","&amp;SUBSTITUTE(F373," ","")&amp;","))) +
  SUMPRODUCT(ISNUMBER(SEARCH(","&amp;Справочник_ОКВЭД_НР!$E$3:$E$62&amp;".",","&amp;SUBSTITUTE(F373," ","")&amp;","))) +
  SUMPRODUCT(ISNUMBER(SEARCH(","&amp;Справочник_ОКВЭД_НР!$G$3:$G$62&amp;".",","&amp;SUBSTITUTE(F373," ","")&amp;",")))),
50)</f>
        <v>50</v>
      </c>
      <c r="K373" s="30">
        <f>IFERROR(VLOOKUP(G373,Справочник_ОКВЭД_НР!$O:$P,2,FALSE()),50)</f>
        <v>100</v>
      </c>
      <c r="L373" s="45">
        <f>(I373*Справочник_ОКВЭД_НР!$L$2+J373*Справочник_ОКВЭД_НР!$L$3+K373*Справочник_ОКВЭД_НР!$L$4)*M373</f>
        <v>0</v>
      </c>
      <c r="M373" s="47">
        <f>IF(COUNTIF(Справочник_ОКВЭД_НР!$G$3:$G$62,H373)&gt;0,0,1)</f>
        <v>0</v>
      </c>
    </row>
    <row r="374" spans="1:13" x14ac:dyDescent="0.25">
      <c r="A374" s="4">
        <f>ЛИК_дляСкорингаДП!A374</f>
        <v>1222100008382</v>
      </c>
      <c r="B374" s="4">
        <f>ЛИК_дляСкорингаДП!B374</f>
        <v>2100001925</v>
      </c>
      <c r="C374" s="4">
        <f>ЛИК_дляСкорингаДП!C374</f>
        <v>0</v>
      </c>
      <c r="D374" s="5" t="str">
        <f>ЛИК_дляСкорингаДП!M374</f>
        <v>Деятельность профессиональных членских организаций</v>
      </c>
      <c r="E374" s="4" t="str">
        <f>ЛИК_дляСкорингаДП!L374</f>
        <v>94.12</v>
      </c>
      <c r="F374" t="str">
        <f>ЛИК_дляСкорингаДП!N374</f>
        <v>18.12,58.14</v>
      </c>
      <c r="G374" s="25" t="str">
        <f>ЛИК_дляСкорингаДП!AG374</f>
        <v>ОСН</v>
      </c>
      <c r="H374" s="55" t="str">
        <f>IF(ISNUMBER(E374),E374,
IFERROR(LEFT(E374,FIND(".",E374)-1),E374))</f>
        <v>94</v>
      </c>
      <c r="I374" s="30">
        <f>IF(COUNTIF(Справочник_ОКВЭД_НР!$A$3:$A$62,H374)&gt;0,Справочник_ОКВЭД_НР!$L$8,
 IF(COUNTIF(Справочник_ОКВЭД_НР!$C$3:$C$62,H374)&gt;0,Справочник_ОКВЭД_НР!$L$9,
  IF(COUNTIF(Справочник_ОКВЭД_НР!$E$3:$E$62,H374)&gt;0,Справочник_ОКВЭД_НР!$L$10,
   IF(COUNTIF(Справочник_ОКВЭД_НР!$G$3:$G$62,H374)&gt;0,Справочник_ОКВЭД_НР!$L$11,50))))</f>
        <v>0</v>
      </c>
      <c r="J374" s="30" cm="1">
        <f t="array" ref="J374">IFERROR(
 (SUMPRODUCT(ISNUMBER(SEARCH(","&amp;Справочник_ОКВЭД_НР!$A$3:$A$62&amp;".",","&amp;SUBSTITUTE(F374," ","")&amp;",")))*Справочник_ОКВЭД_НР!$L$9 +
  SUMPRODUCT(ISNUMBER(SEARCH(","&amp;Справочник_ОКВЭД_НР!$C$3:$C$62&amp;".",","&amp;SUBSTITUTE(F374," ","")&amp;",")))*Справочник_ОКВЭД_НР!$L$10 +
  SUMPRODUCT(ISNUMBER(SEARCH(","&amp;Справочник_ОКВЭД_НР!$E$3:$E$62&amp;".",","&amp;SUBSTITUTE(F374," ","")&amp;",")))*Справочник_ОКВЭД_НР!$L$11 +
  SUMPRODUCT(ISNUMBER(SEARCH(","&amp;Справочник_ОКВЭД_НР!$G$3:$G$62&amp;".",","&amp;SUBSTITUTE(F374," ","")&amp;",")))*Справочник_ОКВЭД_НР!$L$12) /
 (SUMPRODUCT(ISNUMBER(SEARCH(","&amp;Справочник_ОКВЭД_НР!$A$3:$A$62&amp;".",","&amp;SUBSTITUTE(F374," ","")&amp;","))) +
  SUMPRODUCT(ISNUMBER(SEARCH(","&amp;Справочник_ОКВЭД_НР!$C$3:$C$62&amp;".",","&amp;SUBSTITUTE(F374," ","")&amp;","))) +
  SUMPRODUCT(ISNUMBER(SEARCH(","&amp;Справочник_ОКВЭД_НР!$E$3:$E$62&amp;".",","&amp;SUBSTITUTE(F374," ","")&amp;","))) +
  SUMPRODUCT(ISNUMBER(SEARCH(","&amp;Справочник_ОКВЭД_НР!$G$3:$G$62&amp;".",","&amp;SUBSTITUTE(F374," ","")&amp;",")))),
50)</f>
        <v>50</v>
      </c>
      <c r="K374" s="30">
        <f>IFERROR(VLOOKUP(G374,Справочник_ОКВЭД_НР!$O:$P,2,FALSE()),50)</f>
        <v>100</v>
      </c>
      <c r="L374" s="45">
        <f>(I374*Справочник_ОКВЭД_НР!$L$2+J374*Справочник_ОКВЭД_НР!$L$3+K374*Справочник_ОКВЭД_НР!$L$4)*M374</f>
        <v>0</v>
      </c>
      <c r="M374" s="47">
        <f>IF(COUNTIF(Справочник_ОКВЭД_НР!$G$3:$G$62,H374)&gt;0,0,1)</f>
        <v>0</v>
      </c>
    </row>
    <row r="375" spans="1:13" x14ac:dyDescent="0.25">
      <c r="A375" s="4">
        <f>ЛИК_дляСкорингаДП!A375</f>
        <v>1242100000251</v>
      </c>
      <c r="B375" s="4">
        <f>ЛИК_дляСкорингаДП!B375</f>
        <v>2100013230</v>
      </c>
      <c r="C375" s="4" t="str">
        <f>ЛИК_дляСкорингаДП!C375</f>
        <v>АНО СХК "БЕРКУТ"</v>
      </c>
      <c r="D375" s="5" t="str">
        <f>ЛИК_дляСкорингаДП!M375</f>
        <v>Деятельность спортивных клубов</v>
      </c>
      <c r="E375" s="4" t="str">
        <f>ЛИК_дляСкорингаДП!L375</f>
        <v>93.12</v>
      </c>
      <c r="F375" t="str">
        <f>ЛИК_дляСкорингаДП!N375</f>
        <v>93.11,93.19</v>
      </c>
      <c r="G375" s="25" t="str">
        <f>ЛИК_дляСкорингаДП!AG375</f>
        <v>ОСН</v>
      </c>
      <c r="H375" s="55" t="str">
        <f>IF(ISNUMBER(E375),E375,
IFERROR(LEFT(E375,FIND(".",E375)-1),E375))</f>
        <v>93</v>
      </c>
      <c r="I375" s="30">
        <f>IF(COUNTIF(Справочник_ОКВЭД_НР!$A$3:$A$62,H375)&gt;0,Справочник_ОКВЭД_НР!$L$8,
 IF(COUNTIF(Справочник_ОКВЭД_НР!$C$3:$C$62,H375)&gt;0,Справочник_ОКВЭД_НР!$L$9,
  IF(COUNTIF(Справочник_ОКВЭД_НР!$E$3:$E$62,H375)&gt;0,Справочник_ОКВЭД_НР!$L$10,
   IF(COUNTIF(Справочник_ОКВЭД_НР!$G$3:$G$62,H375)&gt;0,Справочник_ОКВЭД_НР!$L$11,50))))</f>
        <v>30</v>
      </c>
      <c r="J375" s="30" cm="1">
        <f t="array" ref="J375">IFERROR(
 (SUMPRODUCT(ISNUMBER(SEARCH(","&amp;Справочник_ОКВЭД_НР!$A$3:$A$62&amp;".",","&amp;SUBSTITUTE(F375," ","")&amp;",")))*Справочник_ОКВЭД_НР!$L$9 +
  SUMPRODUCT(ISNUMBER(SEARCH(","&amp;Справочник_ОКВЭД_НР!$C$3:$C$62&amp;".",","&amp;SUBSTITUTE(F375," ","")&amp;",")))*Справочник_ОКВЭД_НР!$L$10 +
  SUMPRODUCT(ISNUMBER(SEARCH(","&amp;Справочник_ОКВЭД_НР!$E$3:$E$62&amp;".",","&amp;SUBSTITUTE(F375," ","")&amp;",")))*Справочник_ОКВЭД_НР!$L$11 +
  SUMPRODUCT(ISNUMBER(SEARCH(","&amp;Справочник_ОКВЭД_НР!$G$3:$G$62&amp;".",","&amp;SUBSTITUTE(F375," ","")&amp;",")))*Справочник_ОКВЭД_НР!$L$12) /
 (SUMPRODUCT(ISNUMBER(SEARCH(","&amp;Справочник_ОКВЭД_НР!$A$3:$A$62&amp;".",","&amp;SUBSTITUTE(F375," ","")&amp;","))) +
  SUMPRODUCT(ISNUMBER(SEARCH(","&amp;Справочник_ОКВЭД_НР!$C$3:$C$62&amp;".",","&amp;SUBSTITUTE(F375," ","")&amp;","))) +
  SUMPRODUCT(ISNUMBER(SEARCH(","&amp;Справочник_ОКВЭД_НР!$E$3:$E$62&amp;".",","&amp;SUBSTITUTE(F375," ","")&amp;","))) +
  SUMPRODUCT(ISNUMBER(SEARCH(","&amp;Справочник_ОКВЭД_НР!$G$3:$G$62&amp;".",","&amp;SUBSTITUTE(F375," ","")&amp;",")))),
50)</f>
        <v>50</v>
      </c>
      <c r="K375" s="30">
        <f>IFERROR(VLOOKUP(G375,Справочник_ОКВЭД_НР!$O:$P,2,FALSE()),50)</f>
        <v>100</v>
      </c>
      <c r="L375" s="45">
        <f>(I375*Справочник_ОКВЭД_НР!$L$2+J375*Справочник_ОКВЭД_НР!$L$3+K375*Справочник_ОКВЭД_НР!$L$4)*M375</f>
        <v>45.5</v>
      </c>
      <c r="M375" s="47">
        <f>IF(COUNTIF(Справочник_ОКВЭД_НР!$G$3:$G$62,H375)&gt;0,0,1)</f>
        <v>1</v>
      </c>
    </row>
    <row r="376" spans="1:13" x14ac:dyDescent="0.25">
      <c r="A376" s="4">
        <f>ЛИК_дляСкорингаДП!A376</f>
        <v>1142100000547</v>
      </c>
      <c r="B376" s="4">
        <f>ЛИК_дляСкорингаДП!B376</f>
        <v>2130996548</v>
      </c>
      <c r="C376" s="4" t="str">
        <f>ЛИК_дляСкорингаДП!C376</f>
        <v>ЧРОО ЗПП "КНК"</v>
      </c>
      <c r="D376" s="5" t="str">
        <f>ЛИК_дляСкорингаДП!M376</f>
        <v>Деятельность прочих общественных организаций и некоммерческих организаций, кроме религиозных и политических организаций</v>
      </c>
      <c r="E376" s="4" t="str">
        <f>ЛИК_дляСкорингаДП!L376</f>
        <v>94.99</v>
      </c>
      <c r="F376">
        <f>ЛИК_дляСкорингаДП!N376</f>
        <v>0</v>
      </c>
      <c r="G376" s="25" t="str">
        <f>ЛИК_дляСкорингаДП!AG376</f>
        <v>ОСН</v>
      </c>
      <c r="H376" s="55" t="str">
        <f>IF(ISNUMBER(E376),E376,
IFERROR(LEFT(E376,FIND(".",E376)-1),E376))</f>
        <v>94</v>
      </c>
      <c r="I376" s="30">
        <f>IF(COUNTIF(Справочник_ОКВЭД_НР!$A$3:$A$62,H376)&gt;0,Справочник_ОКВЭД_НР!$L$8,
 IF(COUNTIF(Справочник_ОКВЭД_НР!$C$3:$C$62,H376)&gt;0,Справочник_ОКВЭД_НР!$L$9,
  IF(COUNTIF(Справочник_ОКВЭД_НР!$E$3:$E$62,H376)&gt;0,Справочник_ОКВЭД_НР!$L$10,
   IF(COUNTIF(Справочник_ОКВЭД_НР!$G$3:$G$62,H376)&gt;0,Справочник_ОКВЭД_НР!$L$11,50))))</f>
        <v>0</v>
      </c>
      <c r="J376" s="30" cm="1">
        <f t="array" ref="J376">IFERROR(
 (SUMPRODUCT(ISNUMBER(SEARCH(","&amp;Справочник_ОКВЭД_НР!$A$3:$A$62&amp;".",","&amp;SUBSTITUTE(F376," ","")&amp;",")))*Справочник_ОКВЭД_НР!$L$9 +
  SUMPRODUCT(ISNUMBER(SEARCH(","&amp;Справочник_ОКВЭД_НР!$C$3:$C$62&amp;".",","&amp;SUBSTITUTE(F376," ","")&amp;",")))*Справочник_ОКВЭД_НР!$L$10 +
  SUMPRODUCT(ISNUMBER(SEARCH(","&amp;Справочник_ОКВЭД_НР!$E$3:$E$62&amp;".",","&amp;SUBSTITUTE(F376," ","")&amp;",")))*Справочник_ОКВЭД_НР!$L$11 +
  SUMPRODUCT(ISNUMBER(SEARCH(","&amp;Справочник_ОКВЭД_НР!$G$3:$G$62&amp;".",","&amp;SUBSTITUTE(F376," ","")&amp;",")))*Справочник_ОКВЭД_НР!$L$12) /
 (SUMPRODUCT(ISNUMBER(SEARCH(","&amp;Справочник_ОКВЭД_НР!$A$3:$A$62&amp;".",","&amp;SUBSTITUTE(F376," ","")&amp;","))) +
  SUMPRODUCT(ISNUMBER(SEARCH(","&amp;Справочник_ОКВЭД_НР!$C$3:$C$62&amp;".",","&amp;SUBSTITUTE(F376," ","")&amp;","))) +
  SUMPRODUCT(ISNUMBER(SEARCH(","&amp;Справочник_ОКВЭД_НР!$E$3:$E$62&amp;".",","&amp;SUBSTITUTE(F376," ","")&amp;","))) +
  SUMPRODUCT(ISNUMBER(SEARCH(","&amp;Справочник_ОКВЭД_НР!$G$3:$G$62&amp;".",","&amp;SUBSTITUTE(F376," ","")&amp;",")))),
50)</f>
        <v>50</v>
      </c>
      <c r="K376" s="30">
        <f>IFERROR(VLOOKUP(G376,Справочник_ОКВЭД_НР!$O:$P,2,FALSE()),50)</f>
        <v>100</v>
      </c>
      <c r="L376" s="45">
        <f>(I376*Справочник_ОКВЭД_НР!$L$2+J376*Справочник_ОКВЭД_НР!$L$3+K376*Справочник_ОКВЭД_НР!$L$4)*M376</f>
        <v>0</v>
      </c>
      <c r="M376" s="47">
        <f>IF(COUNTIF(Справочник_ОКВЭД_НР!$G$3:$G$62,H376)&gt;0,0,1)</f>
        <v>0</v>
      </c>
    </row>
    <row r="377" spans="1:13" x14ac:dyDescent="0.25">
      <c r="A377" s="4">
        <f>ЛИК_дляСкорингаДП!A377</f>
        <v>1242100007599</v>
      </c>
      <c r="B377" s="4">
        <f>ЛИК_дляСкорингаДП!B377</f>
        <v>2100020565</v>
      </c>
      <c r="C377" s="4" t="str">
        <f>ЛИК_дляСкорингаДП!C377</f>
        <v>МКУ "ЦЕНТРАЛИЗОВАННАЯ БУХГАЛТЕРИЯ"</v>
      </c>
      <c r="D377" s="5" t="str">
        <f>ЛИК_дляСкорингаДП!M377</f>
        <v>Деятельность по оказанию услуг в области бухгалтерского учета</v>
      </c>
      <c r="E377" s="4" t="str">
        <f>ЛИК_дляСкорингаДП!L377</f>
        <v>69.20.2</v>
      </c>
      <c r="F377">
        <f>ЛИК_дляСкорингаДП!N377</f>
        <v>0</v>
      </c>
      <c r="G377" s="25" t="str">
        <f>ЛИК_дляСкорингаДП!AG377</f>
        <v>ОСН</v>
      </c>
      <c r="H377" s="55" t="str">
        <f>IF(ISNUMBER(E377),E377,
IFERROR(LEFT(E377,FIND(".",E377)-1),E377))</f>
        <v>69</v>
      </c>
      <c r="I377" s="30">
        <f>IF(COUNTIF(Справочник_ОКВЭД_НР!$A$3:$A$62,H377)&gt;0,Справочник_ОКВЭД_НР!$L$8,
 IF(COUNTIF(Справочник_ОКВЭД_НР!$C$3:$C$62,H377)&gt;0,Справочник_ОКВЭД_НР!$L$9,
  IF(COUNTIF(Справочник_ОКВЭД_НР!$E$3:$E$62,H377)&gt;0,Справочник_ОКВЭД_НР!$L$10,
   IF(COUNTIF(Справочник_ОКВЭД_НР!$G$3:$G$62,H377)&gt;0,Справочник_ОКВЭД_НР!$L$11,50))))</f>
        <v>30</v>
      </c>
      <c r="J377" s="30" cm="1">
        <f t="array" ref="J377">IFERROR(
 (SUMPRODUCT(ISNUMBER(SEARCH(","&amp;Справочник_ОКВЭД_НР!$A$3:$A$62&amp;".",","&amp;SUBSTITUTE(F377," ","")&amp;",")))*Справочник_ОКВЭД_НР!$L$9 +
  SUMPRODUCT(ISNUMBER(SEARCH(","&amp;Справочник_ОКВЭД_НР!$C$3:$C$62&amp;".",","&amp;SUBSTITUTE(F377," ","")&amp;",")))*Справочник_ОКВЭД_НР!$L$10 +
  SUMPRODUCT(ISNUMBER(SEARCH(","&amp;Справочник_ОКВЭД_НР!$E$3:$E$62&amp;".",","&amp;SUBSTITUTE(F377," ","")&amp;",")))*Справочник_ОКВЭД_НР!$L$11 +
  SUMPRODUCT(ISNUMBER(SEARCH(","&amp;Справочник_ОКВЭД_НР!$G$3:$G$62&amp;".",","&amp;SUBSTITUTE(F377," ","")&amp;",")))*Справочник_ОКВЭД_НР!$L$12) /
 (SUMPRODUCT(ISNUMBER(SEARCH(","&amp;Справочник_ОКВЭД_НР!$A$3:$A$62&amp;".",","&amp;SUBSTITUTE(F377," ","")&amp;","))) +
  SUMPRODUCT(ISNUMBER(SEARCH(","&amp;Справочник_ОКВЭД_НР!$C$3:$C$62&amp;".",","&amp;SUBSTITUTE(F377," ","")&amp;","))) +
  SUMPRODUCT(ISNUMBER(SEARCH(","&amp;Справочник_ОКВЭД_НР!$E$3:$E$62&amp;".",","&amp;SUBSTITUTE(F377," ","")&amp;","))) +
  SUMPRODUCT(ISNUMBER(SEARCH(","&amp;Справочник_ОКВЭД_НР!$G$3:$G$62&amp;".",","&amp;SUBSTITUTE(F377," ","")&amp;",")))),
50)</f>
        <v>50</v>
      </c>
      <c r="K377" s="30">
        <f>IFERROR(VLOOKUP(G377,Справочник_ОКВЭД_НР!$O:$P,2,FALSE()),50)</f>
        <v>100</v>
      </c>
      <c r="L377" s="45">
        <f>(I377*Справочник_ОКВЭД_НР!$L$2+J377*Справочник_ОКВЭД_НР!$L$3+K377*Справочник_ОКВЭД_НР!$L$4)*M377</f>
        <v>45.5</v>
      </c>
      <c r="M377" s="47">
        <f>IF(COUNTIF(Справочник_ОКВЭД_НР!$G$3:$G$62,H377)&gt;0,0,1)</f>
        <v>1</v>
      </c>
    </row>
    <row r="378" spans="1:13" x14ac:dyDescent="0.25">
      <c r="A378" s="4">
        <f>ЛИК_дляСкорингаДП!A378</f>
        <v>1232100003178</v>
      </c>
      <c r="B378" s="4">
        <f>ЛИК_дляСкорингаДП!B378</f>
        <v>2100006673</v>
      </c>
      <c r="C378" s="4" t="str">
        <f>ЛИК_дляСкорингаДП!C378</f>
        <v>ТОС "ВОЗРОЖДЕНИЕ"</v>
      </c>
      <c r="D378" s="5" t="str">
        <f>ЛИК_дляСкорингаДП!M378</f>
        <v>Деятельность прочих общественных организаций и некоммерческих организаций, кроме религиозных и политических организаций</v>
      </c>
      <c r="E378" s="4" t="str">
        <f>ЛИК_дляСкорингаДП!L378</f>
        <v>94.99</v>
      </c>
      <c r="F378">
        <f>ЛИК_дляСкорингаДП!N378</f>
        <v>0</v>
      </c>
      <c r="G378" s="25" t="str">
        <f>ЛИК_дляСкорингаДП!AG378</f>
        <v>ОСН</v>
      </c>
      <c r="H378" s="55" t="str">
        <f>IF(ISNUMBER(E378),E378,
IFERROR(LEFT(E378,FIND(".",E378)-1),E378))</f>
        <v>94</v>
      </c>
      <c r="I378" s="30">
        <f>IF(COUNTIF(Справочник_ОКВЭД_НР!$A$3:$A$62,H378)&gt;0,Справочник_ОКВЭД_НР!$L$8,
 IF(COUNTIF(Справочник_ОКВЭД_НР!$C$3:$C$62,H378)&gt;0,Справочник_ОКВЭД_НР!$L$9,
  IF(COUNTIF(Справочник_ОКВЭД_НР!$E$3:$E$62,H378)&gt;0,Справочник_ОКВЭД_НР!$L$10,
   IF(COUNTIF(Справочник_ОКВЭД_НР!$G$3:$G$62,H378)&gt;0,Справочник_ОКВЭД_НР!$L$11,50))))</f>
        <v>0</v>
      </c>
      <c r="J378" s="30" cm="1">
        <f t="array" ref="J378">IFERROR(
 (SUMPRODUCT(ISNUMBER(SEARCH(","&amp;Справочник_ОКВЭД_НР!$A$3:$A$62&amp;".",","&amp;SUBSTITUTE(F378," ","")&amp;",")))*Справочник_ОКВЭД_НР!$L$9 +
  SUMPRODUCT(ISNUMBER(SEARCH(","&amp;Справочник_ОКВЭД_НР!$C$3:$C$62&amp;".",","&amp;SUBSTITUTE(F378," ","")&amp;",")))*Справочник_ОКВЭД_НР!$L$10 +
  SUMPRODUCT(ISNUMBER(SEARCH(","&amp;Справочник_ОКВЭД_НР!$E$3:$E$62&amp;".",","&amp;SUBSTITUTE(F378," ","")&amp;",")))*Справочник_ОКВЭД_НР!$L$11 +
  SUMPRODUCT(ISNUMBER(SEARCH(","&amp;Справочник_ОКВЭД_НР!$G$3:$G$62&amp;".",","&amp;SUBSTITUTE(F378," ","")&amp;",")))*Справочник_ОКВЭД_НР!$L$12) /
 (SUMPRODUCT(ISNUMBER(SEARCH(","&amp;Справочник_ОКВЭД_НР!$A$3:$A$62&amp;".",","&amp;SUBSTITUTE(F378," ","")&amp;","))) +
  SUMPRODUCT(ISNUMBER(SEARCH(","&amp;Справочник_ОКВЭД_НР!$C$3:$C$62&amp;".",","&amp;SUBSTITUTE(F378," ","")&amp;","))) +
  SUMPRODUCT(ISNUMBER(SEARCH(","&amp;Справочник_ОКВЭД_НР!$E$3:$E$62&amp;".",","&amp;SUBSTITUTE(F378," ","")&amp;","))) +
  SUMPRODUCT(ISNUMBER(SEARCH(","&amp;Справочник_ОКВЭД_НР!$G$3:$G$62&amp;".",","&amp;SUBSTITUTE(F378," ","")&amp;",")))),
50)</f>
        <v>50</v>
      </c>
      <c r="K378" s="30">
        <f>IFERROR(VLOOKUP(G378,Справочник_ОКВЭД_НР!$O:$P,2,FALSE()),50)</f>
        <v>100</v>
      </c>
      <c r="L378" s="45">
        <f>(I378*Справочник_ОКВЭД_НР!$L$2+J378*Справочник_ОКВЭД_НР!$L$3+K378*Справочник_ОКВЭД_НР!$L$4)*M378</f>
        <v>0</v>
      </c>
      <c r="M378" s="47">
        <f>IF(COUNTIF(Справочник_ОКВЭД_НР!$G$3:$G$62,H378)&gt;0,0,1)</f>
        <v>0</v>
      </c>
    </row>
    <row r="379" spans="1:13" x14ac:dyDescent="0.25">
      <c r="A379" s="4">
        <f>ЛИК_дляСкорингаДП!A379</f>
        <v>1242100000328</v>
      </c>
      <c r="B379" s="4">
        <f>ЛИК_дляСкорингаДП!B379</f>
        <v>2100013303</v>
      </c>
      <c r="C379" s="4" t="str">
        <f>ЛИК_дляСкорингаДП!C379</f>
        <v>МКУ "ЦДДСИОУ" Г. ШУМЕРЛЯ</v>
      </c>
      <c r="D379" s="5" t="str">
        <f>ЛИК_дляСкорингаДП!M379</f>
        <v>Деятельность по чистке и уборке жилых зданий и нежилых помещений прочая</v>
      </c>
      <c r="E379" s="4" t="str">
        <f>ЛИК_дляСкорингаДП!L379</f>
        <v>81.22</v>
      </c>
      <c r="F379" t="str">
        <f>ЛИК_дляСкорингаДП!N379</f>
        <v>84.25.9,38.11,52.21,81.29.2,81.30,84.11.3</v>
      </c>
      <c r="G379" s="25" t="str">
        <f>ЛИК_дляСкорингаДП!AG379</f>
        <v>ОСН</v>
      </c>
      <c r="H379" s="55" t="str">
        <f>IF(ISNUMBER(E379),E379,
IFERROR(LEFT(E379,FIND(".",E379)-1),E379))</f>
        <v>81</v>
      </c>
      <c r="I379" s="30">
        <f>IF(COUNTIF(Справочник_ОКВЭД_НР!$A$3:$A$62,H379)&gt;0,Справочник_ОКВЭД_НР!$L$8,
 IF(COUNTIF(Справочник_ОКВЭД_НР!$C$3:$C$62,H379)&gt;0,Справочник_ОКВЭД_НР!$L$9,
  IF(COUNTIF(Справочник_ОКВЭД_НР!$E$3:$E$62,H379)&gt;0,Справочник_ОКВЭД_НР!$L$10,
   IF(COUNTIF(Справочник_ОКВЭД_НР!$G$3:$G$62,H379)&gt;0,Справочник_ОКВЭД_НР!$L$11,50))))</f>
        <v>30</v>
      </c>
      <c r="J379" s="30" cm="1">
        <f t="array" ref="J379">IFERROR(
 (SUMPRODUCT(ISNUMBER(SEARCH(","&amp;Справочник_ОКВЭД_НР!$A$3:$A$62&amp;".",","&amp;SUBSTITUTE(F379," ","")&amp;",")))*Справочник_ОКВЭД_НР!$L$9 +
  SUMPRODUCT(ISNUMBER(SEARCH(","&amp;Справочник_ОКВЭД_НР!$C$3:$C$62&amp;".",","&amp;SUBSTITUTE(F379," ","")&amp;",")))*Справочник_ОКВЭД_НР!$L$10 +
  SUMPRODUCT(ISNUMBER(SEARCH(","&amp;Справочник_ОКВЭД_НР!$E$3:$E$62&amp;".",","&amp;SUBSTITUTE(F379," ","")&amp;",")))*Справочник_ОКВЭД_НР!$L$11 +
  SUMPRODUCT(ISNUMBER(SEARCH(","&amp;Справочник_ОКВЭД_НР!$G$3:$G$62&amp;".",","&amp;SUBSTITUTE(F379," ","")&amp;",")))*Справочник_ОКВЭД_НР!$L$12) /
 (SUMPRODUCT(ISNUMBER(SEARCH(","&amp;Справочник_ОКВЭД_НР!$A$3:$A$62&amp;".",","&amp;SUBSTITUTE(F379," ","")&amp;","))) +
  SUMPRODUCT(ISNUMBER(SEARCH(","&amp;Справочник_ОКВЭД_НР!$C$3:$C$62&amp;".",","&amp;SUBSTITUTE(F379," ","")&amp;","))) +
  SUMPRODUCT(ISNUMBER(SEARCH(","&amp;Справочник_ОКВЭД_НР!$E$3:$E$62&amp;".",","&amp;SUBSTITUTE(F379," ","")&amp;","))) +
  SUMPRODUCT(ISNUMBER(SEARCH(","&amp;Справочник_ОКВЭД_НР!$G$3:$G$62&amp;".",","&amp;SUBSTITUTE(F379," ","")&amp;",")))),
50)</f>
        <v>50</v>
      </c>
      <c r="K379" s="30">
        <f>IFERROR(VLOOKUP(G379,Справочник_ОКВЭД_НР!$O:$P,2,FALSE()),50)</f>
        <v>100</v>
      </c>
      <c r="L379" s="45">
        <f>(I379*Справочник_ОКВЭД_НР!$L$2+J379*Справочник_ОКВЭД_НР!$L$3+K379*Справочник_ОКВЭД_НР!$L$4)*M379</f>
        <v>45.5</v>
      </c>
      <c r="M379" s="47">
        <f>IF(COUNTIF(Справочник_ОКВЭД_НР!$G$3:$G$62,H379)&gt;0,0,1)</f>
        <v>1</v>
      </c>
    </row>
    <row r="380" spans="1:13" x14ac:dyDescent="0.25">
      <c r="A380" s="4">
        <f>ЛИК_дляСкорингаДП!A380</f>
        <v>1232100007501</v>
      </c>
      <c r="B380" s="4">
        <f>ЛИК_дляСкорингаДП!B380</f>
        <v>2100010951</v>
      </c>
      <c r="C380" s="4" t="str">
        <f>ЛИК_дляСкорингаДП!C380</f>
        <v>СССППК "РАССВЕТ"</v>
      </c>
      <c r="D380" s="5" t="str">
        <f>ЛИК_дляСкорингаДП!M380</f>
        <v>Производство готовых кормов для непродуктивных животных</v>
      </c>
      <c r="E380" s="4" t="str">
        <f>ЛИК_дляСкорингаДП!L380</f>
        <v>10.92</v>
      </c>
      <c r="F380" t="str">
        <f>ЛИК_дляСкорингаДП!N380</f>
        <v>01.42,10.11,46.38,47.76,49.41</v>
      </c>
      <c r="G380" s="25" t="str">
        <f>ЛИК_дляСкорингаДП!AG380</f>
        <v>ОСН</v>
      </c>
      <c r="H380" s="55" t="str">
        <f>IF(ISNUMBER(E380),E380,
IFERROR(LEFT(E380,FIND(".",E380)-1),E380))</f>
        <v>10</v>
      </c>
      <c r="I380" s="30">
        <f>IF(COUNTIF(Справочник_ОКВЭД_НР!$A$3:$A$62,H380)&gt;0,Справочник_ОКВЭД_НР!$L$8,
 IF(COUNTIF(Справочник_ОКВЭД_НР!$C$3:$C$62,H380)&gt;0,Справочник_ОКВЭД_НР!$L$9,
  IF(COUNTIF(Справочник_ОКВЭД_НР!$E$3:$E$62,H380)&gt;0,Справочник_ОКВЭД_НР!$L$10,
   IF(COUNTIF(Справочник_ОКВЭД_НР!$G$3:$G$62,H380)&gt;0,Справочник_ОКВЭД_НР!$L$11,50))))</f>
        <v>100</v>
      </c>
      <c r="J380" s="30" cm="1">
        <f t="array" ref="J380">IFERROR(
 (SUMPRODUCT(ISNUMBER(SEARCH(","&amp;Справочник_ОКВЭД_НР!$A$3:$A$62&amp;".",","&amp;SUBSTITUTE(F380," ","")&amp;",")))*Справочник_ОКВЭД_НР!$L$9 +
  SUMPRODUCT(ISNUMBER(SEARCH(","&amp;Справочник_ОКВЭД_НР!$C$3:$C$62&amp;".",","&amp;SUBSTITUTE(F380," ","")&amp;",")))*Справочник_ОКВЭД_НР!$L$10 +
  SUMPRODUCT(ISNUMBER(SEARCH(","&amp;Справочник_ОКВЭД_НР!$E$3:$E$62&amp;".",","&amp;SUBSTITUTE(F380," ","")&amp;",")))*Справочник_ОКВЭД_НР!$L$11 +
  SUMPRODUCT(ISNUMBER(SEARCH(","&amp;Справочник_ОКВЭД_НР!$G$3:$G$62&amp;".",","&amp;SUBSTITUTE(F380," ","")&amp;",")))*Справочник_ОКВЭД_НР!$L$12) /
 (SUMPRODUCT(ISNUMBER(SEARCH(","&amp;Справочник_ОКВЭД_НР!$A$3:$A$62&amp;".",","&amp;SUBSTITUTE(F380," ","")&amp;","))) +
  SUMPRODUCT(ISNUMBER(SEARCH(","&amp;Справочник_ОКВЭД_НР!$C$3:$C$62&amp;".",","&amp;SUBSTITUTE(F380," ","")&amp;","))) +
  SUMPRODUCT(ISNUMBER(SEARCH(","&amp;Справочник_ОКВЭД_НР!$E$3:$E$62&amp;".",","&amp;SUBSTITUTE(F380," ","")&amp;","))) +
  SUMPRODUCT(ISNUMBER(SEARCH(","&amp;Справочник_ОКВЭД_НР!$G$3:$G$62&amp;".",","&amp;SUBSTITUTE(F380," ","")&amp;",")))),
50)</f>
        <v>50</v>
      </c>
      <c r="K380" s="30">
        <f>IFERROR(VLOOKUP(G380,Справочник_ОКВЭД_НР!$O:$P,2,FALSE()),50)</f>
        <v>100</v>
      </c>
      <c r="L380" s="45">
        <f>(I380*Справочник_ОКВЭД_НР!$L$2+J380*Справочник_ОКВЭД_НР!$L$3+K380*Справочник_ОКВЭД_НР!$L$4)*M380</f>
        <v>87.5</v>
      </c>
      <c r="M380" s="47">
        <f>IF(COUNTIF(Справочник_ОКВЭД_НР!$G$3:$G$62,H380)&gt;0,0,1)</f>
        <v>1</v>
      </c>
    </row>
    <row r="381" spans="1:13" x14ac:dyDescent="0.25">
      <c r="A381" s="4">
        <f>ЛИК_дляСкорингаДП!A381</f>
        <v>1222100008503</v>
      </c>
      <c r="B381" s="4">
        <f>ЛИК_дляСкорингаДП!B381</f>
        <v>2100002044</v>
      </c>
      <c r="C381" s="4" t="str">
        <f>ЛИК_дляСкорингаДП!C381</f>
        <v>СПОК"СОПРОВОЖДЕНИЕ АГРОБИЗНЕСА"</v>
      </c>
      <c r="D381" s="5" t="str">
        <f>ЛИК_дляСкорингаДП!M381</f>
        <v>Деятельность по оказанию услуг в области бухгалтерского учета, по проведению финансового аудита, по налоговому консультированию</v>
      </c>
      <c r="E381" s="4" t="str">
        <f>ЛИК_дляСкорингаДП!L381</f>
        <v>69.20</v>
      </c>
      <c r="F381" t="str">
        <f>ЛИК_дляСкорингаДП!N381</f>
        <v>69.20.1,69.20.2,69.20.3</v>
      </c>
      <c r="G381" s="25" t="str">
        <f>ЛИК_дляСкорингаДП!AG381</f>
        <v>ОСН</v>
      </c>
      <c r="H381" s="55" t="str">
        <f>IF(ISNUMBER(E381),E381,
IFERROR(LEFT(E381,FIND(".",E381)-1),E381))</f>
        <v>69</v>
      </c>
      <c r="I381" s="30">
        <f>IF(COUNTIF(Справочник_ОКВЭД_НР!$A$3:$A$62,H381)&gt;0,Справочник_ОКВЭД_НР!$L$8,
 IF(COUNTIF(Справочник_ОКВЭД_НР!$C$3:$C$62,H381)&gt;0,Справочник_ОКВЭД_НР!$L$9,
  IF(COUNTIF(Справочник_ОКВЭД_НР!$E$3:$E$62,H381)&gt;0,Справочник_ОКВЭД_НР!$L$10,
   IF(COUNTIF(Справочник_ОКВЭД_НР!$G$3:$G$62,H381)&gt;0,Справочник_ОКВЭД_НР!$L$11,50))))</f>
        <v>30</v>
      </c>
      <c r="J381" s="30" cm="1">
        <f t="array" ref="J381">IFERROR(
 (SUMPRODUCT(ISNUMBER(SEARCH(","&amp;Справочник_ОКВЭД_НР!$A$3:$A$62&amp;".",","&amp;SUBSTITUTE(F381," ","")&amp;",")))*Справочник_ОКВЭД_НР!$L$9 +
  SUMPRODUCT(ISNUMBER(SEARCH(","&amp;Справочник_ОКВЭД_НР!$C$3:$C$62&amp;".",","&amp;SUBSTITUTE(F381," ","")&amp;",")))*Справочник_ОКВЭД_НР!$L$10 +
  SUMPRODUCT(ISNUMBER(SEARCH(","&amp;Справочник_ОКВЭД_НР!$E$3:$E$62&amp;".",","&amp;SUBSTITUTE(F381," ","")&amp;",")))*Справочник_ОКВЭД_НР!$L$11 +
  SUMPRODUCT(ISNUMBER(SEARCH(","&amp;Справочник_ОКВЭД_НР!$G$3:$G$62&amp;".",","&amp;SUBSTITUTE(F381," ","")&amp;",")))*Справочник_ОКВЭД_НР!$L$12) /
 (SUMPRODUCT(ISNUMBER(SEARCH(","&amp;Справочник_ОКВЭД_НР!$A$3:$A$62&amp;".",","&amp;SUBSTITUTE(F381," ","")&amp;","))) +
  SUMPRODUCT(ISNUMBER(SEARCH(","&amp;Справочник_ОКВЭД_НР!$C$3:$C$62&amp;".",","&amp;SUBSTITUTE(F381," ","")&amp;","))) +
  SUMPRODUCT(ISNUMBER(SEARCH(","&amp;Справочник_ОКВЭД_НР!$E$3:$E$62&amp;".",","&amp;SUBSTITUTE(F381," ","")&amp;","))) +
  SUMPRODUCT(ISNUMBER(SEARCH(","&amp;Справочник_ОКВЭД_НР!$G$3:$G$62&amp;".",","&amp;SUBSTITUTE(F381," ","")&amp;",")))),
50)</f>
        <v>50</v>
      </c>
      <c r="K381" s="30">
        <f>IFERROR(VLOOKUP(G381,Справочник_ОКВЭД_НР!$O:$P,2,FALSE()),50)</f>
        <v>100</v>
      </c>
      <c r="L381" s="45">
        <f>(I381*Справочник_ОКВЭД_НР!$L$2+J381*Справочник_ОКВЭД_НР!$L$3+K381*Справочник_ОКВЭД_НР!$L$4)*M381</f>
        <v>45.5</v>
      </c>
      <c r="M381" s="47">
        <f>IF(COUNTIF(Справочник_ОКВЭД_НР!$G$3:$G$62,H381)&gt;0,0,1)</f>
        <v>1</v>
      </c>
    </row>
    <row r="382" spans="1:13" x14ac:dyDescent="0.25">
      <c r="A382" s="4">
        <f>ЛИК_дляСкорингаДП!A382</f>
        <v>1222100008525</v>
      </c>
      <c r="B382" s="4">
        <f>ЛИК_дляСкорингаДП!B382</f>
        <v>2100002069</v>
      </c>
      <c r="C382" s="4" t="str">
        <f>ЛИК_дляСкорингаДП!C382</f>
        <v>СОБРАНИЕ ДЕПУТАТОВ МАРИИНСКО ПОСАДСКОГО МУНИЦИПАЛЬНОГО ОКРУГА</v>
      </c>
      <c r="D382" s="5" t="str">
        <f>ЛИК_дляСкорингаДП!M382</f>
        <v>Деятельность органов местного самоуправления муниципальных округов</v>
      </c>
      <c r="E382" s="4" t="str">
        <f>ЛИК_дляСкорингаДП!L382</f>
        <v>84.11.34</v>
      </c>
      <c r="F382">
        <f>ЛИК_дляСкорингаДП!N382</f>
        <v>0</v>
      </c>
      <c r="G382" s="25" t="str">
        <f>ЛИК_дляСкорингаДП!AG382</f>
        <v>ОСН</v>
      </c>
      <c r="H382" s="55" t="str">
        <f>IF(ISNUMBER(E382),E382,
IFERROR(LEFT(E382,FIND(".",E382)-1),E382))</f>
        <v>84</v>
      </c>
      <c r="I382" s="30">
        <f>IF(COUNTIF(Справочник_ОКВЭД_НР!$A$3:$A$62,H382)&gt;0,Справочник_ОКВЭД_НР!$L$8,
 IF(COUNTIF(Справочник_ОКВЭД_НР!$C$3:$C$62,H382)&gt;0,Справочник_ОКВЭД_НР!$L$9,
  IF(COUNTIF(Справочник_ОКВЭД_НР!$E$3:$E$62,H382)&gt;0,Справочник_ОКВЭД_НР!$L$10,
   IF(COUNTIF(Справочник_ОКВЭД_НР!$G$3:$G$62,H382)&gt;0,Справочник_ОКВЭД_НР!$L$11,50))))</f>
        <v>0</v>
      </c>
      <c r="J382" s="30" cm="1">
        <f t="array" ref="J382">IFERROR(
 (SUMPRODUCT(ISNUMBER(SEARCH(","&amp;Справочник_ОКВЭД_НР!$A$3:$A$62&amp;".",","&amp;SUBSTITUTE(F382," ","")&amp;",")))*Справочник_ОКВЭД_НР!$L$9 +
  SUMPRODUCT(ISNUMBER(SEARCH(","&amp;Справочник_ОКВЭД_НР!$C$3:$C$62&amp;".",","&amp;SUBSTITUTE(F382," ","")&amp;",")))*Справочник_ОКВЭД_НР!$L$10 +
  SUMPRODUCT(ISNUMBER(SEARCH(","&amp;Справочник_ОКВЭД_НР!$E$3:$E$62&amp;".",","&amp;SUBSTITUTE(F382," ","")&amp;",")))*Справочник_ОКВЭД_НР!$L$11 +
  SUMPRODUCT(ISNUMBER(SEARCH(","&amp;Справочник_ОКВЭД_НР!$G$3:$G$62&amp;".",","&amp;SUBSTITUTE(F382," ","")&amp;",")))*Справочник_ОКВЭД_НР!$L$12) /
 (SUMPRODUCT(ISNUMBER(SEARCH(","&amp;Справочник_ОКВЭД_НР!$A$3:$A$62&amp;".",","&amp;SUBSTITUTE(F382," ","")&amp;","))) +
  SUMPRODUCT(ISNUMBER(SEARCH(","&amp;Справочник_ОКВЭД_НР!$C$3:$C$62&amp;".",","&amp;SUBSTITUTE(F382," ","")&amp;","))) +
  SUMPRODUCT(ISNUMBER(SEARCH(","&amp;Справочник_ОКВЭД_НР!$E$3:$E$62&amp;".",","&amp;SUBSTITUTE(F382," ","")&amp;","))) +
  SUMPRODUCT(ISNUMBER(SEARCH(","&amp;Справочник_ОКВЭД_НР!$G$3:$G$62&amp;".",","&amp;SUBSTITUTE(F382," ","")&amp;",")))),
50)</f>
        <v>50</v>
      </c>
      <c r="K382" s="30">
        <f>IFERROR(VLOOKUP(G382,Справочник_ОКВЭД_НР!$O:$P,2,FALSE()),50)</f>
        <v>100</v>
      </c>
      <c r="L382" s="45">
        <f>(I382*Справочник_ОКВЭД_НР!$L$2+J382*Справочник_ОКВЭД_НР!$L$3+K382*Справочник_ОКВЭД_НР!$L$4)*M382</f>
        <v>0</v>
      </c>
      <c r="M382" s="47">
        <f>IF(COUNTIF(Справочник_ОКВЭД_НР!$G$3:$G$62,H382)&gt;0,0,1)</f>
        <v>0</v>
      </c>
    </row>
    <row r="383" spans="1:13" x14ac:dyDescent="0.25">
      <c r="A383" s="4">
        <f>ЛИК_дляСкорингаДП!A383</f>
        <v>1222100009383</v>
      </c>
      <c r="B383" s="4">
        <f>ЛИК_дляСкорингаДП!B383</f>
        <v>2100002929</v>
      </c>
      <c r="C383" s="4" t="str">
        <f>ЛИК_дляСкорингаДП!C383</f>
        <v>АНО "АПИК"</v>
      </c>
      <c r="D383" s="5" t="str">
        <f>ЛИК_дляСкорингаДП!M383</f>
        <v>Образование дополнительное детей и взрослых, не включенное в другие группировки</v>
      </c>
      <c r="E383" s="4" t="str">
        <f>ЛИК_дляСкорингаДП!L383</f>
        <v>85.41.9</v>
      </c>
      <c r="F383" t="str">
        <f>ЛИК_дляСкорингаДП!N383</f>
        <v>18.12,64.99,82.30,85.41.2,90.04.3</v>
      </c>
      <c r="G383" s="25" t="str">
        <f>ЛИК_дляСкорингаДП!AG383</f>
        <v>ОСН</v>
      </c>
      <c r="H383" s="55" t="str">
        <f>IF(ISNUMBER(E383),E383,
IFERROR(LEFT(E383,FIND(".",E383)-1),E383))</f>
        <v>85</v>
      </c>
      <c r="I383" s="30">
        <f>IF(COUNTIF(Справочник_ОКВЭД_НР!$A$3:$A$62,H383)&gt;0,Справочник_ОКВЭД_НР!$L$8,
 IF(COUNTIF(Справочник_ОКВЭД_НР!$C$3:$C$62,H383)&gt;0,Справочник_ОКВЭД_НР!$L$9,
  IF(COUNTIF(Справочник_ОКВЭД_НР!$E$3:$E$62,H383)&gt;0,Справочник_ОКВЭД_НР!$L$10,
   IF(COUNTIF(Справочник_ОКВЭД_НР!$G$3:$G$62,H383)&gt;0,Справочник_ОКВЭД_НР!$L$11,50))))</f>
        <v>30</v>
      </c>
      <c r="J383" s="30" cm="1">
        <f t="array" ref="J383">IFERROR(
 (SUMPRODUCT(ISNUMBER(SEARCH(","&amp;Справочник_ОКВЭД_НР!$A$3:$A$62&amp;".",","&amp;SUBSTITUTE(F383," ","")&amp;",")))*Справочник_ОКВЭД_НР!$L$9 +
  SUMPRODUCT(ISNUMBER(SEARCH(","&amp;Справочник_ОКВЭД_НР!$C$3:$C$62&amp;".",","&amp;SUBSTITUTE(F383," ","")&amp;",")))*Справочник_ОКВЭД_НР!$L$10 +
  SUMPRODUCT(ISNUMBER(SEARCH(","&amp;Справочник_ОКВЭД_НР!$E$3:$E$62&amp;".",","&amp;SUBSTITUTE(F383," ","")&amp;",")))*Справочник_ОКВЭД_НР!$L$11 +
  SUMPRODUCT(ISNUMBER(SEARCH(","&amp;Справочник_ОКВЭД_НР!$G$3:$G$62&amp;".",","&amp;SUBSTITUTE(F383," ","")&amp;",")))*Справочник_ОКВЭД_НР!$L$12) /
 (SUMPRODUCT(ISNUMBER(SEARCH(","&amp;Справочник_ОКВЭД_НР!$A$3:$A$62&amp;".",","&amp;SUBSTITUTE(F383," ","")&amp;","))) +
  SUMPRODUCT(ISNUMBER(SEARCH(","&amp;Справочник_ОКВЭД_НР!$C$3:$C$62&amp;".",","&amp;SUBSTITUTE(F383," ","")&amp;","))) +
  SUMPRODUCT(ISNUMBER(SEARCH(","&amp;Справочник_ОКВЭД_НР!$E$3:$E$62&amp;".",","&amp;SUBSTITUTE(F383," ","")&amp;","))) +
  SUMPRODUCT(ISNUMBER(SEARCH(","&amp;Справочник_ОКВЭД_НР!$G$3:$G$62&amp;".",","&amp;SUBSTITUTE(F383," ","")&amp;",")))),
50)</f>
        <v>50</v>
      </c>
      <c r="K383" s="30">
        <f>IFERROR(VLOOKUP(G383,Справочник_ОКВЭД_НР!$O:$P,2,FALSE()),50)</f>
        <v>100</v>
      </c>
      <c r="L383" s="45">
        <f>(I383*Справочник_ОКВЭД_НР!$L$2+J383*Справочник_ОКВЭД_НР!$L$3+K383*Справочник_ОКВЭД_НР!$L$4)*M383</f>
        <v>45.5</v>
      </c>
      <c r="M383" s="47">
        <f>IF(COUNTIF(Справочник_ОКВЭД_НР!$G$3:$G$62,H383)&gt;0,0,1)</f>
        <v>1</v>
      </c>
    </row>
    <row r="384" spans="1:13" x14ac:dyDescent="0.25">
      <c r="A384" s="4">
        <f>ЛИК_дляСкорингаДП!A384</f>
        <v>1222100009340</v>
      </c>
      <c r="B384" s="4">
        <f>ЛИК_дляСкорингаДП!B384</f>
        <v>2100002887</v>
      </c>
      <c r="C384" s="4" t="str">
        <f>ЛИК_дляСкорингаДП!C384</f>
        <v>ЧРРО "СПЕЦИАЛЬНАЯ ОЛИМПИАДА РОССИИ"</v>
      </c>
      <c r="D384" s="5" t="str">
        <f>ЛИК_дляСкорингаДП!M384</f>
        <v>Деятельность в области спорта прочая</v>
      </c>
      <c r="E384" s="4" t="str">
        <f>ЛИК_дляСкорингаДП!L384</f>
        <v>93.19</v>
      </c>
      <c r="F384" t="str">
        <f>ЛИК_дляСкорингаДП!N384</f>
        <v>94.99</v>
      </c>
      <c r="G384" s="25" t="str">
        <f>ЛИК_дляСкорингаДП!AG384</f>
        <v>ОСН</v>
      </c>
      <c r="H384" s="55" t="str">
        <f>IF(ISNUMBER(E384),E384,
IFERROR(LEFT(E384,FIND(".",E384)-1),E384))</f>
        <v>93</v>
      </c>
      <c r="I384" s="30">
        <f>IF(COUNTIF(Справочник_ОКВЭД_НР!$A$3:$A$62,H384)&gt;0,Справочник_ОКВЭД_НР!$L$8,
 IF(COUNTIF(Справочник_ОКВЭД_НР!$C$3:$C$62,H384)&gt;0,Справочник_ОКВЭД_НР!$L$9,
  IF(COUNTIF(Справочник_ОКВЭД_НР!$E$3:$E$62,H384)&gt;0,Справочник_ОКВЭД_НР!$L$10,
   IF(COUNTIF(Справочник_ОКВЭД_НР!$G$3:$G$62,H384)&gt;0,Справочник_ОКВЭД_НР!$L$11,50))))</f>
        <v>30</v>
      </c>
      <c r="J384" s="30" cm="1">
        <f t="array" ref="J384">IFERROR(
 (SUMPRODUCT(ISNUMBER(SEARCH(","&amp;Справочник_ОКВЭД_НР!$A$3:$A$62&amp;".",","&amp;SUBSTITUTE(F384," ","")&amp;",")))*Справочник_ОКВЭД_НР!$L$9 +
  SUMPRODUCT(ISNUMBER(SEARCH(","&amp;Справочник_ОКВЭД_НР!$C$3:$C$62&amp;".",","&amp;SUBSTITUTE(F384," ","")&amp;",")))*Справочник_ОКВЭД_НР!$L$10 +
  SUMPRODUCT(ISNUMBER(SEARCH(","&amp;Справочник_ОКВЭД_НР!$E$3:$E$62&amp;".",","&amp;SUBSTITUTE(F384," ","")&amp;",")))*Справочник_ОКВЭД_НР!$L$11 +
  SUMPRODUCT(ISNUMBER(SEARCH(","&amp;Справочник_ОКВЭД_НР!$G$3:$G$62&amp;".",","&amp;SUBSTITUTE(F384," ","")&amp;",")))*Справочник_ОКВЭД_НР!$L$12) /
 (SUMPRODUCT(ISNUMBER(SEARCH(","&amp;Справочник_ОКВЭД_НР!$A$3:$A$62&amp;".",","&amp;SUBSTITUTE(F384," ","")&amp;","))) +
  SUMPRODUCT(ISNUMBER(SEARCH(","&amp;Справочник_ОКВЭД_НР!$C$3:$C$62&amp;".",","&amp;SUBSTITUTE(F384," ","")&amp;","))) +
  SUMPRODUCT(ISNUMBER(SEARCH(","&amp;Справочник_ОКВЭД_НР!$E$3:$E$62&amp;".",","&amp;SUBSTITUTE(F384," ","")&amp;","))) +
  SUMPRODUCT(ISNUMBER(SEARCH(","&amp;Справочник_ОКВЭД_НР!$G$3:$G$62&amp;".",","&amp;SUBSTITUTE(F384," ","")&amp;",")))),
50)</f>
        <v>50</v>
      </c>
      <c r="K384" s="30">
        <f>IFERROR(VLOOKUP(G384,Справочник_ОКВЭД_НР!$O:$P,2,FALSE()),50)</f>
        <v>100</v>
      </c>
      <c r="L384" s="45">
        <f>(I384*Справочник_ОКВЭД_НР!$L$2+J384*Справочник_ОКВЭД_НР!$L$3+K384*Справочник_ОКВЭД_НР!$L$4)*M384</f>
        <v>45.5</v>
      </c>
      <c r="M384" s="47">
        <f>IF(COUNTIF(Справочник_ОКВЭД_НР!$G$3:$G$62,H384)&gt;0,0,1)</f>
        <v>1</v>
      </c>
    </row>
    <row r="385" spans="1:13" x14ac:dyDescent="0.25">
      <c r="A385" s="4">
        <f>ЛИК_дляСкорингаДП!A385</f>
        <v>1242100000372</v>
      </c>
      <c r="B385" s="4">
        <f>ЛИК_дляСкорингаДП!B385</f>
        <v>2100013350</v>
      </c>
      <c r="C385" s="4" t="str">
        <f>ЛИК_дляСкорингаДП!C385</f>
        <v>ФОНД "РАЗВИТИЕ"</v>
      </c>
      <c r="D385" s="5" t="str">
        <f>ЛИК_дляСкорингаДП!M385</f>
        <v>Предоставление прочих финансовых услуг, кроме услуг по страхованию и пенсионному обеспечению, не включенных в другие группировки</v>
      </c>
      <c r="E385" s="4" t="str">
        <f>ЛИК_дляСкорингаДП!L385</f>
        <v>64.99</v>
      </c>
      <c r="F385" t="str">
        <f>ЛИК_дляСкорингаДП!N385</f>
        <v>58.19,82.30</v>
      </c>
      <c r="G385" s="25" t="str">
        <f>ЛИК_дляСкорингаДП!AG385</f>
        <v>ОСН</v>
      </c>
      <c r="H385" s="55" t="str">
        <f>IF(ISNUMBER(E385),E385,
IFERROR(LEFT(E385,FIND(".",E385)-1),E385))</f>
        <v>64</v>
      </c>
      <c r="I385" s="30">
        <f>IF(COUNTIF(Справочник_ОКВЭД_НР!$A$3:$A$62,H385)&gt;0,Справочник_ОКВЭД_НР!$L$8,
 IF(COUNTIF(Справочник_ОКВЭД_НР!$C$3:$C$62,H385)&gt;0,Справочник_ОКВЭД_НР!$L$9,
  IF(COUNTIF(Справочник_ОКВЭД_НР!$E$3:$E$62,H385)&gt;0,Справочник_ОКВЭД_НР!$L$10,
   IF(COUNTIF(Справочник_ОКВЭД_НР!$G$3:$G$62,H385)&gt;0,Справочник_ОКВЭД_НР!$L$11,50))))</f>
        <v>60</v>
      </c>
      <c r="J385" s="30" cm="1">
        <f t="array" ref="J385">IFERROR(
 (SUMPRODUCT(ISNUMBER(SEARCH(","&amp;Справочник_ОКВЭД_НР!$A$3:$A$62&amp;".",","&amp;SUBSTITUTE(F385," ","")&amp;",")))*Справочник_ОКВЭД_НР!$L$9 +
  SUMPRODUCT(ISNUMBER(SEARCH(","&amp;Справочник_ОКВЭД_НР!$C$3:$C$62&amp;".",","&amp;SUBSTITUTE(F385," ","")&amp;",")))*Справочник_ОКВЭД_НР!$L$10 +
  SUMPRODUCT(ISNUMBER(SEARCH(","&amp;Справочник_ОКВЭД_НР!$E$3:$E$62&amp;".",","&amp;SUBSTITUTE(F385," ","")&amp;",")))*Справочник_ОКВЭД_НР!$L$11 +
  SUMPRODUCT(ISNUMBER(SEARCH(","&amp;Справочник_ОКВЭД_НР!$G$3:$G$62&amp;".",","&amp;SUBSTITUTE(F385," ","")&amp;",")))*Справочник_ОКВЭД_НР!$L$12) /
 (SUMPRODUCT(ISNUMBER(SEARCH(","&amp;Справочник_ОКВЭД_НР!$A$3:$A$62&amp;".",","&amp;SUBSTITUTE(F385," ","")&amp;","))) +
  SUMPRODUCT(ISNUMBER(SEARCH(","&amp;Справочник_ОКВЭД_НР!$C$3:$C$62&amp;".",","&amp;SUBSTITUTE(F385," ","")&amp;","))) +
  SUMPRODUCT(ISNUMBER(SEARCH(","&amp;Справочник_ОКВЭД_НР!$E$3:$E$62&amp;".",","&amp;SUBSTITUTE(F385," ","")&amp;","))) +
  SUMPRODUCT(ISNUMBER(SEARCH(","&amp;Справочник_ОКВЭД_НР!$G$3:$G$62&amp;".",","&amp;SUBSTITUTE(F385," ","")&amp;",")))),
50)</f>
        <v>50</v>
      </c>
      <c r="K385" s="30">
        <f>IFERROR(VLOOKUP(G385,Справочник_ОКВЭД_НР!$O:$P,2,FALSE()),50)</f>
        <v>100</v>
      </c>
      <c r="L385" s="45">
        <f>(I385*Справочник_ОКВЭД_НР!$L$2+J385*Справочник_ОКВЭД_НР!$L$3+K385*Справочник_ОКВЭД_НР!$L$4)*M385</f>
        <v>63.5</v>
      </c>
      <c r="M385" s="47">
        <f>IF(COUNTIF(Справочник_ОКВЭД_НР!$G$3:$G$62,H385)&gt;0,0,1)</f>
        <v>1</v>
      </c>
    </row>
    <row r="386" spans="1:13" x14ac:dyDescent="0.25">
      <c r="A386" s="4">
        <f>ЛИК_дляСкорингаДП!A386</f>
        <v>1242100000383</v>
      </c>
      <c r="B386" s="4">
        <f>ЛИК_дляСкорингаДП!B386</f>
        <v>2100013367</v>
      </c>
      <c r="C386" s="4" t="str">
        <f>ЛИК_дляСкорингаДП!C386</f>
        <v>СНТ "ВЕТЕРАНЫ ПО"</v>
      </c>
      <c r="D386" s="5" t="str">
        <f>ЛИК_дляСкорингаДП!M386</f>
        <v>Управление эксплуатацией нежилого фонда за вознаграждение или на договорной основе</v>
      </c>
      <c r="E386" s="4" t="str">
        <f>ЛИК_дляСкорингаДП!L386</f>
        <v>68.32.2</v>
      </c>
      <c r="F386">
        <f>ЛИК_дляСкорингаДП!N386</f>
        <v>0</v>
      </c>
      <c r="G386" s="25" t="str">
        <f>ЛИК_дляСкорингаДП!AG386</f>
        <v>ОСН</v>
      </c>
      <c r="H386" s="55" t="str">
        <f>IF(ISNUMBER(E386),E386,
IFERROR(LEFT(E386,FIND(".",E386)-1),E386))</f>
        <v>68</v>
      </c>
      <c r="I386" s="30">
        <f>IF(COUNTIF(Справочник_ОКВЭД_НР!$A$3:$A$62,H386)&gt;0,Справочник_ОКВЭД_НР!$L$8,
 IF(COUNTIF(Справочник_ОКВЭД_НР!$C$3:$C$62,H386)&gt;0,Справочник_ОКВЭД_НР!$L$9,
  IF(COUNTIF(Справочник_ОКВЭД_НР!$E$3:$E$62,H386)&gt;0,Справочник_ОКВЭД_НР!$L$10,
   IF(COUNTIF(Справочник_ОКВЭД_НР!$G$3:$G$62,H386)&gt;0,Справочник_ОКВЭД_НР!$L$11,50))))</f>
        <v>100</v>
      </c>
      <c r="J386" s="30" cm="1">
        <f t="array" ref="J386">IFERROR(
 (SUMPRODUCT(ISNUMBER(SEARCH(","&amp;Справочник_ОКВЭД_НР!$A$3:$A$62&amp;".",","&amp;SUBSTITUTE(F386," ","")&amp;",")))*Справочник_ОКВЭД_НР!$L$9 +
  SUMPRODUCT(ISNUMBER(SEARCH(","&amp;Справочник_ОКВЭД_НР!$C$3:$C$62&amp;".",","&amp;SUBSTITUTE(F386," ","")&amp;",")))*Справочник_ОКВЭД_НР!$L$10 +
  SUMPRODUCT(ISNUMBER(SEARCH(","&amp;Справочник_ОКВЭД_НР!$E$3:$E$62&amp;".",","&amp;SUBSTITUTE(F386," ","")&amp;",")))*Справочник_ОКВЭД_НР!$L$11 +
  SUMPRODUCT(ISNUMBER(SEARCH(","&amp;Справочник_ОКВЭД_НР!$G$3:$G$62&amp;".",","&amp;SUBSTITUTE(F386," ","")&amp;",")))*Справочник_ОКВЭД_НР!$L$12) /
 (SUMPRODUCT(ISNUMBER(SEARCH(","&amp;Справочник_ОКВЭД_НР!$A$3:$A$62&amp;".",","&amp;SUBSTITUTE(F386," ","")&amp;","))) +
  SUMPRODUCT(ISNUMBER(SEARCH(","&amp;Справочник_ОКВЭД_НР!$C$3:$C$62&amp;".",","&amp;SUBSTITUTE(F386," ","")&amp;","))) +
  SUMPRODUCT(ISNUMBER(SEARCH(","&amp;Справочник_ОКВЭД_НР!$E$3:$E$62&amp;".",","&amp;SUBSTITUTE(F386," ","")&amp;","))) +
  SUMPRODUCT(ISNUMBER(SEARCH(","&amp;Справочник_ОКВЭД_НР!$G$3:$G$62&amp;".",","&amp;SUBSTITUTE(F386," ","")&amp;",")))),
50)</f>
        <v>50</v>
      </c>
      <c r="K386" s="30">
        <f>IFERROR(VLOOKUP(G386,Справочник_ОКВЭД_НР!$O:$P,2,FALSE()),50)</f>
        <v>100</v>
      </c>
      <c r="L386" s="45">
        <f>(I386*Справочник_ОКВЭД_НР!$L$2+J386*Справочник_ОКВЭД_НР!$L$3+K386*Справочник_ОКВЭД_НР!$L$4)*M386</f>
        <v>87.5</v>
      </c>
      <c r="M386" s="47">
        <f>IF(COUNTIF(Справочник_ОКВЭД_НР!$G$3:$G$62,H386)&gt;0,0,1)</f>
        <v>1</v>
      </c>
    </row>
    <row r="387" spans="1:13" x14ac:dyDescent="0.25">
      <c r="A387" s="4">
        <f>ЛИК_дляСкорингаДП!A387</f>
        <v>1222100009152</v>
      </c>
      <c r="B387" s="4">
        <f>ЛИК_дляСкорингаДП!B387</f>
        <v>2100002693</v>
      </c>
      <c r="C387" s="4" t="str">
        <f>ЛИК_дляСкорингаДП!C387</f>
        <v>ЧРФСОО "ФЕДЕРАЦИЯ ШАХБОКСА ЧУВАШСКОЙ РЕСПУБЛИКИ"</v>
      </c>
      <c r="D387" s="5" t="str">
        <f>ЛИК_дляСкорингаДП!M387</f>
        <v>Деятельность прочих общественных организаций и некоммерческих организаций, кроме религиозных и политических организаций</v>
      </c>
      <c r="E387" s="4" t="str">
        <f>ЛИК_дляСкорингаДП!L387</f>
        <v>94.99</v>
      </c>
      <c r="F387" t="str">
        <f>ЛИК_дляСкорингаДП!N387</f>
        <v>77.21,82.30,93.12,93.19,93.29</v>
      </c>
      <c r="G387" s="25" t="str">
        <f>ЛИК_дляСкорингаДП!AG387</f>
        <v>ОСН</v>
      </c>
      <c r="H387" s="55" t="str">
        <f>IF(ISNUMBER(E387),E387,
IFERROR(LEFT(E387,FIND(".",E387)-1),E387))</f>
        <v>94</v>
      </c>
      <c r="I387" s="30">
        <f>IF(COUNTIF(Справочник_ОКВЭД_НР!$A$3:$A$62,H387)&gt;0,Справочник_ОКВЭД_НР!$L$8,
 IF(COUNTIF(Справочник_ОКВЭД_НР!$C$3:$C$62,H387)&gt;0,Справочник_ОКВЭД_НР!$L$9,
  IF(COUNTIF(Справочник_ОКВЭД_НР!$E$3:$E$62,H387)&gt;0,Справочник_ОКВЭД_НР!$L$10,
   IF(COUNTIF(Справочник_ОКВЭД_НР!$G$3:$G$62,H387)&gt;0,Справочник_ОКВЭД_НР!$L$11,50))))</f>
        <v>0</v>
      </c>
      <c r="J387" s="30" cm="1">
        <f t="array" ref="J387">IFERROR(
 (SUMPRODUCT(ISNUMBER(SEARCH(","&amp;Справочник_ОКВЭД_НР!$A$3:$A$62&amp;".",","&amp;SUBSTITUTE(F387," ","")&amp;",")))*Справочник_ОКВЭД_НР!$L$9 +
  SUMPRODUCT(ISNUMBER(SEARCH(","&amp;Справочник_ОКВЭД_НР!$C$3:$C$62&amp;".",","&amp;SUBSTITUTE(F387," ","")&amp;",")))*Справочник_ОКВЭД_НР!$L$10 +
  SUMPRODUCT(ISNUMBER(SEARCH(","&amp;Справочник_ОКВЭД_НР!$E$3:$E$62&amp;".",","&amp;SUBSTITUTE(F387," ","")&amp;",")))*Справочник_ОКВЭД_НР!$L$11 +
  SUMPRODUCT(ISNUMBER(SEARCH(","&amp;Справочник_ОКВЭД_НР!$G$3:$G$62&amp;".",","&amp;SUBSTITUTE(F387," ","")&amp;",")))*Справочник_ОКВЭД_НР!$L$12) /
 (SUMPRODUCT(ISNUMBER(SEARCH(","&amp;Справочник_ОКВЭД_НР!$A$3:$A$62&amp;".",","&amp;SUBSTITUTE(F387," ","")&amp;","))) +
  SUMPRODUCT(ISNUMBER(SEARCH(","&amp;Справочник_ОКВЭД_НР!$C$3:$C$62&amp;".",","&amp;SUBSTITUTE(F387," ","")&amp;","))) +
  SUMPRODUCT(ISNUMBER(SEARCH(","&amp;Справочник_ОКВЭД_НР!$E$3:$E$62&amp;".",","&amp;SUBSTITUTE(F387," ","")&amp;","))) +
  SUMPRODUCT(ISNUMBER(SEARCH(","&amp;Справочник_ОКВЭД_НР!$G$3:$G$62&amp;".",","&amp;SUBSTITUTE(F387," ","")&amp;",")))),
50)</f>
        <v>50</v>
      </c>
      <c r="K387" s="30">
        <f>IFERROR(VLOOKUP(G387,Справочник_ОКВЭД_НР!$O:$P,2,FALSE()),50)</f>
        <v>100</v>
      </c>
      <c r="L387" s="45">
        <f>(I387*Справочник_ОКВЭД_НР!$L$2+J387*Справочник_ОКВЭД_НР!$L$3+K387*Справочник_ОКВЭД_НР!$L$4)*M387</f>
        <v>0</v>
      </c>
      <c r="M387" s="47">
        <f>IF(COUNTIF(Справочник_ОКВЭД_НР!$G$3:$G$62,H387)&gt;0,0,1)</f>
        <v>0</v>
      </c>
    </row>
    <row r="388" spans="1:13" x14ac:dyDescent="0.25">
      <c r="A388" s="4">
        <f>ЛИК_дляСкорингаДП!A388</f>
        <v>1232100003585</v>
      </c>
      <c r="B388" s="4">
        <f>ЛИК_дляСкорингаДП!B388</f>
        <v>2100007081</v>
      </c>
      <c r="C388" s="4">
        <f>ЛИК_дляСкорингаДП!C388</f>
        <v>0</v>
      </c>
      <c r="D388" s="5" t="str">
        <f>ЛИК_дляСкорингаДП!M388</f>
        <v>Деятельность прочих общественных организаций и некоммерческих организаций, кроме религиозных и политических организаций</v>
      </c>
      <c r="E388" s="4" t="str">
        <f>ЛИК_дляСкорингаДП!L388</f>
        <v>94.99</v>
      </c>
      <c r="F388">
        <f>ЛИК_дляСкорингаДП!N388</f>
        <v>0</v>
      </c>
      <c r="G388" s="25" t="str">
        <f>ЛИК_дляСкорингаДП!AG388</f>
        <v>ОСН</v>
      </c>
      <c r="H388" s="55" t="str">
        <f>IF(ISNUMBER(E388),E388,
IFERROR(LEFT(E388,FIND(".",E388)-1),E388))</f>
        <v>94</v>
      </c>
      <c r="I388" s="30">
        <f>IF(COUNTIF(Справочник_ОКВЭД_НР!$A$3:$A$62,H388)&gt;0,Справочник_ОКВЭД_НР!$L$8,
 IF(COUNTIF(Справочник_ОКВЭД_НР!$C$3:$C$62,H388)&gt;0,Справочник_ОКВЭД_НР!$L$9,
  IF(COUNTIF(Справочник_ОКВЭД_НР!$E$3:$E$62,H388)&gt;0,Справочник_ОКВЭД_НР!$L$10,
   IF(COUNTIF(Справочник_ОКВЭД_НР!$G$3:$G$62,H388)&gt;0,Справочник_ОКВЭД_НР!$L$11,50))))</f>
        <v>0</v>
      </c>
      <c r="J388" s="30" cm="1">
        <f t="array" ref="J388">IFERROR(
 (SUMPRODUCT(ISNUMBER(SEARCH(","&amp;Справочник_ОКВЭД_НР!$A$3:$A$62&amp;".",","&amp;SUBSTITUTE(F388," ","")&amp;",")))*Справочник_ОКВЭД_НР!$L$9 +
  SUMPRODUCT(ISNUMBER(SEARCH(","&amp;Справочник_ОКВЭД_НР!$C$3:$C$62&amp;".",","&amp;SUBSTITUTE(F388," ","")&amp;",")))*Справочник_ОКВЭД_НР!$L$10 +
  SUMPRODUCT(ISNUMBER(SEARCH(","&amp;Справочник_ОКВЭД_НР!$E$3:$E$62&amp;".",","&amp;SUBSTITUTE(F388," ","")&amp;",")))*Справочник_ОКВЭД_НР!$L$11 +
  SUMPRODUCT(ISNUMBER(SEARCH(","&amp;Справочник_ОКВЭД_НР!$G$3:$G$62&amp;".",","&amp;SUBSTITUTE(F388," ","")&amp;",")))*Справочник_ОКВЭД_НР!$L$12) /
 (SUMPRODUCT(ISNUMBER(SEARCH(","&amp;Справочник_ОКВЭД_НР!$A$3:$A$62&amp;".",","&amp;SUBSTITUTE(F388," ","")&amp;","))) +
  SUMPRODUCT(ISNUMBER(SEARCH(","&amp;Справочник_ОКВЭД_НР!$C$3:$C$62&amp;".",","&amp;SUBSTITUTE(F388," ","")&amp;","))) +
  SUMPRODUCT(ISNUMBER(SEARCH(","&amp;Справочник_ОКВЭД_НР!$E$3:$E$62&amp;".",","&amp;SUBSTITUTE(F388," ","")&amp;","))) +
  SUMPRODUCT(ISNUMBER(SEARCH(","&amp;Справочник_ОКВЭД_НР!$G$3:$G$62&amp;".",","&amp;SUBSTITUTE(F388," ","")&amp;",")))),
50)</f>
        <v>50</v>
      </c>
      <c r="K388" s="30">
        <f>IFERROR(VLOOKUP(G388,Справочник_ОКВЭД_НР!$O:$P,2,FALSE()),50)</f>
        <v>100</v>
      </c>
      <c r="L388" s="45">
        <f>(I388*Справочник_ОКВЭД_НР!$L$2+J388*Справочник_ОКВЭД_НР!$L$3+K388*Справочник_ОКВЭД_НР!$L$4)*M388</f>
        <v>0</v>
      </c>
      <c r="M388" s="47">
        <f>IF(COUNTIF(Справочник_ОКВЭД_НР!$G$3:$G$62,H388)&gt;0,0,1)</f>
        <v>0</v>
      </c>
    </row>
    <row r="389" spans="1:13" x14ac:dyDescent="0.25">
      <c r="A389" s="4">
        <f>ЛИК_дляСкорингаДП!A389</f>
        <v>1242100000405</v>
      </c>
      <c r="B389" s="4">
        <f>ЛИК_дляСкорингаДП!B389</f>
        <v>2100013381</v>
      </c>
      <c r="C389" s="4" t="str">
        <f>ЛИК_дляСкорингаДП!C389</f>
        <v>ОО "ФЕДЕРАЦИЯ ПЛАВАНИЯ НА ОТКРЫТОЙ ВОДЕ"</v>
      </c>
      <c r="D389" s="5" t="str">
        <f>ЛИК_дляСкорингаДП!M389</f>
        <v>Деятельность прочих общественных организаций и некоммерческих организаций, кроме религиозных и политических организаций</v>
      </c>
      <c r="E389" s="4" t="str">
        <f>ЛИК_дляСкорингаДП!L389</f>
        <v>94.99</v>
      </c>
      <c r="F389" t="str">
        <f>ЛИК_дляСкорингаДП!N389</f>
        <v>18.12,93.19</v>
      </c>
      <c r="G389" s="25" t="str">
        <f>ЛИК_дляСкорингаДП!AG389</f>
        <v>ОСН</v>
      </c>
      <c r="H389" s="55" t="str">
        <f>IF(ISNUMBER(E389),E389,
IFERROR(LEFT(E389,FIND(".",E389)-1),E389))</f>
        <v>94</v>
      </c>
      <c r="I389" s="30">
        <f>IF(COUNTIF(Справочник_ОКВЭД_НР!$A$3:$A$62,H389)&gt;0,Справочник_ОКВЭД_НР!$L$8,
 IF(COUNTIF(Справочник_ОКВЭД_НР!$C$3:$C$62,H389)&gt;0,Справочник_ОКВЭД_НР!$L$9,
  IF(COUNTIF(Справочник_ОКВЭД_НР!$E$3:$E$62,H389)&gt;0,Справочник_ОКВЭД_НР!$L$10,
   IF(COUNTIF(Справочник_ОКВЭД_НР!$G$3:$G$62,H389)&gt;0,Справочник_ОКВЭД_НР!$L$11,50))))</f>
        <v>0</v>
      </c>
      <c r="J389" s="30" cm="1">
        <f t="array" ref="J389">IFERROR(
 (SUMPRODUCT(ISNUMBER(SEARCH(","&amp;Справочник_ОКВЭД_НР!$A$3:$A$62&amp;".",","&amp;SUBSTITUTE(F389," ","")&amp;",")))*Справочник_ОКВЭД_НР!$L$9 +
  SUMPRODUCT(ISNUMBER(SEARCH(","&amp;Справочник_ОКВЭД_НР!$C$3:$C$62&amp;".",","&amp;SUBSTITUTE(F389," ","")&amp;",")))*Справочник_ОКВЭД_НР!$L$10 +
  SUMPRODUCT(ISNUMBER(SEARCH(","&amp;Справочник_ОКВЭД_НР!$E$3:$E$62&amp;".",","&amp;SUBSTITUTE(F389," ","")&amp;",")))*Справочник_ОКВЭД_НР!$L$11 +
  SUMPRODUCT(ISNUMBER(SEARCH(","&amp;Справочник_ОКВЭД_НР!$G$3:$G$62&amp;".",","&amp;SUBSTITUTE(F389," ","")&amp;",")))*Справочник_ОКВЭД_НР!$L$12) /
 (SUMPRODUCT(ISNUMBER(SEARCH(","&amp;Справочник_ОКВЭД_НР!$A$3:$A$62&amp;".",","&amp;SUBSTITUTE(F389," ","")&amp;","))) +
  SUMPRODUCT(ISNUMBER(SEARCH(","&amp;Справочник_ОКВЭД_НР!$C$3:$C$62&amp;".",","&amp;SUBSTITUTE(F389," ","")&amp;","))) +
  SUMPRODUCT(ISNUMBER(SEARCH(","&amp;Справочник_ОКВЭД_НР!$E$3:$E$62&amp;".",","&amp;SUBSTITUTE(F389," ","")&amp;","))) +
  SUMPRODUCT(ISNUMBER(SEARCH(","&amp;Справочник_ОКВЭД_НР!$G$3:$G$62&amp;".",","&amp;SUBSTITUTE(F389," ","")&amp;",")))),
50)</f>
        <v>50</v>
      </c>
      <c r="K389" s="30">
        <f>IFERROR(VLOOKUP(G389,Справочник_ОКВЭД_НР!$O:$P,2,FALSE()),50)</f>
        <v>100</v>
      </c>
      <c r="L389" s="45">
        <f>(I389*Справочник_ОКВЭД_НР!$L$2+J389*Справочник_ОКВЭД_НР!$L$3+K389*Справочник_ОКВЭД_НР!$L$4)*M389</f>
        <v>0</v>
      </c>
      <c r="M389" s="47">
        <f>IF(COUNTIF(Справочник_ОКВЭД_НР!$G$3:$G$62,H389)&gt;0,0,1)</f>
        <v>0</v>
      </c>
    </row>
    <row r="390" spans="1:13" x14ac:dyDescent="0.25">
      <c r="A390" s="4">
        <f>ЛИК_дляСкорингаДП!A390</f>
        <v>1232100003563</v>
      </c>
      <c r="B390" s="4">
        <f>ЛИК_дляСкорингаДП!B390</f>
        <v>2100007067</v>
      </c>
      <c r="C390" s="4" t="str">
        <f>ЛИК_дляСкорингаДП!C390</f>
        <v>ТОС "ТУРМЫШИ"</v>
      </c>
      <c r="D390" s="5" t="str">
        <f>ЛИК_дляСкорингаДП!M390</f>
        <v>Деятельность прочих общественных организаций и некоммерческих организаций, кроме религиозных и политических организаций</v>
      </c>
      <c r="E390" s="4" t="str">
        <f>ЛИК_дляСкорингаДП!L390</f>
        <v>94.99</v>
      </c>
      <c r="F390" t="str">
        <f>ЛИК_дляСкорингаДП!N390</f>
        <v>88.99</v>
      </c>
      <c r="G390" s="25" t="str">
        <f>ЛИК_дляСкорингаДП!AG390</f>
        <v>ОСН</v>
      </c>
      <c r="H390" s="55" t="str">
        <f>IF(ISNUMBER(E390),E390,
IFERROR(LEFT(E390,FIND(".",E390)-1),E390))</f>
        <v>94</v>
      </c>
      <c r="I390" s="30">
        <f>IF(COUNTIF(Справочник_ОКВЭД_НР!$A$3:$A$62,H390)&gt;0,Справочник_ОКВЭД_НР!$L$8,
 IF(COUNTIF(Справочник_ОКВЭД_НР!$C$3:$C$62,H390)&gt;0,Справочник_ОКВЭД_НР!$L$9,
  IF(COUNTIF(Справочник_ОКВЭД_НР!$E$3:$E$62,H390)&gt;0,Справочник_ОКВЭД_НР!$L$10,
   IF(COUNTIF(Справочник_ОКВЭД_НР!$G$3:$G$62,H390)&gt;0,Справочник_ОКВЭД_НР!$L$11,50))))</f>
        <v>0</v>
      </c>
      <c r="J390" s="30" cm="1">
        <f t="array" ref="J390">IFERROR(
 (SUMPRODUCT(ISNUMBER(SEARCH(","&amp;Справочник_ОКВЭД_НР!$A$3:$A$62&amp;".",","&amp;SUBSTITUTE(F390," ","")&amp;",")))*Справочник_ОКВЭД_НР!$L$9 +
  SUMPRODUCT(ISNUMBER(SEARCH(","&amp;Справочник_ОКВЭД_НР!$C$3:$C$62&amp;".",","&amp;SUBSTITUTE(F390," ","")&amp;",")))*Справочник_ОКВЭД_НР!$L$10 +
  SUMPRODUCT(ISNUMBER(SEARCH(","&amp;Справочник_ОКВЭД_НР!$E$3:$E$62&amp;".",","&amp;SUBSTITUTE(F390," ","")&amp;",")))*Справочник_ОКВЭД_НР!$L$11 +
  SUMPRODUCT(ISNUMBER(SEARCH(","&amp;Справочник_ОКВЭД_НР!$G$3:$G$62&amp;".",","&amp;SUBSTITUTE(F390," ","")&amp;",")))*Справочник_ОКВЭД_НР!$L$12) /
 (SUMPRODUCT(ISNUMBER(SEARCH(","&amp;Справочник_ОКВЭД_НР!$A$3:$A$62&amp;".",","&amp;SUBSTITUTE(F390," ","")&amp;","))) +
  SUMPRODUCT(ISNUMBER(SEARCH(","&amp;Справочник_ОКВЭД_НР!$C$3:$C$62&amp;".",","&amp;SUBSTITUTE(F390," ","")&amp;","))) +
  SUMPRODUCT(ISNUMBER(SEARCH(","&amp;Справочник_ОКВЭД_НР!$E$3:$E$62&amp;".",","&amp;SUBSTITUTE(F390," ","")&amp;","))) +
  SUMPRODUCT(ISNUMBER(SEARCH(","&amp;Справочник_ОКВЭД_НР!$G$3:$G$62&amp;".",","&amp;SUBSTITUTE(F390," ","")&amp;",")))),
50)</f>
        <v>50</v>
      </c>
      <c r="K390" s="30">
        <f>IFERROR(VLOOKUP(G390,Справочник_ОКВЭД_НР!$O:$P,2,FALSE()),50)</f>
        <v>100</v>
      </c>
      <c r="L390" s="45">
        <f>(I390*Справочник_ОКВЭД_НР!$L$2+J390*Справочник_ОКВЭД_НР!$L$3+K390*Справочник_ОКВЭД_НР!$L$4)*M390</f>
        <v>0</v>
      </c>
      <c r="M390" s="47">
        <f>IF(COUNTIF(Справочник_ОКВЭД_НР!$G$3:$G$62,H390)&gt;0,0,1)</f>
        <v>0</v>
      </c>
    </row>
    <row r="391" spans="1:13" x14ac:dyDescent="0.25">
      <c r="A391" s="4">
        <f>ЛИК_дляСкорингаДП!A391</f>
        <v>1222100006941</v>
      </c>
      <c r="B391" s="4">
        <f>ЛИК_дляСкорингаДП!B391</f>
        <v>2100000470</v>
      </c>
      <c r="C391" s="4" t="str">
        <f>ЛИК_дляСкорингаДП!C391</f>
        <v>ФОНД "ПРЕОБРАЖЕНИЕ"</v>
      </c>
      <c r="D391" s="5" t="str">
        <f>ЛИК_дляСкорингаДП!M391</f>
        <v>Предоставление прочих финансовых услуг, кроме услуг по страхованию и пенсионному обеспечению, не включенных в другие группировки</v>
      </c>
      <c r="E391" s="4" t="str">
        <f>ЛИК_дляСкорингаДП!L391</f>
        <v>64.99</v>
      </c>
      <c r="F391" t="str">
        <f>ЛИК_дляСкорингаДП!N391</f>
        <v>66.19,88.99</v>
      </c>
      <c r="G391" s="25" t="str">
        <f>ЛИК_дляСкорингаДП!AG391</f>
        <v>ОСН</v>
      </c>
      <c r="H391" s="55" t="str">
        <f>IF(ISNUMBER(E391),E391,
IFERROR(LEFT(E391,FIND(".",E391)-1),E391))</f>
        <v>64</v>
      </c>
      <c r="I391" s="30">
        <f>IF(COUNTIF(Справочник_ОКВЭД_НР!$A$3:$A$62,H391)&gt;0,Справочник_ОКВЭД_НР!$L$8,
 IF(COUNTIF(Справочник_ОКВЭД_НР!$C$3:$C$62,H391)&gt;0,Справочник_ОКВЭД_НР!$L$9,
  IF(COUNTIF(Справочник_ОКВЭД_НР!$E$3:$E$62,H391)&gt;0,Справочник_ОКВЭД_НР!$L$10,
   IF(COUNTIF(Справочник_ОКВЭД_НР!$G$3:$G$62,H391)&gt;0,Справочник_ОКВЭД_НР!$L$11,50))))</f>
        <v>60</v>
      </c>
      <c r="J391" s="30" cm="1">
        <f t="array" ref="J391">IFERROR(
 (SUMPRODUCT(ISNUMBER(SEARCH(","&amp;Справочник_ОКВЭД_НР!$A$3:$A$62&amp;".",","&amp;SUBSTITUTE(F391," ","")&amp;",")))*Справочник_ОКВЭД_НР!$L$9 +
  SUMPRODUCT(ISNUMBER(SEARCH(","&amp;Справочник_ОКВЭД_НР!$C$3:$C$62&amp;".",","&amp;SUBSTITUTE(F391," ","")&amp;",")))*Справочник_ОКВЭД_НР!$L$10 +
  SUMPRODUCT(ISNUMBER(SEARCH(","&amp;Справочник_ОКВЭД_НР!$E$3:$E$62&amp;".",","&amp;SUBSTITUTE(F391," ","")&amp;",")))*Справочник_ОКВЭД_НР!$L$11 +
  SUMPRODUCT(ISNUMBER(SEARCH(","&amp;Справочник_ОКВЭД_НР!$G$3:$G$62&amp;".",","&amp;SUBSTITUTE(F391," ","")&amp;",")))*Справочник_ОКВЭД_НР!$L$12) /
 (SUMPRODUCT(ISNUMBER(SEARCH(","&amp;Справочник_ОКВЭД_НР!$A$3:$A$62&amp;".",","&amp;SUBSTITUTE(F391," ","")&amp;","))) +
  SUMPRODUCT(ISNUMBER(SEARCH(","&amp;Справочник_ОКВЭД_НР!$C$3:$C$62&amp;".",","&amp;SUBSTITUTE(F391," ","")&amp;","))) +
  SUMPRODUCT(ISNUMBER(SEARCH(","&amp;Справочник_ОКВЭД_НР!$E$3:$E$62&amp;".",","&amp;SUBSTITUTE(F391," ","")&amp;","))) +
  SUMPRODUCT(ISNUMBER(SEARCH(","&amp;Справочник_ОКВЭД_НР!$G$3:$G$62&amp;".",","&amp;SUBSTITUTE(F391," ","")&amp;",")))),
50)</f>
        <v>50</v>
      </c>
      <c r="K391" s="30">
        <f>IFERROR(VLOOKUP(G391,Справочник_ОКВЭД_НР!$O:$P,2,FALSE()),50)</f>
        <v>100</v>
      </c>
      <c r="L391" s="45">
        <f>(I391*Справочник_ОКВЭД_НР!$L$2+J391*Справочник_ОКВЭД_НР!$L$3+K391*Справочник_ОКВЭД_НР!$L$4)*M391</f>
        <v>63.5</v>
      </c>
      <c r="M391" s="47">
        <f>IF(COUNTIF(Справочник_ОКВЭД_НР!$G$3:$G$62,H391)&gt;0,0,1)</f>
        <v>1</v>
      </c>
    </row>
    <row r="392" spans="1:13" x14ac:dyDescent="0.25">
      <c r="A392" s="4">
        <f>ЛИК_дляСкорингаДП!A392</f>
        <v>1092124000627</v>
      </c>
      <c r="B392" s="4">
        <f>ЛИК_дляСкорингаДП!B392</f>
        <v>2124030964</v>
      </c>
      <c r="C392" s="4" t="str">
        <f>ЛИК_дляСкорингаДП!C392</f>
        <v>ТСЖ  "СТРОИТЕЛЬ-29"</v>
      </c>
      <c r="D392" s="5" t="str">
        <f>ЛИК_дляСкорингаДП!M392</f>
        <v>Управление эксплуатацией жилого фонда за вознаграждение или на договорной основе</v>
      </c>
      <c r="E392" s="4" t="str">
        <f>ЛИК_дляСкорингаДП!L392</f>
        <v>68.32.1</v>
      </c>
      <c r="F392" t="str">
        <f>ЛИК_дляСкорингаДП!N392</f>
        <v>68.32,68.32.2</v>
      </c>
      <c r="G392" s="25" t="str">
        <f>ЛИК_дляСкорингаДП!AG392</f>
        <v>ОСН</v>
      </c>
      <c r="H392" s="55" t="str">
        <f>IF(ISNUMBER(E392),E392,
IFERROR(LEFT(E392,FIND(".",E392)-1),E392))</f>
        <v>68</v>
      </c>
      <c r="I392" s="30">
        <f>IF(COUNTIF(Справочник_ОКВЭД_НР!$A$3:$A$62,H392)&gt;0,Справочник_ОКВЭД_НР!$L$8,
 IF(COUNTIF(Справочник_ОКВЭД_НР!$C$3:$C$62,H392)&gt;0,Справочник_ОКВЭД_НР!$L$9,
  IF(COUNTIF(Справочник_ОКВЭД_НР!$E$3:$E$62,H392)&gt;0,Справочник_ОКВЭД_НР!$L$10,
   IF(COUNTIF(Справочник_ОКВЭД_НР!$G$3:$G$62,H392)&gt;0,Справочник_ОКВЭД_НР!$L$11,50))))</f>
        <v>100</v>
      </c>
      <c r="J392" s="30" cm="1">
        <f t="array" ref="J392">IFERROR(
 (SUMPRODUCT(ISNUMBER(SEARCH(","&amp;Справочник_ОКВЭД_НР!$A$3:$A$62&amp;".",","&amp;SUBSTITUTE(F392," ","")&amp;",")))*Справочник_ОКВЭД_НР!$L$9 +
  SUMPRODUCT(ISNUMBER(SEARCH(","&amp;Справочник_ОКВЭД_НР!$C$3:$C$62&amp;".",","&amp;SUBSTITUTE(F392," ","")&amp;",")))*Справочник_ОКВЭД_НР!$L$10 +
  SUMPRODUCT(ISNUMBER(SEARCH(","&amp;Справочник_ОКВЭД_НР!$E$3:$E$62&amp;".",","&amp;SUBSTITUTE(F392," ","")&amp;",")))*Справочник_ОКВЭД_НР!$L$11 +
  SUMPRODUCT(ISNUMBER(SEARCH(","&amp;Справочник_ОКВЭД_НР!$G$3:$G$62&amp;".",","&amp;SUBSTITUTE(F392," ","")&amp;",")))*Справочник_ОКВЭД_НР!$L$12) /
 (SUMPRODUCT(ISNUMBER(SEARCH(","&amp;Справочник_ОКВЭД_НР!$A$3:$A$62&amp;".",","&amp;SUBSTITUTE(F392," ","")&amp;","))) +
  SUMPRODUCT(ISNUMBER(SEARCH(","&amp;Справочник_ОКВЭД_НР!$C$3:$C$62&amp;".",","&amp;SUBSTITUTE(F392," ","")&amp;","))) +
  SUMPRODUCT(ISNUMBER(SEARCH(","&amp;Справочник_ОКВЭД_НР!$E$3:$E$62&amp;".",","&amp;SUBSTITUTE(F392," ","")&amp;","))) +
  SUMPRODUCT(ISNUMBER(SEARCH(","&amp;Справочник_ОКВЭД_НР!$G$3:$G$62&amp;".",","&amp;SUBSTITUTE(F392," ","")&amp;",")))),
50)</f>
        <v>50</v>
      </c>
      <c r="K392" s="30">
        <f>IFERROR(VLOOKUP(G392,Справочник_ОКВЭД_НР!$O:$P,2,FALSE()),50)</f>
        <v>100</v>
      </c>
      <c r="L392" s="45">
        <f>(I392*Справочник_ОКВЭД_НР!$L$2+J392*Справочник_ОКВЭД_НР!$L$3+K392*Справочник_ОКВЭД_НР!$L$4)*M392</f>
        <v>87.5</v>
      </c>
      <c r="M392" s="47">
        <f>IF(COUNTIF(Справочник_ОКВЭД_НР!$G$3:$G$62,H392)&gt;0,0,1)</f>
        <v>1</v>
      </c>
    </row>
    <row r="393" spans="1:13" x14ac:dyDescent="0.25">
      <c r="A393" s="4">
        <f>ЛИК_дляСкорингаДП!A393</f>
        <v>1222100006974</v>
      </c>
      <c r="B393" s="4">
        <f>ЛИК_дляСкорингаДП!B393</f>
        <v>2100000505</v>
      </c>
      <c r="C393" s="4" t="str">
        <f>ЛИК_дляСкорингаДП!C393</f>
        <v>ЧРОО "СОВЕТ МОЛОДЫХ БИБЛИОТЕКАРЕЙ ЧУВАШИИ"</v>
      </c>
      <c r="D393" s="5" t="str">
        <f>ЛИК_дляСкорингаДП!M393</f>
        <v>Деятельность прочих общественных организаций и некоммерческих организаций, кроме религиозных и политических организаций</v>
      </c>
      <c r="E393" s="4" t="str">
        <f>ЛИК_дляСкорингаДП!L393</f>
        <v>94.99</v>
      </c>
      <c r="F393">
        <f>ЛИК_дляСкорингаДП!N393</f>
        <v>0</v>
      </c>
      <c r="G393" s="25" t="str">
        <f>ЛИК_дляСкорингаДП!AG393</f>
        <v>ОСН</v>
      </c>
      <c r="H393" s="55" t="str">
        <f>IF(ISNUMBER(E393),E393,
IFERROR(LEFT(E393,FIND(".",E393)-1),E393))</f>
        <v>94</v>
      </c>
      <c r="I393" s="30">
        <f>IF(COUNTIF(Справочник_ОКВЭД_НР!$A$3:$A$62,H393)&gt;0,Справочник_ОКВЭД_НР!$L$8,
 IF(COUNTIF(Справочник_ОКВЭД_НР!$C$3:$C$62,H393)&gt;0,Справочник_ОКВЭД_НР!$L$9,
  IF(COUNTIF(Справочник_ОКВЭД_НР!$E$3:$E$62,H393)&gt;0,Справочник_ОКВЭД_НР!$L$10,
   IF(COUNTIF(Справочник_ОКВЭД_НР!$G$3:$G$62,H393)&gt;0,Справочник_ОКВЭД_НР!$L$11,50))))</f>
        <v>0</v>
      </c>
      <c r="J393" s="30" cm="1">
        <f t="array" ref="J393">IFERROR(
 (SUMPRODUCT(ISNUMBER(SEARCH(","&amp;Справочник_ОКВЭД_НР!$A$3:$A$62&amp;".",","&amp;SUBSTITUTE(F393," ","")&amp;",")))*Справочник_ОКВЭД_НР!$L$9 +
  SUMPRODUCT(ISNUMBER(SEARCH(","&amp;Справочник_ОКВЭД_НР!$C$3:$C$62&amp;".",","&amp;SUBSTITUTE(F393," ","")&amp;",")))*Справочник_ОКВЭД_НР!$L$10 +
  SUMPRODUCT(ISNUMBER(SEARCH(","&amp;Справочник_ОКВЭД_НР!$E$3:$E$62&amp;".",","&amp;SUBSTITUTE(F393," ","")&amp;",")))*Справочник_ОКВЭД_НР!$L$11 +
  SUMPRODUCT(ISNUMBER(SEARCH(","&amp;Справочник_ОКВЭД_НР!$G$3:$G$62&amp;".",","&amp;SUBSTITUTE(F393," ","")&amp;",")))*Справочник_ОКВЭД_НР!$L$12) /
 (SUMPRODUCT(ISNUMBER(SEARCH(","&amp;Справочник_ОКВЭД_НР!$A$3:$A$62&amp;".",","&amp;SUBSTITUTE(F393," ","")&amp;","))) +
  SUMPRODUCT(ISNUMBER(SEARCH(","&amp;Справочник_ОКВЭД_НР!$C$3:$C$62&amp;".",","&amp;SUBSTITUTE(F393," ","")&amp;","))) +
  SUMPRODUCT(ISNUMBER(SEARCH(","&amp;Справочник_ОКВЭД_НР!$E$3:$E$62&amp;".",","&amp;SUBSTITUTE(F393," ","")&amp;","))) +
  SUMPRODUCT(ISNUMBER(SEARCH(","&amp;Справочник_ОКВЭД_НР!$G$3:$G$62&amp;".",","&amp;SUBSTITUTE(F393," ","")&amp;",")))),
50)</f>
        <v>50</v>
      </c>
      <c r="K393" s="30">
        <f>IFERROR(VLOOKUP(G393,Справочник_ОКВЭД_НР!$O:$P,2,FALSE()),50)</f>
        <v>100</v>
      </c>
      <c r="L393" s="45">
        <f>(I393*Справочник_ОКВЭД_НР!$L$2+J393*Справочник_ОКВЭД_НР!$L$3+K393*Справочник_ОКВЭД_НР!$L$4)*M393</f>
        <v>0</v>
      </c>
      <c r="M393" s="47">
        <f>IF(COUNTIF(Справочник_ОКВЭД_НР!$G$3:$G$62,H393)&gt;0,0,1)</f>
        <v>0</v>
      </c>
    </row>
    <row r="394" spans="1:13" x14ac:dyDescent="0.25">
      <c r="A394" s="4">
        <f>ЛИК_дляСкорингаДП!A394</f>
        <v>1222100006589</v>
      </c>
      <c r="B394" s="4">
        <f>ЛИК_дляСкорингаДП!B394</f>
        <v>2100000128</v>
      </c>
      <c r="C394" s="4">
        <f>ЛИК_дляСкорингаДП!C394</f>
        <v>0</v>
      </c>
      <c r="D394" s="5" t="str">
        <f>ЛИК_дляСкорингаДП!M394</f>
        <v>Деятельность предпринимательских членских некоммерческих организаций</v>
      </c>
      <c r="E394" s="4" t="str">
        <f>ЛИК_дляСкорингаДП!L394</f>
        <v>94.11</v>
      </c>
      <c r="F394" t="str">
        <f>ЛИК_дляСкорингаДП!N394</f>
        <v>18.12,58.11,82.30</v>
      </c>
      <c r="G394" s="25" t="str">
        <f>ЛИК_дляСкорингаДП!AG394</f>
        <v>ОСН</v>
      </c>
      <c r="H394" s="55" t="str">
        <f>IF(ISNUMBER(E394),E394,
IFERROR(LEFT(E394,FIND(".",E394)-1),E394))</f>
        <v>94</v>
      </c>
      <c r="I394" s="30">
        <f>IF(COUNTIF(Справочник_ОКВЭД_НР!$A$3:$A$62,H394)&gt;0,Справочник_ОКВЭД_НР!$L$8,
 IF(COUNTIF(Справочник_ОКВЭД_НР!$C$3:$C$62,H394)&gt;0,Справочник_ОКВЭД_НР!$L$9,
  IF(COUNTIF(Справочник_ОКВЭД_НР!$E$3:$E$62,H394)&gt;0,Справочник_ОКВЭД_НР!$L$10,
   IF(COUNTIF(Справочник_ОКВЭД_НР!$G$3:$G$62,H394)&gt;0,Справочник_ОКВЭД_НР!$L$11,50))))</f>
        <v>0</v>
      </c>
      <c r="J394" s="30" cm="1">
        <f t="array" ref="J394">IFERROR(
 (SUMPRODUCT(ISNUMBER(SEARCH(","&amp;Справочник_ОКВЭД_НР!$A$3:$A$62&amp;".",","&amp;SUBSTITUTE(F394," ","")&amp;",")))*Справочник_ОКВЭД_НР!$L$9 +
  SUMPRODUCT(ISNUMBER(SEARCH(","&amp;Справочник_ОКВЭД_НР!$C$3:$C$62&amp;".",","&amp;SUBSTITUTE(F394," ","")&amp;",")))*Справочник_ОКВЭД_НР!$L$10 +
  SUMPRODUCT(ISNUMBER(SEARCH(","&amp;Справочник_ОКВЭД_НР!$E$3:$E$62&amp;".",","&amp;SUBSTITUTE(F394," ","")&amp;",")))*Справочник_ОКВЭД_НР!$L$11 +
  SUMPRODUCT(ISNUMBER(SEARCH(","&amp;Справочник_ОКВЭД_НР!$G$3:$G$62&amp;".",","&amp;SUBSTITUTE(F394," ","")&amp;",")))*Справочник_ОКВЭД_НР!$L$12) /
 (SUMPRODUCT(ISNUMBER(SEARCH(","&amp;Справочник_ОКВЭД_НР!$A$3:$A$62&amp;".",","&amp;SUBSTITUTE(F394," ","")&amp;","))) +
  SUMPRODUCT(ISNUMBER(SEARCH(","&amp;Справочник_ОКВЭД_НР!$C$3:$C$62&amp;".",","&amp;SUBSTITUTE(F394," ","")&amp;","))) +
  SUMPRODUCT(ISNUMBER(SEARCH(","&amp;Справочник_ОКВЭД_НР!$E$3:$E$62&amp;".",","&amp;SUBSTITUTE(F394," ","")&amp;","))) +
  SUMPRODUCT(ISNUMBER(SEARCH(","&amp;Справочник_ОКВЭД_НР!$G$3:$G$62&amp;".",","&amp;SUBSTITUTE(F394," ","")&amp;",")))),
50)</f>
        <v>50</v>
      </c>
      <c r="K394" s="30">
        <f>IFERROR(VLOOKUP(G394,Справочник_ОКВЭД_НР!$O:$P,2,FALSE()),50)</f>
        <v>100</v>
      </c>
      <c r="L394" s="45">
        <f>(I394*Справочник_ОКВЭД_НР!$L$2+J394*Справочник_ОКВЭД_НР!$L$3+K394*Справочник_ОКВЭД_НР!$L$4)*M394</f>
        <v>0</v>
      </c>
      <c r="M394" s="47">
        <f>IF(COUNTIF(Справочник_ОКВЭД_НР!$G$3:$G$62,H394)&gt;0,0,1)</f>
        <v>0</v>
      </c>
    </row>
    <row r="395" spans="1:13" x14ac:dyDescent="0.25">
      <c r="A395" s="4">
        <f>ЛИК_дляСкорингаДП!A395</f>
        <v>1222100006996</v>
      </c>
      <c r="B395" s="4">
        <f>ЛИК_дляСкорингаДП!B395</f>
        <v>2100000520</v>
      </c>
      <c r="C395" s="4" t="str">
        <f>ЛИК_дляСкорингаДП!C395</f>
        <v>ЧРОО "АССОЦИАЦИЯ МОЛОДЫХ СЕМЕЙ ЧУВАШИИ"</v>
      </c>
      <c r="D395" s="5" t="str">
        <f>ЛИК_дляСкорингаДП!M395</f>
        <v>Деятельность прочих общественных организаций и некоммерческих организаций, кроме религиозных и политических организаций</v>
      </c>
      <c r="E395" s="4" t="str">
        <f>ЛИК_дляСкорингаДП!L395</f>
        <v>94.99</v>
      </c>
      <c r="F395" t="str">
        <f>ЛИК_дляСкорингаДП!N395</f>
        <v>58.14,93.19</v>
      </c>
      <c r="G395" s="25" t="str">
        <f>ЛИК_дляСкорингаДП!AG395</f>
        <v>ОСН</v>
      </c>
      <c r="H395" s="55" t="str">
        <f>IF(ISNUMBER(E395),E395,
IFERROR(LEFT(E395,FIND(".",E395)-1),E395))</f>
        <v>94</v>
      </c>
      <c r="I395" s="30">
        <f>IF(COUNTIF(Справочник_ОКВЭД_НР!$A$3:$A$62,H395)&gt;0,Справочник_ОКВЭД_НР!$L$8,
 IF(COUNTIF(Справочник_ОКВЭД_НР!$C$3:$C$62,H395)&gt;0,Справочник_ОКВЭД_НР!$L$9,
  IF(COUNTIF(Справочник_ОКВЭД_НР!$E$3:$E$62,H395)&gt;0,Справочник_ОКВЭД_НР!$L$10,
   IF(COUNTIF(Справочник_ОКВЭД_НР!$G$3:$G$62,H395)&gt;0,Справочник_ОКВЭД_НР!$L$11,50))))</f>
        <v>0</v>
      </c>
      <c r="J395" s="30" cm="1">
        <f t="array" ref="J395">IFERROR(
 (SUMPRODUCT(ISNUMBER(SEARCH(","&amp;Справочник_ОКВЭД_НР!$A$3:$A$62&amp;".",","&amp;SUBSTITUTE(F395," ","")&amp;",")))*Справочник_ОКВЭД_НР!$L$9 +
  SUMPRODUCT(ISNUMBER(SEARCH(","&amp;Справочник_ОКВЭД_НР!$C$3:$C$62&amp;".",","&amp;SUBSTITUTE(F395," ","")&amp;",")))*Справочник_ОКВЭД_НР!$L$10 +
  SUMPRODUCT(ISNUMBER(SEARCH(","&amp;Справочник_ОКВЭД_НР!$E$3:$E$62&amp;".",","&amp;SUBSTITUTE(F395," ","")&amp;",")))*Справочник_ОКВЭД_НР!$L$11 +
  SUMPRODUCT(ISNUMBER(SEARCH(","&amp;Справочник_ОКВЭД_НР!$G$3:$G$62&amp;".",","&amp;SUBSTITUTE(F395," ","")&amp;",")))*Справочник_ОКВЭД_НР!$L$12) /
 (SUMPRODUCT(ISNUMBER(SEARCH(","&amp;Справочник_ОКВЭД_НР!$A$3:$A$62&amp;".",","&amp;SUBSTITUTE(F395," ","")&amp;","))) +
  SUMPRODUCT(ISNUMBER(SEARCH(","&amp;Справочник_ОКВЭД_НР!$C$3:$C$62&amp;".",","&amp;SUBSTITUTE(F395," ","")&amp;","))) +
  SUMPRODUCT(ISNUMBER(SEARCH(","&amp;Справочник_ОКВЭД_НР!$E$3:$E$62&amp;".",","&amp;SUBSTITUTE(F395," ","")&amp;","))) +
  SUMPRODUCT(ISNUMBER(SEARCH(","&amp;Справочник_ОКВЭД_НР!$G$3:$G$62&amp;".",","&amp;SUBSTITUTE(F395," ","")&amp;",")))),
50)</f>
        <v>50</v>
      </c>
      <c r="K395" s="30">
        <f>IFERROR(VLOOKUP(G395,Справочник_ОКВЭД_НР!$O:$P,2,FALSE()),50)</f>
        <v>100</v>
      </c>
      <c r="L395" s="45">
        <f>(I395*Справочник_ОКВЭД_НР!$L$2+J395*Справочник_ОКВЭД_НР!$L$3+K395*Справочник_ОКВЭД_НР!$L$4)*M395</f>
        <v>0</v>
      </c>
      <c r="M395" s="47">
        <f>IF(COUNTIF(Справочник_ОКВЭД_НР!$G$3:$G$62,H395)&gt;0,0,1)</f>
        <v>0</v>
      </c>
    </row>
    <row r="396" spans="1:13" x14ac:dyDescent="0.25">
      <c r="A396" s="4">
        <f>ЛИК_дляСкорингаДП!A396</f>
        <v>1242100000460</v>
      </c>
      <c r="B396" s="4">
        <f>ЛИК_дляСкорингаДП!B396</f>
        <v>2100013416</v>
      </c>
      <c r="C396" s="4" t="str">
        <f>ЛИК_дляСкорингаДП!C396</f>
        <v>МБУК "ЦБС" КРАСНОАРМЕЙСКОГО МУНИЦИПАЛЬНОГО ОКРУГА</v>
      </c>
      <c r="D396" s="5" t="str">
        <f>ЛИК_дляСкорингаДП!M396</f>
        <v>Деятельность библиотек и архивов</v>
      </c>
      <c r="E396" s="4" t="str">
        <f>ЛИК_дляСкорингаДП!L396</f>
        <v>91.01</v>
      </c>
      <c r="F396">
        <f>ЛИК_дляСкорингаДП!N396</f>
        <v>0</v>
      </c>
      <c r="G396" s="25" t="str">
        <f>ЛИК_дляСкорингаДП!AG396</f>
        <v>ОСН</v>
      </c>
      <c r="H396" s="55" t="str">
        <f>IF(ISNUMBER(E396),E396,
IFERROR(LEFT(E396,FIND(".",E396)-1),E396))</f>
        <v>91</v>
      </c>
      <c r="I396" s="30">
        <f>IF(COUNTIF(Справочник_ОКВЭД_НР!$A$3:$A$62,H396)&gt;0,Справочник_ОКВЭД_НР!$L$8,
 IF(COUNTIF(Справочник_ОКВЭД_НР!$C$3:$C$62,H396)&gt;0,Справочник_ОКВЭД_НР!$L$9,
  IF(COUNTIF(Справочник_ОКВЭД_НР!$E$3:$E$62,H396)&gt;0,Справочник_ОКВЭД_НР!$L$10,
   IF(COUNTIF(Справочник_ОКВЭД_НР!$G$3:$G$62,H396)&gt;0,Справочник_ОКВЭД_НР!$L$11,50))))</f>
        <v>0</v>
      </c>
      <c r="J396" s="30" cm="1">
        <f t="array" ref="J396">IFERROR(
 (SUMPRODUCT(ISNUMBER(SEARCH(","&amp;Справочник_ОКВЭД_НР!$A$3:$A$62&amp;".",","&amp;SUBSTITUTE(F396," ","")&amp;",")))*Справочник_ОКВЭД_НР!$L$9 +
  SUMPRODUCT(ISNUMBER(SEARCH(","&amp;Справочник_ОКВЭД_НР!$C$3:$C$62&amp;".",","&amp;SUBSTITUTE(F396," ","")&amp;",")))*Справочник_ОКВЭД_НР!$L$10 +
  SUMPRODUCT(ISNUMBER(SEARCH(","&amp;Справочник_ОКВЭД_НР!$E$3:$E$62&amp;".",","&amp;SUBSTITUTE(F396," ","")&amp;",")))*Справочник_ОКВЭД_НР!$L$11 +
  SUMPRODUCT(ISNUMBER(SEARCH(","&amp;Справочник_ОКВЭД_НР!$G$3:$G$62&amp;".",","&amp;SUBSTITUTE(F396," ","")&amp;",")))*Справочник_ОКВЭД_НР!$L$12) /
 (SUMPRODUCT(ISNUMBER(SEARCH(","&amp;Справочник_ОКВЭД_НР!$A$3:$A$62&amp;".",","&amp;SUBSTITUTE(F396," ","")&amp;","))) +
  SUMPRODUCT(ISNUMBER(SEARCH(","&amp;Справочник_ОКВЭД_НР!$C$3:$C$62&amp;".",","&amp;SUBSTITUTE(F396," ","")&amp;","))) +
  SUMPRODUCT(ISNUMBER(SEARCH(","&amp;Справочник_ОКВЭД_НР!$E$3:$E$62&amp;".",","&amp;SUBSTITUTE(F396," ","")&amp;","))) +
  SUMPRODUCT(ISNUMBER(SEARCH(","&amp;Справочник_ОКВЭД_НР!$G$3:$G$62&amp;".",","&amp;SUBSTITUTE(F396," ","")&amp;",")))),
50)</f>
        <v>50</v>
      </c>
      <c r="K396" s="30">
        <f>IFERROR(VLOOKUP(G396,Справочник_ОКВЭД_НР!$O:$P,2,FALSE()),50)</f>
        <v>100</v>
      </c>
      <c r="L396" s="45">
        <f>(I396*Справочник_ОКВЭД_НР!$L$2+J396*Справочник_ОКВЭД_НР!$L$3+K396*Справочник_ОКВЭД_НР!$L$4)*M396</f>
        <v>0</v>
      </c>
      <c r="M396" s="47">
        <f>IF(COUNTIF(Справочник_ОКВЭД_НР!$G$3:$G$62,H396)&gt;0,0,1)</f>
        <v>0</v>
      </c>
    </row>
    <row r="397" spans="1:13" x14ac:dyDescent="0.25">
      <c r="A397" s="4">
        <f>ЛИК_дляСкорингаДП!A397</f>
        <v>1232100003717</v>
      </c>
      <c r="B397" s="4">
        <f>ЛИК_дляСкорингаДП!B397</f>
        <v>2100007211</v>
      </c>
      <c r="C397" s="4" t="str">
        <f>ЛИК_дляСкорингаДП!C397</f>
        <v>ТОС "ЗЕЛЕНЫЙ"</v>
      </c>
      <c r="D397" s="5" t="str">
        <f>ЛИК_дляСкорингаДП!M397</f>
        <v>Деятельность прочих общественных организаций и некоммерческих организаций, кроме религиозных и политических организаций</v>
      </c>
      <c r="E397" s="4" t="str">
        <f>ЛИК_дляСкорингаДП!L397</f>
        <v>94.99</v>
      </c>
      <c r="F397">
        <f>ЛИК_дляСкорингаДП!N397</f>
        <v>0</v>
      </c>
      <c r="G397" s="25" t="str">
        <f>ЛИК_дляСкорингаДП!AG397</f>
        <v>ОСН</v>
      </c>
      <c r="H397" s="55" t="str">
        <f>IF(ISNUMBER(E397),E397,
IFERROR(LEFT(E397,FIND(".",E397)-1),E397))</f>
        <v>94</v>
      </c>
      <c r="I397" s="30">
        <f>IF(COUNTIF(Справочник_ОКВЭД_НР!$A$3:$A$62,H397)&gt;0,Справочник_ОКВЭД_НР!$L$8,
 IF(COUNTIF(Справочник_ОКВЭД_НР!$C$3:$C$62,H397)&gt;0,Справочник_ОКВЭД_НР!$L$9,
  IF(COUNTIF(Справочник_ОКВЭД_НР!$E$3:$E$62,H397)&gt;0,Справочник_ОКВЭД_НР!$L$10,
   IF(COUNTIF(Справочник_ОКВЭД_НР!$G$3:$G$62,H397)&gt;0,Справочник_ОКВЭД_НР!$L$11,50))))</f>
        <v>0</v>
      </c>
      <c r="J397" s="30" cm="1">
        <f t="array" ref="J397">IFERROR(
 (SUMPRODUCT(ISNUMBER(SEARCH(","&amp;Справочник_ОКВЭД_НР!$A$3:$A$62&amp;".",","&amp;SUBSTITUTE(F397," ","")&amp;",")))*Справочник_ОКВЭД_НР!$L$9 +
  SUMPRODUCT(ISNUMBER(SEARCH(","&amp;Справочник_ОКВЭД_НР!$C$3:$C$62&amp;".",","&amp;SUBSTITUTE(F397," ","")&amp;",")))*Справочник_ОКВЭД_НР!$L$10 +
  SUMPRODUCT(ISNUMBER(SEARCH(","&amp;Справочник_ОКВЭД_НР!$E$3:$E$62&amp;".",","&amp;SUBSTITUTE(F397," ","")&amp;",")))*Справочник_ОКВЭД_НР!$L$11 +
  SUMPRODUCT(ISNUMBER(SEARCH(","&amp;Справочник_ОКВЭД_НР!$G$3:$G$62&amp;".",","&amp;SUBSTITUTE(F397," ","")&amp;",")))*Справочник_ОКВЭД_НР!$L$12) /
 (SUMPRODUCT(ISNUMBER(SEARCH(","&amp;Справочник_ОКВЭД_НР!$A$3:$A$62&amp;".",","&amp;SUBSTITUTE(F397," ","")&amp;","))) +
  SUMPRODUCT(ISNUMBER(SEARCH(","&amp;Справочник_ОКВЭД_НР!$C$3:$C$62&amp;".",","&amp;SUBSTITUTE(F397," ","")&amp;","))) +
  SUMPRODUCT(ISNUMBER(SEARCH(","&amp;Справочник_ОКВЭД_НР!$E$3:$E$62&amp;".",","&amp;SUBSTITUTE(F397," ","")&amp;","))) +
  SUMPRODUCT(ISNUMBER(SEARCH(","&amp;Справочник_ОКВЭД_НР!$G$3:$G$62&amp;".",","&amp;SUBSTITUTE(F397," ","")&amp;",")))),
50)</f>
        <v>50</v>
      </c>
      <c r="K397" s="30">
        <f>IFERROR(VLOOKUP(G397,Справочник_ОКВЭД_НР!$O:$P,2,FALSE()),50)</f>
        <v>100</v>
      </c>
      <c r="L397" s="45">
        <f>(I397*Справочник_ОКВЭД_НР!$L$2+J397*Справочник_ОКВЭД_НР!$L$3+K397*Справочник_ОКВЭД_НР!$L$4)*M397</f>
        <v>0</v>
      </c>
      <c r="M397" s="47">
        <f>IF(COUNTIF(Справочник_ОКВЭД_НР!$G$3:$G$62,H397)&gt;0,0,1)</f>
        <v>0</v>
      </c>
    </row>
    <row r="398" spans="1:13" x14ac:dyDescent="0.25">
      <c r="A398" s="4">
        <f>ЛИК_дляСкорингаДП!A398</f>
        <v>1232100003761</v>
      </c>
      <c r="B398" s="4">
        <f>ЛИК_дляСкорингаДП!B398</f>
        <v>2100007268</v>
      </c>
      <c r="C398" s="4" t="str">
        <f>ЛИК_дляСкорингаДП!C398</f>
        <v>ТОС "КАРАБАЙ-ШЕМУРШИНСКИЙ"</v>
      </c>
      <c r="D398" s="5" t="str">
        <f>ЛИК_дляСкорингаДП!M398</f>
        <v>Деятельность прочих общественных организаций и некоммерческих организаций, кроме религиозных и политических организаций</v>
      </c>
      <c r="E398" s="4" t="str">
        <f>ЛИК_дляСкорингаДП!L398</f>
        <v>94.99</v>
      </c>
      <c r="F398">
        <f>ЛИК_дляСкорингаДП!N398</f>
        <v>0</v>
      </c>
      <c r="G398" s="25" t="str">
        <f>ЛИК_дляСкорингаДП!AG398</f>
        <v>ОСН</v>
      </c>
      <c r="H398" s="55" t="str">
        <f>IF(ISNUMBER(E398),E398,
IFERROR(LEFT(E398,FIND(".",E398)-1),E398))</f>
        <v>94</v>
      </c>
      <c r="I398" s="30">
        <f>IF(COUNTIF(Справочник_ОКВЭД_НР!$A$3:$A$62,H398)&gt;0,Справочник_ОКВЭД_НР!$L$8,
 IF(COUNTIF(Справочник_ОКВЭД_НР!$C$3:$C$62,H398)&gt;0,Справочник_ОКВЭД_НР!$L$9,
  IF(COUNTIF(Справочник_ОКВЭД_НР!$E$3:$E$62,H398)&gt;0,Справочник_ОКВЭД_НР!$L$10,
   IF(COUNTIF(Справочник_ОКВЭД_НР!$G$3:$G$62,H398)&gt;0,Справочник_ОКВЭД_НР!$L$11,50))))</f>
        <v>0</v>
      </c>
      <c r="J398" s="30" cm="1">
        <f t="array" ref="J398">IFERROR(
 (SUMPRODUCT(ISNUMBER(SEARCH(","&amp;Справочник_ОКВЭД_НР!$A$3:$A$62&amp;".",","&amp;SUBSTITUTE(F398," ","")&amp;",")))*Справочник_ОКВЭД_НР!$L$9 +
  SUMPRODUCT(ISNUMBER(SEARCH(","&amp;Справочник_ОКВЭД_НР!$C$3:$C$62&amp;".",","&amp;SUBSTITUTE(F398," ","")&amp;",")))*Справочник_ОКВЭД_НР!$L$10 +
  SUMPRODUCT(ISNUMBER(SEARCH(","&amp;Справочник_ОКВЭД_НР!$E$3:$E$62&amp;".",","&amp;SUBSTITUTE(F398," ","")&amp;",")))*Справочник_ОКВЭД_НР!$L$11 +
  SUMPRODUCT(ISNUMBER(SEARCH(","&amp;Справочник_ОКВЭД_НР!$G$3:$G$62&amp;".",","&amp;SUBSTITUTE(F398," ","")&amp;",")))*Справочник_ОКВЭД_НР!$L$12) /
 (SUMPRODUCT(ISNUMBER(SEARCH(","&amp;Справочник_ОКВЭД_НР!$A$3:$A$62&amp;".",","&amp;SUBSTITUTE(F398," ","")&amp;","))) +
  SUMPRODUCT(ISNUMBER(SEARCH(","&amp;Справочник_ОКВЭД_НР!$C$3:$C$62&amp;".",","&amp;SUBSTITUTE(F398," ","")&amp;","))) +
  SUMPRODUCT(ISNUMBER(SEARCH(","&amp;Справочник_ОКВЭД_НР!$E$3:$E$62&amp;".",","&amp;SUBSTITUTE(F398," ","")&amp;","))) +
  SUMPRODUCT(ISNUMBER(SEARCH(","&amp;Справочник_ОКВЭД_НР!$G$3:$G$62&amp;".",","&amp;SUBSTITUTE(F398," ","")&amp;",")))),
50)</f>
        <v>50</v>
      </c>
      <c r="K398" s="30">
        <f>IFERROR(VLOOKUP(G398,Справочник_ОКВЭД_НР!$O:$P,2,FALSE()),50)</f>
        <v>100</v>
      </c>
      <c r="L398" s="45">
        <f>(I398*Справочник_ОКВЭД_НР!$L$2+J398*Справочник_ОКВЭД_НР!$L$3+K398*Справочник_ОКВЭД_НР!$L$4)*M398</f>
        <v>0</v>
      </c>
      <c r="M398" s="47">
        <f>IF(COUNTIF(Справочник_ОКВЭД_НР!$G$3:$G$62,H398)&gt;0,0,1)</f>
        <v>0</v>
      </c>
    </row>
    <row r="399" spans="1:13" x14ac:dyDescent="0.25">
      <c r="A399" s="4">
        <f>ЛИК_дляСкорингаДП!A399</f>
        <v>1222100009570</v>
      </c>
      <c r="B399" s="4">
        <f>ЛИК_дляСкорингаДП!B399</f>
        <v>2100003111</v>
      </c>
      <c r="C399" s="4" t="str">
        <f>ЛИК_дляСкорингаДП!C399</f>
        <v>АДМИНИСТРАЦИЯ ЦИВИЛЬСКОГО МУНИЦИПАЛЬНОГО ОКРУГА</v>
      </c>
      <c r="D399" s="5" t="str">
        <f>ЛИК_дляСкорингаДП!M399</f>
        <v>Деятельность органов местного самоуправления муниципальных округов</v>
      </c>
      <c r="E399" s="4" t="str">
        <f>ЛИК_дляСкорингаДП!L399</f>
        <v>84.11.34</v>
      </c>
      <c r="F399" t="str">
        <f>ЛИК_дляСкорингаДП!N399</f>
        <v>84.22</v>
      </c>
      <c r="G399" s="25" t="str">
        <f>ЛИК_дляСкорингаДП!AG399</f>
        <v>ОСН</v>
      </c>
      <c r="H399" s="55" t="str">
        <f>IF(ISNUMBER(E399),E399,
IFERROR(LEFT(E399,FIND(".",E399)-1),E399))</f>
        <v>84</v>
      </c>
      <c r="I399" s="30">
        <f>IF(COUNTIF(Справочник_ОКВЭД_НР!$A$3:$A$62,H399)&gt;0,Справочник_ОКВЭД_НР!$L$8,
 IF(COUNTIF(Справочник_ОКВЭД_НР!$C$3:$C$62,H399)&gt;0,Справочник_ОКВЭД_НР!$L$9,
  IF(COUNTIF(Справочник_ОКВЭД_НР!$E$3:$E$62,H399)&gt;0,Справочник_ОКВЭД_НР!$L$10,
   IF(COUNTIF(Справочник_ОКВЭД_НР!$G$3:$G$62,H399)&gt;0,Справочник_ОКВЭД_НР!$L$11,50))))</f>
        <v>0</v>
      </c>
      <c r="J399" s="30" cm="1">
        <f t="array" ref="J399">IFERROR(
 (SUMPRODUCT(ISNUMBER(SEARCH(","&amp;Справочник_ОКВЭД_НР!$A$3:$A$62&amp;".",","&amp;SUBSTITUTE(F399," ","")&amp;",")))*Справочник_ОКВЭД_НР!$L$9 +
  SUMPRODUCT(ISNUMBER(SEARCH(","&amp;Справочник_ОКВЭД_НР!$C$3:$C$62&amp;".",","&amp;SUBSTITUTE(F399," ","")&amp;",")))*Справочник_ОКВЭД_НР!$L$10 +
  SUMPRODUCT(ISNUMBER(SEARCH(","&amp;Справочник_ОКВЭД_НР!$E$3:$E$62&amp;".",","&amp;SUBSTITUTE(F399," ","")&amp;",")))*Справочник_ОКВЭД_НР!$L$11 +
  SUMPRODUCT(ISNUMBER(SEARCH(","&amp;Справочник_ОКВЭД_НР!$G$3:$G$62&amp;".",","&amp;SUBSTITUTE(F399," ","")&amp;",")))*Справочник_ОКВЭД_НР!$L$12) /
 (SUMPRODUCT(ISNUMBER(SEARCH(","&amp;Справочник_ОКВЭД_НР!$A$3:$A$62&amp;".",","&amp;SUBSTITUTE(F399," ","")&amp;","))) +
  SUMPRODUCT(ISNUMBER(SEARCH(","&amp;Справочник_ОКВЭД_НР!$C$3:$C$62&amp;".",","&amp;SUBSTITUTE(F399," ","")&amp;","))) +
  SUMPRODUCT(ISNUMBER(SEARCH(","&amp;Справочник_ОКВЭД_НР!$E$3:$E$62&amp;".",","&amp;SUBSTITUTE(F399," ","")&amp;","))) +
  SUMPRODUCT(ISNUMBER(SEARCH(","&amp;Справочник_ОКВЭД_НР!$G$3:$G$62&amp;".",","&amp;SUBSTITUTE(F399," ","")&amp;",")))),
50)</f>
        <v>50</v>
      </c>
      <c r="K399" s="30">
        <f>IFERROR(VLOOKUP(G399,Справочник_ОКВЭД_НР!$O:$P,2,FALSE()),50)</f>
        <v>100</v>
      </c>
      <c r="L399" s="45">
        <f>(I399*Справочник_ОКВЭД_НР!$L$2+J399*Справочник_ОКВЭД_НР!$L$3+K399*Справочник_ОКВЭД_НР!$L$4)*M399</f>
        <v>0</v>
      </c>
      <c r="M399" s="47">
        <f>IF(COUNTIF(Справочник_ОКВЭД_НР!$G$3:$G$62,H399)&gt;0,0,1)</f>
        <v>0</v>
      </c>
    </row>
    <row r="400" spans="1:13" x14ac:dyDescent="0.25">
      <c r="A400" s="4">
        <f>ЛИК_дляСкорингаДП!A400</f>
        <v>1232100004157</v>
      </c>
      <c r="B400" s="4">
        <f>ЛИК_дляСкорингаДП!B400</f>
        <v>2100007652</v>
      </c>
      <c r="C400" s="4" t="str">
        <f>ЛИК_дляСкорингаДП!C400</f>
        <v>СНТ "МИЧУРИНЕЦ"</v>
      </c>
      <c r="D400" s="5" t="str">
        <f>ЛИК_дляСкорингаДП!M400</f>
        <v>Управление эксплуатацией нежилого фонда за вознаграждение или на договорной основе</v>
      </c>
      <c r="E400" s="4" t="str">
        <f>ЛИК_дляСкорингаДП!L400</f>
        <v>68.32.2</v>
      </c>
      <c r="F400">
        <f>ЛИК_дляСкорингаДП!N400</f>
        <v>0</v>
      </c>
      <c r="G400" s="25" t="str">
        <f>ЛИК_дляСкорингаДП!AG400</f>
        <v>ОСН</v>
      </c>
      <c r="H400" s="55" t="str">
        <f>IF(ISNUMBER(E400),E400,
IFERROR(LEFT(E400,FIND(".",E400)-1),E400))</f>
        <v>68</v>
      </c>
      <c r="I400" s="30">
        <f>IF(COUNTIF(Справочник_ОКВЭД_НР!$A$3:$A$62,H400)&gt;0,Справочник_ОКВЭД_НР!$L$8,
 IF(COUNTIF(Справочник_ОКВЭД_НР!$C$3:$C$62,H400)&gt;0,Справочник_ОКВЭД_НР!$L$9,
  IF(COUNTIF(Справочник_ОКВЭД_НР!$E$3:$E$62,H400)&gt;0,Справочник_ОКВЭД_НР!$L$10,
   IF(COUNTIF(Справочник_ОКВЭД_НР!$G$3:$G$62,H400)&gt;0,Справочник_ОКВЭД_НР!$L$11,50))))</f>
        <v>100</v>
      </c>
      <c r="J400" s="30" cm="1">
        <f t="array" ref="J400">IFERROR(
 (SUMPRODUCT(ISNUMBER(SEARCH(","&amp;Справочник_ОКВЭД_НР!$A$3:$A$62&amp;".",","&amp;SUBSTITUTE(F400," ","")&amp;",")))*Справочник_ОКВЭД_НР!$L$9 +
  SUMPRODUCT(ISNUMBER(SEARCH(","&amp;Справочник_ОКВЭД_НР!$C$3:$C$62&amp;".",","&amp;SUBSTITUTE(F400," ","")&amp;",")))*Справочник_ОКВЭД_НР!$L$10 +
  SUMPRODUCT(ISNUMBER(SEARCH(","&amp;Справочник_ОКВЭД_НР!$E$3:$E$62&amp;".",","&amp;SUBSTITUTE(F400," ","")&amp;",")))*Справочник_ОКВЭД_НР!$L$11 +
  SUMPRODUCT(ISNUMBER(SEARCH(","&amp;Справочник_ОКВЭД_НР!$G$3:$G$62&amp;".",","&amp;SUBSTITUTE(F400," ","")&amp;",")))*Справочник_ОКВЭД_НР!$L$12) /
 (SUMPRODUCT(ISNUMBER(SEARCH(","&amp;Справочник_ОКВЭД_НР!$A$3:$A$62&amp;".",","&amp;SUBSTITUTE(F400," ","")&amp;","))) +
  SUMPRODUCT(ISNUMBER(SEARCH(","&amp;Справочник_ОКВЭД_НР!$C$3:$C$62&amp;".",","&amp;SUBSTITUTE(F400," ","")&amp;","))) +
  SUMPRODUCT(ISNUMBER(SEARCH(","&amp;Справочник_ОКВЭД_НР!$E$3:$E$62&amp;".",","&amp;SUBSTITUTE(F400," ","")&amp;","))) +
  SUMPRODUCT(ISNUMBER(SEARCH(","&amp;Справочник_ОКВЭД_НР!$G$3:$G$62&amp;".",","&amp;SUBSTITUTE(F400," ","")&amp;",")))),
50)</f>
        <v>50</v>
      </c>
      <c r="K400" s="30">
        <f>IFERROR(VLOOKUP(G400,Справочник_ОКВЭД_НР!$O:$P,2,FALSE()),50)</f>
        <v>100</v>
      </c>
      <c r="L400" s="45">
        <f>(I400*Справочник_ОКВЭД_НР!$L$2+J400*Справочник_ОКВЭД_НР!$L$3+K400*Справочник_ОКВЭД_НР!$L$4)*M400</f>
        <v>87.5</v>
      </c>
      <c r="M400" s="47">
        <f>IF(COUNTIF(Справочник_ОКВЭД_НР!$G$3:$G$62,H400)&gt;0,0,1)</f>
        <v>1</v>
      </c>
    </row>
    <row r="401" spans="1:13" x14ac:dyDescent="0.25">
      <c r="A401" s="4">
        <f>ЛИК_дляСкорингаДП!A401</f>
        <v>1242100000504</v>
      </c>
      <c r="B401" s="4">
        <f>ЛИК_дляСкорингаДП!B401</f>
        <v>2100013455</v>
      </c>
      <c r="C401" s="4" t="str">
        <f>ЛИК_дляСкорингаДП!C401</f>
        <v>АНО "ИВК "СТРИБОГ"</v>
      </c>
      <c r="D401" s="5" t="str">
        <f>ЛИК_дляСкорингаДП!M401</f>
        <v>Деятельность в области спорта прочая</v>
      </c>
      <c r="E401" s="4" t="str">
        <f>ЛИК_дляСкорингаДП!L401</f>
        <v>93.19</v>
      </c>
      <c r="F401" t="str">
        <f>ЛИК_дляСкорингаДП!N401</f>
        <v>77.21,85.41,93.11,93.12,93.29</v>
      </c>
      <c r="G401" s="25" t="str">
        <f>ЛИК_дляСкорингаДП!AG401</f>
        <v>ОСН</v>
      </c>
      <c r="H401" s="55" t="str">
        <f>IF(ISNUMBER(E401),E401,
IFERROR(LEFT(E401,FIND(".",E401)-1),E401))</f>
        <v>93</v>
      </c>
      <c r="I401" s="30">
        <f>IF(COUNTIF(Справочник_ОКВЭД_НР!$A$3:$A$62,H401)&gt;0,Справочник_ОКВЭД_НР!$L$8,
 IF(COUNTIF(Справочник_ОКВЭД_НР!$C$3:$C$62,H401)&gt;0,Справочник_ОКВЭД_НР!$L$9,
  IF(COUNTIF(Справочник_ОКВЭД_НР!$E$3:$E$62,H401)&gt;0,Справочник_ОКВЭД_НР!$L$10,
   IF(COUNTIF(Справочник_ОКВЭД_НР!$G$3:$G$62,H401)&gt;0,Справочник_ОКВЭД_НР!$L$11,50))))</f>
        <v>30</v>
      </c>
      <c r="J401" s="30" cm="1">
        <f t="array" ref="J401">IFERROR(
 (SUMPRODUCT(ISNUMBER(SEARCH(","&amp;Справочник_ОКВЭД_НР!$A$3:$A$62&amp;".",","&amp;SUBSTITUTE(F401," ","")&amp;",")))*Справочник_ОКВЭД_НР!$L$9 +
  SUMPRODUCT(ISNUMBER(SEARCH(","&amp;Справочник_ОКВЭД_НР!$C$3:$C$62&amp;".",","&amp;SUBSTITUTE(F401," ","")&amp;",")))*Справочник_ОКВЭД_НР!$L$10 +
  SUMPRODUCT(ISNUMBER(SEARCH(","&amp;Справочник_ОКВЭД_НР!$E$3:$E$62&amp;".",","&amp;SUBSTITUTE(F401," ","")&amp;",")))*Справочник_ОКВЭД_НР!$L$11 +
  SUMPRODUCT(ISNUMBER(SEARCH(","&amp;Справочник_ОКВЭД_НР!$G$3:$G$62&amp;".",","&amp;SUBSTITUTE(F401," ","")&amp;",")))*Справочник_ОКВЭД_НР!$L$12) /
 (SUMPRODUCT(ISNUMBER(SEARCH(","&amp;Справочник_ОКВЭД_НР!$A$3:$A$62&amp;".",","&amp;SUBSTITUTE(F401," ","")&amp;","))) +
  SUMPRODUCT(ISNUMBER(SEARCH(","&amp;Справочник_ОКВЭД_НР!$C$3:$C$62&amp;".",","&amp;SUBSTITUTE(F401," ","")&amp;","))) +
  SUMPRODUCT(ISNUMBER(SEARCH(","&amp;Справочник_ОКВЭД_НР!$E$3:$E$62&amp;".",","&amp;SUBSTITUTE(F401," ","")&amp;","))) +
  SUMPRODUCT(ISNUMBER(SEARCH(","&amp;Справочник_ОКВЭД_НР!$G$3:$G$62&amp;".",","&amp;SUBSTITUTE(F401," ","")&amp;",")))),
50)</f>
        <v>50</v>
      </c>
      <c r="K401" s="30">
        <f>IFERROR(VLOOKUP(G401,Справочник_ОКВЭД_НР!$O:$P,2,FALSE()),50)</f>
        <v>100</v>
      </c>
      <c r="L401" s="45">
        <f>(I401*Справочник_ОКВЭД_НР!$L$2+J401*Справочник_ОКВЭД_НР!$L$3+K401*Справочник_ОКВЭД_НР!$L$4)*M401</f>
        <v>45.5</v>
      </c>
      <c r="M401" s="47">
        <f>IF(COUNTIF(Справочник_ОКВЭД_НР!$G$3:$G$62,H401)&gt;0,0,1)</f>
        <v>1</v>
      </c>
    </row>
    <row r="402" spans="1:13" x14ac:dyDescent="0.25">
      <c r="A402" s="4">
        <f>ЛИК_дляСкорингаДП!A402</f>
        <v>1232100004289</v>
      </c>
      <c r="B402" s="4">
        <f>ЛИК_дляСкорингаДП!B402</f>
        <v>2100007780</v>
      </c>
      <c r="C402" s="4" t="str">
        <f>ЛИК_дляСкорингаДП!C402</f>
        <v>ЧРОО СТК "ЧЕБОКСАРЫ РЭЙСИНГ ТИМ"</v>
      </c>
      <c r="D402" s="5" t="str">
        <f>ЛИК_дляСкорингаДП!M402</f>
        <v>Деятельность прочих общественных организаций и некоммерческих организаций, кроме религиозных и политических организаций</v>
      </c>
      <c r="E402" s="4" t="str">
        <f>ЛИК_дляСкорингаДП!L402</f>
        <v>94.99</v>
      </c>
      <c r="F402" t="str">
        <f>ЛИК_дляСкорингаДП!N402</f>
        <v>77.21,93.12,93.19,96.04</v>
      </c>
      <c r="G402" s="25" t="str">
        <f>ЛИК_дляСкорингаДП!AG402</f>
        <v>ОСН</v>
      </c>
      <c r="H402" s="55" t="str">
        <f>IF(ISNUMBER(E402),E402,
IFERROR(LEFT(E402,FIND(".",E402)-1),E402))</f>
        <v>94</v>
      </c>
      <c r="I402" s="30">
        <f>IF(COUNTIF(Справочник_ОКВЭД_НР!$A$3:$A$62,H402)&gt;0,Справочник_ОКВЭД_НР!$L$8,
 IF(COUNTIF(Справочник_ОКВЭД_НР!$C$3:$C$62,H402)&gt;0,Справочник_ОКВЭД_НР!$L$9,
  IF(COUNTIF(Справочник_ОКВЭД_НР!$E$3:$E$62,H402)&gt;0,Справочник_ОКВЭД_НР!$L$10,
   IF(COUNTIF(Справочник_ОКВЭД_НР!$G$3:$G$62,H402)&gt;0,Справочник_ОКВЭД_НР!$L$11,50))))</f>
        <v>0</v>
      </c>
      <c r="J402" s="30" cm="1">
        <f t="array" ref="J402">IFERROR(
 (SUMPRODUCT(ISNUMBER(SEARCH(","&amp;Справочник_ОКВЭД_НР!$A$3:$A$62&amp;".",","&amp;SUBSTITUTE(F402," ","")&amp;",")))*Справочник_ОКВЭД_НР!$L$9 +
  SUMPRODUCT(ISNUMBER(SEARCH(","&amp;Справочник_ОКВЭД_НР!$C$3:$C$62&amp;".",","&amp;SUBSTITUTE(F402," ","")&amp;",")))*Справочник_ОКВЭД_НР!$L$10 +
  SUMPRODUCT(ISNUMBER(SEARCH(","&amp;Справочник_ОКВЭД_НР!$E$3:$E$62&amp;".",","&amp;SUBSTITUTE(F402," ","")&amp;",")))*Справочник_ОКВЭД_НР!$L$11 +
  SUMPRODUCT(ISNUMBER(SEARCH(","&amp;Справочник_ОКВЭД_НР!$G$3:$G$62&amp;".",","&amp;SUBSTITUTE(F402," ","")&amp;",")))*Справочник_ОКВЭД_НР!$L$12) /
 (SUMPRODUCT(ISNUMBER(SEARCH(","&amp;Справочник_ОКВЭД_НР!$A$3:$A$62&amp;".",","&amp;SUBSTITUTE(F402," ","")&amp;","))) +
  SUMPRODUCT(ISNUMBER(SEARCH(","&amp;Справочник_ОКВЭД_НР!$C$3:$C$62&amp;".",","&amp;SUBSTITUTE(F402," ","")&amp;","))) +
  SUMPRODUCT(ISNUMBER(SEARCH(","&amp;Справочник_ОКВЭД_НР!$E$3:$E$62&amp;".",","&amp;SUBSTITUTE(F402," ","")&amp;","))) +
  SUMPRODUCT(ISNUMBER(SEARCH(","&amp;Справочник_ОКВЭД_НР!$G$3:$G$62&amp;".",","&amp;SUBSTITUTE(F402," ","")&amp;",")))),
50)</f>
        <v>50</v>
      </c>
      <c r="K402" s="30">
        <f>IFERROR(VLOOKUP(G402,Справочник_ОКВЭД_НР!$O:$P,2,FALSE()),50)</f>
        <v>100</v>
      </c>
      <c r="L402" s="45">
        <f>(I402*Справочник_ОКВЭД_НР!$L$2+J402*Справочник_ОКВЭД_НР!$L$3+K402*Справочник_ОКВЭД_НР!$L$4)*M402</f>
        <v>0</v>
      </c>
      <c r="M402" s="47">
        <f>IF(COUNTIF(Справочник_ОКВЭД_НР!$G$3:$G$62,H402)&gt;0,0,1)</f>
        <v>0</v>
      </c>
    </row>
    <row r="403" spans="1:13" x14ac:dyDescent="0.25">
      <c r="A403" s="4">
        <f>ЛИК_дляСкорингаДП!A403</f>
        <v>1222100009493</v>
      </c>
      <c r="B403" s="4">
        <f>ЛИК_дляСкорингаДП!B403</f>
        <v>2100003030</v>
      </c>
      <c r="C403" s="4" t="str">
        <f>ЛИК_дляСкорингаДП!C403</f>
        <v>АДМИНИСТРАЦИЯ ЧЕБОКСАРСКОГО МУНИЦИПАЛЬНОГО ОКРУГА</v>
      </c>
      <c r="D403" s="5" t="str">
        <f>ЛИК_дляСкорингаДП!M403</f>
        <v>Деятельность органов местного самоуправления муниципальных округов</v>
      </c>
      <c r="E403" s="4" t="str">
        <f>ЛИК_дляСкорингаДП!L403</f>
        <v>84.11.34</v>
      </c>
      <c r="F403">
        <f>ЛИК_дляСкорингаДП!N403</f>
        <v>0</v>
      </c>
      <c r="G403" s="25" t="str">
        <f>ЛИК_дляСкорингаДП!AG403</f>
        <v>ОСН</v>
      </c>
      <c r="H403" s="55" t="str">
        <f>IF(ISNUMBER(E403),E403,
IFERROR(LEFT(E403,FIND(".",E403)-1),E403))</f>
        <v>84</v>
      </c>
      <c r="I403" s="30">
        <f>IF(COUNTIF(Справочник_ОКВЭД_НР!$A$3:$A$62,H403)&gt;0,Справочник_ОКВЭД_НР!$L$8,
 IF(COUNTIF(Справочник_ОКВЭД_НР!$C$3:$C$62,H403)&gt;0,Справочник_ОКВЭД_НР!$L$9,
  IF(COUNTIF(Справочник_ОКВЭД_НР!$E$3:$E$62,H403)&gt;0,Справочник_ОКВЭД_НР!$L$10,
   IF(COUNTIF(Справочник_ОКВЭД_НР!$G$3:$G$62,H403)&gt;0,Справочник_ОКВЭД_НР!$L$11,50))))</f>
        <v>0</v>
      </c>
      <c r="J403" s="30" cm="1">
        <f t="array" ref="J403">IFERROR(
 (SUMPRODUCT(ISNUMBER(SEARCH(","&amp;Справочник_ОКВЭД_НР!$A$3:$A$62&amp;".",","&amp;SUBSTITUTE(F403," ","")&amp;",")))*Справочник_ОКВЭД_НР!$L$9 +
  SUMPRODUCT(ISNUMBER(SEARCH(","&amp;Справочник_ОКВЭД_НР!$C$3:$C$62&amp;".",","&amp;SUBSTITUTE(F403," ","")&amp;",")))*Справочник_ОКВЭД_НР!$L$10 +
  SUMPRODUCT(ISNUMBER(SEARCH(","&amp;Справочник_ОКВЭД_НР!$E$3:$E$62&amp;".",","&amp;SUBSTITUTE(F403," ","")&amp;",")))*Справочник_ОКВЭД_НР!$L$11 +
  SUMPRODUCT(ISNUMBER(SEARCH(","&amp;Справочник_ОКВЭД_НР!$G$3:$G$62&amp;".",","&amp;SUBSTITUTE(F403," ","")&amp;",")))*Справочник_ОКВЭД_НР!$L$12) /
 (SUMPRODUCT(ISNUMBER(SEARCH(","&amp;Справочник_ОКВЭД_НР!$A$3:$A$62&amp;".",","&amp;SUBSTITUTE(F403," ","")&amp;","))) +
  SUMPRODUCT(ISNUMBER(SEARCH(","&amp;Справочник_ОКВЭД_НР!$C$3:$C$62&amp;".",","&amp;SUBSTITUTE(F403," ","")&amp;","))) +
  SUMPRODUCT(ISNUMBER(SEARCH(","&amp;Справочник_ОКВЭД_НР!$E$3:$E$62&amp;".",","&amp;SUBSTITUTE(F403," ","")&amp;","))) +
  SUMPRODUCT(ISNUMBER(SEARCH(","&amp;Справочник_ОКВЭД_НР!$G$3:$G$62&amp;".",","&amp;SUBSTITUTE(F403," ","")&amp;",")))),
50)</f>
        <v>50</v>
      </c>
      <c r="K403" s="30">
        <f>IFERROR(VLOOKUP(G403,Справочник_ОКВЭД_НР!$O:$P,2,FALSE()),50)</f>
        <v>100</v>
      </c>
      <c r="L403" s="45">
        <f>(I403*Справочник_ОКВЭД_НР!$L$2+J403*Справочник_ОКВЭД_НР!$L$3+K403*Справочник_ОКВЭД_НР!$L$4)*M403</f>
        <v>0</v>
      </c>
      <c r="M403" s="47">
        <f>IF(COUNTIF(Справочник_ОКВЭД_НР!$G$3:$G$62,H403)&gt;0,0,1)</f>
        <v>0</v>
      </c>
    </row>
    <row r="404" spans="1:13" x14ac:dyDescent="0.25">
      <c r="A404" s="4">
        <f>ЛИК_дляСкорингаДП!A404</f>
        <v>1242100000603</v>
      </c>
      <c r="B404" s="4">
        <f>ЛИК_дляСкорингаДП!B404</f>
        <v>2100013550</v>
      </c>
      <c r="C404" s="4" t="str">
        <f>ЛИК_дляСкорингаДП!C404</f>
        <v>МКУ "ЦХО ЯЛЬЧИКСКОГО МО"</v>
      </c>
      <c r="D404" s="5" t="str">
        <f>ЛИК_дляСкорингаДП!M404</f>
        <v>Деятельность по чистке и уборке жилых зданий и нежилых помещений прочая</v>
      </c>
      <c r="E404" s="4" t="str">
        <f>ЛИК_дляСкорингаДП!L404</f>
        <v>81.22</v>
      </c>
      <c r="F404" t="str">
        <f>ЛИК_дляСкорингаДП!N404</f>
        <v>35.30.14,84.25.1,84.25.9,52.21.2,81.10,81.29.2,81.30,82.11,82.19,84.11,84.11.3,84.25.9</v>
      </c>
      <c r="G404" s="25" t="str">
        <f>ЛИК_дляСкорингаДП!AG404</f>
        <v>ОСН</v>
      </c>
      <c r="H404" s="55" t="str">
        <f>IF(ISNUMBER(E404),E404,
IFERROR(LEFT(E404,FIND(".",E404)-1),E404))</f>
        <v>81</v>
      </c>
      <c r="I404" s="30">
        <f>IF(COUNTIF(Справочник_ОКВЭД_НР!$A$3:$A$62,H404)&gt;0,Справочник_ОКВЭД_НР!$L$8,
 IF(COUNTIF(Справочник_ОКВЭД_НР!$C$3:$C$62,H404)&gt;0,Справочник_ОКВЭД_НР!$L$9,
  IF(COUNTIF(Справочник_ОКВЭД_НР!$E$3:$E$62,H404)&gt;0,Справочник_ОКВЭД_НР!$L$10,
   IF(COUNTIF(Справочник_ОКВЭД_НР!$G$3:$G$62,H404)&gt;0,Справочник_ОКВЭД_НР!$L$11,50))))</f>
        <v>30</v>
      </c>
      <c r="J404" s="30" cm="1">
        <f t="array" ref="J404">IFERROR(
 (SUMPRODUCT(ISNUMBER(SEARCH(","&amp;Справочник_ОКВЭД_НР!$A$3:$A$62&amp;".",","&amp;SUBSTITUTE(F404," ","")&amp;",")))*Справочник_ОКВЭД_НР!$L$9 +
  SUMPRODUCT(ISNUMBER(SEARCH(","&amp;Справочник_ОКВЭД_НР!$C$3:$C$62&amp;".",","&amp;SUBSTITUTE(F404," ","")&amp;",")))*Справочник_ОКВЭД_НР!$L$10 +
  SUMPRODUCT(ISNUMBER(SEARCH(","&amp;Справочник_ОКВЭД_НР!$E$3:$E$62&amp;".",","&amp;SUBSTITUTE(F404," ","")&amp;",")))*Справочник_ОКВЭД_НР!$L$11 +
  SUMPRODUCT(ISNUMBER(SEARCH(","&amp;Справочник_ОКВЭД_НР!$G$3:$G$62&amp;".",","&amp;SUBSTITUTE(F404," ","")&amp;",")))*Справочник_ОКВЭД_НР!$L$12) /
 (SUMPRODUCT(ISNUMBER(SEARCH(","&amp;Справочник_ОКВЭД_НР!$A$3:$A$62&amp;".",","&amp;SUBSTITUTE(F404," ","")&amp;","))) +
  SUMPRODUCT(ISNUMBER(SEARCH(","&amp;Справочник_ОКВЭД_НР!$C$3:$C$62&amp;".",","&amp;SUBSTITUTE(F404," ","")&amp;","))) +
  SUMPRODUCT(ISNUMBER(SEARCH(","&amp;Справочник_ОКВЭД_НР!$E$3:$E$62&amp;".",","&amp;SUBSTITUTE(F404," ","")&amp;","))) +
  SUMPRODUCT(ISNUMBER(SEARCH(","&amp;Справочник_ОКВЭД_НР!$G$3:$G$62&amp;".",","&amp;SUBSTITUTE(F404," ","")&amp;",")))),
50)</f>
        <v>50</v>
      </c>
      <c r="K404" s="30">
        <f>IFERROR(VLOOKUP(G404,Справочник_ОКВЭД_НР!$O:$P,2,FALSE()),50)</f>
        <v>100</v>
      </c>
      <c r="L404" s="45">
        <f>(I404*Справочник_ОКВЭД_НР!$L$2+J404*Справочник_ОКВЭД_НР!$L$3+K404*Справочник_ОКВЭД_НР!$L$4)*M404</f>
        <v>45.5</v>
      </c>
      <c r="M404" s="47">
        <f>IF(COUNTIF(Справочник_ОКВЭД_НР!$G$3:$G$62,H404)&gt;0,0,1)</f>
        <v>1</v>
      </c>
    </row>
    <row r="405" spans="1:13" x14ac:dyDescent="0.25">
      <c r="A405" s="4">
        <f>ЛИК_дляСкорингаДП!A405</f>
        <v>1222100009790</v>
      </c>
      <c r="B405" s="4">
        <f>ЛИК_дляСкорингаДП!B405</f>
        <v>2100003337</v>
      </c>
      <c r="C405" s="4" t="str">
        <f>ЛИК_дляСкорингаДП!C405</f>
        <v>МКУ "ЦХО" КОЗЛОВСКОГО МУНИЦИПАЛЬНОГО ОКРУГА</v>
      </c>
      <c r="D405" s="5" t="str">
        <f>ЛИК_дляСкорингаДП!M405</f>
        <v>Деятельность по чистке и уборке жилых зданий и нежилых помещений прочая</v>
      </c>
      <c r="E405" s="4" t="str">
        <f>ЛИК_дляСкорингаДП!L405</f>
        <v>81.22</v>
      </c>
      <c r="F405" t="str">
        <f>ЛИК_дляСкорингаДП!N405</f>
        <v>49.39.39,69.20.2,84.25.9,43.22,49.32,62.02,63.11,69.10,70.22,80.10,80.20,80.30,81.29.2,82.11,84.25</v>
      </c>
      <c r="G405" s="25" t="str">
        <f>ЛИК_дляСкорингаДП!AG405</f>
        <v>ОСН</v>
      </c>
      <c r="H405" s="55" t="str">
        <f>IF(ISNUMBER(E405),E405,
IFERROR(LEFT(E405,FIND(".",E405)-1),E405))</f>
        <v>81</v>
      </c>
      <c r="I405" s="30">
        <f>IF(COUNTIF(Справочник_ОКВЭД_НР!$A$3:$A$62,H405)&gt;0,Справочник_ОКВЭД_НР!$L$8,
 IF(COUNTIF(Справочник_ОКВЭД_НР!$C$3:$C$62,H405)&gt;0,Справочник_ОКВЭД_НР!$L$9,
  IF(COUNTIF(Справочник_ОКВЭД_НР!$E$3:$E$62,H405)&gt;0,Справочник_ОКВЭД_НР!$L$10,
   IF(COUNTIF(Справочник_ОКВЭД_НР!$G$3:$G$62,H405)&gt;0,Справочник_ОКВЭД_НР!$L$11,50))))</f>
        <v>30</v>
      </c>
      <c r="J405" s="30" cm="1">
        <f t="array" ref="J405">IFERROR(
 (SUMPRODUCT(ISNUMBER(SEARCH(","&amp;Справочник_ОКВЭД_НР!$A$3:$A$62&amp;".",","&amp;SUBSTITUTE(F405," ","")&amp;",")))*Справочник_ОКВЭД_НР!$L$9 +
  SUMPRODUCT(ISNUMBER(SEARCH(","&amp;Справочник_ОКВЭД_НР!$C$3:$C$62&amp;".",","&amp;SUBSTITUTE(F405," ","")&amp;",")))*Справочник_ОКВЭД_НР!$L$10 +
  SUMPRODUCT(ISNUMBER(SEARCH(","&amp;Справочник_ОКВЭД_НР!$E$3:$E$62&amp;".",","&amp;SUBSTITUTE(F405," ","")&amp;",")))*Справочник_ОКВЭД_НР!$L$11 +
  SUMPRODUCT(ISNUMBER(SEARCH(","&amp;Справочник_ОКВЭД_НР!$G$3:$G$62&amp;".",","&amp;SUBSTITUTE(F405," ","")&amp;",")))*Справочник_ОКВЭД_НР!$L$12) /
 (SUMPRODUCT(ISNUMBER(SEARCH(","&amp;Справочник_ОКВЭД_НР!$A$3:$A$62&amp;".",","&amp;SUBSTITUTE(F405," ","")&amp;","))) +
  SUMPRODUCT(ISNUMBER(SEARCH(","&amp;Справочник_ОКВЭД_НР!$C$3:$C$62&amp;".",","&amp;SUBSTITUTE(F405," ","")&amp;","))) +
  SUMPRODUCT(ISNUMBER(SEARCH(","&amp;Справочник_ОКВЭД_НР!$E$3:$E$62&amp;".",","&amp;SUBSTITUTE(F405," ","")&amp;","))) +
  SUMPRODUCT(ISNUMBER(SEARCH(","&amp;Справочник_ОКВЭД_НР!$G$3:$G$62&amp;".",","&amp;SUBSTITUTE(F405," ","")&amp;",")))),
50)</f>
        <v>50</v>
      </c>
      <c r="K405" s="30">
        <f>IFERROR(VLOOKUP(G405,Справочник_ОКВЭД_НР!$O:$P,2,FALSE()),50)</f>
        <v>100</v>
      </c>
      <c r="L405" s="45">
        <f>(I405*Справочник_ОКВЭД_НР!$L$2+J405*Справочник_ОКВЭД_НР!$L$3+K405*Справочник_ОКВЭД_НР!$L$4)*M405</f>
        <v>45.5</v>
      </c>
      <c r="M405" s="47">
        <f>IF(COUNTIF(Справочник_ОКВЭД_НР!$G$3:$G$62,H405)&gt;0,0,1)</f>
        <v>1</v>
      </c>
    </row>
    <row r="406" spans="1:13" x14ac:dyDescent="0.25">
      <c r="A406" s="4">
        <f>ЛИК_дляСкорингаДП!A406</f>
        <v>1242100000614</v>
      </c>
      <c r="B406" s="4">
        <f>ЛИК_дляСкорингаДП!B406</f>
        <v>2100013568</v>
      </c>
      <c r="C406" s="4">
        <f>ЛИК_дляСкорингаДП!C406</f>
        <v>0</v>
      </c>
      <c r="D406" s="5" t="str">
        <f>ЛИК_дляСкорингаДП!M406</f>
        <v>Деятельность религиозных организаций</v>
      </c>
      <c r="E406" s="4" t="str">
        <f>ЛИК_дляСкорингаДП!L406</f>
        <v>94.91</v>
      </c>
      <c r="F406">
        <f>ЛИК_дляСкорингаДП!N406</f>
        <v>0</v>
      </c>
      <c r="G406" s="25" t="str">
        <f>ЛИК_дляСкорингаДП!AG406</f>
        <v>ОСН</v>
      </c>
      <c r="H406" s="55" t="str">
        <f>IF(ISNUMBER(E406),E406,
IFERROR(LEFT(E406,FIND(".",E406)-1),E406))</f>
        <v>94</v>
      </c>
      <c r="I406" s="30">
        <f>IF(COUNTIF(Справочник_ОКВЭД_НР!$A$3:$A$62,H406)&gt;0,Справочник_ОКВЭД_НР!$L$8,
 IF(COUNTIF(Справочник_ОКВЭД_НР!$C$3:$C$62,H406)&gt;0,Справочник_ОКВЭД_НР!$L$9,
  IF(COUNTIF(Справочник_ОКВЭД_НР!$E$3:$E$62,H406)&gt;0,Справочник_ОКВЭД_НР!$L$10,
   IF(COUNTIF(Справочник_ОКВЭД_НР!$G$3:$G$62,H406)&gt;0,Справочник_ОКВЭД_НР!$L$11,50))))</f>
        <v>0</v>
      </c>
      <c r="J406" s="30" cm="1">
        <f t="array" ref="J406">IFERROR(
 (SUMPRODUCT(ISNUMBER(SEARCH(","&amp;Справочник_ОКВЭД_НР!$A$3:$A$62&amp;".",","&amp;SUBSTITUTE(F406," ","")&amp;",")))*Справочник_ОКВЭД_НР!$L$9 +
  SUMPRODUCT(ISNUMBER(SEARCH(","&amp;Справочник_ОКВЭД_НР!$C$3:$C$62&amp;".",","&amp;SUBSTITUTE(F406," ","")&amp;",")))*Справочник_ОКВЭД_НР!$L$10 +
  SUMPRODUCT(ISNUMBER(SEARCH(","&amp;Справочник_ОКВЭД_НР!$E$3:$E$62&amp;".",","&amp;SUBSTITUTE(F406," ","")&amp;",")))*Справочник_ОКВЭД_НР!$L$11 +
  SUMPRODUCT(ISNUMBER(SEARCH(","&amp;Справочник_ОКВЭД_НР!$G$3:$G$62&amp;".",","&amp;SUBSTITUTE(F406," ","")&amp;",")))*Справочник_ОКВЭД_НР!$L$12) /
 (SUMPRODUCT(ISNUMBER(SEARCH(","&amp;Справочник_ОКВЭД_НР!$A$3:$A$62&amp;".",","&amp;SUBSTITUTE(F406," ","")&amp;","))) +
  SUMPRODUCT(ISNUMBER(SEARCH(","&amp;Справочник_ОКВЭД_НР!$C$3:$C$62&amp;".",","&amp;SUBSTITUTE(F406," ","")&amp;","))) +
  SUMPRODUCT(ISNUMBER(SEARCH(","&amp;Справочник_ОКВЭД_НР!$E$3:$E$62&amp;".",","&amp;SUBSTITUTE(F406," ","")&amp;","))) +
  SUMPRODUCT(ISNUMBER(SEARCH(","&amp;Справочник_ОКВЭД_НР!$G$3:$G$62&amp;".",","&amp;SUBSTITUTE(F406," ","")&amp;",")))),
50)</f>
        <v>50</v>
      </c>
      <c r="K406" s="30">
        <f>IFERROR(VLOOKUP(G406,Справочник_ОКВЭД_НР!$O:$P,2,FALSE()),50)</f>
        <v>100</v>
      </c>
      <c r="L406" s="45">
        <f>(I406*Справочник_ОКВЭД_НР!$L$2+J406*Справочник_ОКВЭД_НР!$L$3+K406*Справочник_ОКВЭД_НР!$L$4)*M406</f>
        <v>0</v>
      </c>
      <c r="M406" s="47">
        <f>IF(COUNTIF(Справочник_ОКВЭД_НР!$G$3:$G$62,H406)&gt;0,0,1)</f>
        <v>0</v>
      </c>
    </row>
    <row r="407" spans="1:13" x14ac:dyDescent="0.25">
      <c r="A407" s="4">
        <f>ЛИК_дляСкорингаДП!A407</f>
        <v>1222100007040</v>
      </c>
      <c r="B407" s="4">
        <f>ЛИК_дляСкорингаДП!B407</f>
        <v>2100000576</v>
      </c>
      <c r="C407" s="4" t="str">
        <f>ЛИК_дляСкорингаДП!C407</f>
        <v>АССОЦИАЦИЯ "АТАМАНСКАЯ СТАНИЦА НИКОЛАЕВСКАЯ"</v>
      </c>
      <c r="D407" s="5" t="str">
        <f>ЛИК_дляСкорингаДП!M407</f>
        <v>Деятельность профессиональных членских организаций</v>
      </c>
      <c r="E407" s="4" t="str">
        <f>ЛИК_дляСкорингаДП!L407</f>
        <v>94.12</v>
      </c>
      <c r="F407">
        <f>ЛИК_дляСкорингаДП!N407</f>
        <v>0</v>
      </c>
      <c r="G407" s="25" t="str">
        <f>ЛИК_дляСкорингаДП!AG407</f>
        <v>ОСН</v>
      </c>
      <c r="H407" s="55" t="str">
        <f>IF(ISNUMBER(E407),E407,
IFERROR(LEFT(E407,FIND(".",E407)-1),E407))</f>
        <v>94</v>
      </c>
      <c r="I407" s="30">
        <f>IF(COUNTIF(Справочник_ОКВЭД_НР!$A$3:$A$62,H407)&gt;0,Справочник_ОКВЭД_НР!$L$8,
 IF(COUNTIF(Справочник_ОКВЭД_НР!$C$3:$C$62,H407)&gt;0,Справочник_ОКВЭД_НР!$L$9,
  IF(COUNTIF(Справочник_ОКВЭД_НР!$E$3:$E$62,H407)&gt;0,Справочник_ОКВЭД_НР!$L$10,
   IF(COUNTIF(Справочник_ОКВЭД_НР!$G$3:$G$62,H407)&gt;0,Справочник_ОКВЭД_НР!$L$11,50))))</f>
        <v>0</v>
      </c>
      <c r="J407" s="30" cm="1">
        <f t="array" ref="J407">IFERROR(
 (SUMPRODUCT(ISNUMBER(SEARCH(","&amp;Справочник_ОКВЭД_НР!$A$3:$A$62&amp;".",","&amp;SUBSTITUTE(F407," ","")&amp;",")))*Справочник_ОКВЭД_НР!$L$9 +
  SUMPRODUCT(ISNUMBER(SEARCH(","&amp;Справочник_ОКВЭД_НР!$C$3:$C$62&amp;".",","&amp;SUBSTITUTE(F407," ","")&amp;",")))*Справочник_ОКВЭД_НР!$L$10 +
  SUMPRODUCT(ISNUMBER(SEARCH(","&amp;Справочник_ОКВЭД_НР!$E$3:$E$62&amp;".",","&amp;SUBSTITUTE(F407," ","")&amp;",")))*Справочник_ОКВЭД_НР!$L$11 +
  SUMPRODUCT(ISNUMBER(SEARCH(","&amp;Справочник_ОКВЭД_НР!$G$3:$G$62&amp;".",","&amp;SUBSTITUTE(F407," ","")&amp;",")))*Справочник_ОКВЭД_НР!$L$12) /
 (SUMPRODUCT(ISNUMBER(SEARCH(","&amp;Справочник_ОКВЭД_НР!$A$3:$A$62&amp;".",","&amp;SUBSTITUTE(F407," ","")&amp;","))) +
  SUMPRODUCT(ISNUMBER(SEARCH(","&amp;Справочник_ОКВЭД_НР!$C$3:$C$62&amp;".",","&amp;SUBSTITUTE(F407," ","")&amp;","))) +
  SUMPRODUCT(ISNUMBER(SEARCH(","&amp;Справочник_ОКВЭД_НР!$E$3:$E$62&amp;".",","&amp;SUBSTITUTE(F407," ","")&amp;","))) +
  SUMPRODUCT(ISNUMBER(SEARCH(","&amp;Справочник_ОКВЭД_НР!$G$3:$G$62&amp;".",","&amp;SUBSTITUTE(F407," ","")&amp;",")))),
50)</f>
        <v>50</v>
      </c>
      <c r="K407" s="30">
        <f>IFERROR(VLOOKUP(G407,Справочник_ОКВЭД_НР!$O:$P,2,FALSE()),50)</f>
        <v>100</v>
      </c>
      <c r="L407" s="45">
        <f>(I407*Справочник_ОКВЭД_НР!$L$2+J407*Справочник_ОКВЭД_НР!$L$3+K407*Справочник_ОКВЭД_НР!$L$4)*M407</f>
        <v>0</v>
      </c>
      <c r="M407" s="47">
        <f>IF(COUNTIF(Справочник_ОКВЭД_НР!$G$3:$G$62,H407)&gt;0,0,1)</f>
        <v>0</v>
      </c>
    </row>
    <row r="408" spans="1:13" x14ac:dyDescent="0.25">
      <c r="A408" s="4">
        <f>ЛИК_дляСкорингаДП!A408</f>
        <v>1222100009900</v>
      </c>
      <c r="B408" s="4">
        <f>ЛИК_дляСкорингаДП!B408</f>
        <v>2100003440</v>
      </c>
      <c r="C408" s="4" t="str">
        <f>ЛИК_дляСкорингаДП!C408</f>
        <v>УПРАВЛЕНИЕ ПО БЛАГОУСТРОЙСТВУ АДМИНИСТРАЦИИ ЯЛЬЧИКСКОГО МУНИЦИПАЛЬНОГО ОКРУГА</v>
      </c>
      <c r="D408" s="5" t="str">
        <f>ЛИК_дляСкорингаДП!M408</f>
        <v>Деятельность органов местного самоуправления муниципальных округов</v>
      </c>
      <c r="E408" s="4" t="str">
        <f>ЛИК_дляСкорингаДП!L408</f>
        <v>84.11.34</v>
      </c>
      <c r="F408" t="str">
        <f>ЛИК_дляСкорингаДП!N408</f>
        <v>81.22,84.11.34</v>
      </c>
      <c r="G408" s="25" t="str">
        <f>ЛИК_дляСкорингаДП!AG408</f>
        <v>ОСН</v>
      </c>
      <c r="H408" s="55" t="str">
        <f>IF(ISNUMBER(E408),E408,
IFERROR(LEFT(E408,FIND(".",E408)-1),E408))</f>
        <v>84</v>
      </c>
      <c r="I408" s="30">
        <f>IF(COUNTIF(Справочник_ОКВЭД_НР!$A$3:$A$62,H408)&gt;0,Справочник_ОКВЭД_НР!$L$8,
 IF(COUNTIF(Справочник_ОКВЭД_НР!$C$3:$C$62,H408)&gt;0,Справочник_ОКВЭД_НР!$L$9,
  IF(COUNTIF(Справочник_ОКВЭД_НР!$E$3:$E$62,H408)&gt;0,Справочник_ОКВЭД_НР!$L$10,
   IF(COUNTIF(Справочник_ОКВЭД_НР!$G$3:$G$62,H408)&gt;0,Справочник_ОКВЭД_НР!$L$11,50))))</f>
        <v>0</v>
      </c>
      <c r="J408" s="30" cm="1">
        <f t="array" ref="J408">IFERROR(
 (SUMPRODUCT(ISNUMBER(SEARCH(","&amp;Справочник_ОКВЭД_НР!$A$3:$A$62&amp;".",","&amp;SUBSTITUTE(F408," ","")&amp;",")))*Справочник_ОКВЭД_НР!$L$9 +
  SUMPRODUCT(ISNUMBER(SEARCH(","&amp;Справочник_ОКВЭД_НР!$C$3:$C$62&amp;".",","&amp;SUBSTITUTE(F408," ","")&amp;",")))*Справочник_ОКВЭД_НР!$L$10 +
  SUMPRODUCT(ISNUMBER(SEARCH(","&amp;Справочник_ОКВЭД_НР!$E$3:$E$62&amp;".",","&amp;SUBSTITUTE(F408," ","")&amp;",")))*Справочник_ОКВЭД_НР!$L$11 +
  SUMPRODUCT(ISNUMBER(SEARCH(","&amp;Справочник_ОКВЭД_НР!$G$3:$G$62&amp;".",","&amp;SUBSTITUTE(F408," ","")&amp;",")))*Справочник_ОКВЭД_НР!$L$12) /
 (SUMPRODUCT(ISNUMBER(SEARCH(","&amp;Справочник_ОКВЭД_НР!$A$3:$A$62&amp;".",","&amp;SUBSTITUTE(F408," ","")&amp;","))) +
  SUMPRODUCT(ISNUMBER(SEARCH(","&amp;Справочник_ОКВЭД_НР!$C$3:$C$62&amp;".",","&amp;SUBSTITUTE(F408," ","")&amp;","))) +
  SUMPRODUCT(ISNUMBER(SEARCH(","&amp;Справочник_ОКВЭД_НР!$E$3:$E$62&amp;".",","&amp;SUBSTITUTE(F408," ","")&amp;","))) +
  SUMPRODUCT(ISNUMBER(SEARCH(","&amp;Справочник_ОКВЭД_НР!$G$3:$G$62&amp;".",","&amp;SUBSTITUTE(F408," ","")&amp;",")))),
50)</f>
        <v>50</v>
      </c>
      <c r="K408" s="30">
        <f>IFERROR(VLOOKUP(G408,Справочник_ОКВЭД_НР!$O:$P,2,FALSE()),50)</f>
        <v>100</v>
      </c>
      <c r="L408" s="45">
        <f>(I408*Справочник_ОКВЭД_НР!$L$2+J408*Справочник_ОКВЭД_НР!$L$3+K408*Справочник_ОКВЭД_НР!$L$4)*M408</f>
        <v>0</v>
      </c>
      <c r="M408" s="47">
        <f>IF(COUNTIF(Справочник_ОКВЭД_НР!$G$3:$G$62,H408)&gt;0,0,1)</f>
        <v>0</v>
      </c>
    </row>
    <row r="409" spans="1:13" x14ac:dyDescent="0.25">
      <c r="A409" s="4">
        <f>ЛИК_дляСкорингаДП!A409</f>
        <v>1222100008020</v>
      </c>
      <c r="B409" s="4">
        <f>ЛИК_дляСкорингаДП!B409</f>
        <v>2100001562</v>
      </c>
      <c r="C409" s="4" t="str">
        <f>ЛИК_дляСкорингаДП!C409</f>
        <v>БФ "ЗОВ ЧУВАШИЯ"</v>
      </c>
      <c r="D409" s="5" t="str">
        <f>ЛИК_дляСкорингаДП!M409</f>
        <v>Предоставление прочих финансовых услуг, кроме услуг по страхованию и пенсионному обеспечению, не включенных в другие группировки</v>
      </c>
      <c r="E409" s="4" t="str">
        <f>ЛИК_дляСкорингаДП!L409</f>
        <v>64.99</v>
      </c>
      <c r="F409" t="str">
        <f>ЛИК_дляСкорингаДП!N409</f>
        <v>58.14,64.99.2,88.99</v>
      </c>
      <c r="G409" s="25" t="str">
        <f>ЛИК_дляСкорингаДП!AG409</f>
        <v>ОСН</v>
      </c>
      <c r="H409" s="55" t="str">
        <f>IF(ISNUMBER(E409),E409,
IFERROR(LEFT(E409,FIND(".",E409)-1),E409))</f>
        <v>64</v>
      </c>
      <c r="I409" s="30">
        <f>IF(COUNTIF(Справочник_ОКВЭД_НР!$A$3:$A$62,H409)&gt;0,Справочник_ОКВЭД_НР!$L$8,
 IF(COUNTIF(Справочник_ОКВЭД_НР!$C$3:$C$62,H409)&gt;0,Справочник_ОКВЭД_НР!$L$9,
  IF(COUNTIF(Справочник_ОКВЭД_НР!$E$3:$E$62,H409)&gt;0,Справочник_ОКВЭД_НР!$L$10,
   IF(COUNTIF(Справочник_ОКВЭД_НР!$G$3:$G$62,H409)&gt;0,Справочник_ОКВЭД_НР!$L$11,50))))</f>
        <v>60</v>
      </c>
      <c r="J409" s="30" cm="1">
        <f t="array" ref="J409">IFERROR(
 (SUMPRODUCT(ISNUMBER(SEARCH(","&amp;Справочник_ОКВЭД_НР!$A$3:$A$62&amp;".",","&amp;SUBSTITUTE(F409," ","")&amp;",")))*Справочник_ОКВЭД_НР!$L$9 +
  SUMPRODUCT(ISNUMBER(SEARCH(","&amp;Справочник_ОКВЭД_НР!$C$3:$C$62&amp;".",","&amp;SUBSTITUTE(F409," ","")&amp;",")))*Справочник_ОКВЭД_НР!$L$10 +
  SUMPRODUCT(ISNUMBER(SEARCH(","&amp;Справочник_ОКВЭД_НР!$E$3:$E$62&amp;".",","&amp;SUBSTITUTE(F409," ","")&amp;",")))*Справочник_ОКВЭД_НР!$L$11 +
  SUMPRODUCT(ISNUMBER(SEARCH(","&amp;Справочник_ОКВЭД_НР!$G$3:$G$62&amp;".",","&amp;SUBSTITUTE(F409," ","")&amp;",")))*Справочник_ОКВЭД_НР!$L$12) /
 (SUMPRODUCT(ISNUMBER(SEARCH(","&amp;Справочник_ОКВЭД_НР!$A$3:$A$62&amp;".",","&amp;SUBSTITUTE(F409," ","")&amp;","))) +
  SUMPRODUCT(ISNUMBER(SEARCH(","&amp;Справочник_ОКВЭД_НР!$C$3:$C$62&amp;".",","&amp;SUBSTITUTE(F409," ","")&amp;","))) +
  SUMPRODUCT(ISNUMBER(SEARCH(","&amp;Справочник_ОКВЭД_НР!$E$3:$E$62&amp;".",","&amp;SUBSTITUTE(F409," ","")&amp;","))) +
  SUMPRODUCT(ISNUMBER(SEARCH(","&amp;Справочник_ОКВЭД_НР!$G$3:$G$62&amp;".",","&amp;SUBSTITUTE(F409," ","")&amp;",")))),
50)</f>
        <v>50</v>
      </c>
      <c r="K409" s="30">
        <f>IFERROR(VLOOKUP(G409,Справочник_ОКВЭД_НР!$O:$P,2,FALSE()),50)</f>
        <v>100</v>
      </c>
      <c r="L409" s="45">
        <f>(I409*Справочник_ОКВЭД_НР!$L$2+J409*Справочник_ОКВЭД_НР!$L$3+K409*Справочник_ОКВЭД_НР!$L$4)*M409</f>
        <v>63.5</v>
      </c>
      <c r="M409" s="47">
        <f>IF(COUNTIF(Справочник_ОКВЭД_НР!$G$3:$G$62,H409)&gt;0,0,1)</f>
        <v>1</v>
      </c>
    </row>
    <row r="410" spans="1:13" x14ac:dyDescent="0.25">
      <c r="A410" s="4">
        <f>ЛИК_дляСкорингаДП!A410</f>
        <v>1232100004421</v>
      </c>
      <c r="B410" s="4">
        <f>ЛИК_дляСкорингаДП!B410</f>
        <v>2100007910</v>
      </c>
      <c r="C410" s="4" t="str">
        <f>ЛИК_дляСкорингаДП!C410</f>
        <v>ТОС "ТАРХАНСКОЕ"</v>
      </c>
      <c r="D410" s="5" t="str">
        <f>ЛИК_дляСкорингаДП!M410</f>
        <v>Деятельность прочих общественных организаций и некоммерческих организаций, кроме религиозных и политических организаций</v>
      </c>
      <c r="E410" s="4" t="str">
        <f>ЛИК_дляСкорингаДП!L410</f>
        <v>94.99</v>
      </c>
      <c r="F410">
        <f>ЛИК_дляСкорингаДП!N410</f>
        <v>0</v>
      </c>
      <c r="G410" s="25" t="str">
        <f>ЛИК_дляСкорингаДП!AG410</f>
        <v>ОСН</v>
      </c>
      <c r="H410" s="55" t="str">
        <f>IF(ISNUMBER(E410),E410,
IFERROR(LEFT(E410,FIND(".",E410)-1),E410))</f>
        <v>94</v>
      </c>
      <c r="I410" s="30">
        <f>IF(COUNTIF(Справочник_ОКВЭД_НР!$A$3:$A$62,H410)&gt;0,Справочник_ОКВЭД_НР!$L$8,
 IF(COUNTIF(Справочник_ОКВЭД_НР!$C$3:$C$62,H410)&gt;0,Справочник_ОКВЭД_НР!$L$9,
  IF(COUNTIF(Справочник_ОКВЭД_НР!$E$3:$E$62,H410)&gt;0,Справочник_ОКВЭД_НР!$L$10,
   IF(COUNTIF(Справочник_ОКВЭД_НР!$G$3:$G$62,H410)&gt;0,Справочник_ОКВЭД_НР!$L$11,50))))</f>
        <v>0</v>
      </c>
      <c r="J410" s="30" cm="1">
        <f t="array" ref="J410">IFERROR(
 (SUMPRODUCT(ISNUMBER(SEARCH(","&amp;Справочник_ОКВЭД_НР!$A$3:$A$62&amp;".",","&amp;SUBSTITUTE(F410," ","")&amp;",")))*Справочник_ОКВЭД_НР!$L$9 +
  SUMPRODUCT(ISNUMBER(SEARCH(","&amp;Справочник_ОКВЭД_НР!$C$3:$C$62&amp;".",","&amp;SUBSTITUTE(F410," ","")&amp;",")))*Справочник_ОКВЭД_НР!$L$10 +
  SUMPRODUCT(ISNUMBER(SEARCH(","&amp;Справочник_ОКВЭД_НР!$E$3:$E$62&amp;".",","&amp;SUBSTITUTE(F410," ","")&amp;",")))*Справочник_ОКВЭД_НР!$L$11 +
  SUMPRODUCT(ISNUMBER(SEARCH(","&amp;Справочник_ОКВЭД_НР!$G$3:$G$62&amp;".",","&amp;SUBSTITUTE(F410," ","")&amp;",")))*Справочник_ОКВЭД_НР!$L$12) /
 (SUMPRODUCT(ISNUMBER(SEARCH(","&amp;Справочник_ОКВЭД_НР!$A$3:$A$62&amp;".",","&amp;SUBSTITUTE(F410," ","")&amp;","))) +
  SUMPRODUCT(ISNUMBER(SEARCH(","&amp;Справочник_ОКВЭД_НР!$C$3:$C$62&amp;".",","&amp;SUBSTITUTE(F410," ","")&amp;","))) +
  SUMPRODUCT(ISNUMBER(SEARCH(","&amp;Справочник_ОКВЭД_НР!$E$3:$E$62&amp;".",","&amp;SUBSTITUTE(F410," ","")&amp;","))) +
  SUMPRODUCT(ISNUMBER(SEARCH(","&amp;Справочник_ОКВЭД_НР!$G$3:$G$62&amp;".",","&amp;SUBSTITUTE(F410," ","")&amp;",")))),
50)</f>
        <v>50</v>
      </c>
      <c r="K410" s="30">
        <f>IFERROR(VLOOKUP(G410,Справочник_ОКВЭД_НР!$O:$P,2,FALSE()),50)</f>
        <v>100</v>
      </c>
      <c r="L410" s="45">
        <f>(I410*Справочник_ОКВЭД_НР!$L$2+J410*Справочник_ОКВЭД_НР!$L$3+K410*Справочник_ОКВЭД_НР!$L$4)*M410</f>
        <v>0</v>
      </c>
      <c r="M410" s="47">
        <f>IF(COUNTIF(Справочник_ОКВЭД_НР!$G$3:$G$62,H410)&gt;0,0,1)</f>
        <v>0</v>
      </c>
    </row>
    <row r="411" spans="1:13" x14ac:dyDescent="0.25">
      <c r="A411" s="4">
        <f>ЛИК_дляСкорингаДП!A411</f>
        <v>1232100004377</v>
      </c>
      <c r="B411" s="4">
        <f>ЛИК_дляСкорингаДП!B411</f>
        <v>2100007860</v>
      </c>
      <c r="C411" s="4" t="str">
        <f>ЛИК_дляСкорингаДП!C411</f>
        <v>ЧРОО "АССОЦИАЦИЯ ЭКСКУРСОВОДОВ"</v>
      </c>
      <c r="D411" s="5" t="str">
        <f>ЛИК_дляСкорингаДП!M411</f>
        <v>Деятельность прочих общественных организаций и некоммерческих организаций, кроме религиозных и политических организаций</v>
      </c>
      <c r="E411" s="4" t="str">
        <f>ЛИК_дляСкорингаДП!L411</f>
        <v>94.99</v>
      </c>
      <c r="F411" t="str">
        <f>ЛИК_дляСкорингаДП!N411</f>
        <v>58.11.1,58.11.2,58.11.4,63.11.1,74.20,82.30,85.42.9,93.29.9</v>
      </c>
      <c r="G411" s="25" t="str">
        <f>ЛИК_дляСкорингаДП!AG411</f>
        <v>ОСН</v>
      </c>
      <c r="H411" s="55" t="str">
        <f>IF(ISNUMBER(E411),E411,
IFERROR(LEFT(E411,FIND(".",E411)-1),E411))</f>
        <v>94</v>
      </c>
      <c r="I411" s="30">
        <f>IF(COUNTIF(Справочник_ОКВЭД_НР!$A$3:$A$62,H411)&gt;0,Справочник_ОКВЭД_НР!$L$8,
 IF(COUNTIF(Справочник_ОКВЭД_НР!$C$3:$C$62,H411)&gt;0,Справочник_ОКВЭД_НР!$L$9,
  IF(COUNTIF(Справочник_ОКВЭД_НР!$E$3:$E$62,H411)&gt;0,Справочник_ОКВЭД_НР!$L$10,
   IF(COUNTIF(Справочник_ОКВЭД_НР!$G$3:$G$62,H411)&gt;0,Справочник_ОКВЭД_НР!$L$11,50))))</f>
        <v>0</v>
      </c>
      <c r="J411" s="30" cm="1">
        <f t="array" ref="J411">IFERROR(
 (SUMPRODUCT(ISNUMBER(SEARCH(","&amp;Справочник_ОКВЭД_НР!$A$3:$A$62&amp;".",","&amp;SUBSTITUTE(F411," ","")&amp;",")))*Справочник_ОКВЭД_НР!$L$9 +
  SUMPRODUCT(ISNUMBER(SEARCH(","&amp;Справочник_ОКВЭД_НР!$C$3:$C$62&amp;".",","&amp;SUBSTITUTE(F411," ","")&amp;",")))*Справочник_ОКВЭД_НР!$L$10 +
  SUMPRODUCT(ISNUMBER(SEARCH(","&amp;Справочник_ОКВЭД_НР!$E$3:$E$62&amp;".",","&amp;SUBSTITUTE(F411," ","")&amp;",")))*Справочник_ОКВЭД_НР!$L$11 +
  SUMPRODUCT(ISNUMBER(SEARCH(","&amp;Справочник_ОКВЭД_НР!$G$3:$G$62&amp;".",","&amp;SUBSTITUTE(F411," ","")&amp;",")))*Справочник_ОКВЭД_НР!$L$12) /
 (SUMPRODUCT(ISNUMBER(SEARCH(","&amp;Справочник_ОКВЭД_НР!$A$3:$A$62&amp;".",","&amp;SUBSTITUTE(F411," ","")&amp;","))) +
  SUMPRODUCT(ISNUMBER(SEARCH(","&amp;Справочник_ОКВЭД_НР!$C$3:$C$62&amp;".",","&amp;SUBSTITUTE(F411," ","")&amp;","))) +
  SUMPRODUCT(ISNUMBER(SEARCH(","&amp;Справочник_ОКВЭД_НР!$E$3:$E$62&amp;".",","&amp;SUBSTITUTE(F411," ","")&amp;","))) +
  SUMPRODUCT(ISNUMBER(SEARCH(","&amp;Справочник_ОКВЭД_НР!$G$3:$G$62&amp;".",","&amp;SUBSTITUTE(F411," ","")&amp;",")))),
50)</f>
        <v>50</v>
      </c>
      <c r="K411" s="30">
        <f>IFERROR(VLOOKUP(G411,Справочник_ОКВЭД_НР!$O:$P,2,FALSE()),50)</f>
        <v>100</v>
      </c>
      <c r="L411" s="45">
        <f>(I411*Справочник_ОКВЭД_НР!$L$2+J411*Справочник_ОКВЭД_НР!$L$3+K411*Справочник_ОКВЭД_НР!$L$4)*M411</f>
        <v>0</v>
      </c>
      <c r="M411" s="47">
        <f>IF(COUNTIF(Справочник_ОКВЭД_НР!$G$3:$G$62,H411)&gt;0,0,1)</f>
        <v>0</v>
      </c>
    </row>
    <row r="412" spans="1:13" x14ac:dyDescent="0.25">
      <c r="A412" s="4">
        <f>ЛИК_дляСкорингаДП!A412</f>
        <v>1222100007315</v>
      </c>
      <c r="B412" s="4">
        <f>ЛИК_дляСкорингаДП!B412</f>
        <v>2100000858</v>
      </c>
      <c r="C412" s="4" t="str">
        <f>ЛИК_дляСкорингаДП!C412</f>
        <v>ТОС "СУГАЙ"</v>
      </c>
      <c r="D412" s="5" t="str">
        <f>ЛИК_дляСкорингаДП!M412</f>
        <v>Деятельность прочих общественных организаций и некоммерческих организаций, кроме религиозных и политических организаций</v>
      </c>
      <c r="E412" s="4" t="str">
        <f>ЛИК_дляСкорингаДП!L412</f>
        <v>94.99</v>
      </c>
      <c r="F412">
        <f>ЛИК_дляСкорингаДП!N412</f>
        <v>0</v>
      </c>
      <c r="G412" s="25" t="str">
        <f>ЛИК_дляСкорингаДП!AG412</f>
        <v>ОСН</v>
      </c>
      <c r="H412" s="55" t="str">
        <f>IF(ISNUMBER(E412),E412,
IFERROR(LEFT(E412,FIND(".",E412)-1),E412))</f>
        <v>94</v>
      </c>
      <c r="I412" s="30">
        <f>IF(COUNTIF(Справочник_ОКВЭД_НР!$A$3:$A$62,H412)&gt;0,Справочник_ОКВЭД_НР!$L$8,
 IF(COUNTIF(Справочник_ОКВЭД_НР!$C$3:$C$62,H412)&gt;0,Справочник_ОКВЭД_НР!$L$9,
  IF(COUNTIF(Справочник_ОКВЭД_НР!$E$3:$E$62,H412)&gt;0,Справочник_ОКВЭД_НР!$L$10,
   IF(COUNTIF(Справочник_ОКВЭД_НР!$G$3:$G$62,H412)&gt;0,Справочник_ОКВЭД_НР!$L$11,50))))</f>
        <v>0</v>
      </c>
      <c r="J412" s="30" cm="1">
        <f t="array" ref="J412">IFERROR(
 (SUMPRODUCT(ISNUMBER(SEARCH(","&amp;Справочник_ОКВЭД_НР!$A$3:$A$62&amp;".",","&amp;SUBSTITUTE(F412," ","")&amp;",")))*Справочник_ОКВЭД_НР!$L$9 +
  SUMPRODUCT(ISNUMBER(SEARCH(","&amp;Справочник_ОКВЭД_НР!$C$3:$C$62&amp;".",","&amp;SUBSTITUTE(F412," ","")&amp;",")))*Справочник_ОКВЭД_НР!$L$10 +
  SUMPRODUCT(ISNUMBER(SEARCH(","&amp;Справочник_ОКВЭД_НР!$E$3:$E$62&amp;".",","&amp;SUBSTITUTE(F412," ","")&amp;",")))*Справочник_ОКВЭД_НР!$L$11 +
  SUMPRODUCT(ISNUMBER(SEARCH(","&amp;Справочник_ОКВЭД_НР!$G$3:$G$62&amp;".",","&amp;SUBSTITUTE(F412," ","")&amp;",")))*Справочник_ОКВЭД_НР!$L$12) /
 (SUMPRODUCT(ISNUMBER(SEARCH(","&amp;Справочник_ОКВЭД_НР!$A$3:$A$62&amp;".",","&amp;SUBSTITUTE(F412," ","")&amp;","))) +
  SUMPRODUCT(ISNUMBER(SEARCH(","&amp;Справочник_ОКВЭД_НР!$C$3:$C$62&amp;".",","&amp;SUBSTITUTE(F412," ","")&amp;","))) +
  SUMPRODUCT(ISNUMBER(SEARCH(","&amp;Справочник_ОКВЭД_НР!$E$3:$E$62&amp;".",","&amp;SUBSTITUTE(F412," ","")&amp;","))) +
  SUMPRODUCT(ISNUMBER(SEARCH(","&amp;Справочник_ОКВЭД_НР!$G$3:$G$62&amp;".",","&amp;SUBSTITUTE(F412," ","")&amp;",")))),
50)</f>
        <v>50</v>
      </c>
      <c r="K412" s="30">
        <f>IFERROR(VLOOKUP(G412,Справочник_ОКВЭД_НР!$O:$P,2,FALSE()),50)</f>
        <v>100</v>
      </c>
      <c r="L412" s="45">
        <f>(I412*Справочник_ОКВЭД_НР!$L$2+J412*Справочник_ОКВЭД_НР!$L$3+K412*Справочник_ОКВЭД_НР!$L$4)*M412</f>
        <v>0</v>
      </c>
      <c r="M412" s="47">
        <f>IF(COUNTIF(Справочник_ОКВЭД_НР!$G$3:$G$62,H412)&gt;0,0,1)</f>
        <v>0</v>
      </c>
    </row>
    <row r="413" spans="1:13" x14ac:dyDescent="0.25">
      <c r="A413" s="4">
        <f>ЛИК_дляСкорингаДП!A413</f>
        <v>1222100008734</v>
      </c>
      <c r="B413" s="4">
        <f>ЛИК_дляСкорингаДП!B413</f>
        <v>2100002277</v>
      </c>
      <c r="C413" s="4" t="str">
        <f>ЛИК_дляСкорингаДП!C413</f>
        <v>РО ООО ВФСЛИН В ЧУВАШСКОЙ РЕСПУБЛИКЕ</v>
      </c>
      <c r="D413" s="5" t="str">
        <f>ЛИК_дляСкорингаДП!M413</f>
        <v>Деятельность в области спорта прочая</v>
      </c>
      <c r="E413" s="4" t="str">
        <f>ЛИК_дляСкорингаДП!L413</f>
        <v>93.19</v>
      </c>
      <c r="F413" t="str">
        <f>ЛИК_дляСкорингаДП!N413</f>
        <v>18.12,94.99,96.04</v>
      </c>
      <c r="G413" s="25" t="str">
        <f>ЛИК_дляСкорингаДП!AG413</f>
        <v>ОСН</v>
      </c>
      <c r="H413" s="55" t="str">
        <f>IF(ISNUMBER(E413),E413,
IFERROR(LEFT(E413,FIND(".",E413)-1),E413))</f>
        <v>93</v>
      </c>
      <c r="I413" s="30">
        <f>IF(COUNTIF(Справочник_ОКВЭД_НР!$A$3:$A$62,H413)&gt;0,Справочник_ОКВЭД_НР!$L$8,
 IF(COUNTIF(Справочник_ОКВЭД_НР!$C$3:$C$62,H413)&gt;0,Справочник_ОКВЭД_НР!$L$9,
  IF(COUNTIF(Справочник_ОКВЭД_НР!$E$3:$E$62,H413)&gt;0,Справочник_ОКВЭД_НР!$L$10,
   IF(COUNTIF(Справочник_ОКВЭД_НР!$G$3:$G$62,H413)&gt;0,Справочник_ОКВЭД_НР!$L$11,50))))</f>
        <v>30</v>
      </c>
      <c r="J413" s="30" cm="1">
        <f t="array" ref="J413">IFERROR(
 (SUMPRODUCT(ISNUMBER(SEARCH(","&amp;Справочник_ОКВЭД_НР!$A$3:$A$62&amp;".",","&amp;SUBSTITUTE(F413," ","")&amp;",")))*Справочник_ОКВЭД_НР!$L$9 +
  SUMPRODUCT(ISNUMBER(SEARCH(","&amp;Справочник_ОКВЭД_НР!$C$3:$C$62&amp;".",","&amp;SUBSTITUTE(F413," ","")&amp;",")))*Справочник_ОКВЭД_НР!$L$10 +
  SUMPRODUCT(ISNUMBER(SEARCH(","&amp;Справочник_ОКВЭД_НР!$E$3:$E$62&amp;".",","&amp;SUBSTITUTE(F413," ","")&amp;",")))*Справочник_ОКВЭД_НР!$L$11 +
  SUMPRODUCT(ISNUMBER(SEARCH(","&amp;Справочник_ОКВЭД_НР!$G$3:$G$62&amp;".",","&amp;SUBSTITUTE(F413," ","")&amp;",")))*Справочник_ОКВЭД_НР!$L$12) /
 (SUMPRODUCT(ISNUMBER(SEARCH(","&amp;Справочник_ОКВЭД_НР!$A$3:$A$62&amp;".",","&amp;SUBSTITUTE(F413," ","")&amp;","))) +
  SUMPRODUCT(ISNUMBER(SEARCH(","&amp;Справочник_ОКВЭД_НР!$C$3:$C$62&amp;".",","&amp;SUBSTITUTE(F413," ","")&amp;","))) +
  SUMPRODUCT(ISNUMBER(SEARCH(","&amp;Справочник_ОКВЭД_НР!$E$3:$E$62&amp;".",","&amp;SUBSTITUTE(F413," ","")&amp;","))) +
  SUMPRODUCT(ISNUMBER(SEARCH(","&amp;Справочник_ОКВЭД_НР!$G$3:$G$62&amp;".",","&amp;SUBSTITUTE(F413," ","")&amp;",")))),
50)</f>
        <v>50</v>
      </c>
      <c r="K413" s="30">
        <f>IFERROR(VLOOKUP(G413,Справочник_ОКВЭД_НР!$O:$P,2,FALSE()),50)</f>
        <v>100</v>
      </c>
      <c r="L413" s="45">
        <f>(I413*Справочник_ОКВЭД_НР!$L$2+J413*Справочник_ОКВЭД_НР!$L$3+K413*Справочник_ОКВЭД_НР!$L$4)*M413</f>
        <v>45.5</v>
      </c>
      <c r="M413" s="47">
        <f>IF(COUNTIF(Справочник_ОКВЭД_НР!$G$3:$G$62,H413)&gt;0,0,1)</f>
        <v>1</v>
      </c>
    </row>
    <row r="414" spans="1:13" x14ac:dyDescent="0.25">
      <c r="A414" s="4">
        <f>ЛИК_дляСкорингаДП!A414</f>
        <v>1222100009768</v>
      </c>
      <c r="B414" s="4">
        <f>ЛИК_дляСкорингаДП!B414</f>
        <v>2100003305</v>
      </c>
      <c r="C414" s="4" t="str">
        <f>ЛИК_дляСкорингаДП!C414</f>
        <v>АДМИНИСТРАЦИЯ ШЕМУРШИНСКОГО МУНИЦИПАЛЬНОГО ОКРУГА</v>
      </c>
      <c r="D414" s="5" t="str">
        <f>ЛИК_дляСкорингаДП!M414</f>
        <v>Деятельность органов местного самоуправления муниципальных округов</v>
      </c>
      <c r="E414" s="4" t="str">
        <f>ЛИК_дляСкорингаДП!L414</f>
        <v>84.11.34</v>
      </c>
      <c r="F414" t="str">
        <f>ЛИК_дляСкорингаДП!N414</f>
        <v>81.22,84.25.1,84.25.9,84.11.3</v>
      </c>
      <c r="G414" s="25" t="str">
        <f>ЛИК_дляСкорингаДП!AG414</f>
        <v>ОСН</v>
      </c>
      <c r="H414" s="55" t="str">
        <f>IF(ISNUMBER(E414),E414,
IFERROR(LEFT(E414,FIND(".",E414)-1),E414))</f>
        <v>84</v>
      </c>
      <c r="I414" s="30">
        <f>IF(COUNTIF(Справочник_ОКВЭД_НР!$A$3:$A$62,H414)&gt;0,Справочник_ОКВЭД_НР!$L$8,
 IF(COUNTIF(Справочник_ОКВЭД_НР!$C$3:$C$62,H414)&gt;0,Справочник_ОКВЭД_НР!$L$9,
  IF(COUNTIF(Справочник_ОКВЭД_НР!$E$3:$E$62,H414)&gt;0,Справочник_ОКВЭД_НР!$L$10,
   IF(COUNTIF(Справочник_ОКВЭД_НР!$G$3:$G$62,H414)&gt;0,Справочник_ОКВЭД_НР!$L$11,50))))</f>
        <v>0</v>
      </c>
      <c r="J414" s="30" cm="1">
        <f t="array" ref="J414">IFERROR(
 (SUMPRODUCT(ISNUMBER(SEARCH(","&amp;Справочник_ОКВЭД_НР!$A$3:$A$62&amp;".",","&amp;SUBSTITUTE(F414," ","")&amp;",")))*Справочник_ОКВЭД_НР!$L$9 +
  SUMPRODUCT(ISNUMBER(SEARCH(","&amp;Справочник_ОКВЭД_НР!$C$3:$C$62&amp;".",","&amp;SUBSTITUTE(F414," ","")&amp;",")))*Справочник_ОКВЭД_НР!$L$10 +
  SUMPRODUCT(ISNUMBER(SEARCH(","&amp;Справочник_ОКВЭД_НР!$E$3:$E$62&amp;".",","&amp;SUBSTITUTE(F414," ","")&amp;",")))*Справочник_ОКВЭД_НР!$L$11 +
  SUMPRODUCT(ISNUMBER(SEARCH(","&amp;Справочник_ОКВЭД_НР!$G$3:$G$62&amp;".",","&amp;SUBSTITUTE(F414," ","")&amp;",")))*Справочник_ОКВЭД_НР!$L$12) /
 (SUMPRODUCT(ISNUMBER(SEARCH(","&amp;Справочник_ОКВЭД_НР!$A$3:$A$62&amp;".",","&amp;SUBSTITUTE(F414," ","")&amp;","))) +
  SUMPRODUCT(ISNUMBER(SEARCH(","&amp;Справочник_ОКВЭД_НР!$C$3:$C$62&amp;".",","&amp;SUBSTITUTE(F414," ","")&amp;","))) +
  SUMPRODUCT(ISNUMBER(SEARCH(","&amp;Справочник_ОКВЭД_НР!$E$3:$E$62&amp;".",","&amp;SUBSTITUTE(F414," ","")&amp;","))) +
  SUMPRODUCT(ISNUMBER(SEARCH(","&amp;Справочник_ОКВЭД_НР!$G$3:$G$62&amp;".",","&amp;SUBSTITUTE(F414," ","")&amp;",")))),
50)</f>
        <v>50</v>
      </c>
      <c r="K414" s="30">
        <f>IFERROR(VLOOKUP(G414,Справочник_ОКВЭД_НР!$O:$P,2,FALSE()),50)</f>
        <v>100</v>
      </c>
      <c r="L414" s="45">
        <f>(I414*Справочник_ОКВЭД_НР!$L$2+J414*Справочник_ОКВЭД_НР!$L$3+K414*Справочник_ОКВЭД_НР!$L$4)*M414</f>
        <v>0</v>
      </c>
      <c r="M414" s="47">
        <f>IF(COUNTIF(Справочник_ОКВЭД_НР!$G$3:$G$62,H414)&gt;0,0,1)</f>
        <v>0</v>
      </c>
    </row>
    <row r="415" spans="1:13" x14ac:dyDescent="0.25">
      <c r="A415" s="4">
        <f>ЛИК_дляСкорингаДП!A415</f>
        <v>1222100008030</v>
      </c>
      <c r="B415" s="4">
        <f>ЛИК_дляСкорингаДП!B415</f>
        <v>2100001570</v>
      </c>
      <c r="C415" s="4" t="str">
        <f>ЛИК_дляСкорингаДП!C415</f>
        <v>СОБРАНИЕ ДЕПУТАТОВ ЧЕБОКСАРСКОГО МУНИЦИПАЛЬНОГО ОКРУГА</v>
      </c>
      <c r="D415" s="5" t="str">
        <f>ЛИК_дляСкорингаДП!M415</f>
        <v>Деятельность органов местного самоуправления муниципальных округов</v>
      </c>
      <c r="E415" s="4" t="str">
        <f>ЛИК_дляСкорингаДП!L415</f>
        <v>84.11.34</v>
      </c>
      <c r="F415">
        <f>ЛИК_дляСкорингаДП!N415</f>
        <v>0</v>
      </c>
      <c r="G415" s="25" t="str">
        <f>ЛИК_дляСкорингаДП!AG415</f>
        <v>ОСН</v>
      </c>
      <c r="H415" s="55" t="str">
        <f>IF(ISNUMBER(E415),E415,
IFERROR(LEFT(E415,FIND(".",E415)-1),E415))</f>
        <v>84</v>
      </c>
      <c r="I415" s="30">
        <f>IF(COUNTIF(Справочник_ОКВЭД_НР!$A$3:$A$62,H415)&gt;0,Справочник_ОКВЭД_НР!$L$8,
 IF(COUNTIF(Справочник_ОКВЭД_НР!$C$3:$C$62,H415)&gt;0,Справочник_ОКВЭД_НР!$L$9,
  IF(COUNTIF(Справочник_ОКВЭД_НР!$E$3:$E$62,H415)&gt;0,Справочник_ОКВЭД_НР!$L$10,
   IF(COUNTIF(Справочник_ОКВЭД_НР!$G$3:$G$62,H415)&gt;0,Справочник_ОКВЭД_НР!$L$11,50))))</f>
        <v>0</v>
      </c>
      <c r="J415" s="30" cm="1">
        <f t="array" ref="J415">IFERROR(
 (SUMPRODUCT(ISNUMBER(SEARCH(","&amp;Справочник_ОКВЭД_НР!$A$3:$A$62&amp;".",","&amp;SUBSTITUTE(F415," ","")&amp;",")))*Справочник_ОКВЭД_НР!$L$9 +
  SUMPRODUCT(ISNUMBER(SEARCH(","&amp;Справочник_ОКВЭД_НР!$C$3:$C$62&amp;".",","&amp;SUBSTITUTE(F415," ","")&amp;",")))*Справочник_ОКВЭД_НР!$L$10 +
  SUMPRODUCT(ISNUMBER(SEARCH(","&amp;Справочник_ОКВЭД_НР!$E$3:$E$62&amp;".",","&amp;SUBSTITUTE(F415," ","")&amp;",")))*Справочник_ОКВЭД_НР!$L$11 +
  SUMPRODUCT(ISNUMBER(SEARCH(","&amp;Справочник_ОКВЭД_НР!$G$3:$G$62&amp;".",","&amp;SUBSTITUTE(F415," ","")&amp;",")))*Справочник_ОКВЭД_НР!$L$12) /
 (SUMPRODUCT(ISNUMBER(SEARCH(","&amp;Справочник_ОКВЭД_НР!$A$3:$A$62&amp;".",","&amp;SUBSTITUTE(F415," ","")&amp;","))) +
  SUMPRODUCT(ISNUMBER(SEARCH(","&amp;Справочник_ОКВЭД_НР!$C$3:$C$62&amp;".",","&amp;SUBSTITUTE(F415," ","")&amp;","))) +
  SUMPRODUCT(ISNUMBER(SEARCH(","&amp;Справочник_ОКВЭД_НР!$E$3:$E$62&amp;".",","&amp;SUBSTITUTE(F415," ","")&amp;","))) +
  SUMPRODUCT(ISNUMBER(SEARCH(","&amp;Справочник_ОКВЭД_НР!$G$3:$G$62&amp;".",","&amp;SUBSTITUTE(F415," ","")&amp;",")))),
50)</f>
        <v>50</v>
      </c>
      <c r="K415" s="30">
        <f>IFERROR(VLOOKUP(G415,Справочник_ОКВЭД_НР!$O:$P,2,FALSE()),50)</f>
        <v>100</v>
      </c>
      <c r="L415" s="45">
        <f>(I415*Справочник_ОКВЭД_НР!$L$2+J415*Справочник_ОКВЭД_НР!$L$3+K415*Справочник_ОКВЭД_НР!$L$4)*M415</f>
        <v>0</v>
      </c>
      <c r="M415" s="47">
        <f>IF(COUNTIF(Справочник_ОКВЭД_НР!$G$3:$G$62,H415)&gt;0,0,1)</f>
        <v>0</v>
      </c>
    </row>
    <row r="416" spans="1:13" x14ac:dyDescent="0.25">
      <c r="A416" s="4">
        <f>ЛИК_дляСкорингаДП!A416</f>
        <v>1222100007128</v>
      </c>
      <c r="B416" s="4">
        <f>ЛИК_дляСкорингаДП!B416</f>
        <v>2100000664</v>
      </c>
      <c r="C416" s="4" t="str">
        <f>ЛИК_дляСкорингаДП!C416</f>
        <v>КФХ "МИР"</v>
      </c>
      <c r="D416" s="5" t="str">
        <f>ЛИК_дляСкорингаДП!M416</f>
        <v>Выращивание зерновых (кроме риса), зернобобовых культур и семян масличных культур</v>
      </c>
      <c r="E416" s="4" t="str">
        <f>ЛИК_дляСкорингаДП!L416</f>
        <v>01.11</v>
      </c>
      <c r="F416" t="str">
        <f>ЛИК_дляСкорингаДП!N416</f>
        <v>01.13,01.19,01.41.11,01.41.12,01.41.21,01.42.11,01.45,01.46,01.47,01.50,01.61,01.62</v>
      </c>
      <c r="G416" s="25" t="str">
        <f>ЛИК_дляСкорингаДП!AG416</f>
        <v>ОСН</v>
      </c>
      <c r="H416" s="55" t="str">
        <f>IF(ISNUMBER(E416),E416,
IFERROR(LEFT(E416,FIND(".",E416)-1),E416))</f>
        <v>01</v>
      </c>
      <c r="I416" s="30">
        <f>IF(COUNTIF(Справочник_ОКВЭД_НР!$A$3:$A$62,H416)&gt;0,Справочник_ОКВЭД_НР!$L$8,
 IF(COUNTIF(Справочник_ОКВЭД_НР!$C$3:$C$62,H416)&gt;0,Справочник_ОКВЭД_НР!$L$9,
  IF(COUNTIF(Справочник_ОКВЭД_НР!$E$3:$E$62,H416)&gt;0,Справочник_ОКВЭД_НР!$L$10,
   IF(COUNTIF(Справочник_ОКВЭД_НР!$G$3:$G$62,H416)&gt;0,Справочник_ОКВЭД_НР!$L$11,50))))</f>
        <v>60</v>
      </c>
      <c r="J416" s="30" cm="1">
        <f t="array" ref="J416">IFERROR(
 (SUMPRODUCT(ISNUMBER(SEARCH(","&amp;Справочник_ОКВЭД_НР!$A$3:$A$62&amp;".",","&amp;SUBSTITUTE(F416," ","")&amp;",")))*Справочник_ОКВЭД_НР!$L$9 +
  SUMPRODUCT(ISNUMBER(SEARCH(","&amp;Справочник_ОКВЭД_НР!$C$3:$C$62&amp;".",","&amp;SUBSTITUTE(F416," ","")&amp;",")))*Справочник_ОКВЭД_НР!$L$10 +
  SUMPRODUCT(ISNUMBER(SEARCH(","&amp;Справочник_ОКВЭД_НР!$E$3:$E$62&amp;".",","&amp;SUBSTITUTE(F416," ","")&amp;",")))*Справочник_ОКВЭД_НР!$L$11 +
  SUMPRODUCT(ISNUMBER(SEARCH(","&amp;Справочник_ОКВЭД_НР!$G$3:$G$62&amp;".",","&amp;SUBSTITUTE(F416," ","")&amp;",")))*Справочник_ОКВЭД_НР!$L$12) /
 (SUMPRODUCT(ISNUMBER(SEARCH(","&amp;Справочник_ОКВЭД_НР!$A$3:$A$62&amp;".",","&amp;SUBSTITUTE(F416," ","")&amp;","))) +
  SUMPRODUCT(ISNUMBER(SEARCH(","&amp;Справочник_ОКВЭД_НР!$C$3:$C$62&amp;".",","&amp;SUBSTITUTE(F416," ","")&amp;","))) +
  SUMPRODUCT(ISNUMBER(SEARCH(","&amp;Справочник_ОКВЭД_НР!$E$3:$E$62&amp;".",","&amp;SUBSTITUTE(F416," ","")&amp;","))) +
  SUMPRODUCT(ISNUMBER(SEARCH(","&amp;Справочник_ОКВЭД_НР!$G$3:$G$62&amp;".",","&amp;SUBSTITUTE(F416," ","")&amp;",")))),
50)</f>
        <v>50</v>
      </c>
      <c r="K416" s="30">
        <f>IFERROR(VLOOKUP(G416,Справочник_ОКВЭД_НР!$O:$P,2,FALSE()),50)</f>
        <v>100</v>
      </c>
      <c r="L416" s="45">
        <f>(I416*Справочник_ОКВЭД_НР!$L$2+J416*Справочник_ОКВЭД_НР!$L$3+K416*Справочник_ОКВЭД_НР!$L$4)*M416</f>
        <v>63.5</v>
      </c>
      <c r="M416" s="47">
        <f>IF(COUNTIF(Справочник_ОКВЭД_НР!$G$3:$G$62,H416)&gt;0,0,1)</f>
        <v>1</v>
      </c>
    </row>
    <row r="417" spans="1:13" x14ac:dyDescent="0.25">
      <c r="A417" s="4">
        <f>ЛИК_дляСкорингаДП!A417</f>
        <v>1222100008250</v>
      </c>
      <c r="B417" s="4">
        <f>ЛИК_дляСкорингаДП!B417</f>
        <v>2100001795</v>
      </c>
      <c r="C417" s="4" t="str">
        <f>ЛИК_дляСкорингаДП!C417</f>
        <v>СОБРАНИЕ ДЕПУТАТОВ МОРГАУШСКОГО МУНИЦИПАЛЬНОГО ОКРУГА</v>
      </c>
      <c r="D417" s="5" t="str">
        <f>ЛИК_дляСкорингаДП!M417</f>
        <v>Деятельность органов местного самоуправления муниципальных округов</v>
      </c>
      <c r="E417" s="4" t="str">
        <f>ЛИК_дляСкорингаДП!L417</f>
        <v>84.11.34</v>
      </c>
      <c r="F417">
        <f>ЛИК_дляСкорингаДП!N417</f>
        <v>0</v>
      </c>
      <c r="G417" s="25" t="str">
        <f>ЛИК_дляСкорингаДП!AG417</f>
        <v>ОСН</v>
      </c>
      <c r="H417" s="55" t="str">
        <f>IF(ISNUMBER(E417),E417,
IFERROR(LEFT(E417,FIND(".",E417)-1),E417))</f>
        <v>84</v>
      </c>
      <c r="I417" s="30">
        <f>IF(COUNTIF(Справочник_ОКВЭД_НР!$A$3:$A$62,H417)&gt;0,Справочник_ОКВЭД_НР!$L$8,
 IF(COUNTIF(Справочник_ОКВЭД_НР!$C$3:$C$62,H417)&gt;0,Справочник_ОКВЭД_НР!$L$9,
  IF(COUNTIF(Справочник_ОКВЭД_НР!$E$3:$E$62,H417)&gt;0,Справочник_ОКВЭД_НР!$L$10,
   IF(COUNTIF(Справочник_ОКВЭД_НР!$G$3:$G$62,H417)&gt;0,Справочник_ОКВЭД_НР!$L$11,50))))</f>
        <v>0</v>
      </c>
      <c r="J417" s="30" cm="1">
        <f t="array" ref="J417">IFERROR(
 (SUMPRODUCT(ISNUMBER(SEARCH(","&amp;Справочник_ОКВЭД_НР!$A$3:$A$62&amp;".",","&amp;SUBSTITUTE(F417," ","")&amp;",")))*Справочник_ОКВЭД_НР!$L$9 +
  SUMPRODUCT(ISNUMBER(SEARCH(","&amp;Справочник_ОКВЭД_НР!$C$3:$C$62&amp;".",","&amp;SUBSTITUTE(F417," ","")&amp;",")))*Справочник_ОКВЭД_НР!$L$10 +
  SUMPRODUCT(ISNUMBER(SEARCH(","&amp;Справочник_ОКВЭД_НР!$E$3:$E$62&amp;".",","&amp;SUBSTITUTE(F417," ","")&amp;",")))*Справочник_ОКВЭД_НР!$L$11 +
  SUMPRODUCT(ISNUMBER(SEARCH(","&amp;Справочник_ОКВЭД_НР!$G$3:$G$62&amp;".",","&amp;SUBSTITUTE(F417," ","")&amp;",")))*Справочник_ОКВЭД_НР!$L$12) /
 (SUMPRODUCT(ISNUMBER(SEARCH(","&amp;Справочник_ОКВЭД_НР!$A$3:$A$62&amp;".",","&amp;SUBSTITUTE(F417," ","")&amp;","))) +
  SUMPRODUCT(ISNUMBER(SEARCH(","&amp;Справочник_ОКВЭД_НР!$C$3:$C$62&amp;".",","&amp;SUBSTITUTE(F417," ","")&amp;","))) +
  SUMPRODUCT(ISNUMBER(SEARCH(","&amp;Справочник_ОКВЭД_НР!$E$3:$E$62&amp;".",","&amp;SUBSTITUTE(F417," ","")&amp;","))) +
  SUMPRODUCT(ISNUMBER(SEARCH(","&amp;Справочник_ОКВЭД_НР!$G$3:$G$62&amp;".",","&amp;SUBSTITUTE(F417," ","")&amp;",")))),
50)</f>
        <v>50</v>
      </c>
      <c r="K417" s="30">
        <f>IFERROR(VLOOKUP(G417,Справочник_ОКВЭД_НР!$O:$P,2,FALSE()),50)</f>
        <v>100</v>
      </c>
      <c r="L417" s="45">
        <f>(I417*Справочник_ОКВЭД_НР!$L$2+J417*Справочник_ОКВЭД_НР!$L$3+K417*Справочник_ОКВЭД_НР!$L$4)*M417</f>
        <v>0</v>
      </c>
      <c r="M417" s="47">
        <f>IF(COUNTIF(Справочник_ОКВЭД_НР!$G$3:$G$62,H417)&gt;0,0,1)</f>
        <v>0</v>
      </c>
    </row>
    <row r="418" spans="1:13" x14ac:dyDescent="0.25">
      <c r="A418" s="4">
        <f>ЛИК_дляСкорингаДП!A418</f>
        <v>1232100004025</v>
      </c>
      <c r="B418" s="4">
        <f>ЛИК_дляСкорингаДП!B418</f>
        <v>2100007525</v>
      </c>
      <c r="C418" s="4" t="str">
        <f>ЛИК_дляСкорингаДП!C418</f>
        <v>ТОС "ВИКТОРИЯ"</v>
      </c>
      <c r="D418" s="5" t="str">
        <f>ЛИК_дляСкорингаДП!M418</f>
        <v>Деятельность прочих общественных организаций и некоммерческих организаций, кроме религиозных и политических организаций</v>
      </c>
      <c r="E418" s="4" t="str">
        <f>ЛИК_дляСкорингаДП!L418</f>
        <v>94.99</v>
      </c>
      <c r="F418">
        <f>ЛИК_дляСкорингаДП!N418</f>
        <v>0</v>
      </c>
      <c r="G418" s="25" t="str">
        <f>ЛИК_дляСкорингаДП!AG418</f>
        <v>ОСН</v>
      </c>
      <c r="H418" s="55" t="str">
        <f>IF(ISNUMBER(E418),E418,
IFERROR(LEFT(E418,FIND(".",E418)-1),E418))</f>
        <v>94</v>
      </c>
      <c r="I418" s="30">
        <f>IF(COUNTIF(Справочник_ОКВЭД_НР!$A$3:$A$62,H418)&gt;0,Справочник_ОКВЭД_НР!$L$8,
 IF(COUNTIF(Справочник_ОКВЭД_НР!$C$3:$C$62,H418)&gt;0,Справочник_ОКВЭД_НР!$L$9,
  IF(COUNTIF(Справочник_ОКВЭД_НР!$E$3:$E$62,H418)&gt;0,Справочник_ОКВЭД_НР!$L$10,
   IF(COUNTIF(Справочник_ОКВЭД_НР!$G$3:$G$62,H418)&gt;0,Справочник_ОКВЭД_НР!$L$11,50))))</f>
        <v>0</v>
      </c>
      <c r="J418" s="30" cm="1">
        <f t="array" ref="J418">IFERROR(
 (SUMPRODUCT(ISNUMBER(SEARCH(","&amp;Справочник_ОКВЭД_НР!$A$3:$A$62&amp;".",","&amp;SUBSTITUTE(F418," ","")&amp;",")))*Справочник_ОКВЭД_НР!$L$9 +
  SUMPRODUCT(ISNUMBER(SEARCH(","&amp;Справочник_ОКВЭД_НР!$C$3:$C$62&amp;".",","&amp;SUBSTITUTE(F418," ","")&amp;",")))*Справочник_ОКВЭД_НР!$L$10 +
  SUMPRODUCT(ISNUMBER(SEARCH(","&amp;Справочник_ОКВЭД_НР!$E$3:$E$62&amp;".",","&amp;SUBSTITUTE(F418," ","")&amp;",")))*Справочник_ОКВЭД_НР!$L$11 +
  SUMPRODUCT(ISNUMBER(SEARCH(","&amp;Справочник_ОКВЭД_НР!$G$3:$G$62&amp;".",","&amp;SUBSTITUTE(F418," ","")&amp;",")))*Справочник_ОКВЭД_НР!$L$12) /
 (SUMPRODUCT(ISNUMBER(SEARCH(","&amp;Справочник_ОКВЭД_НР!$A$3:$A$62&amp;".",","&amp;SUBSTITUTE(F418," ","")&amp;","))) +
  SUMPRODUCT(ISNUMBER(SEARCH(","&amp;Справочник_ОКВЭД_НР!$C$3:$C$62&amp;".",","&amp;SUBSTITUTE(F418," ","")&amp;","))) +
  SUMPRODUCT(ISNUMBER(SEARCH(","&amp;Справочник_ОКВЭД_НР!$E$3:$E$62&amp;".",","&amp;SUBSTITUTE(F418," ","")&amp;","))) +
  SUMPRODUCT(ISNUMBER(SEARCH(","&amp;Справочник_ОКВЭД_НР!$G$3:$G$62&amp;".",","&amp;SUBSTITUTE(F418," ","")&amp;",")))),
50)</f>
        <v>50</v>
      </c>
      <c r="K418" s="30">
        <f>IFERROR(VLOOKUP(G418,Справочник_ОКВЭД_НР!$O:$P,2,FALSE()),50)</f>
        <v>100</v>
      </c>
      <c r="L418" s="45">
        <f>(I418*Справочник_ОКВЭД_НР!$L$2+J418*Справочник_ОКВЭД_НР!$L$3+K418*Справочник_ОКВЭД_НР!$L$4)*M418</f>
        <v>0</v>
      </c>
      <c r="M418" s="47">
        <f>IF(COUNTIF(Справочник_ОКВЭД_НР!$G$3:$G$62,H418)&gt;0,0,1)</f>
        <v>0</v>
      </c>
    </row>
    <row r="419" spans="1:13" x14ac:dyDescent="0.25">
      <c r="A419" s="4">
        <f>ЛИК_дляСкорингаДП!A419</f>
        <v>1222100007095</v>
      </c>
      <c r="B419" s="4">
        <f>ЛИК_дляСкорингаДП!B419</f>
        <v>2100000632</v>
      </c>
      <c r="C419" s="4" t="str">
        <f>ЛИК_дляСкорингаДП!C419</f>
        <v>ЧРОО "ФЕДЕРАЦИЯ ФЕХТОВАНИЯ"</v>
      </c>
      <c r="D419" s="5" t="str">
        <f>ЛИК_дляСкорингаДП!M419</f>
        <v>Деятельность в области спорта прочая</v>
      </c>
      <c r="E419" s="4" t="str">
        <f>ЛИК_дляСкорингаДП!L419</f>
        <v>93.19</v>
      </c>
      <c r="F419" t="str">
        <f>ЛИК_дляСкорингаДП!N419</f>
        <v>58.19,77.21,93.11,93.12</v>
      </c>
      <c r="G419" s="25" t="str">
        <f>ЛИК_дляСкорингаДП!AG419</f>
        <v>ОСН</v>
      </c>
      <c r="H419" s="55" t="str">
        <f>IF(ISNUMBER(E419),E419,
IFERROR(LEFT(E419,FIND(".",E419)-1),E419))</f>
        <v>93</v>
      </c>
      <c r="I419" s="30">
        <f>IF(COUNTIF(Справочник_ОКВЭД_НР!$A$3:$A$62,H419)&gt;0,Справочник_ОКВЭД_НР!$L$8,
 IF(COUNTIF(Справочник_ОКВЭД_НР!$C$3:$C$62,H419)&gt;0,Справочник_ОКВЭД_НР!$L$9,
  IF(COUNTIF(Справочник_ОКВЭД_НР!$E$3:$E$62,H419)&gt;0,Справочник_ОКВЭД_НР!$L$10,
   IF(COUNTIF(Справочник_ОКВЭД_НР!$G$3:$G$62,H419)&gt;0,Справочник_ОКВЭД_НР!$L$11,50))))</f>
        <v>30</v>
      </c>
      <c r="J419" s="30" cm="1">
        <f t="array" ref="J419">IFERROR(
 (SUMPRODUCT(ISNUMBER(SEARCH(","&amp;Справочник_ОКВЭД_НР!$A$3:$A$62&amp;".",","&amp;SUBSTITUTE(F419," ","")&amp;",")))*Справочник_ОКВЭД_НР!$L$9 +
  SUMPRODUCT(ISNUMBER(SEARCH(","&amp;Справочник_ОКВЭД_НР!$C$3:$C$62&amp;".",","&amp;SUBSTITUTE(F419," ","")&amp;",")))*Справочник_ОКВЭД_НР!$L$10 +
  SUMPRODUCT(ISNUMBER(SEARCH(","&amp;Справочник_ОКВЭД_НР!$E$3:$E$62&amp;".",","&amp;SUBSTITUTE(F419," ","")&amp;",")))*Справочник_ОКВЭД_НР!$L$11 +
  SUMPRODUCT(ISNUMBER(SEARCH(","&amp;Справочник_ОКВЭД_НР!$G$3:$G$62&amp;".",","&amp;SUBSTITUTE(F419," ","")&amp;",")))*Справочник_ОКВЭД_НР!$L$12) /
 (SUMPRODUCT(ISNUMBER(SEARCH(","&amp;Справочник_ОКВЭД_НР!$A$3:$A$62&amp;".",","&amp;SUBSTITUTE(F419," ","")&amp;","))) +
  SUMPRODUCT(ISNUMBER(SEARCH(","&amp;Справочник_ОКВЭД_НР!$C$3:$C$62&amp;".",","&amp;SUBSTITUTE(F419," ","")&amp;","))) +
  SUMPRODUCT(ISNUMBER(SEARCH(","&amp;Справочник_ОКВЭД_НР!$E$3:$E$62&amp;".",","&amp;SUBSTITUTE(F419," ","")&amp;","))) +
  SUMPRODUCT(ISNUMBER(SEARCH(","&amp;Справочник_ОКВЭД_НР!$G$3:$G$62&amp;".",","&amp;SUBSTITUTE(F419," ","")&amp;",")))),
50)</f>
        <v>50</v>
      </c>
      <c r="K419" s="30">
        <f>IFERROR(VLOOKUP(G419,Справочник_ОКВЭД_НР!$O:$P,2,FALSE()),50)</f>
        <v>100</v>
      </c>
      <c r="L419" s="45">
        <f>(I419*Справочник_ОКВЭД_НР!$L$2+J419*Справочник_ОКВЭД_НР!$L$3+K419*Справочник_ОКВЭД_НР!$L$4)*M419</f>
        <v>45.5</v>
      </c>
      <c r="M419" s="47">
        <f>IF(COUNTIF(Справочник_ОКВЭД_НР!$G$3:$G$62,H419)&gt;0,0,1)</f>
        <v>1</v>
      </c>
    </row>
    <row r="420" spans="1:13" x14ac:dyDescent="0.25">
      <c r="A420" s="4">
        <f>ЛИК_дляСкорингаДП!A420</f>
        <v>1222100007579</v>
      </c>
      <c r="B420" s="4">
        <f>ЛИК_дляСкорингаДП!B420</f>
        <v>2100001114</v>
      </c>
      <c r="C420" s="4" t="str">
        <f>ЛИК_дляСкорингаДП!C420</f>
        <v>СОБРАНИЕ ДЕПУТАТОВ ЦИВИЛЬСКОГО МУНИЦИПАЛЬНОГО ОКРУГА</v>
      </c>
      <c r="D420" s="5" t="str">
        <f>ЛИК_дляСкорингаДП!M420</f>
        <v>Деятельность органов местного самоуправления муниципальных округов</v>
      </c>
      <c r="E420" s="4" t="str">
        <f>ЛИК_дляСкорингаДП!L420</f>
        <v>84.11.34</v>
      </c>
      <c r="F420">
        <f>ЛИК_дляСкорингаДП!N420</f>
        <v>0</v>
      </c>
      <c r="G420" s="25" t="str">
        <f>ЛИК_дляСкорингаДП!AG420</f>
        <v>ОСН</v>
      </c>
      <c r="H420" s="55" t="str">
        <f>IF(ISNUMBER(E420),E420,
IFERROR(LEFT(E420,FIND(".",E420)-1),E420))</f>
        <v>84</v>
      </c>
      <c r="I420" s="30">
        <f>IF(COUNTIF(Справочник_ОКВЭД_НР!$A$3:$A$62,H420)&gt;0,Справочник_ОКВЭД_НР!$L$8,
 IF(COUNTIF(Справочник_ОКВЭД_НР!$C$3:$C$62,H420)&gt;0,Справочник_ОКВЭД_НР!$L$9,
  IF(COUNTIF(Справочник_ОКВЭД_НР!$E$3:$E$62,H420)&gt;0,Справочник_ОКВЭД_НР!$L$10,
   IF(COUNTIF(Справочник_ОКВЭД_НР!$G$3:$G$62,H420)&gt;0,Справочник_ОКВЭД_НР!$L$11,50))))</f>
        <v>0</v>
      </c>
      <c r="J420" s="30" cm="1">
        <f t="array" ref="J420">IFERROR(
 (SUMPRODUCT(ISNUMBER(SEARCH(","&amp;Справочник_ОКВЭД_НР!$A$3:$A$62&amp;".",","&amp;SUBSTITUTE(F420," ","")&amp;",")))*Справочник_ОКВЭД_НР!$L$9 +
  SUMPRODUCT(ISNUMBER(SEARCH(","&amp;Справочник_ОКВЭД_НР!$C$3:$C$62&amp;".",","&amp;SUBSTITUTE(F420," ","")&amp;",")))*Справочник_ОКВЭД_НР!$L$10 +
  SUMPRODUCT(ISNUMBER(SEARCH(","&amp;Справочник_ОКВЭД_НР!$E$3:$E$62&amp;".",","&amp;SUBSTITUTE(F420," ","")&amp;",")))*Справочник_ОКВЭД_НР!$L$11 +
  SUMPRODUCT(ISNUMBER(SEARCH(","&amp;Справочник_ОКВЭД_НР!$G$3:$G$62&amp;".",","&amp;SUBSTITUTE(F420," ","")&amp;",")))*Справочник_ОКВЭД_НР!$L$12) /
 (SUMPRODUCT(ISNUMBER(SEARCH(","&amp;Справочник_ОКВЭД_НР!$A$3:$A$62&amp;".",","&amp;SUBSTITUTE(F420," ","")&amp;","))) +
  SUMPRODUCT(ISNUMBER(SEARCH(","&amp;Справочник_ОКВЭД_НР!$C$3:$C$62&amp;".",","&amp;SUBSTITUTE(F420," ","")&amp;","))) +
  SUMPRODUCT(ISNUMBER(SEARCH(","&amp;Справочник_ОКВЭД_НР!$E$3:$E$62&amp;".",","&amp;SUBSTITUTE(F420," ","")&amp;","))) +
  SUMPRODUCT(ISNUMBER(SEARCH(","&amp;Справочник_ОКВЭД_НР!$G$3:$G$62&amp;".",","&amp;SUBSTITUTE(F420," ","")&amp;",")))),
50)</f>
        <v>50</v>
      </c>
      <c r="K420" s="30">
        <f>IFERROR(VLOOKUP(G420,Справочник_ОКВЭД_НР!$O:$P,2,FALSE()),50)</f>
        <v>100</v>
      </c>
      <c r="L420" s="45">
        <f>(I420*Справочник_ОКВЭД_НР!$L$2+J420*Справочник_ОКВЭД_НР!$L$3+K420*Справочник_ОКВЭД_НР!$L$4)*M420</f>
        <v>0</v>
      </c>
      <c r="M420" s="47">
        <f>IF(COUNTIF(Справочник_ОКВЭД_НР!$G$3:$G$62,H420)&gt;0,0,1)</f>
        <v>0</v>
      </c>
    </row>
    <row r="421" spans="1:13" x14ac:dyDescent="0.25">
      <c r="A421" s="4">
        <f>ЛИК_дляСкорингаДП!A421</f>
        <v>1222100007568</v>
      </c>
      <c r="B421" s="4">
        <f>ЛИК_дляСкорингаДП!B421</f>
        <v>2100001107</v>
      </c>
      <c r="C421" s="4" t="str">
        <f>ЛИК_дляСкорингаДП!C421</f>
        <v>СОБРАНИЕ ДЕПУТАТОВ ЯНТИКОВСКОГО МУНИЦИПАЛЬНОГО ОКРУГА</v>
      </c>
      <c r="D421" s="5" t="str">
        <f>ЛИК_дляСкорингаДП!M421</f>
        <v>Деятельность органов местного самоуправления муниципальных округов</v>
      </c>
      <c r="E421" s="4" t="str">
        <f>ЛИК_дляСкорингаДП!L421</f>
        <v>84.11.34</v>
      </c>
      <c r="F421">
        <f>ЛИК_дляСкорингаДП!N421</f>
        <v>0</v>
      </c>
      <c r="G421" s="25" t="str">
        <f>ЛИК_дляСкорингаДП!AG421</f>
        <v>ОСН</v>
      </c>
      <c r="H421" s="55" t="str">
        <f>IF(ISNUMBER(E421),E421,
IFERROR(LEFT(E421,FIND(".",E421)-1),E421))</f>
        <v>84</v>
      </c>
      <c r="I421" s="30">
        <f>IF(COUNTIF(Справочник_ОКВЭД_НР!$A$3:$A$62,H421)&gt;0,Справочник_ОКВЭД_НР!$L$8,
 IF(COUNTIF(Справочник_ОКВЭД_НР!$C$3:$C$62,H421)&gt;0,Справочник_ОКВЭД_НР!$L$9,
  IF(COUNTIF(Справочник_ОКВЭД_НР!$E$3:$E$62,H421)&gt;0,Справочник_ОКВЭД_НР!$L$10,
   IF(COUNTIF(Справочник_ОКВЭД_НР!$G$3:$G$62,H421)&gt;0,Справочник_ОКВЭД_НР!$L$11,50))))</f>
        <v>0</v>
      </c>
      <c r="J421" s="30" cm="1">
        <f t="array" ref="J421">IFERROR(
 (SUMPRODUCT(ISNUMBER(SEARCH(","&amp;Справочник_ОКВЭД_НР!$A$3:$A$62&amp;".",","&amp;SUBSTITUTE(F421," ","")&amp;",")))*Справочник_ОКВЭД_НР!$L$9 +
  SUMPRODUCT(ISNUMBER(SEARCH(","&amp;Справочник_ОКВЭД_НР!$C$3:$C$62&amp;".",","&amp;SUBSTITUTE(F421," ","")&amp;",")))*Справочник_ОКВЭД_НР!$L$10 +
  SUMPRODUCT(ISNUMBER(SEARCH(","&amp;Справочник_ОКВЭД_НР!$E$3:$E$62&amp;".",","&amp;SUBSTITUTE(F421," ","")&amp;",")))*Справочник_ОКВЭД_НР!$L$11 +
  SUMPRODUCT(ISNUMBER(SEARCH(","&amp;Справочник_ОКВЭД_НР!$G$3:$G$62&amp;".",","&amp;SUBSTITUTE(F421," ","")&amp;",")))*Справочник_ОКВЭД_НР!$L$12) /
 (SUMPRODUCT(ISNUMBER(SEARCH(","&amp;Справочник_ОКВЭД_НР!$A$3:$A$62&amp;".",","&amp;SUBSTITUTE(F421," ","")&amp;","))) +
  SUMPRODUCT(ISNUMBER(SEARCH(","&amp;Справочник_ОКВЭД_НР!$C$3:$C$62&amp;".",","&amp;SUBSTITUTE(F421," ","")&amp;","))) +
  SUMPRODUCT(ISNUMBER(SEARCH(","&amp;Справочник_ОКВЭД_НР!$E$3:$E$62&amp;".",","&amp;SUBSTITUTE(F421," ","")&amp;","))) +
  SUMPRODUCT(ISNUMBER(SEARCH(","&amp;Справочник_ОКВЭД_НР!$G$3:$G$62&amp;".",","&amp;SUBSTITUTE(F421," ","")&amp;",")))),
50)</f>
        <v>50</v>
      </c>
      <c r="K421" s="30">
        <f>IFERROR(VLOOKUP(G421,Справочник_ОКВЭД_НР!$O:$P,2,FALSE()),50)</f>
        <v>100</v>
      </c>
      <c r="L421" s="45">
        <f>(I421*Справочник_ОКВЭД_НР!$L$2+J421*Справочник_ОКВЭД_НР!$L$3+K421*Справочник_ОКВЭД_НР!$L$4)*M421</f>
        <v>0</v>
      </c>
      <c r="M421" s="47">
        <f>IF(COUNTIF(Справочник_ОКВЭД_НР!$G$3:$G$62,H421)&gt;0,0,1)</f>
        <v>0</v>
      </c>
    </row>
    <row r="422" spans="1:13" x14ac:dyDescent="0.25">
      <c r="A422" s="4">
        <f>ЛИК_дляСкорингаДП!A422</f>
        <v>1232100004773</v>
      </c>
      <c r="B422" s="4">
        <f>ЛИК_дляСкорингаДП!B422</f>
        <v>2100008261</v>
      </c>
      <c r="C422" s="4" t="str">
        <f>ЛИК_дляСкорингаДП!C422</f>
        <v>АНО "ЦСЕ "РОНИН"</v>
      </c>
      <c r="D422" s="5" t="str">
        <f>ЛИК_дляСкорингаДП!M422</f>
        <v>Деятельность спортивных клубов</v>
      </c>
      <c r="E422" s="4" t="str">
        <f>ЛИК_дляСкорингаДП!L422</f>
        <v>93.12</v>
      </c>
      <c r="F422" t="str">
        <f>ЛИК_дляСкорингаДП!N422</f>
        <v>18.12,64.99,82.30,85.41.9,93.11,93.12,93.19,93.29</v>
      </c>
      <c r="G422" s="25" t="str">
        <f>ЛИК_дляСкорингаДП!AG422</f>
        <v>ОСН</v>
      </c>
      <c r="H422" s="55" t="str">
        <f>IF(ISNUMBER(E422),E422,
IFERROR(LEFT(E422,FIND(".",E422)-1),E422))</f>
        <v>93</v>
      </c>
      <c r="I422" s="30">
        <f>IF(COUNTIF(Справочник_ОКВЭД_НР!$A$3:$A$62,H422)&gt;0,Справочник_ОКВЭД_НР!$L$8,
 IF(COUNTIF(Справочник_ОКВЭД_НР!$C$3:$C$62,H422)&gt;0,Справочник_ОКВЭД_НР!$L$9,
  IF(COUNTIF(Справочник_ОКВЭД_НР!$E$3:$E$62,H422)&gt;0,Справочник_ОКВЭД_НР!$L$10,
   IF(COUNTIF(Справочник_ОКВЭД_НР!$G$3:$G$62,H422)&gt;0,Справочник_ОКВЭД_НР!$L$11,50))))</f>
        <v>30</v>
      </c>
      <c r="J422" s="30" cm="1">
        <f t="array" ref="J422">IFERROR(
 (SUMPRODUCT(ISNUMBER(SEARCH(","&amp;Справочник_ОКВЭД_НР!$A$3:$A$62&amp;".",","&amp;SUBSTITUTE(F422," ","")&amp;",")))*Справочник_ОКВЭД_НР!$L$9 +
  SUMPRODUCT(ISNUMBER(SEARCH(","&amp;Справочник_ОКВЭД_НР!$C$3:$C$62&amp;".",","&amp;SUBSTITUTE(F422," ","")&amp;",")))*Справочник_ОКВЭД_НР!$L$10 +
  SUMPRODUCT(ISNUMBER(SEARCH(","&amp;Справочник_ОКВЭД_НР!$E$3:$E$62&amp;".",","&amp;SUBSTITUTE(F422," ","")&amp;",")))*Справочник_ОКВЭД_НР!$L$11 +
  SUMPRODUCT(ISNUMBER(SEARCH(","&amp;Справочник_ОКВЭД_НР!$G$3:$G$62&amp;".",","&amp;SUBSTITUTE(F422," ","")&amp;",")))*Справочник_ОКВЭД_НР!$L$12) /
 (SUMPRODUCT(ISNUMBER(SEARCH(","&amp;Справочник_ОКВЭД_НР!$A$3:$A$62&amp;".",","&amp;SUBSTITUTE(F422," ","")&amp;","))) +
  SUMPRODUCT(ISNUMBER(SEARCH(","&amp;Справочник_ОКВЭД_НР!$C$3:$C$62&amp;".",","&amp;SUBSTITUTE(F422," ","")&amp;","))) +
  SUMPRODUCT(ISNUMBER(SEARCH(","&amp;Справочник_ОКВЭД_НР!$E$3:$E$62&amp;".",","&amp;SUBSTITUTE(F422," ","")&amp;","))) +
  SUMPRODUCT(ISNUMBER(SEARCH(","&amp;Справочник_ОКВЭД_НР!$G$3:$G$62&amp;".",","&amp;SUBSTITUTE(F422," ","")&amp;",")))),
50)</f>
        <v>50</v>
      </c>
      <c r="K422" s="30">
        <f>IFERROR(VLOOKUP(G422,Справочник_ОКВЭД_НР!$O:$P,2,FALSE()),50)</f>
        <v>100</v>
      </c>
      <c r="L422" s="45">
        <f>(I422*Справочник_ОКВЭД_НР!$L$2+J422*Справочник_ОКВЭД_НР!$L$3+K422*Справочник_ОКВЭД_НР!$L$4)*M422</f>
        <v>45.5</v>
      </c>
      <c r="M422" s="47">
        <f>IF(COUNTIF(Справочник_ОКВЭД_НР!$G$3:$G$62,H422)&gt;0,0,1)</f>
        <v>1</v>
      </c>
    </row>
    <row r="423" spans="1:13" x14ac:dyDescent="0.25">
      <c r="A423" s="4">
        <f>ЛИК_дляСкорингаДП!A423</f>
        <v>1222100007722</v>
      </c>
      <c r="B423" s="4">
        <f>ЛИК_дляСкорингаДП!B423</f>
        <v>2100001266</v>
      </c>
      <c r="C423" s="4" t="str">
        <f>ЛИК_дляСкорингаДП!C423</f>
        <v>СОБРАНИЕ ДЕПУТАТОВ ИБРЕСИНСКОГО МУНИЦИПАЛЬНОГО ОКРУГА</v>
      </c>
      <c r="D423" s="5" t="str">
        <f>ЛИК_дляСкорингаДП!M423</f>
        <v>Деятельность органов местного самоуправления по управлению вопросами общего характера</v>
      </c>
      <c r="E423" s="4" t="str">
        <f>ЛИК_дляСкорингаДП!L423</f>
        <v>84.11.3</v>
      </c>
      <c r="F423">
        <f>ЛИК_дляСкорингаДП!N423</f>
        <v>0</v>
      </c>
      <c r="G423" s="25" t="str">
        <f>ЛИК_дляСкорингаДП!AG423</f>
        <v>ОСН</v>
      </c>
      <c r="H423" s="55" t="str">
        <f>IF(ISNUMBER(E423),E423,
IFERROR(LEFT(E423,FIND(".",E423)-1),E423))</f>
        <v>84</v>
      </c>
      <c r="I423" s="30">
        <f>IF(COUNTIF(Справочник_ОКВЭД_НР!$A$3:$A$62,H423)&gt;0,Справочник_ОКВЭД_НР!$L$8,
 IF(COUNTIF(Справочник_ОКВЭД_НР!$C$3:$C$62,H423)&gt;0,Справочник_ОКВЭД_НР!$L$9,
  IF(COUNTIF(Справочник_ОКВЭД_НР!$E$3:$E$62,H423)&gt;0,Справочник_ОКВЭД_НР!$L$10,
   IF(COUNTIF(Справочник_ОКВЭД_НР!$G$3:$G$62,H423)&gt;0,Справочник_ОКВЭД_НР!$L$11,50))))</f>
        <v>0</v>
      </c>
      <c r="J423" s="30" cm="1">
        <f t="array" ref="J423">IFERROR(
 (SUMPRODUCT(ISNUMBER(SEARCH(","&amp;Справочник_ОКВЭД_НР!$A$3:$A$62&amp;".",","&amp;SUBSTITUTE(F423," ","")&amp;",")))*Справочник_ОКВЭД_НР!$L$9 +
  SUMPRODUCT(ISNUMBER(SEARCH(","&amp;Справочник_ОКВЭД_НР!$C$3:$C$62&amp;".",","&amp;SUBSTITUTE(F423," ","")&amp;",")))*Справочник_ОКВЭД_НР!$L$10 +
  SUMPRODUCT(ISNUMBER(SEARCH(","&amp;Справочник_ОКВЭД_НР!$E$3:$E$62&amp;".",","&amp;SUBSTITUTE(F423," ","")&amp;",")))*Справочник_ОКВЭД_НР!$L$11 +
  SUMPRODUCT(ISNUMBER(SEARCH(","&amp;Справочник_ОКВЭД_НР!$G$3:$G$62&amp;".",","&amp;SUBSTITUTE(F423," ","")&amp;",")))*Справочник_ОКВЭД_НР!$L$12) /
 (SUMPRODUCT(ISNUMBER(SEARCH(","&amp;Справочник_ОКВЭД_НР!$A$3:$A$62&amp;".",","&amp;SUBSTITUTE(F423," ","")&amp;","))) +
  SUMPRODUCT(ISNUMBER(SEARCH(","&amp;Справочник_ОКВЭД_НР!$C$3:$C$62&amp;".",","&amp;SUBSTITUTE(F423," ","")&amp;","))) +
  SUMPRODUCT(ISNUMBER(SEARCH(","&amp;Справочник_ОКВЭД_НР!$E$3:$E$62&amp;".",","&amp;SUBSTITUTE(F423," ","")&amp;","))) +
  SUMPRODUCT(ISNUMBER(SEARCH(","&amp;Справочник_ОКВЭД_НР!$G$3:$G$62&amp;".",","&amp;SUBSTITUTE(F423," ","")&amp;",")))),
50)</f>
        <v>50</v>
      </c>
      <c r="K423" s="30">
        <f>IFERROR(VLOOKUP(G423,Справочник_ОКВЭД_НР!$O:$P,2,FALSE()),50)</f>
        <v>100</v>
      </c>
      <c r="L423" s="45">
        <f>(I423*Справочник_ОКВЭД_НР!$L$2+J423*Справочник_ОКВЭД_НР!$L$3+K423*Справочник_ОКВЭД_НР!$L$4)*M423</f>
        <v>0</v>
      </c>
      <c r="M423" s="47">
        <f>IF(COUNTIF(Справочник_ОКВЭД_НР!$G$3:$G$62,H423)&gt;0,0,1)</f>
        <v>0</v>
      </c>
    </row>
    <row r="424" spans="1:13" x14ac:dyDescent="0.25">
      <c r="A424" s="4">
        <f>ЛИК_дляСкорингаДП!A424</f>
        <v>1222100007524</v>
      </c>
      <c r="B424" s="4">
        <f>ЛИК_дляСкорингаДП!B424</f>
        <v>2100001065</v>
      </c>
      <c r="C424" s="4" t="str">
        <f>ЛИК_дляСкорингаДП!C424</f>
        <v>СОБРАНИЕ ДЕПУТАТОВ КОМСОМОЛЬСКОГО МУНИЦИПАЛЬНОГО ОКРУГА</v>
      </c>
      <c r="D424" s="5" t="str">
        <f>ЛИК_дляСкорингаДП!M424</f>
        <v>Деятельность органов местного самоуправления муниципальных округов</v>
      </c>
      <c r="E424" s="4" t="str">
        <f>ЛИК_дляСкорингаДП!L424</f>
        <v>84.11.34</v>
      </c>
      <c r="F424">
        <f>ЛИК_дляСкорингаДП!N424</f>
        <v>0</v>
      </c>
      <c r="G424" s="25" t="str">
        <f>ЛИК_дляСкорингаДП!AG424</f>
        <v>ОСН</v>
      </c>
      <c r="H424" s="55" t="str">
        <f>IF(ISNUMBER(E424),E424,
IFERROR(LEFT(E424,FIND(".",E424)-1),E424))</f>
        <v>84</v>
      </c>
      <c r="I424" s="30">
        <f>IF(COUNTIF(Справочник_ОКВЭД_НР!$A$3:$A$62,H424)&gt;0,Справочник_ОКВЭД_НР!$L$8,
 IF(COUNTIF(Справочник_ОКВЭД_НР!$C$3:$C$62,H424)&gt;0,Справочник_ОКВЭД_НР!$L$9,
  IF(COUNTIF(Справочник_ОКВЭД_НР!$E$3:$E$62,H424)&gt;0,Справочник_ОКВЭД_НР!$L$10,
   IF(COUNTIF(Справочник_ОКВЭД_НР!$G$3:$G$62,H424)&gt;0,Справочник_ОКВЭД_НР!$L$11,50))))</f>
        <v>0</v>
      </c>
      <c r="J424" s="30" cm="1">
        <f t="array" ref="J424">IFERROR(
 (SUMPRODUCT(ISNUMBER(SEARCH(","&amp;Справочник_ОКВЭД_НР!$A$3:$A$62&amp;".",","&amp;SUBSTITUTE(F424," ","")&amp;",")))*Справочник_ОКВЭД_НР!$L$9 +
  SUMPRODUCT(ISNUMBER(SEARCH(","&amp;Справочник_ОКВЭД_НР!$C$3:$C$62&amp;".",","&amp;SUBSTITUTE(F424," ","")&amp;",")))*Справочник_ОКВЭД_НР!$L$10 +
  SUMPRODUCT(ISNUMBER(SEARCH(","&amp;Справочник_ОКВЭД_НР!$E$3:$E$62&amp;".",","&amp;SUBSTITUTE(F424," ","")&amp;",")))*Справочник_ОКВЭД_НР!$L$11 +
  SUMPRODUCT(ISNUMBER(SEARCH(","&amp;Справочник_ОКВЭД_НР!$G$3:$G$62&amp;".",","&amp;SUBSTITUTE(F424," ","")&amp;",")))*Справочник_ОКВЭД_НР!$L$12) /
 (SUMPRODUCT(ISNUMBER(SEARCH(","&amp;Справочник_ОКВЭД_НР!$A$3:$A$62&amp;".",","&amp;SUBSTITUTE(F424," ","")&amp;","))) +
  SUMPRODUCT(ISNUMBER(SEARCH(","&amp;Справочник_ОКВЭД_НР!$C$3:$C$62&amp;".",","&amp;SUBSTITUTE(F424," ","")&amp;","))) +
  SUMPRODUCT(ISNUMBER(SEARCH(","&amp;Справочник_ОКВЭД_НР!$E$3:$E$62&amp;".",","&amp;SUBSTITUTE(F424," ","")&amp;","))) +
  SUMPRODUCT(ISNUMBER(SEARCH(","&amp;Справочник_ОКВЭД_НР!$G$3:$G$62&amp;".",","&amp;SUBSTITUTE(F424," ","")&amp;",")))),
50)</f>
        <v>50</v>
      </c>
      <c r="K424" s="30">
        <f>IFERROR(VLOOKUP(G424,Справочник_ОКВЭД_НР!$O:$P,2,FALSE()),50)</f>
        <v>100</v>
      </c>
      <c r="L424" s="45">
        <f>(I424*Справочник_ОКВЭД_НР!$L$2+J424*Справочник_ОКВЭД_НР!$L$3+K424*Справочник_ОКВЭД_НР!$L$4)*M424</f>
        <v>0</v>
      </c>
      <c r="M424" s="47">
        <f>IF(COUNTIF(Справочник_ОКВЭД_НР!$G$3:$G$62,H424)&gt;0,0,1)</f>
        <v>0</v>
      </c>
    </row>
    <row r="425" spans="1:13" x14ac:dyDescent="0.25">
      <c r="A425" s="4">
        <f>ЛИК_дляСкорингаДП!A425</f>
        <v>1222100007766</v>
      </c>
      <c r="B425" s="4">
        <f>ЛИК_дляСкорингаДП!B425</f>
        <v>2100001308</v>
      </c>
      <c r="C425" s="4" t="str">
        <f>ЛИК_дляСкорингаДП!C425</f>
        <v>КФХ"ТОЖМОЖАРЫ"</v>
      </c>
      <c r="D425" s="5" t="str">
        <f>ЛИК_дляСкорингаДП!M425</f>
        <v>Выращивание прочих плодовых и ягодных культур</v>
      </c>
      <c r="E425" s="4" t="str">
        <f>ЛИК_дляСкорингаДП!L425</f>
        <v>01.25.1</v>
      </c>
      <c r="F425" t="str">
        <f>ЛИК_дляСкорингаДП!N425</f>
        <v>01.13.1,01.25.2,01.28.2,01.30</v>
      </c>
      <c r="G425" s="25" t="str">
        <f>ЛИК_дляСкорингаДП!AG425</f>
        <v>ОСН</v>
      </c>
      <c r="H425" s="55" t="str">
        <f>IF(ISNUMBER(E425),E425,
IFERROR(LEFT(E425,FIND(".",E425)-1),E425))</f>
        <v>01</v>
      </c>
      <c r="I425" s="30">
        <f>IF(COUNTIF(Справочник_ОКВЭД_НР!$A$3:$A$62,H425)&gt;0,Справочник_ОКВЭД_НР!$L$8,
 IF(COUNTIF(Справочник_ОКВЭД_НР!$C$3:$C$62,H425)&gt;0,Справочник_ОКВЭД_НР!$L$9,
  IF(COUNTIF(Справочник_ОКВЭД_НР!$E$3:$E$62,H425)&gt;0,Справочник_ОКВЭД_НР!$L$10,
   IF(COUNTIF(Справочник_ОКВЭД_НР!$G$3:$G$62,H425)&gt;0,Справочник_ОКВЭД_НР!$L$11,50))))</f>
        <v>60</v>
      </c>
      <c r="J425" s="30" cm="1">
        <f t="array" ref="J425">IFERROR(
 (SUMPRODUCT(ISNUMBER(SEARCH(","&amp;Справочник_ОКВЭД_НР!$A$3:$A$62&amp;".",","&amp;SUBSTITUTE(F425," ","")&amp;",")))*Справочник_ОКВЭД_НР!$L$9 +
  SUMPRODUCT(ISNUMBER(SEARCH(","&amp;Справочник_ОКВЭД_НР!$C$3:$C$62&amp;".",","&amp;SUBSTITUTE(F425," ","")&amp;",")))*Справочник_ОКВЭД_НР!$L$10 +
  SUMPRODUCT(ISNUMBER(SEARCH(","&amp;Справочник_ОКВЭД_НР!$E$3:$E$62&amp;".",","&amp;SUBSTITUTE(F425," ","")&amp;",")))*Справочник_ОКВЭД_НР!$L$11 +
  SUMPRODUCT(ISNUMBER(SEARCH(","&amp;Справочник_ОКВЭД_НР!$G$3:$G$62&amp;".",","&amp;SUBSTITUTE(F425," ","")&amp;",")))*Справочник_ОКВЭД_НР!$L$12) /
 (SUMPRODUCT(ISNUMBER(SEARCH(","&amp;Справочник_ОКВЭД_НР!$A$3:$A$62&amp;".",","&amp;SUBSTITUTE(F425," ","")&amp;","))) +
  SUMPRODUCT(ISNUMBER(SEARCH(","&amp;Справочник_ОКВЭД_НР!$C$3:$C$62&amp;".",","&amp;SUBSTITUTE(F425," ","")&amp;","))) +
  SUMPRODUCT(ISNUMBER(SEARCH(","&amp;Справочник_ОКВЭД_НР!$E$3:$E$62&amp;".",","&amp;SUBSTITUTE(F425," ","")&amp;","))) +
  SUMPRODUCT(ISNUMBER(SEARCH(","&amp;Справочник_ОКВЭД_НР!$G$3:$G$62&amp;".",","&amp;SUBSTITUTE(F425," ","")&amp;",")))),
50)</f>
        <v>50</v>
      </c>
      <c r="K425" s="30">
        <f>IFERROR(VLOOKUP(G425,Справочник_ОКВЭД_НР!$O:$P,2,FALSE()),50)</f>
        <v>100</v>
      </c>
      <c r="L425" s="45">
        <f>(I425*Справочник_ОКВЭД_НР!$L$2+J425*Справочник_ОКВЭД_НР!$L$3+K425*Справочник_ОКВЭД_НР!$L$4)*M425</f>
        <v>63.5</v>
      </c>
      <c r="M425" s="47">
        <f>IF(COUNTIF(Справочник_ОКВЭД_НР!$G$3:$G$62,H425)&gt;0,0,1)</f>
        <v>1</v>
      </c>
    </row>
    <row r="426" spans="1:13" x14ac:dyDescent="0.25">
      <c r="A426" s="4">
        <f>ЛИК_дляСкорингаДП!A426</f>
        <v>1222100007403</v>
      </c>
      <c r="B426" s="4">
        <f>ЛИК_дляСкорингаДП!B426</f>
        <v>2100000946</v>
      </c>
      <c r="C426" s="4" t="str">
        <f>ЛИК_дляСкорингаДП!C426</f>
        <v>СОБРАНИЕ ДЕПУТАТОВ КОЗЛОВСКОГО МУНИЦИПАЛЬНОГО ОКРУГА</v>
      </c>
      <c r="D426" s="5" t="str">
        <f>ЛИК_дляСкорингаДП!M426</f>
        <v>Деятельность органов местного самоуправления муниципальных округов</v>
      </c>
      <c r="E426" s="4" t="str">
        <f>ЛИК_дляСкорингаДП!L426</f>
        <v>84.11.34</v>
      </c>
      <c r="F426">
        <f>ЛИК_дляСкорингаДП!N426</f>
        <v>0</v>
      </c>
      <c r="G426" s="25" t="str">
        <f>ЛИК_дляСкорингаДП!AG426</f>
        <v>ОСН</v>
      </c>
      <c r="H426" s="55" t="str">
        <f>IF(ISNUMBER(E426),E426,
IFERROR(LEFT(E426,FIND(".",E426)-1),E426))</f>
        <v>84</v>
      </c>
      <c r="I426" s="30">
        <f>IF(COUNTIF(Справочник_ОКВЭД_НР!$A$3:$A$62,H426)&gt;0,Справочник_ОКВЭД_НР!$L$8,
 IF(COUNTIF(Справочник_ОКВЭД_НР!$C$3:$C$62,H426)&gt;0,Справочник_ОКВЭД_НР!$L$9,
  IF(COUNTIF(Справочник_ОКВЭД_НР!$E$3:$E$62,H426)&gt;0,Справочник_ОКВЭД_НР!$L$10,
   IF(COUNTIF(Справочник_ОКВЭД_НР!$G$3:$G$62,H426)&gt;0,Справочник_ОКВЭД_НР!$L$11,50))))</f>
        <v>0</v>
      </c>
      <c r="J426" s="30" cm="1">
        <f t="array" ref="J426">IFERROR(
 (SUMPRODUCT(ISNUMBER(SEARCH(","&amp;Справочник_ОКВЭД_НР!$A$3:$A$62&amp;".",","&amp;SUBSTITUTE(F426," ","")&amp;",")))*Справочник_ОКВЭД_НР!$L$9 +
  SUMPRODUCT(ISNUMBER(SEARCH(","&amp;Справочник_ОКВЭД_НР!$C$3:$C$62&amp;".",","&amp;SUBSTITUTE(F426," ","")&amp;",")))*Справочник_ОКВЭД_НР!$L$10 +
  SUMPRODUCT(ISNUMBER(SEARCH(","&amp;Справочник_ОКВЭД_НР!$E$3:$E$62&amp;".",","&amp;SUBSTITUTE(F426," ","")&amp;",")))*Справочник_ОКВЭД_НР!$L$11 +
  SUMPRODUCT(ISNUMBER(SEARCH(","&amp;Справочник_ОКВЭД_НР!$G$3:$G$62&amp;".",","&amp;SUBSTITUTE(F426," ","")&amp;",")))*Справочник_ОКВЭД_НР!$L$12) /
 (SUMPRODUCT(ISNUMBER(SEARCH(","&amp;Справочник_ОКВЭД_НР!$A$3:$A$62&amp;".",","&amp;SUBSTITUTE(F426," ","")&amp;","))) +
  SUMPRODUCT(ISNUMBER(SEARCH(","&amp;Справочник_ОКВЭД_НР!$C$3:$C$62&amp;".",","&amp;SUBSTITUTE(F426," ","")&amp;","))) +
  SUMPRODUCT(ISNUMBER(SEARCH(","&amp;Справочник_ОКВЭД_НР!$E$3:$E$62&amp;".",","&amp;SUBSTITUTE(F426," ","")&amp;","))) +
  SUMPRODUCT(ISNUMBER(SEARCH(","&amp;Справочник_ОКВЭД_НР!$G$3:$G$62&amp;".",","&amp;SUBSTITUTE(F426," ","")&amp;",")))),
50)</f>
        <v>50</v>
      </c>
      <c r="K426" s="30">
        <f>IFERROR(VLOOKUP(G426,Справочник_ОКВЭД_НР!$O:$P,2,FALSE()),50)</f>
        <v>100</v>
      </c>
      <c r="L426" s="45">
        <f>(I426*Справочник_ОКВЭД_НР!$L$2+J426*Справочник_ОКВЭД_НР!$L$3+K426*Справочник_ОКВЭД_НР!$L$4)*M426</f>
        <v>0</v>
      </c>
      <c r="M426" s="47">
        <f>IF(COUNTIF(Справочник_ОКВЭД_НР!$G$3:$G$62,H426)&gt;0,0,1)</f>
        <v>0</v>
      </c>
    </row>
    <row r="427" spans="1:13" x14ac:dyDescent="0.25">
      <c r="A427" s="4">
        <f>ЛИК_дляСкорингаДП!A427</f>
        <v>1232100004718</v>
      </c>
      <c r="B427" s="4">
        <f>ЛИК_дляСкорингаДП!B427</f>
        <v>2100008208</v>
      </c>
      <c r="C427" s="4" t="str">
        <f>ЛИК_дляСкорингаДП!C427</f>
        <v>БЛАГОТВОРИТЕЛЬНЫЙ ФОНД "ДОБРЫЕ КРЫЛЬЯ"</v>
      </c>
      <c r="D427" s="5" t="str">
        <f>ЛИК_дляСкорингаДП!M427</f>
        <v>Предоставление прочих социальных услуг без обеспечения проживания, не включенных в другие группировки</v>
      </c>
      <c r="E427" s="4" t="str">
        <f>ЛИК_дляСкорингаДП!L427</f>
        <v>88.99</v>
      </c>
      <c r="F427" t="str">
        <f>ЛИК_дляСкорингаДП!N427</f>
        <v>64.99.21</v>
      </c>
      <c r="G427" s="25" t="str">
        <f>ЛИК_дляСкорингаДП!AG427</f>
        <v>ОСН</v>
      </c>
      <c r="H427" s="55" t="str">
        <f>IF(ISNUMBER(E427),E427,
IFERROR(LEFT(E427,FIND(".",E427)-1),E427))</f>
        <v>88</v>
      </c>
      <c r="I427" s="30">
        <f>IF(COUNTIF(Справочник_ОКВЭД_НР!$A$3:$A$62,H427)&gt;0,Справочник_ОКВЭД_НР!$L$8,
 IF(COUNTIF(Справочник_ОКВЭД_НР!$C$3:$C$62,H427)&gt;0,Справочник_ОКВЭД_НР!$L$9,
  IF(COUNTIF(Справочник_ОКВЭД_НР!$E$3:$E$62,H427)&gt;0,Справочник_ОКВЭД_НР!$L$10,
   IF(COUNTIF(Справочник_ОКВЭД_НР!$G$3:$G$62,H427)&gt;0,Справочник_ОКВЭД_НР!$L$11,50))))</f>
        <v>30</v>
      </c>
      <c r="J427" s="30" cm="1">
        <f t="array" ref="J427">IFERROR(
 (SUMPRODUCT(ISNUMBER(SEARCH(","&amp;Справочник_ОКВЭД_НР!$A$3:$A$62&amp;".",","&amp;SUBSTITUTE(F427," ","")&amp;",")))*Справочник_ОКВЭД_НР!$L$9 +
  SUMPRODUCT(ISNUMBER(SEARCH(","&amp;Справочник_ОКВЭД_НР!$C$3:$C$62&amp;".",","&amp;SUBSTITUTE(F427," ","")&amp;",")))*Справочник_ОКВЭД_НР!$L$10 +
  SUMPRODUCT(ISNUMBER(SEARCH(","&amp;Справочник_ОКВЭД_НР!$E$3:$E$62&amp;".",","&amp;SUBSTITUTE(F427," ","")&amp;",")))*Справочник_ОКВЭД_НР!$L$11 +
  SUMPRODUCT(ISNUMBER(SEARCH(","&amp;Справочник_ОКВЭД_НР!$G$3:$G$62&amp;".",","&amp;SUBSTITUTE(F427," ","")&amp;",")))*Справочник_ОКВЭД_НР!$L$12) /
 (SUMPRODUCT(ISNUMBER(SEARCH(","&amp;Справочник_ОКВЭД_НР!$A$3:$A$62&amp;".",","&amp;SUBSTITUTE(F427," ","")&amp;","))) +
  SUMPRODUCT(ISNUMBER(SEARCH(","&amp;Справочник_ОКВЭД_НР!$C$3:$C$62&amp;".",","&amp;SUBSTITUTE(F427," ","")&amp;","))) +
  SUMPRODUCT(ISNUMBER(SEARCH(","&amp;Справочник_ОКВЭД_НР!$E$3:$E$62&amp;".",","&amp;SUBSTITUTE(F427," ","")&amp;","))) +
  SUMPRODUCT(ISNUMBER(SEARCH(","&amp;Справочник_ОКВЭД_НР!$G$3:$G$62&amp;".",","&amp;SUBSTITUTE(F427," ","")&amp;",")))),
50)</f>
        <v>50</v>
      </c>
      <c r="K427" s="30">
        <f>IFERROR(VLOOKUP(G427,Справочник_ОКВЭД_НР!$O:$P,2,FALSE()),50)</f>
        <v>100</v>
      </c>
      <c r="L427" s="45">
        <f>(I427*Справочник_ОКВЭД_НР!$L$2+J427*Справочник_ОКВЭД_НР!$L$3+K427*Справочник_ОКВЭД_НР!$L$4)*M427</f>
        <v>45.5</v>
      </c>
      <c r="M427" s="47">
        <f>IF(COUNTIF(Справочник_ОКВЭД_НР!$G$3:$G$62,H427)&gt;0,0,1)</f>
        <v>1</v>
      </c>
    </row>
    <row r="428" spans="1:13" x14ac:dyDescent="0.25">
      <c r="A428" s="4">
        <f>ЛИК_дляСкорингаДП!A428</f>
        <v>1232100005213</v>
      </c>
      <c r="B428" s="4">
        <f>ЛИК_дляСкорингаДП!B428</f>
        <v>2100008705</v>
      </c>
      <c r="C428" s="4" t="str">
        <f>ЛИК_дляСкорингаДП!C428</f>
        <v>АНО "ПРЕДПРИНИМАТЕЛЬСКАЯ ИНИЦИАТИВА"</v>
      </c>
      <c r="D428" s="5" t="str">
        <f>ЛИК_дляСкорингаДП!M428</f>
        <v>Предоставление прочих финансовых услуг, кроме услуг по страхованию и пенсионному обеспечению, не включенных в другие группировки</v>
      </c>
      <c r="E428" s="4" t="str">
        <f>ЛИК_дляСкорингаДП!L428</f>
        <v>64.99</v>
      </c>
      <c r="F428" t="str">
        <f>ЛИК_дляСкорингаДП!N428</f>
        <v>18.12,69.10,69.20,70.22,72.19,72.20,74.90,82.30,82.99,85.41.9,88.10,88.99,93.29,96.09</v>
      </c>
      <c r="G428" s="25" t="str">
        <f>ЛИК_дляСкорингаДП!AG428</f>
        <v>ОСН</v>
      </c>
      <c r="H428" s="55" t="str">
        <f>IF(ISNUMBER(E428),E428,
IFERROR(LEFT(E428,FIND(".",E428)-1),E428))</f>
        <v>64</v>
      </c>
      <c r="I428" s="30">
        <f>IF(COUNTIF(Справочник_ОКВЭД_НР!$A$3:$A$62,H428)&gt;0,Справочник_ОКВЭД_НР!$L$8,
 IF(COUNTIF(Справочник_ОКВЭД_НР!$C$3:$C$62,H428)&gt;0,Справочник_ОКВЭД_НР!$L$9,
  IF(COUNTIF(Справочник_ОКВЭД_НР!$E$3:$E$62,H428)&gt;0,Справочник_ОКВЭД_НР!$L$10,
   IF(COUNTIF(Справочник_ОКВЭД_НР!$G$3:$G$62,H428)&gt;0,Справочник_ОКВЭД_НР!$L$11,50))))</f>
        <v>60</v>
      </c>
      <c r="J428" s="30" cm="1">
        <f t="array" ref="J428">IFERROR(
 (SUMPRODUCT(ISNUMBER(SEARCH(","&amp;Справочник_ОКВЭД_НР!$A$3:$A$62&amp;".",","&amp;SUBSTITUTE(F428," ","")&amp;",")))*Справочник_ОКВЭД_НР!$L$9 +
  SUMPRODUCT(ISNUMBER(SEARCH(","&amp;Справочник_ОКВЭД_НР!$C$3:$C$62&amp;".",","&amp;SUBSTITUTE(F428," ","")&amp;",")))*Справочник_ОКВЭД_НР!$L$10 +
  SUMPRODUCT(ISNUMBER(SEARCH(","&amp;Справочник_ОКВЭД_НР!$E$3:$E$62&amp;".",","&amp;SUBSTITUTE(F428," ","")&amp;",")))*Справочник_ОКВЭД_НР!$L$11 +
  SUMPRODUCT(ISNUMBER(SEARCH(","&amp;Справочник_ОКВЭД_НР!$G$3:$G$62&amp;".",","&amp;SUBSTITUTE(F428," ","")&amp;",")))*Справочник_ОКВЭД_НР!$L$12) /
 (SUMPRODUCT(ISNUMBER(SEARCH(","&amp;Справочник_ОКВЭД_НР!$A$3:$A$62&amp;".",","&amp;SUBSTITUTE(F428," ","")&amp;","))) +
  SUMPRODUCT(ISNUMBER(SEARCH(","&amp;Справочник_ОКВЭД_НР!$C$3:$C$62&amp;".",","&amp;SUBSTITUTE(F428," ","")&amp;","))) +
  SUMPRODUCT(ISNUMBER(SEARCH(","&amp;Справочник_ОКВЭД_НР!$E$3:$E$62&amp;".",","&amp;SUBSTITUTE(F428," ","")&amp;","))) +
  SUMPRODUCT(ISNUMBER(SEARCH(","&amp;Справочник_ОКВЭД_НР!$G$3:$G$62&amp;".",","&amp;SUBSTITUTE(F428," ","")&amp;",")))),
50)</f>
        <v>50</v>
      </c>
      <c r="K428" s="30">
        <f>IFERROR(VLOOKUP(G428,Справочник_ОКВЭД_НР!$O:$P,2,FALSE()),50)</f>
        <v>100</v>
      </c>
      <c r="L428" s="45">
        <f>(I428*Справочник_ОКВЭД_НР!$L$2+J428*Справочник_ОКВЭД_НР!$L$3+K428*Справочник_ОКВЭД_НР!$L$4)*M428</f>
        <v>63.5</v>
      </c>
      <c r="M428" s="47">
        <f>IF(COUNTIF(Справочник_ОКВЭД_НР!$G$3:$G$62,H428)&gt;0,0,1)</f>
        <v>1</v>
      </c>
    </row>
    <row r="429" spans="1:13" x14ac:dyDescent="0.25">
      <c r="A429" s="4">
        <f>ЛИК_дляСкорингаДП!A429</f>
        <v>1232100005389</v>
      </c>
      <c r="B429" s="4">
        <f>ЛИК_дляСкорингаДП!B429</f>
        <v>2100008871</v>
      </c>
      <c r="C429" s="4" t="str">
        <f>ЛИК_дляСкорингаДП!C429</f>
        <v>ОО "ТАДЖИКСКИЙ КУЛЬТУРНЫЙ ЦЕНТР ЧУВАШСКОЙ РЕСПУБЛИКИ"</v>
      </c>
      <c r="D429" s="5" t="str">
        <f>ЛИК_дляСкорингаДП!M429</f>
        <v>Деятельность прочих общественных организаций и некоммерческих организаций, кроме религиозных и политических организаций</v>
      </c>
      <c r="E429" s="4" t="str">
        <f>ЛИК_дляСкорингаДП!L429</f>
        <v>94.99</v>
      </c>
      <c r="F429" t="str">
        <f>ЛИК_дляСкорингаДП!N429</f>
        <v>58.11</v>
      </c>
      <c r="G429" s="25" t="str">
        <f>ЛИК_дляСкорингаДП!AG429</f>
        <v>ОСН</v>
      </c>
      <c r="H429" s="55" t="str">
        <f>IF(ISNUMBER(E429),E429,
IFERROR(LEFT(E429,FIND(".",E429)-1),E429))</f>
        <v>94</v>
      </c>
      <c r="I429" s="30">
        <f>IF(COUNTIF(Справочник_ОКВЭД_НР!$A$3:$A$62,H429)&gt;0,Справочник_ОКВЭД_НР!$L$8,
 IF(COUNTIF(Справочник_ОКВЭД_НР!$C$3:$C$62,H429)&gt;0,Справочник_ОКВЭД_НР!$L$9,
  IF(COUNTIF(Справочник_ОКВЭД_НР!$E$3:$E$62,H429)&gt;0,Справочник_ОКВЭД_НР!$L$10,
   IF(COUNTIF(Справочник_ОКВЭД_НР!$G$3:$G$62,H429)&gt;0,Справочник_ОКВЭД_НР!$L$11,50))))</f>
        <v>0</v>
      </c>
      <c r="J429" s="30" cm="1">
        <f t="array" ref="J429">IFERROR(
 (SUMPRODUCT(ISNUMBER(SEARCH(","&amp;Справочник_ОКВЭД_НР!$A$3:$A$62&amp;".",","&amp;SUBSTITUTE(F429," ","")&amp;",")))*Справочник_ОКВЭД_НР!$L$9 +
  SUMPRODUCT(ISNUMBER(SEARCH(","&amp;Справочник_ОКВЭД_НР!$C$3:$C$62&amp;".",","&amp;SUBSTITUTE(F429," ","")&amp;",")))*Справочник_ОКВЭД_НР!$L$10 +
  SUMPRODUCT(ISNUMBER(SEARCH(","&amp;Справочник_ОКВЭД_НР!$E$3:$E$62&amp;".",","&amp;SUBSTITUTE(F429," ","")&amp;",")))*Справочник_ОКВЭД_НР!$L$11 +
  SUMPRODUCT(ISNUMBER(SEARCH(","&amp;Справочник_ОКВЭД_НР!$G$3:$G$62&amp;".",","&amp;SUBSTITUTE(F429," ","")&amp;",")))*Справочник_ОКВЭД_НР!$L$12) /
 (SUMPRODUCT(ISNUMBER(SEARCH(","&amp;Справочник_ОКВЭД_НР!$A$3:$A$62&amp;".",","&amp;SUBSTITUTE(F429," ","")&amp;","))) +
  SUMPRODUCT(ISNUMBER(SEARCH(","&amp;Справочник_ОКВЭД_НР!$C$3:$C$62&amp;".",","&amp;SUBSTITUTE(F429," ","")&amp;","))) +
  SUMPRODUCT(ISNUMBER(SEARCH(","&amp;Справочник_ОКВЭД_НР!$E$3:$E$62&amp;".",","&amp;SUBSTITUTE(F429," ","")&amp;","))) +
  SUMPRODUCT(ISNUMBER(SEARCH(","&amp;Справочник_ОКВЭД_НР!$G$3:$G$62&amp;".",","&amp;SUBSTITUTE(F429," ","")&amp;",")))),
50)</f>
        <v>50</v>
      </c>
      <c r="K429" s="30">
        <f>IFERROR(VLOOKUP(G429,Справочник_ОКВЭД_НР!$O:$P,2,FALSE()),50)</f>
        <v>100</v>
      </c>
      <c r="L429" s="45">
        <f>(I429*Справочник_ОКВЭД_НР!$L$2+J429*Справочник_ОКВЭД_НР!$L$3+K429*Справочник_ОКВЭД_НР!$L$4)*M429</f>
        <v>0</v>
      </c>
      <c r="M429" s="47">
        <f>IF(COUNTIF(Справочник_ОКВЭД_НР!$G$3:$G$62,H429)&gt;0,0,1)</f>
        <v>0</v>
      </c>
    </row>
    <row r="430" spans="1:13" x14ac:dyDescent="0.25">
      <c r="A430" s="4">
        <f>ЛИК_дляСкорингаДП!A430</f>
        <v>1252100003165</v>
      </c>
      <c r="B430" s="4">
        <f>ЛИК_дляСкорингаДП!B430</f>
        <v>2100025267</v>
      </c>
      <c r="C430" s="4" t="str">
        <f>ЛИК_дляСкорингаДП!C430</f>
        <v>РОФСО "ФССЧР"</v>
      </c>
      <c r="D430" s="5" t="str">
        <f>ЛИК_дляСкорингаДП!M430</f>
        <v>Деятельность в области спорта прочая</v>
      </c>
      <c r="E430" s="4" t="str">
        <f>ЛИК_дляСкорингаДП!L430</f>
        <v>93.19</v>
      </c>
      <c r="F430" t="str">
        <f>ЛИК_дляСкорингаДП!N430</f>
        <v>93.11,93.12</v>
      </c>
      <c r="G430" s="25" t="str">
        <f>ЛИК_дляСкорингаДП!AG430</f>
        <v>ОСН</v>
      </c>
      <c r="H430" s="55" t="str">
        <f>IF(ISNUMBER(E430),E430,
IFERROR(LEFT(E430,FIND(".",E430)-1),E430))</f>
        <v>93</v>
      </c>
      <c r="I430" s="30">
        <f>IF(COUNTIF(Справочник_ОКВЭД_НР!$A$3:$A$62,H430)&gt;0,Справочник_ОКВЭД_НР!$L$8,
 IF(COUNTIF(Справочник_ОКВЭД_НР!$C$3:$C$62,H430)&gt;0,Справочник_ОКВЭД_НР!$L$9,
  IF(COUNTIF(Справочник_ОКВЭД_НР!$E$3:$E$62,H430)&gt;0,Справочник_ОКВЭД_НР!$L$10,
   IF(COUNTIF(Справочник_ОКВЭД_НР!$G$3:$G$62,H430)&gt;0,Справочник_ОКВЭД_НР!$L$11,50))))</f>
        <v>30</v>
      </c>
      <c r="J430" s="30" cm="1">
        <f t="array" ref="J430">IFERROR(
 (SUMPRODUCT(ISNUMBER(SEARCH(","&amp;Справочник_ОКВЭД_НР!$A$3:$A$62&amp;".",","&amp;SUBSTITUTE(F430," ","")&amp;",")))*Справочник_ОКВЭД_НР!$L$9 +
  SUMPRODUCT(ISNUMBER(SEARCH(","&amp;Справочник_ОКВЭД_НР!$C$3:$C$62&amp;".",","&amp;SUBSTITUTE(F430," ","")&amp;",")))*Справочник_ОКВЭД_НР!$L$10 +
  SUMPRODUCT(ISNUMBER(SEARCH(","&amp;Справочник_ОКВЭД_НР!$E$3:$E$62&amp;".",","&amp;SUBSTITUTE(F430," ","")&amp;",")))*Справочник_ОКВЭД_НР!$L$11 +
  SUMPRODUCT(ISNUMBER(SEARCH(","&amp;Справочник_ОКВЭД_НР!$G$3:$G$62&amp;".",","&amp;SUBSTITUTE(F430," ","")&amp;",")))*Справочник_ОКВЭД_НР!$L$12) /
 (SUMPRODUCT(ISNUMBER(SEARCH(","&amp;Справочник_ОКВЭД_НР!$A$3:$A$62&amp;".",","&amp;SUBSTITUTE(F430," ","")&amp;","))) +
  SUMPRODUCT(ISNUMBER(SEARCH(","&amp;Справочник_ОКВЭД_НР!$C$3:$C$62&amp;".",","&amp;SUBSTITUTE(F430," ","")&amp;","))) +
  SUMPRODUCT(ISNUMBER(SEARCH(","&amp;Справочник_ОКВЭД_НР!$E$3:$E$62&amp;".",","&amp;SUBSTITUTE(F430," ","")&amp;","))) +
  SUMPRODUCT(ISNUMBER(SEARCH(","&amp;Справочник_ОКВЭД_НР!$G$3:$G$62&amp;".",","&amp;SUBSTITUTE(F430," ","")&amp;",")))),
50)</f>
        <v>50</v>
      </c>
      <c r="K430" s="30">
        <f>IFERROR(VLOOKUP(G430,Справочник_ОКВЭД_НР!$O:$P,2,FALSE()),50)</f>
        <v>100</v>
      </c>
      <c r="L430" s="45">
        <f>(I430*Справочник_ОКВЭД_НР!$L$2+J430*Справочник_ОКВЭД_НР!$L$3+K430*Справочник_ОКВЭД_НР!$L$4)*M430</f>
        <v>45.5</v>
      </c>
      <c r="M430" s="47">
        <f>IF(COUNTIF(Справочник_ОКВЭД_НР!$G$3:$G$62,H430)&gt;0,0,1)</f>
        <v>1</v>
      </c>
    </row>
    <row r="431" spans="1:13" x14ac:dyDescent="0.25">
      <c r="A431" s="4">
        <f>ЛИК_дляСкорингаДП!A431</f>
        <v>1252100003352</v>
      </c>
      <c r="B431" s="4">
        <f>ЛИК_дляСкорингаДП!B431</f>
        <v>2100025450</v>
      </c>
      <c r="C431" s="4" t="str">
        <f>ЛИК_дляСкорингаДП!C431</f>
        <v>ТОС "ДРУЖБА"</v>
      </c>
      <c r="D431" s="5" t="str">
        <f>ЛИК_дляСкорингаДП!M431</f>
        <v>Деятельность прочих общественных организаций и некоммерческих организаций, кроме религиозных и политических организаций</v>
      </c>
      <c r="E431" s="4" t="str">
        <f>ЛИК_дляСкорингаДП!L431</f>
        <v>94.99</v>
      </c>
      <c r="F431">
        <f>ЛИК_дляСкорингаДП!N431</f>
        <v>0</v>
      </c>
      <c r="G431" s="25" t="str">
        <f>ЛИК_дляСкорингаДП!AG431</f>
        <v>ОСН</v>
      </c>
      <c r="H431" s="55" t="str">
        <f>IF(ISNUMBER(E431),E431,
IFERROR(LEFT(E431,FIND(".",E431)-1),E431))</f>
        <v>94</v>
      </c>
      <c r="I431" s="30">
        <f>IF(COUNTIF(Справочник_ОКВЭД_НР!$A$3:$A$62,H431)&gt;0,Справочник_ОКВЭД_НР!$L$8,
 IF(COUNTIF(Справочник_ОКВЭД_НР!$C$3:$C$62,H431)&gt;0,Справочник_ОКВЭД_НР!$L$9,
  IF(COUNTIF(Справочник_ОКВЭД_НР!$E$3:$E$62,H431)&gt;0,Справочник_ОКВЭД_НР!$L$10,
   IF(COUNTIF(Справочник_ОКВЭД_НР!$G$3:$G$62,H431)&gt;0,Справочник_ОКВЭД_НР!$L$11,50))))</f>
        <v>0</v>
      </c>
      <c r="J431" s="30" cm="1">
        <f t="array" ref="J431">IFERROR(
 (SUMPRODUCT(ISNUMBER(SEARCH(","&amp;Справочник_ОКВЭД_НР!$A$3:$A$62&amp;".",","&amp;SUBSTITUTE(F431," ","")&amp;",")))*Справочник_ОКВЭД_НР!$L$9 +
  SUMPRODUCT(ISNUMBER(SEARCH(","&amp;Справочник_ОКВЭД_НР!$C$3:$C$62&amp;".",","&amp;SUBSTITUTE(F431," ","")&amp;",")))*Справочник_ОКВЭД_НР!$L$10 +
  SUMPRODUCT(ISNUMBER(SEARCH(","&amp;Справочник_ОКВЭД_НР!$E$3:$E$62&amp;".",","&amp;SUBSTITUTE(F431," ","")&amp;",")))*Справочник_ОКВЭД_НР!$L$11 +
  SUMPRODUCT(ISNUMBER(SEARCH(","&amp;Справочник_ОКВЭД_НР!$G$3:$G$62&amp;".",","&amp;SUBSTITUTE(F431," ","")&amp;",")))*Справочник_ОКВЭД_НР!$L$12) /
 (SUMPRODUCT(ISNUMBER(SEARCH(","&amp;Справочник_ОКВЭД_НР!$A$3:$A$62&amp;".",","&amp;SUBSTITUTE(F431," ","")&amp;","))) +
  SUMPRODUCT(ISNUMBER(SEARCH(","&amp;Справочник_ОКВЭД_НР!$C$3:$C$62&amp;".",","&amp;SUBSTITUTE(F431," ","")&amp;","))) +
  SUMPRODUCT(ISNUMBER(SEARCH(","&amp;Справочник_ОКВЭД_НР!$E$3:$E$62&amp;".",","&amp;SUBSTITUTE(F431," ","")&amp;","))) +
  SUMPRODUCT(ISNUMBER(SEARCH(","&amp;Справочник_ОКВЭД_НР!$G$3:$G$62&amp;".",","&amp;SUBSTITUTE(F431," ","")&amp;",")))),
50)</f>
        <v>50</v>
      </c>
      <c r="K431" s="30">
        <f>IFERROR(VLOOKUP(G431,Справочник_ОКВЭД_НР!$O:$P,2,FALSE()),50)</f>
        <v>100</v>
      </c>
      <c r="L431" s="45">
        <f>(I431*Справочник_ОКВЭД_НР!$L$2+J431*Справочник_ОКВЭД_НР!$L$3+K431*Справочник_ОКВЭД_НР!$L$4)*M431</f>
        <v>0</v>
      </c>
      <c r="M431" s="47">
        <f>IF(COUNTIF(Справочник_ОКВЭД_НР!$G$3:$G$62,H431)&gt;0,0,1)</f>
        <v>0</v>
      </c>
    </row>
    <row r="432" spans="1:13" x14ac:dyDescent="0.25">
      <c r="A432" s="4">
        <f>ЛИК_дляСкорингаДП!A432</f>
        <v>1022102632914</v>
      </c>
      <c r="B432" s="4">
        <f>ЛИК_дляСкорингаДП!B432</f>
        <v>2110001829</v>
      </c>
      <c r="C432" s="4" t="str">
        <f>ЛИК_дляСкорингаДП!C432</f>
        <v>МБОУ "АТНАРСКАЯ СОШ"</v>
      </c>
      <c r="D432" s="5" t="str">
        <f>ЛИК_дляСкорингаДП!M432</f>
        <v>Образование среднее общее</v>
      </c>
      <c r="E432" s="4" t="str">
        <f>ЛИК_дляСкорингаДП!L432</f>
        <v>85.14</v>
      </c>
      <c r="F432" t="str">
        <f>ЛИК_дляСкорингаДП!N432</f>
        <v>55.90,68.31.1,68.31.2,68.31.3,68.31.4,85.12,85.13,85.14</v>
      </c>
      <c r="G432" s="25" t="str">
        <f>ЛИК_дляСкорингаДП!AG432</f>
        <v>ОСН</v>
      </c>
      <c r="H432" s="55" t="str">
        <f>IF(ISNUMBER(E432),E432,
IFERROR(LEFT(E432,FIND(".",E432)-1),E432))</f>
        <v>85</v>
      </c>
      <c r="I432" s="30">
        <f>IF(COUNTIF(Справочник_ОКВЭД_НР!$A$3:$A$62,H432)&gt;0,Справочник_ОКВЭД_НР!$L$8,
 IF(COUNTIF(Справочник_ОКВЭД_НР!$C$3:$C$62,H432)&gt;0,Справочник_ОКВЭД_НР!$L$9,
  IF(COUNTIF(Справочник_ОКВЭД_НР!$E$3:$E$62,H432)&gt;0,Справочник_ОКВЭД_НР!$L$10,
   IF(COUNTIF(Справочник_ОКВЭД_НР!$G$3:$G$62,H432)&gt;0,Справочник_ОКВЭД_НР!$L$11,50))))</f>
        <v>30</v>
      </c>
      <c r="J432" s="30" cm="1">
        <f t="array" ref="J432">IFERROR(
 (SUMPRODUCT(ISNUMBER(SEARCH(","&amp;Справочник_ОКВЭД_НР!$A$3:$A$62&amp;".",","&amp;SUBSTITUTE(F432," ","")&amp;",")))*Справочник_ОКВЭД_НР!$L$9 +
  SUMPRODUCT(ISNUMBER(SEARCH(","&amp;Справочник_ОКВЭД_НР!$C$3:$C$62&amp;".",","&amp;SUBSTITUTE(F432," ","")&amp;",")))*Справочник_ОКВЭД_НР!$L$10 +
  SUMPRODUCT(ISNUMBER(SEARCH(","&amp;Справочник_ОКВЭД_НР!$E$3:$E$62&amp;".",","&amp;SUBSTITUTE(F432," ","")&amp;",")))*Справочник_ОКВЭД_НР!$L$11 +
  SUMPRODUCT(ISNUMBER(SEARCH(","&amp;Справочник_ОКВЭД_НР!$G$3:$G$62&amp;".",","&amp;SUBSTITUTE(F432," ","")&amp;",")))*Справочник_ОКВЭД_НР!$L$12) /
 (SUMPRODUCT(ISNUMBER(SEARCH(","&amp;Справочник_ОКВЭД_НР!$A$3:$A$62&amp;".",","&amp;SUBSTITUTE(F432," ","")&amp;","))) +
  SUMPRODUCT(ISNUMBER(SEARCH(","&amp;Справочник_ОКВЭД_НР!$C$3:$C$62&amp;".",","&amp;SUBSTITUTE(F432," ","")&amp;","))) +
  SUMPRODUCT(ISNUMBER(SEARCH(","&amp;Справочник_ОКВЭД_НР!$E$3:$E$62&amp;".",","&amp;SUBSTITUTE(F432," ","")&amp;","))) +
  SUMPRODUCT(ISNUMBER(SEARCH(","&amp;Справочник_ОКВЭД_НР!$G$3:$G$62&amp;".",","&amp;SUBSTITUTE(F432," ","")&amp;",")))),
50)</f>
        <v>50</v>
      </c>
      <c r="K432" s="30">
        <f>IFERROR(VLOOKUP(G432,Справочник_ОКВЭД_НР!$O:$P,2,FALSE()),50)</f>
        <v>100</v>
      </c>
      <c r="L432" s="45">
        <f>(I432*Справочник_ОКВЭД_НР!$L$2+J432*Справочник_ОКВЭД_НР!$L$3+K432*Справочник_ОКВЭД_НР!$L$4)*M432</f>
        <v>45.5</v>
      </c>
      <c r="M432" s="47">
        <f>IF(COUNTIF(Справочник_ОКВЭД_НР!$G$3:$G$62,H432)&gt;0,0,1)</f>
        <v>1</v>
      </c>
    </row>
    <row r="433" spans="1:13" x14ac:dyDescent="0.25">
      <c r="A433" s="4">
        <f>ЛИК_дляСкорингаДП!A433</f>
        <v>1022100910985</v>
      </c>
      <c r="B433" s="4">
        <f>ЛИК_дляСкорингаДП!B433</f>
        <v>2124005936</v>
      </c>
      <c r="C433" s="4" t="str">
        <f>ЛИК_дляСкорингаДП!C433</f>
        <v>БУ ДО "СШОР № 4"</v>
      </c>
      <c r="D433" s="5" t="str">
        <f>ЛИК_дляСкорингаДП!M433</f>
        <v>Образование в области спорта и отдыха</v>
      </c>
      <c r="E433" s="4" t="str">
        <f>ЛИК_дляСкорингаДП!L433</f>
        <v>85.41.1</v>
      </c>
      <c r="F433" t="str">
        <f>ЛИК_дляСкорингаДП!N433</f>
        <v>55.90,47.19,47.64,55.10,55.90,56.29.2,68.32,77.11,77.21,85.41,93.11,93.19,93.29,95.29,95.29.2,96.04</v>
      </c>
      <c r="G433" s="25" t="str">
        <f>ЛИК_дляСкорингаДП!AG433</f>
        <v>ОСН</v>
      </c>
      <c r="H433" s="55" t="str">
        <f>IF(ISNUMBER(E433),E433,
IFERROR(LEFT(E433,FIND(".",E433)-1),E433))</f>
        <v>85</v>
      </c>
      <c r="I433" s="30">
        <f>IF(COUNTIF(Справочник_ОКВЭД_НР!$A$3:$A$62,H433)&gt;0,Справочник_ОКВЭД_НР!$L$8,
 IF(COUNTIF(Справочник_ОКВЭД_НР!$C$3:$C$62,H433)&gt;0,Справочник_ОКВЭД_НР!$L$9,
  IF(COUNTIF(Справочник_ОКВЭД_НР!$E$3:$E$62,H433)&gt;0,Справочник_ОКВЭД_НР!$L$10,
   IF(COUNTIF(Справочник_ОКВЭД_НР!$G$3:$G$62,H433)&gt;0,Справочник_ОКВЭД_НР!$L$11,50))))</f>
        <v>30</v>
      </c>
      <c r="J433" s="30" cm="1">
        <f t="array" ref="J433">IFERROR(
 (SUMPRODUCT(ISNUMBER(SEARCH(","&amp;Справочник_ОКВЭД_НР!$A$3:$A$62&amp;".",","&amp;SUBSTITUTE(F433," ","")&amp;",")))*Справочник_ОКВЭД_НР!$L$9 +
  SUMPRODUCT(ISNUMBER(SEARCH(","&amp;Справочник_ОКВЭД_НР!$C$3:$C$62&amp;".",","&amp;SUBSTITUTE(F433," ","")&amp;",")))*Справочник_ОКВЭД_НР!$L$10 +
  SUMPRODUCT(ISNUMBER(SEARCH(","&amp;Справочник_ОКВЭД_НР!$E$3:$E$62&amp;".",","&amp;SUBSTITUTE(F433," ","")&amp;",")))*Справочник_ОКВЭД_НР!$L$11 +
  SUMPRODUCT(ISNUMBER(SEARCH(","&amp;Справочник_ОКВЭД_НР!$G$3:$G$62&amp;".",","&amp;SUBSTITUTE(F433," ","")&amp;",")))*Справочник_ОКВЭД_НР!$L$12) /
 (SUMPRODUCT(ISNUMBER(SEARCH(","&amp;Справочник_ОКВЭД_НР!$A$3:$A$62&amp;".",","&amp;SUBSTITUTE(F433," ","")&amp;","))) +
  SUMPRODUCT(ISNUMBER(SEARCH(","&amp;Справочник_ОКВЭД_НР!$C$3:$C$62&amp;".",","&amp;SUBSTITUTE(F433," ","")&amp;","))) +
  SUMPRODUCT(ISNUMBER(SEARCH(","&amp;Справочник_ОКВЭД_НР!$E$3:$E$62&amp;".",","&amp;SUBSTITUTE(F433," ","")&amp;","))) +
  SUMPRODUCT(ISNUMBER(SEARCH(","&amp;Справочник_ОКВЭД_НР!$G$3:$G$62&amp;".",","&amp;SUBSTITUTE(F433," ","")&amp;",")))),
50)</f>
        <v>50</v>
      </c>
      <c r="K433" s="30">
        <f>IFERROR(VLOOKUP(G433,Справочник_ОКВЭД_НР!$O:$P,2,FALSE()),50)</f>
        <v>100</v>
      </c>
      <c r="L433" s="45">
        <f>(I433*Справочник_ОКВЭД_НР!$L$2+J433*Справочник_ОКВЭД_НР!$L$3+K433*Справочник_ОКВЭД_НР!$L$4)*M433</f>
        <v>45.5</v>
      </c>
      <c r="M433" s="47">
        <f>IF(COUNTIF(Справочник_ОКВЭД_НР!$G$3:$G$62,H433)&gt;0,0,1)</f>
        <v>1</v>
      </c>
    </row>
    <row r="434" spans="1:13" x14ac:dyDescent="0.25">
      <c r="A434" s="4">
        <f>ЛИК_дляСкорингаДП!A434</f>
        <v>1032133001207</v>
      </c>
      <c r="B434" s="4">
        <f>ЛИК_дляСкорингаДП!B434</f>
        <v>2102002360</v>
      </c>
      <c r="C434" s="4" t="str">
        <f>ЛИК_дляСкорингаДП!C434</f>
        <v>МБОУ "АЛИКОВСКАЯ СОШ ИМ. И.Я.ЯКОВЛЕВА"</v>
      </c>
      <c r="D434" s="5" t="str">
        <f>ЛИК_дляСкорингаДП!M434</f>
        <v>Образование среднее общее</v>
      </c>
      <c r="E434" s="4" t="str">
        <f>ЛИК_дляСкорингаДП!L434</f>
        <v>85.14</v>
      </c>
      <c r="F434" t="str">
        <f>ЛИК_дляСкорингаДП!N434</f>
        <v>47.9,56.29,85.12,85.13,85.14</v>
      </c>
      <c r="G434" s="25" t="str">
        <f>ЛИК_дляСкорингаДП!AG434</f>
        <v>ОСН</v>
      </c>
      <c r="H434" s="55" t="str">
        <f>IF(ISNUMBER(E434),E434,
IFERROR(LEFT(E434,FIND(".",E434)-1),E434))</f>
        <v>85</v>
      </c>
      <c r="I434" s="30">
        <f>IF(COUNTIF(Справочник_ОКВЭД_НР!$A$3:$A$62,H434)&gt;0,Справочник_ОКВЭД_НР!$L$8,
 IF(COUNTIF(Справочник_ОКВЭД_НР!$C$3:$C$62,H434)&gt;0,Справочник_ОКВЭД_НР!$L$9,
  IF(COUNTIF(Справочник_ОКВЭД_НР!$E$3:$E$62,H434)&gt;0,Справочник_ОКВЭД_НР!$L$10,
   IF(COUNTIF(Справочник_ОКВЭД_НР!$G$3:$G$62,H434)&gt;0,Справочник_ОКВЭД_НР!$L$11,50))))</f>
        <v>30</v>
      </c>
      <c r="J434" s="30" cm="1">
        <f t="array" ref="J434">IFERROR(
 (SUMPRODUCT(ISNUMBER(SEARCH(","&amp;Справочник_ОКВЭД_НР!$A$3:$A$62&amp;".",","&amp;SUBSTITUTE(F434," ","")&amp;",")))*Справочник_ОКВЭД_НР!$L$9 +
  SUMPRODUCT(ISNUMBER(SEARCH(","&amp;Справочник_ОКВЭД_НР!$C$3:$C$62&amp;".",","&amp;SUBSTITUTE(F434," ","")&amp;",")))*Справочник_ОКВЭД_НР!$L$10 +
  SUMPRODUCT(ISNUMBER(SEARCH(","&amp;Справочник_ОКВЭД_НР!$E$3:$E$62&amp;".",","&amp;SUBSTITUTE(F434," ","")&amp;",")))*Справочник_ОКВЭД_НР!$L$11 +
  SUMPRODUCT(ISNUMBER(SEARCH(","&amp;Справочник_ОКВЭД_НР!$G$3:$G$62&amp;".",","&amp;SUBSTITUTE(F434," ","")&amp;",")))*Справочник_ОКВЭД_НР!$L$12) /
 (SUMPRODUCT(ISNUMBER(SEARCH(","&amp;Справочник_ОКВЭД_НР!$A$3:$A$62&amp;".",","&amp;SUBSTITUTE(F434," ","")&amp;","))) +
  SUMPRODUCT(ISNUMBER(SEARCH(","&amp;Справочник_ОКВЭД_НР!$C$3:$C$62&amp;".",","&amp;SUBSTITUTE(F434," ","")&amp;","))) +
  SUMPRODUCT(ISNUMBER(SEARCH(","&amp;Справочник_ОКВЭД_НР!$E$3:$E$62&amp;".",","&amp;SUBSTITUTE(F434," ","")&amp;","))) +
  SUMPRODUCT(ISNUMBER(SEARCH(","&amp;Справочник_ОКВЭД_НР!$G$3:$G$62&amp;".",","&amp;SUBSTITUTE(F434," ","")&amp;",")))),
50)</f>
        <v>50</v>
      </c>
      <c r="K434" s="30">
        <f>IFERROR(VLOOKUP(G434,Справочник_ОКВЭД_НР!$O:$P,2,FALSE()),50)</f>
        <v>100</v>
      </c>
      <c r="L434" s="45">
        <f>(I434*Справочник_ОКВЭД_НР!$L$2+J434*Справочник_ОКВЭД_НР!$L$3+K434*Справочник_ОКВЭД_НР!$L$4)*M434</f>
        <v>45.5</v>
      </c>
      <c r="M434" s="47">
        <f>IF(COUNTIF(Справочник_ОКВЭД_НР!$G$3:$G$62,H434)&gt;0,0,1)</f>
        <v>1</v>
      </c>
    </row>
    <row r="435" spans="1:13" x14ac:dyDescent="0.25">
      <c r="A435" s="4">
        <f>ЛИК_дляСкорингаДП!A435</f>
        <v>1022100003958</v>
      </c>
      <c r="B435" s="4">
        <f>ЛИК_дляСкорингаДП!B435</f>
        <v>2128014843</v>
      </c>
      <c r="C435" s="4" t="str">
        <f>ЛИК_дляСкорингаДП!C435</f>
        <v>ОТДЕЛЕНИЕ СТД РФ (ВТО) - СТД ЧУВАШСКОЙ РЕСПУБЛИКИ, ОТДЕЛЕНИЕ СТД РФ - СТД ЧУВАШСКОЙ РЕСПУБЛИКИ</v>
      </c>
      <c r="D435" s="5" t="str">
        <f>ЛИК_дляСкорингаДП!M435</f>
        <v>Деятельность профессиональных членских организаций</v>
      </c>
      <c r="E435" s="4" t="str">
        <f>ЛИК_дляСкорингаДП!L435</f>
        <v>94.12</v>
      </c>
      <c r="F435" t="str">
        <f>ЛИК_дляСкорингаДП!N435</f>
        <v>90.01,90.04,94.12</v>
      </c>
      <c r="G435" s="25" t="str">
        <f>ЛИК_дляСкорингаДП!AG435</f>
        <v>ОСН</v>
      </c>
      <c r="H435" s="55" t="str">
        <f>IF(ISNUMBER(E435),E435,
IFERROR(LEFT(E435,FIND(".",E435)-1),E435))</f>
        <v>94</v>
      </c>
      <c r="I435" s="30">
        <f>IF(COUNTIF(Справочник_ОКВЭД_НР!$A$3:$A$62,H435)&gt;0,Справочник_ОКВЭД_НР!$L$8,
 IF(COUNTIF(Справочник_ОКВЭД_НР!$C$3:$C$62,H435)&gt;0,Справочник_ОКВЭД_НР!$L$9,
  IF(COUNTIF(Справочник_ОКВЭД_НР!$E$3:$E$62,H435)&gt;0,Справочник_ОКВЭД_НР!$L$10,
   IF(COUNTIF(Справочник_ОКВЭД_НР!$G$3:$G$62,H435)&gt;0,Справочник_ОКВЭД_НР!$L$11,50))))</f>
        <v>0</v>
      </c>
      <c r="J435" s="30" cm="1">
        <f t="array" ref="J435">IFERROR(
 (SUMPRODUCT(ISNUMBER(SEARCH(","&amp;Справочник_ОКВЭД_НР!$A$3:$A$62&amp;".",","&amp;SUBSTITUTE(F435," ","")&amp;",")))*Справочник_ОКВЭД_НР!$L$9 +
  SUMPRODUCT(ISNUMBER(SEARCH(","&amp;Справочник_ОКВЭД_НР!$C$3:$C$62&amp;".",","&amp;SUBSTITUTE(F435," ","")&amp;",")))*Справочник_ОКВЭД_НР!$L$10 +
  SUMPRODUCT(ISNUMBER(SEARCH(","&amp;Справочник_ОКВЭД_НР!$E$3:$E$62&amp;".",","&amp;SUBSTITUTE(F435," ","")&amp;",")))*Справочник_ОКВЭД_НР!$L$11 +
  SUMPRODUCT(ISNUMBER(SEARCH(","&amp;Справочник_ОКВЭД_НР!$G$3:$G$62&amp;".",","&amp;SUBSTITUTE(F435," ","")&amp;",")))*Справочник_ОКВЭД_НР!$L$12) /
 (SUMPRODUCT(ISNUMBER(SEARCH(","&amp;Справочник_ОКВЭД_НР!$A$3:$A$62&amp;".",","&amp;SUBSTITUTE(F435," ","")&amp;","))) +
  SUMPRODUCT(ISNUMBER(SEARCH(","&amp;Справочник_ОКВЭД_НР!$C$3:$C$62&amp;".",","&amp;SUBSTITUTE(F435," ","")&amp;","))) +
  SUMPRODUCT(ISNUMBER(SEARCH(","&amp;Справочник_ОКВЭД_НР!$E$3:$E$62&amp;".",","&amp;SUBSTITUTE(F435," ","")&amp;","))) +
  SUMPRODUCT(ISNUMBER(SEARCH(","&amp;Справочник_ОКВЭД_НР!$G$3:$G$62&amp;".",","&amp;SUBSTITUTE(F435," ","")&amp;",")))),
50)</f>
        <v>50</v>
      </c>
      <c r="K435" s="30">
        <f>IFERROR(VLOOKUP(G435,Справочник_ОКВЭД_НР!$O:$P,2,FALSE()),50)</f>
        <v>100</v>
      </c>
      <c r="L435" s="45">
        <f>(I435*Справочник_ОКВЭД_НР!$L$2+J435*Справочник_ОКВЭД_НР!$L$3+K435*Справочник_ОКВЭД_НР!$L$4)*M435</f>
        <v>0</v>
      </c>
      <c r="M435" s="47">
        <f>IF(COUNTIF(Справочник_ОКВЭД_НР!$G$3:$G$62,H435)&gt;0,0,1)</f>
        <v>0</v>
      </c>
    </row>
    <row r="436" spans="1:13" x14ac:dyDescent="0.25">
      <c r="A436" s="4">
        <f>ЛИК_дляСкорингаДП!A436</f>
        <v>1162130061543</v>
      </c>
      <c r="B436" s="4">
        <f>ЛИК_дляСкорингаДП!B436</f>
        <v>2130175037</v>
      </c>
      <c r="C436" s="4" t="str">
        <f>ЛИК_дляСкорингаДП!C436</f>
        <v>МБУ "УПРАВЛЕНИЕ КАПИТАЛЬНОГО СТРОИТЕЛЬСТВА И РЕКОНСТРУКЦИИ" ГОРОДА ЧЕБОКСАРЫ</v>
      </c>
      <c r="D436" s="5" t="str">
        <f>ЛИК_дляСкорингаДП!M436</f>
        <v>Деятельность в области архитектуры</v>
      </c>
      <c r="E436" s="4" t="str">
        <f>ЛИК_дляСкорингаДП!L436</f>
        <v>71.11</v>
      </c>
      <c r="F436" t="str">
        <f>ЛИК_дляСкорингаДП!N436</f>
        <v>71.12</v>
      </c>
      <c r="G436" s="25" t="str">
        <f>ЛИК_дляСкорингаДП!AG436</f>
        <v>ОСН</v>
      </c>
      <c r="H436" s="55" t="str">
        <f>IF(ISNUMBER(E436),E436,
IFERROR(LEFT(E436,FIND(".",E436)-1),E436))</f>
        <v>71</v>
      </c>
      <c r="I436" s="30">
        <f>IF(COUNTIF(Справочник_ОКВЭД_НР!$A$3:$A$62,H436)&gt;0,Справочник_ОКВЭД_НР!$L$8,
 IF(COUNTIF(Справочник_ОКВЭД_НР!$C$3:$C$62,H436)&gt;0,Справочник_ОКВЭД_НР!$L$9,
  IF(COUNTIF(Справочник_ОКВЭД_НР!$E$3:$E$62,H436)&gt;0,Справочник_ОКВЭД_НР!$L$10,
   IF(COUNTIF(Справочник_ОКВЭД_НР!$G$3:$G$62,H436)&gt;0,Справочник_ОКВЭД_НР!$L$11,50))))</f>
        <v>100</v>
      </c>
      <c r="J436" s="30" cm="1">
        <f t="array" ref="J436">IFERROR(
 (SUMPRODUCT(ISNUMBER(SEARCH(","&amp;Справочник_ОКВЭД_НР!$A$3:$A$62&amp;".",","&amp;SUBSTITUTE(F436," ","")&amp;",")))*Справочник_ОКВЭД_НР!$L$9 +
  SUMPRODUCT(ISNUMBER(SEARCH(","&amp;Справочник_ОКВЭД_НР!$C$3:$C$62&amp;".",","&amp;SUBSTITUTE(F436," ","")&amp;",")))*Справочник_ОКВЭД_НР!$L$10 +
  SUMPRODUCT(ISNUMBER(SEARCH(","&amp;Справочник_ОКВЭД_НР!$E$3:$E$62&amp;".",","&amp;SUBSTITUTE(F436," ","")&amp;",")))*Справочник_ОКВЭД_НР!$L$11 +
  SUMPRODUCT(ISNUMBER(SEARCH(","&amp;Справочник_ОКВЭД_НР!$G$3:$G$62&amp;".",","&amp;SUBSTITUTE(F436," ","")&amp;",")))*Справочник_ОКВЭД_НР!$L$12) /
 (SUMPRODUCT(ISNUMBER(SEARCH(","&amp;Справочник_ОКВЭД_НР!$A$3:$A$62&amp;".",","&amp;SUBSTITUTE(F436," ","")&amp;","))) +
  SUMPRODUCT(ISNUMBER(SEARCH(","&amp;Справочник_ОКВЭД_НР!$C$3:$C$62&amp;".",","&amp;SUBSTITUTE(F436," ","")&amp;","))) +
  SUMPRODUCT(ISNUMBER(SEARCH(","&amp;Справочник_ОКВЭД_НР!$E$3:$E$62&amp;".",","&amp;SUBSTITUTE(F436," ","")&amp;","))) +
  SUMPRODUCT(ISNUMBER(SEARCH(","&amp;Справочник_ОКВЭД_НР!$G$3:$G$62&amp;".",","&amp;SUBSTITUTE(F436," ","")&amp;",")))),
50)</f>
        <v>50</v>
      </c>
      <c r="K436" s="30">
        <f>IFERROR(VLOOKUP(G436,Справочник_ОКВЭД_НР!$O:$P,2,FALSE()),50)</f>
        <v>100</v>
      </c>
      <c r="L436" s="45">
        <f>(I436*Справочник_ОКВЭД_НР!$L$2+J436*Справочник_ОКВЭД_НР!$L$3+K436*Справочник_ОКВЭД_НР!$L$4)*M436</f>
        <v>87.5</v>
      </c>
      <c r="M436" s="47">
        <f>IF(COUNTIF(Справочник_ОКВЭД_НР!$G$3:$G$62,H436)&gt;0,0,1)</f>
        <v>1</v>
      </c>
    </row>
    <row r="437" spans="1:13" x14ac:dyDescent="0.25">
      <c r="A437" s="4">
        <f>ЛИК_дляСкорингаДП!A437</f>
        <v>1142130004433</v>
      </c>
      <c r="B437" s="4">
        <f>ЛИК_дляСкорингаДП!B437</f>
        <v>2130135250</v>
      </c>
      <c r="C437" s="4" t="str">
        <f>ЛИК_дляСкорингаДП!C437</f>
        <v>КУ ЧР СЛУЖБА ЕДИНОГО ЗАКАЗЧИКА</v>
      </c>
      <c r="D437" s="5" t="str">
        <f>ЛИК_дляСкорингаДП!M437</f>
        <v>Деятельность органов государственной власти по управлению вопросами общего характера, кроме судебной власти, субъектов Российской Федерации</v>
      </c>
      <c r="E437" s="4" t="str">
        <f>ЛИК_дляСкорингаДП!L437</f>
        <v>84.11.2</v>
      </c>
      <c r="F437" t="str">
        <f>ЛИК_дляСкорингаДП!N437</f>
        <v>39.00,41.20,42.11,42.91,42.99,43.21,43.22,43.29,43.91,43.99,43.99.1,71.1,71.12,71.12.1,71.12.2,71.12.5,71.12.6</v>
      </c>
      <c r="G437" s="25" t="str">
        <f>ЛИК_дляСкорингаДП!AG437</f>
        <v>ОСН</v>
      </c>
      <c r="H437" s="55" t="str">
        <f>IF(ISNUMBER(E437),E437,
IFERROR(LEFT(E437,FIND(".",E437)-1),E437))</f>
        <v>84</v>
      </c>
      <c r="I437" s="30">
        <f>IF(COUNTIF(Справочник_ОКВЭД_НР!$A$3:$A$62,H437)&gt;0,Справочник_ОКВЭД_НР!$L$8,
 IF(COUNTIF(Справочник_ОКВЭД_НР!$C$3:$C$62,H437)&gt;0,Справочник_ОКВЭД_НР!$L$9,
  IF(COUNTIF(Справочник_ОКВЭД_НР!$E$3:$E$62,H437)&gt;0,Справочник_ОКВЭД_НР!$L$10,
   IF(COUNTIF(Справочник_ОКВЭД_НР!$G$3:$G$62,H437)&gt;0,Справочник_ОКВЭД_НР!$L$11,50))))</f>
        <v>0</v>
      </c>
      <c r="J437" s="30" cm="1">
        <f t="array" ref="J437">IFERROR(
 (SUMPRODUCT(ISNUMBER(SEARCH(","&amp;Справочник_ОКВЭД_НР!$A$3:$A$62&amp;".",","&amp;SUBSTITUTE(F437," ","")&amp;",")))*Справочник_ОКВЭД_НР!$L$9 +
  SUMPRODUCT(ISNUMBER(SEARCH(","&amp;Справочник_ОКВЭД_НР!$C$3:$C$62&amp;".",","&amp;SUBSTITUTE(F437," ","")&amp;",")))*Справочник_ОКВЭД_НР!$L$10 +
  SUMPRODUCT(ISNUMBER(SEARCH(","&amp;Справочник_ОКВЭД_НР!$E$3:$E$62&amp;".",","&amp;SUBSTITUTE(F437," ","")&amp;",")))*Справочник_ОКВЭД_НР!$L$11 +
  SUMPRODUCT(ISNUMBER(SEARCH(","&amp;Справочник_ОКВЭД_НР!$G$3:$G$62&amp;".",","&amp;SUBSTITUTE(F437," ","")&amp;",")))*Справочник_ОКВЭД_НР!$L$12) /
 (SUMPRODUCT(ISNUMBER(SEARCH(","&amp;Справочник_ОКВЭД_НР!$A$3:$A$62&amp;".",","&amp;SUBSTITUTE(F437," ","")&amp;","))) +
  SUMPRODUCT(ISNUMBER(SEARCH(","&amp;Справочник_ОКВЭД_НР!$C$3:$C$62&amp;".",","&amp;SUBSTITUTE(F437," ","")&amp;","))) +
  SUMPRODUCT(ISNUMBER(SEARCH(","&amp;Справочник_ОКВЭД_НР!$E$3:$E$62&amp;".",","&amp;SUBSTITUTE(F437," ","")&amp;","))) +
  SUMPRODUCT(ISNUMBER(SEARCH(","&amp;Справочник_ОКВЭД_НР!$G$3:$G$62&amp;".",","&amp;SUBSTITUTE(F437," ","")&amp;",")))),
50)</f>
        <v>50</v>
      </c>
      <c r="K437" s="30">
        <f>IFERROR(VLOOKUP(G437,Справочник_ОКВЭД_НР!$O:$P,2,FALSE()),50)</f>
        <v>100</v>
      </c>
      <c r="L437" s="45">
        <f>(I437*Справочник_ОКВЭД_НР!$L$2+J437*Справочник_ОКВЭД_НР!$L$3+K437*Справочник_ОКВЭД_НР!$L$4)*M437</f>
        <v>0</v>
      </c>
      <c r="M437" s="47">
        <f>IF(COUNTIF(Справочник_ОКВЭД_НР!$G$3:$G$62,H437)&gt;0,0,1)</f>
        <v>0</v>
      </c>
    </row>
    <row r="438" spans="1:13" x14ac:dyDescent="0.25">
      <c r="A438" s="4">
        <f>ЛИК_дляСкорингаДП!A438</f>
        <v>1032129009318</v>
      </c>
      <c r="B438" s="4">
        <f>ЛИК_дляСкорингаДП!B438</f>
        <v>2129051238</v>
      </c>
      <c r="C438" s="4" t="str">
        <f>ЛИК_дляСкорингаДП!C438</f>
        <v>АСК "БАЙКОНУР-ЧЕБОКСАРЫ"</v>
      </c>
      <c r="D438" s="5" t="str">
        <f>ЛИК_дляСкорингаДП!M438</f>
        <v>Предоставление социальных услуг без обеспечения проживания престарелым и инвалидам</v>
      </c>
      <c r="E438" s="4" t="str">
        <f>ЛИК_дляСкорингаДП!L438</f>
        <v>88.10</v>
      </c>
      <c r="F438" t="str">
        <f>ЛИК_дляСкорингаДП!N438</f>
        <v>58,82.99</v>
      </c>
      <c r="G438" s="25" t="str">
        <f>ЛИК_дляСкорингаДП!AG438</f>
        <v>ОСН</v>
      </c>
      <c r="H438" s="55" t="str">
        <f>IF(ISNUMBER(E438),E438,
IFERROR(LEFT(E438,FIND(".",E438)-1),E438))</f>
        <v>88</v>
      </c>
      <c r="I438" s="30">
        <f>IF(COUNTIF(Справочник_ОКВЭД_НР!$A$3:$A$62,H438)&gt;0,Справочник_ОКВЭД_НР!$L$8,
 IF(COUNTIF(Справочник_ОКВЭД_НР!$C$3:$C$62,H438)&gt;0,Справочник_ОКВЭД_НР!$L$9,
  IF(COUNTIF(Справочник_ОКВЭД_НР!$E$3:$E$62,H438)&gt;0,Справочник_ОКВЭД_НР!$L$10,
   IF(COUNTIF(Справочник_ОКВЭД_НР!$G$3:$G$62,H438)&gt;0,Справочник_ОКВЭД_НР!$L$11,50))))</f>
        <v>30</v>
      </c>
      <c r="J438" s="30" cm="1">
        <f t="array" ref="J438">IFERROR(
 (SUMPRODUCT(ISNUMBER(SEARCH(","&amp;Справочник_ОКВЭД_НР!$A$3:$A$62&amp;".",","&amp;SUBSTITUTE(F438," ","")&amp;",")))*Справочник_ОКВЭД_НР!$L$9 +
  SUMPRODUCT(ISNUMBER(SEARCH(","&amp;Справочник_ОКВЭД_НР!$C$3:$C$62&amp;".",","&amp;SUBSTITUTE(F438," ","")&amp;",")))*Справочник_ОКВЭД_НР!$L$10 +
  SUMPRODUCT(ISNUMBER(SEARCH(","&amp;Справочник_ОКВЭД_НР!$E$3:$E$62&amp;".",","&amp;SUBSTITUTE(F438," ","")&amp;",")))*Справочник_ОКВЭД_НР!$L$11 +
  SUMPRODUCT(ISNUMBER(SEARCH(","&amp;Справочник_ОКВЭД_НР!$G$3:$G$62&amp;".",","&amp;SUBSTITUTE(F438," ","")&amp;",")))*Справочник_ОКВЭД_НР!$L$12) /
 (SUMPRODUCT(ISNUMBER(SEARCH(","&amp;Справочник_ОКВЭД_НР!$A$3:$A$62&amp;".",","&amp;SUBSTITUTE(F438," ","")&amp;","))) +
  SUMPRODUCT(ISNUMBER(SEARCH(","&amp;Справочник_ОКВЭД_НР!$C$3:$C$62&amp;".",","&amp;SUBSTITUTE(F438," ","")&amp;","))) +
  SUMPRODUCT(ISNUMBER(SEARCH(","&amp;Справочник_ОКВЭД_НР!$E$3:$E$62&amp;".",","&amp;SUBSTITUTE(F438," ","")&amp;","))) +
  SUMPRODUCT(ISNUMBER(SEARCH(","&amp;Справочник_ОКВЭД_НР!$G$3:$G$62&amp;".",","&amp;SUBSTITUTE(F438," ","")&amp;",")))),
50)</f>
        <v>50</v>
      </c>
      <c r="K438" s="30">
        <f>IFERROR(VLOOKUP(G438,Справочник_ОКВЭД_НР!$O:$P,2,FALSE()),50)</f>
        <v>100</v>
      </c>
      <c r="L438" s="45">
        <f>(I438*Справочник_ОКВЭД_НР!$L$2+J438*Справочник_ОКВЭД_НР!$L$3+K438*Справочник_ОКВЭД_НР!$L$4)*M438</f>
        <v>45.5</v>
      </c>
      <c r="M438" s="47">
        <f>IF(COUNTIF(Справочник_ОКВЭД_НР!$G$3:$G$62,H438)&gt;0,0,1)</f>
        <v>1</v>
      </c>
    </row>
    <row r="439" spans="1:13" x14ac:dyDescent="0.25">
      <c r="A439" s="4">
        <f>ЛИК_дляСкорингаДП!A439</f>
        <v>1022100978162</v>
      </c>
      <c r="B439" s="4">
        <f>ЛИК_дляСкорингаДП!B439</f>
        <v>2127313657</v>
      </c>
      <c r="C439" s="4" t="str">
        <f>ЛИК_дляСкорингаДП!C439</f>
        <v>ООО "ОСНОВА 1"</v>
      </c>
      <c r="D439" s="5" t="str">
        <f>ЛИК_дляСкорингаДП!M439</f>
        <v>Деятельность в области права</v>
      </c>
      <c r="E439" s="4" t="str">
        <f>ЛИК_дляСкорингаДП!L439</f>
        <v>69.10</v>
      </c>
      <c r="F439">
        <f>ЛИК_дляСкорингаДП!N439</f>
        <v>0</v>
      </c>
      <c r="G439" s="25" t="str">
        <f>ЛИК_дляСкорингаДП!AG439</f>
        <v>УСН</v>
      </c>
      <c r="H439" s="55" t="str">
        <f>IF(ISNUMBER(E439),E439,
IFERROR(LEFT(E439,FIND(".",E439)-1),E439))</f>
        <v>69</v>
      </c>
      <c r="I439" s="30">
        <f>IF(COUNTIF(Справочник_ОКВЭД_НР!$A$3:$A$62,H439)&gt;0,Справочник_ОКВЭД_НР!$L$8,
 IF(COUNTIF(Справочник_ОКВЭД_НР!$C$3:$C$62,H439)&gt;0,Справочник_ОКВЭД_НР!$L$9,
  IF(COUNTIF(Справочник_ОКВЭД_НР!$E$3:$E$62,H439)&gt;0,Справочник_ОКВЭД_НР!$L$10,
   IF(COUNTIF(Справочник_ОКВЭД_НР!$G$3:$G$62,H439)&gt;0,Справочник_ОКВЭД_НР!$L$11,50))))</f>
        <v>30</v>
      </c>
      <c r="J439" s="30" cm="1">
        <f t="array" ref="J439">IFERROR(
 (SUMPRODUCT(ISNUMBER(SEARCH(","&amp;Справочник_ОКВЭД_НР!$A$3:$A$62&amp;".",","&amp;SUBSTITUTE(F439," ","")&amp;",")))*Справочник_ОКВЭД_НР!$L$9 +
  SUMPRODUCT(ISNUMBER(SEARCH(","&amp;Справочник_ОКВЭД_НР!$C$3:$C$62&amp;".",","&amp;SUBSTITUTE(F439," ","")&amp;",")))*Справочник_ОКВЭД_НР!$L$10 +
  SUMPRODUCT(ISNUMBER(SEARCH(","&amp;Справочник_ОКВЭД_НР!$E$3:$E$62&amp;".",","&amp;SUBSTITUTE(F439," ","")&amp;",")))*Справочник_ОКВЭД_НР!$L$11 +
  SUMPRODUCT(ISNUMBER(SEARCH(","&amp;Справочник_ОКВЭД_НР!$G$3:$G$62&amp;".",","&amp;SUBSTITUTE(F439," ","")&amp;",")))*Справочник_ОКВЭД_НР!$L$12) /
 (SUMPRODUCT(ISNUMBER(SEARCH(","&amp;Справочник_ОКВЭД_НР!$A$3:$A$62&amp;".",","&amp;SUBSTITUTE(F439," ","")&amp;","))) +
  SUMPRODUCT(ISNUMBER(SEARCH(","&amp;Справочник_ОКВЭД_НР!$C$3:$C$62&amp;".",","&amp;SUBSTITUTE(F439," ","")&amp;","))) +
  SUMPRODUCT(ISNUMBER(SEARCH(","&amp;Справочник_ОКВЭД_НР!$E$3:$E$62&amp;".",","&amp;SUBSTITUTE(F439," ","")&amp;","))) +
  SUMPRODUCT(ISNUMBER(SEARCH(","&amp;Справочник_ОКВЭД_НР!$G$3:$G$62&amp;".",","&amp;SUBSTITUTE(F439," ","")&amp;",")))),
50)</f>
        <v>50</v>
      </c>
      <c r="K439" s="30">
        <f>IFERROR(VLOOKUP(G439,Справочник_ОКВЭД_НР!$O:$P,2,FALSE()),50)</f>
        <v>50</v>
      </c>
      <c r="L439" s="45">
        <f>(I439*Справочник_ОКВЭД_НР!$L$2+J439*Справочник_ОКВЭД_НР!$L$3+K439*Справочник_ОКВЭД_НР!$L$4)*M439</f>
        <v>38</v>
      </c>
      <c r="M439" s="47">
        <f>IF(COUNTIF(Справочник_ОКВЭД_НР!$G$3:$G$62,H439)&gt;0,0,1)</f>
        <v>1</v>
      </c>
    </row>
    <row r="440" spans="1:13" x14ac:dyDescent="0.25">
      <c r="A440" s="4">
        <f>ЛИК_дляСкорингаДП!A440</f>
        <v>1222100009471</v>
      </c>
      <c r="B440" s="4">
        <f>ЛИК_дляСкорингаДП!B440</f>
        <v>2100003016</v>
      </c>
      <c r="C440" s="4" t="str">
        <f>ЛИК_дляСкорингаДП!C440</f>
        <v>АДМИНИСТРАЦИЯ ВУРНАРСКОГО МУНИЦИПАЛЬНОГО ОКРУГА</v>
      </c>
      <c r="D440" s="5" t="str">
        <f>ЛИК_дляСкорингаДП!M440</f>
        <v>Деятельность органов местного самоуправления муниципальных округов</v>
      </c>
      <c r="E440" s="4" t="str">
        <f>ЛИК_дляСкорингаДП!L440</f>
        <v>84.11.34</v>
      </c>
      <c r="F440" t="str">
        <f>ЛИК_дляСкорингаДП!N440</f>
        <v>84.22</v>
      </c>
      <c r="G440" s="25" t="str">
        <f>ЛИК_дляСкорингаДП!AG440</f>
        <v>ОСН</v>
      </c>
      <c r="H440" s="55" t="str">
        <f>IF(ISNUMBER(E440),E440,
IFERROR(LEFT(E440,FIND(".",E440)-1),E440))</f>
        <v>84</v>
      </c>
      <c r="I440" s="30">
        <f>IF(COUNTIF(Справочник_ОКВЭД_НР!$A$3:$A$62,H440)&gt;0,Справочник_ОКВЭД_НР!$L$8,
 IF(COUNTIF(Справочник_ОКВЭД_НР!$C$3:$C$62,H440)&gt;0,Справочник_ОКВЭД_НР!$L$9,
  IF(COUNTIF(Справочник_ОКВЭД_НР!$E$3:$E$62,H440)&gt;0,Справочник_ОКВЭД_НР!$L$10,
   IF(COUNTIF(Справочник_ОКВЭД_НР!$G$3:$G$62,H440)&gt;0,Справочник_ОКВЭД_НР!$L$11,50))))</f>
        <v>0</v>
      </c>
      <c r="J440" s="30" cm="1">
        <f t="array" ref="J440">IFERROR(
 (SUMPRODUCT(ISNUMBER(SEARCH(","&amp;Справочник_ОКВЭД_НР!$A$3:$A$62&amp;".",","&amp;SUBSTITUTE(F440," ","")&amp;",")))*Справочник_ОКВЭД_НР!$L$9 +
  SUMPRODUCT(ISNUMBER(SEARCH(","&amp;Справочник_ОКВЭД_НР!$C$3:$C$62&amp;".",","&amp;SUBSTITUTE(F440," ","")&amp;",")))*Справочник_ОКВЭД_НР!$L$10 +
  SUMPRODUCT(ISNUMBER(SEARCH(","&amp;Справочник_ОКВЭД_НР!$E$3:$E$62&amp;".",","&amp;SUBSTITUTE(F440," ","")&amp;",")))*Справочник_ОКВЭД_НР!$L$11 +
  SUMPRODUCT(ISNUMBER(SEARCH(","&amp;Справочник_ОКВЭД_НР!$G$3:$G$62&amp;".",","&amp;SUBSTITUTE(F440," ","")&amp;",")))*Справочник_ОКВЭД_НР!$L$12) /
 (SUMPRODUCT(ISNUMBER(SEARCH(","&amp;Справочник_ОКВЭД_НР!$A$3:$A$62&amp;".",","&amp;SUBSTITUTE(F440," ","")&amp;","))) +
  SUMPRODUCT(ISNUMBER(SEARCH(","&amp;Справочник_ОКВЭД_НР!$C$3:$C$62&amp;".",","&amp;SUBSTITUTE(F440," ","")&amp;","))) +
  SUMPRODUCT(ISNUMBER(SEARCH(","&amp;Справочник_ОКВЭД_НР!$E$3:$E$62&amp;".",","&amp;SUBSTITUTE(F440," ","")&amp;","))) +
  SUMPRODUCT(ISNUMBER(SEARCH(","&amp;Справочник_ОКВЭД_НР!$G$3:$G$62&amp;".",","&amp;SUBSTITUTE(F440," ","")&amp;",")))),
50)</f>
        <v>50</v>
      </c>
      <c r="K440" s="30">
        <f>IFERROR(VLOOKUP(G440,Справочник_ОКВЭД_НР!$O:$P,2,FALSE()),50)</f>
        <v>100</v>
      </c>
      <c r="L440" s="45">
        <f>(I440*Справочник_ОКВЭД_НР!$L$2+J440*Справочник_ОКВЭД_НР!$L$3+K440*Справочник_ОКВЭД_НР!$L$4)*M440</f>
        <v>0</v>
      </c>
      <c r="M440" s="47">
        <f>IF(COUNTIF(Справочник_ОКВЭД_НР!$G$3:$G$62,H440)&gt;0,0,1)</f>
        <v>0</v>
      </c>
    </row>
    <row r="441" spans="1:13" x14ac:dyDescent="0.25">
      <c r="A441" s="4">
        <f>ЛИК_дляСкорингаДП!A441</f>
        <v>1212100009186</v>
      </c>
      <c r="B441" s="4">
        <f>ЛИК_дляСкорингаДП!B441</f>
        <v>2137000082</v>
      </c>
      <c r="C441" s="4" t="str">
        <f>ЛИК_дляСкорингаДП!C441</f>
        <v>АДМИНИСТРАЦИЯ КРАСНОАРМЕЙСКОГО МУНИЦИПАЛЬНОГО ОКРУГА</v>
      </c>
      <c r="D441" s="5" t="str">
        <f>ЛИК_дляСкорингаДП!M441</f>
        <v>Деятельность органов местного самоуправления муниципальных округов</v>
      </c>
      <c r="E441" s="4" t="str">
        <f>ЛИК_дляСкорингаДП!L441</f>
        <v>84.11.34</v>
      </c>
      <c r="F441">
        <f>ЛИК_дляСкорингаДП!N441</f>
        <v>0</v>
      </c>
      <c r="G441" s="25" t="str">
        <f>ЛИК_дляСкорингаДП!AG441</f>
        <v>ОСН</v>
      </c>
      <c r="H441" s="55" t="str">
        <f>IF(ISNUMBER(E441),E441,
IFERROR(LEFT(E441,FIND(".",E441)-1),E441))</f>
        <v>84</v>
      </c>
      <c r="I441" s="30">
        <f>IF(COUNTIF(Справочник_ОКВЭД_НР!$A$3:$A$62,H441)&gt;0,Справочник_ОКВЭД_НР!$L$8,
 IF(COUNTIF(Справочник_ОКВЭД_НР!$C$3:$C$62,H441)&gt;0,Справочник_ОКВЭД_НР!$L$9,
  IF(COUNTIF(Справочник_ОКВЭД_НР!$E$3:$E$62,H441)&gt;0,Справочник_ОКВЭД_НР!$L$10,
   IF(COUNTIF(Справочник_ОКВЭД_НР!$G$3:$G$62,H441)&gt;0,Справочник_ОКВЭД_НР!$L$11,50))))</f>
        <v>0</v>
      </c>
      <c r="J441" s="30" cm="1">
        <f t="array" ref="J441">IFERROR(
 (SUMPRODUCT(ISNUMBER(SEARCH(","&amp;Справочник_ОКВЭД_НР!$A$3:$A$62&amp;".",","&amp;SUBSTITUTE(F441," ","")&amp;",")))*Справочник_ОКВЭД_НР!$L$9 +
  SUMPRODUCT(ISNUMBER(SEARCH(","&amp;Справочник_ОКВЭД_НР!$C$3:$C$62&amp;".",","&amp;SUBSTITUTE(F441," ","")&amp;",")))*Справочник_ОКВЭД_НР!$L$10 +
  SUMPRODUCT(ISNUMBER(SEARCH(","&amp;Справочник_ОКВЭД_НР!$E$3:$E$62&amp;".",","&amp;SUBSTITUTE(F441," ","")&amp;",")))*Справочник_ОКВЭД_НР!$L$11 +
  SUMPRODUCT(ISNUMBER(SEARCH(","&amp;Справочник_ОКВЭД_НР!$G$3:$G$62&amp;".",","&amp;SUBSTITUTE(F441," ","")&amp;",")))*Справочник_ОКВЭД_НР!$L$12) /
 (SUMPRODUCT(ISNUMBER(SEARCH(","&amp;Справочник_ОКВЭД_НР!$A$3:$A$62&amp;".",","&amp;SUBSTITUTE(F441," ","")&amp;","))) +
  SUMPRODUCT(ISNUMBER(SEARCH(","&amp;Справочник_ОКВЭД_НР!$C$3:$C$62&amp;".",","&amp;SUBSTITUTE(F441," ","")&amp;","))) +
  SUMPRODUCT(ISNUMBER(SEARCH(","&amp;Справочник_ОКВЭД_НР!$E$3:$E$62&amp;".",","&amp;SUBSTITUTE(F441," ","")&amp;","))) +
  SUMPRODUCT(ISNUMBER(SEARCH(","&amp;Справочник_ОКВЭД_НР!$G$3:$G$62&amp;".",","&amp;SUBSTITUTE(F441," ","")&amp;",")))),
50)</f>
        <v>50</v>
      </c>
      <c r="K441" s="30">
        <f>IFERROR(VLOOKUP(G441,Справочник_ОКВЭД_НР!$O:$P,2,FALSE()),50)</f>
        <v>100</v>
      </c>
      <c r="L441" s="45">
        <f>(I441*Справочник_ОКВЭД_НР!$L$2+J441*Справочник_ОКВЭД_НР!$L$3+K441*Справочник_ОКВЭД_НР!$L$4)*M441</f>
        <v>0</v>
      </c>
      <c r="M441" s="47">
        <f>IF(COUNTIF(Справочник_ОКВЭД_НР!$G$3:$G$62,H441)&gt;0,0,1)</f>
        <v>0</v>
      </c>
    </row>
    <row r="442" spans="1:13" x14ac:dyDescent="0.25">
      <c r="A442" s="4">
        <f>ЛИК_дляСкорингаДП!A442</f>
        <v>1182130013350</v>
      </c>
      <c r="B442" s="4">
        <f>ЛИК_дляСкорингаДП!B442</f>
        <v>2122007783</v>
      </c>
      <c r="C442" s="4" t="str">
        <f>ЛИК_дляСкорингаДП!C442</f>
        <v>ТСН (ЖИЛЬЯ) "ПИРОГОВА 10"</v>
      </c>
      <c r="D442" s="5" t="str">
        <f>ЛИК_дляСкорингаДП!M442</f>
        <v>Управление эксплуатацией жилого фонда за вознаграждение или на договорной основе</v>
      </c>
      <c r="E442" s="4" t="str">
        <f>ЛИК_дляСкорингаДП!L442</f>
        <v>68.32.1</v>
      </c>
      <c r="F442" t="str">
        <f>ЛИК_дляСкорингаДП!N442</f>
        <v>68.32</v>
      </c>
      <c r="G442" s="25" t="str">
        <f>ЛИК_дляСкорингаДП!AG442</f>
        <v>ОСН</v>
      </c>
      <c r="H442" s="55" t="str">
        <f>IF(ISNUMBER(E442),E442,
IFERROR(LEFT(E442,FIND(".",E442)-1),E442))</f>
        <v>68</v>
      </c>
      <c r="I442" s="30">
        <f>IF(COUNTIF(Справочник_ОКВЭД_НР!$A$3:$A$62,H442)&gt;0,Справочник_ОКВЭД_НР!$L$8,
 IF(COUNTIF(Справочник_ОКВЭД_НР!$C$3:$C$62,H442)&gt;0,Справочник_ОКВЭД_НР!$L$9,
  IF(COUNTIF(Справочник_ОКВЭД_НР!$E$3:$E$62,H442)&gt;0,Справочник_ОКВЭД_НР!$L$10,
   IF(COUNTIF(Справочник_ОКВЭД_НР!$G$3:$G$62,H442)&gt;0,Справочник_ОКВЭД_НР!$L$11,50))))</f>
        <v>100</v>
      </c>
      <c r="J442" s="30" cm="1">
        <f t="array" ref="J442">IFERROR(
 (SUMPRODUCT(ISNUMBER(SEARCH(","&amp;Справочник_ОКВЭД_НР!$A$3:$A$62&amp;".",","&amp;SUBSTITUTE(F442," ","")&amp;",")))*Справочник_ОКВЭД_НР!$L$9 +
  SUMPRODUCT(ISNUMBER(SEARCH(","&amp;Справочник_ОКВЭД_НР!$C$3:$C$62&amp;".",","&amp;SUBSTITUTE(F442," ","")&amp;",")))*Справочник_ОКВЭД_НР!$L$10 +
  SUMPRODUCT(ISNUMBER(SEARCH(","&amp;Справочник_ОКВЭД_НР!$E$3:$E$62&amp;".",","&amp;SUBSTITUTE(F442," ","")&amp;",")))*Справочник_ОКВЭД_НР!$L$11 +
  SUMPRODUCT(ISNUMBER(SEARCH(","&amp;Справочник_ОКВЭД_НР!$G$3:$G$62&amp;".",","&amp;SUBSTITUTE(F442," ","")&amp;",")))*Справочник_ОКВЭД_НР!$L$12) /
 (SUMPRODUCT(ISNUMBER(SEARCH(","&amp;Справочник_ОКВЭД_НР!$A$3:$A$62&amp;".",","&amp;SUBSTITUTE(F442," ","")&amp;","))) +
  SUMPRODUCT(ISNUMBER(SEARCH(","&amp;Справочник_ОКВЭД_НР!$C$3:$C$62&amp;".",","&amp;SUBSTITUTE(F442," ","")&amp;","))) +
  SUMPRODUCT(ISNUMBER(SEARCH(","&amp;Справочник_ОКВЭД_НР!$E$3:$E$62&amp;".",","&amp;SUBSTITUTE(F442," ","")&amp;","))) +
  SUMPRODUCT(ISNUMBER(SEARCH(","&amp;Справочник_ОКВЭД_НР!$G$3:$G$62&amp;".",","&amp;SUBSTITUTE(F442," ","")&amp;",")))),
50)</f>
        <v>50</v>
      </c>
      <c r="K442" s="30">
        <f>IFERROR(VLOOKUP(G442,Справочник_ОКВЭД_НР!$O:$P,2,FALSE()),50)</f>
        <v>100</v>
      </c>
      <c r="L442" s="45">
        <f>(I442*Справочник_ОКВЭД_НР!$L$2+J442*Справочник_ОКВЭД_НР!$L$3+K442*Справочник_ОКВЭД_НР!$L$4)*M442</f>
        <v>87.5</v>
      </c>
      <c r="M442" s="47">
        <f>IF(COUNTIF(Справочник_ОКВЭД_НР!$G$3:$G$62,H442)&gt;0,0,1)</f>
        <v>1</v>
      </c>
    </row>
    <row r="443" spans="1:13" x14ac:dyDescent="0.25">
      <c r="A443" s="4">
        <f>ЛИК_дляСкорингаДП!A443</f>
        <v>1222100009405</v>
      </c>
      <c r="B443" s="4">
        <f>ЛИК_дляСкорингаДП!B443</f>
        <v>2100002943</v>
      </c>
      <c r="C443" s="4" t="str">
        <f>ЛИК_дляСкорингаДП!C443</f>
        <v>АДМИНИСТРАЦИЯ КРАСНОЧЕТАЙСКОГО МУНИЦИПАЛЬНОГО ОКРУГА</v>
      </c>
      <c r="D443" s="5" t="str">
        <f>ЛИК_дляСкорингаДП!M443</f>
        <v>Деятельность органов местного самоуправления муниципальных округов</v>
      </c>
      <c r="E443" s="4" t="str">
        <f>ЛИК_дляСкорингаДП!L443</f>
        <v>84.11.34</v>
      </c>
      <c r="F443">
        <f>ЛИК_дляСкорингаДП!N443</f>
        <v>0</v>
      </c>
      <c r="G443" s="25" t="str">
        <f>ЛИК_дляСкорингаДП!AG443</f>
        <v>ОСН</v>
      </c>
      <c r="H443" s="55" t="str">
        <f>IF(ISNUMBER(E443),E443,
IFERROR(LEFT(E443,FIND(".",E443)-1),E443))</f>
        <v>84</v>
      </c>
      <c r="I443" s="30">
        <f>IF(COUNTIF(Справочник_ОКВЭД_НР!$A$3:$A$62,H443)&gt;0,Справочник_ОКВЭД_НР!$L$8,
 IF(COUNTIF(Справочник_ОКВЭД_НР!$C$3:$C$62,H443)&gt;0,Справочник_ОКВЭД_НР!$L$9,
  IF(COUNTIF(Справочник_ОКВЭД_НР!$E$3:$E$62,H443)&gt;0,Справочник_ОКВЭД_НР!$L$10,
   IF(COUNTIF(Справочник_ОКВЭД_НР!$G$3:$G$62,H443)&gt;0,Справочник_ОКВЭД_НР!$L$11,50))))</f>
        <v>0</v>
      </c>
      <c r="J443" s="30" cm="1">
        <f t="array" ref="J443">IFERROR(
 (SUMPRODUCT(ISNUMBER(SEARCH(","&amp;Справочник_ОКВЭД_НР!$A$3:$A$62&amp;".",","&amp;SUBSTITUTE(F443," ","")&amp;",")))*Справочник_ОКВЭД_НР!$L$9 +
  SUMPRODUCT(ISNUMBER(SEARCH(","&amp;Справочник_ОКВЭД_НР!$C$3:$C$62&amp;".",","&amp;SUBSTITUTE(F443," ","")&amp;",")))*Справочник_ОКВЭД_НР!$L$10 +
  SUMPRODUCT(ISNUMBER(SEARCH(","&amp;Справочник_ОКВЭД_НР!$E$3:$E$62&amp;".",","&amp;SUBSTITUTE(F443," ","")&amp;",")))*Справочник_ОКВЭД_НР!$L$11 +
  SUMPRODUCT(ISNUMBER(SEARCH(","&amp;Справочник_ОКВЭД_НР!$G$3:$G$62&amp;".",","&amp;SUBSTITUTE(F443," ","")&amp;",")))*Справочник_ОКВЭД_НР!$L$12) /
 (SUMPRODUCT(ISNUMBER(SEARCH(","&amp;Справочник_ОКВЭД_НР!$A$3:$A$62&amp;".",","&amp;SUBSTITUTE(F443," ","")&amp;","))) +
  SUMPRODUCT(ISNUMBER(SEARCH(","&amp;Справочник_ОКВЭД_НР!$C$3:$C$62&amp;".",","&amp;SUBSTITUTE(F443," ","")&amp;","))) +
  SUMPRODUCT(ISNUMBER(SEARCH(","&amp;Справочник_ОКВЭД_НР!$E$3:$E$62&amp;".",","&amp;SUBSTITUTE(F443," ","")&amp;","))) +
  SUMPRODUCT(ISNUMBER(SEARCH(","&amp;Справочник_ОКВЭД_НР!$G$3:$G$62&amp;".",","&amp;SUBSTITUTE(F443," ","")&amp;",")))),
50)</f>
        <v>50</v>
      </c>
      <c r="K443" s="30">
        <f>IFERROR(VLOOKUP(G443,Справочник_ОКВЭД_НР!$O:$P,2,FALSE()),50)</f>
        <v>100</v>
      </c>
      <c r="L443" s="45">
        <f>(I443*Справочник_ОКВЭД_НР!$L$2+J443*Справочник_ОКВЭД_НР!$L$3+K443*Справочник_ОКВЭД_НР!$L$4)*M443</f>
        <v>0</v>
      </c>
      <c r="M443" s="47">
        <f>IF(COUNTIF(Справочник_ОКВЭД_НР!$G$3:$G$62,H443)&gt;0,0,1)</f>
        <v>0</v>
      </c>
    </row>
    <row r="444" spans="1:13" x14ac:dyDescent="0.25">
      <c r="A444" s="4">
        <f>ЛИК_дляСкорингаДП!A444</f>
        <v>1222100009207</v>
      </c>
      <c r="B444" s="4">
        <f>ЛИК_дляСкорингаДП!B444</f>
        <v>2100002742</v>
      </c>
      <c r="C444" s="4" t="str">
        <f>ЛИК_дляСкорингаДП!C444</f>
        <v>АДМИНИСТРАЦИЯ УРМАРСКОГО МУНИЦИПАЛЬНОГО ОКРУГА</v>
      </c>
      <c r="D444" s="5" t="str">
        <f>ЛИК_дляСкорингаДП!M444</f>
        <v>Деятельность органов местного самоуправления муниципальных округов</v>
      </c>
      <c r="E444" s="4" t="str">
        <f>ЛИК_дляСкорингаДП!L444</f>
        <v>84.11.34</v>
      </c>
      <c r="F444">
        <f>ЛИК_дляСкорингаДП!N444</f>
        <v>0</v>
      </c>
      <c r="G444" s="25" t="str">
        <f>ЛИК_дляСкорингаДП!AG444</f>
        <v>ОСН</v>
      </c>
      <c r="H444" s="55" t="str">
        <f>IF(ISNUMBER(E444),E444,
IFERROR(LEFT(E444,FIND(".",E444)-1),E444))</f>
        <v>84</v>
      </c>
      <c r="I444" s="30">
        <f>IF(COUNTIF(Справочник_ОКВЭД_НР!$A$3:$A$62,H444)&gt;0,Справочник_ОКВЭД_НР!$L$8,
 IF(COUNTIF(Справочник_ОКВЭД_НР!$C$3:$C$62,H444)&gt;0,Справочник_ОКВЭД_НР!$L$9,
  IF(COUNTIF(Справочник_ОКВЭД_НР!$E$3:$E$62,H444)&gt;0,Справочник_ОКВЭД_НР!$L$10,
   IF(COUNTIF(Справочник_ОКВЭД_НР!$G$3:$G$62,H444)&gt;0,Справочник_ОКВЭД_НР!$L$11,50))))</f>
        <v>0</v>
      </c>
      <c r="J444" s="30" cm="1">
        <f t="array" ref="J444">IFERROR(
 (SUMPRODUCT(ISNUMBER(SEARCH(","&amp;Справочник_ОКВЭД_НР!$A$3:$A$62&amp;".",","&amp;SUBSTITUTE(F444," ","")&amp;",")))*Справочник_ОКВЭД_НР!$L$9 +
  SUMPRODUCT(ISNUMBER(SEARCH(","&amp;Справочник_ОКВЭД_НР!$C$3:$C$62&amp;".",","&amp;SUBSTITUTE(F444," ","")&amp;",")))*Справочник_ОКВЭД_НР!$L$10 +
  SUMPRODUCT(ISNUMBER(SEARCH(","&amp;Справочник_ОКВЭД_НР!$E$3:$E$62&amp;".",","&amp;SUBSTITUTE(F444," ","")&amp;",")))*Справочник_ОКВЭД_НР!$L$11 +
  SUMPRODUCT(ISNUMBER(SEARCH(","&amp;Справочник_ОКВЭД_НР!$G$3:$G$62&amp;".",","&amp;SUBSTITUTE(F444," ","")&amp;",")))*Справочник_ОКВЭД_НР!$L$12) /
 (SUMPRODUCT(ISNUMBER(SEARCH(","&amp;Справочник_ОКВЭД_НР!$A$3:$A$62&amp;".",","&amp;SUBSTITUTE(F444," ","")&amp;","))) +
  SUMPRODUCT(ISNUMBER(SEARCH(","&amp;Справочник_ОКВЭД_НР!$C$3:$C$62&amp;".",","&amp;SUBSTITUTE(F444," ","")&amp;","))) +
  SUMPRODUCT(ISNUMBER(SEARCH(","&amp;Справочник_ОКВЭД_НР!$E$3:$E$62&amp;".",","&amp;SUBSTITUTE(F444," ","")&amp;","))) +
  SUMPRODUCT(ISNUMBER(SEARCH(","&amp;Справочник_ОКВЭД_НР!$G$3:$G$62&amp;".",","&amp;SUBSTITUTE(F444," ","")&amp;",")))),
50)</f>
        <v>50</v>
      </c>
      <c r="K444" s="30">
        <f>IFERROR(VLOOKUP(G444,Справочник_ОКВЭД_НР!$O:$P,2,FALSE()),50)</f>
        <v>100</v>
      </c>
      <c r="L444" s="45">
        <f>(I444*Справочник_ОКВЭД_НР!$L$2+J444*Справочник_ОКВЭД_НР!$L$3+K444*Справочник_ОКВЭД_НР!$L$4)*M444</f>
        <v>0</v>
      </c>
      <c r="M444" s="47">
        <f>IF(COUNTIF(Справочник_ОКВЭД_НР!$G$3:$G$62,H444)&gt;0,0,1)</f>
        <v>0</v>
      </c>
    </row>
    <row r="445" spans="1:13" x14ac:dyDescent="0.25">
      <c r="A445" s="4">
        <f>ЛИК_дляСкорингаДП!A445</f>
        <v>1192130009125</v>
      </c>
      <c r="B445" s="4">
        <f>ЛИК_дляСкорингаДП!B445</f>
        <v>2122007896</v>
      </c>
      <c r="C445" s="4" t="str">
        <f>ЛИК_дляСкорингаДП!C445</f>
        <v>ЧРОО "ГРАЖДАНСКИЙ КОНТРОЛЬ"</v>
      </c>
      <c r="D445" s="5" t="str">
        <f>ЛИК_дляСкорингаДП!M445</f>
        <v>Деятельность прочих общественных организаций и некоммерческих организаций, кроме религиозных и политических организаций</v>
      </c>
      <c r="E445" s="4" t="str">
        <f>ЛИК_дляСкорингаДП!L445</f>
        <v>94.99</v>
      </c>
      <c r="F445">
        <f>ЛИК_дляСкорингаДП!N445</f>
        <v>0</v>
      </c>
      <c r="G445" s="25" t="str">
        <f>ЛИК_дляСкорингаДП!AG445</f>
        <v>ОСН</v>
      </c>
      <c r="H445" s="55" t="str">
        <f>IF(ISNUMBER(E445),E445,
IFERROR(LEFT(E445,FIND(".",E445)-1),E445))</f>
        <v>94</v>
      </c>
      <c r="I445" s="30">
        <f>IF(COUNTIF(Справочник_ОКВЭД_НР!$A$3:$A$62,H445)&gt;0,Справочник_ОКВЭД_НР!$L$8,
 IF(COUNTIF(Справочник_ОКВЭД_НР!$C$3:$C$62,H445)&gt;0,Справочник_ОКВЭД_НР!$L$9,
  IF(COUNTIF(Справочник_ОКВЭД_НР!$E$3:$E$62,H445)&gt;0,Справочник_ОКВЭД_НР!$L$10,
   IF(COUNTIF(Справочник_ОКВЭД_НР!$G$3:$G$62,H445)&gt;0,Справочник_ОКВЭД_НР!$L$11,50))))</f>
        <v>0</v>
      </c>
      <c r="J445" s="30" cm="1">
        <f t="array" ref="J445">IFERROR(
 (SUMPRODUCT(ISNUMBER(SEARCH(","&amp;Справочник_ОКВЭД_НР!$A$3:$A$62&amp;".",","&amp;SUBSTITUTE(F445," ","")&amp;",")))*Справочник_ОКВЭД_НР!$L$9 +
  SUMPRODUCT(ISNUMBER(SEARCH(","&amp;Справочник_ОКВЭД_НР!$C$3:$C$62&amp;".",","&amp;SUBSTITUTE(F445," ","")&amp;",")))*Справочник_ОКВЭД_НР!$L$10 +
  SUMPRODUCT(ISNUMBER(SEARCH(","&amp;Справочник_ОКВЭД_НР!$E$3:$E$62&amp;".",","&amp;SUBSTITUTE(F445," ","")&amp;",")))*Справочник_ОКВЭД_НР!$L$11 +
  SUMPRODUCT(ISNUMBER(SEARCH(","&amp;Справочник_ОКВЭД_НР!$G$3:$G$62&amp;".",","&amp;SUBSTITUTE(F445," ","")&amp;",")))*Справочник_ОКВЭД_НР!$L$12) /
 (SUMPRODUCT(ISNUMBER(SEARCH(","&amp;Справочник_ОКВЭД_НР!$A$3:$A$62&amp;".",","&amp;SUBSTITUTE(F445," ","")&amp;","))) +
  SUMPRODUCT(ISNUMBER(SEARCH(","&amp;Справочник_ОКВЭД_НР!$C$3:$C$62&amp;".",","&amp;SUBSTITUTE(F445," ","")&amp;","))) +
  SUMPRODUCT(ISNUMBER(SEARCH(","&amp;Справочник_ОКВЭД_НР!$E$3:$E$62&amp;".",","&amp;SUBSTITUTE(F445," ","")&amp;","))) +
  SUMPRODUCT(ISNUMBER(SEARCH(","&amp;Справочник_ОКВЭД_НР!$G$3:$G$62&amp;".",","&amp;SUBSTITUTE(F445," ","")&amp;",")))),
50)</f>
        <v>50</v>
      </c>
      <c r="K445" s="30">
        <f>IFERROR(VLOOKUP(G445,Справочник_ОКВЭД_НР!$O:$P,2,FALSE()),50)</f>
        <v>100</v>
      </c>
      <c r="L445" s="45">
        <f>(I445*Справочник_ОКВЭД_НР!$L$2+J445*Справочник_ОКВЭД_НР!$L$3+K445*Справочник_ОКВЭД_НР!$L$4)*M445</f>
        <v>0</v>
      </c>
      <c r="M445" s="47">
        <f>IF(COUNTIF(Справочник_ОКВЭД_НР!$G$3:$G$62,H445)&gt;0,0,1)</f>
        <v>0</v>
      </c>
    </row>
    <row r="446" spans="1:13" x14ac:dyDescent="0.25">
      <c r="A446" s="4">
        <f>ЛИК_дляСкорингаДП!A446</f>
        <v>1022102830089</v>
      </c>
      <c r="B446" s="4">
        <f>ЛИК_дляСкорингаДП!B446</f>
        <v>2109100078</v>
      </c>
      <c r="C446" s="4" t="str">
        <f>ЛИК_дляСкорингаДП!C446</f>
        <v>МБОУ  "ПИКШИКСКАЯ ООШ"</v>
      </c>
      <c r="D446" s="5" t="str">
        <f>ЛИК_дляСкорингаДП!M446</f>
        <v>Образование среднее общее</v>
      </c>
      <c r="E446" s="4" t="str">
        <f>ЛИК_дляСкорингаДП!L446</f>
        <v>85.14</v>
      </c>
      <c r="F446" t="str">
        <f>ЛИК_дляСкорингаДП!N446</f>
        <v>85.11,85.11,85.12,85.13,85.14,85.41</v>
      </c>
      <c r="G446" s="25" t="str">
        <f>ЛИК_дляСкорингаДП!AG446</f>
        <v>ОСН</v>
      </c>
      <c r="H446" s="55" t="str">
        <f>IF(ISNUMBER(E446),E446,
IFERROR(LEFT(E446,FIND(".",E446)-1),E446))</f>
        <v>85</v>
      </c>
      <c r="I446" s="30">
        <f>IF(COUNTIF(Справочник_ОКВЭД_НР!$A$3:$A$62,H446)&gt;0,Справочник_ОКВЭД_НР!$L$8,
 IF(COUNTIF(Справочник_ОКВЭД_НР!$C$3:$C$62,H446)&gt;0,Справочник_ОКВЭД_НР!$L$9,
  IF(COUNTIF(Справочник_ОКВЭД_НР!$E$3:$E$62,H446)&gt;0,Справочник_ОКВЭД_НР!$L$10,
   IF(COUNTIF(Справочник_ОКВЭД_НР!$G$3:$G$62,H446)&gt;0,Справочник_ОКВЭД_НР!$L$11,50))))</f>
        <v>30</v>
      </c>
      <c r="J446" s="30" cm="1">
        <f t="array" ref="J446">IFERROR(
 (SUMPRODUCT(ISNUMBER(SEARCH(","&amp;Справочник_ОКВЭД_НР!$A$3:$A$62&amp;".",","&amp;SUBSTITUTE(F446," ","")&amp;",")))*Справочник_ОКВЭД_НР!$L$9 +
  SUMPRODUCT(ISNUMBER(SEARCH(","&amp;Справочник_ОКВЭД_НР!$C$3:$C$62&amp;".",","&amp;SUBSTITUTE(F446," ","")&amp;",")))*Справочник_ОКВЭД_НР!$L$10 +
  SUMPRODUCT(ISNUMBER(SEARCH(","&amp;Справочник_ОКВЭД_НР!$E$3:$E$62&amp;".",","&amp;SUBSTITUTE(F446," ","")&amp;",")))*Справочник_ОКВЭД_НР!$L$11 +
  SUMPRODUCT(ISNUMBER(SEARCH(","&amp;Справочник_ОКВЭД_НР!$G$3:$G$62&amp;".",","&amp;SUBSTITUTE(F446," ","")&amp;",")))*Справочник_ОКВЭД_НР!$L$12) /
 (SUMPRODUCT(ISNUMBER(SEARCH(","&amp;Справочник_ОКВЭД_НР!$A$3:$A$62&amp;".",","&amp;SUBSTITUTE(F446," ","")&amp;","))) +
  SUMPRODUCT(ISNUMBER(SEARCH(","&amp;Справочник_ОКВЭД_НР!$C$3:$C$62&amp;".",","&amp;SUBSTITUTE(F446," ","")&amp;","))) +
  SUMPRODUCT(ISNUMBER(SEARCH(","&amp;Справочник_ОКВЭД_НР!$E$3:$E$62&amp;".",","&amp;SUBSTITUTE(F446," ","")&amp;","))) +
  SUMPRODUCT(ISNUMBER(SEARCH(","&amp;Справочник_ОКВЭД_НР!$G$3:$G$62&amp;".",","&amp;SUBSTITUTE(F446," ","")&amp;",")))),
50)</f>
        <v>50</v>
      </c>
      <c r="K446" s="30">
        <f>IFERROR(VLOOKUP(G446,Справочник_ОКВЭД_НР!$O:$P,2,FALSE()),50)</f>
        <v>100</v>
      </c>
      <c r="L446" s="45">
        <f>(I446*Справочник_ОКВЭД_НР!$L$2+J446*Справочник_ОКВЭД_НР!$L$3+K446*Справочник_ОКВЭД_НР!$L$4)*M446</f>
        <v>45.5</v>
      </c>
      <c r="M446" s="47">
        <f>IF(COUNTIF(Справочник_ОКВЭД_НР!$G$3:$G$62,H446)&gt;0,0,1)</f>
        <v>1</v>
      </c>
    </row>
    <row r="447" spans="1:13" x14ac:dyDescent="0.25">
      <c r="A447" s="4">
        <f>ЛИК_дляСкорингаДП!A447</f>
        <v>1022102829649</v>
      </c>
      <c r="B447" s="4">
        <f>ЛИК_дляСкорингаДП!B447</f>
        <v>2109002070</v>
      </c>
      <c r="C447" s="4" t="str">
        <f>ЛИК_дляСкорингаДП!C447</f>
        <v>МБОУ "ЯНШИХОВО-ЧЕЛЛИНСКАЯ ООШ"</v>
      </c>
      <c r="D447" s="5" t="str">
        <f>ЛИК_дляСкорингаДП!M447</f>
        <v>Образование среднее общее</v>
      </c>
      <c r="E447" s="4" t="str">
        <f>ЛИК_дляСкорингаДП!L447</f>
        <v>85.14</v>
      </c>
      <c r="F447" t="str">
        <f>ЛИК_дляСкорингаДП!N447</f>
        <v>85.11,85.11,85.12,85.13,85.14,85.41</v>
      </c>
      <c r="G447" s="25" t="str">
        <f>ЛИК_дляСкорингаДП!AG447</f>
        <v>ОСН</v>
      </c>
      <c r="H447" s="55" t="str">
        <f>IF(ISNUMBER(E447),E447,
IFERROR(LEFT(E447,FIND(".",E447)-1),E447))</f>
        <v>85</v>
      </c>
      <c r="I447" s="30">
        <f>IF(COUNTIF(Справочник_ОКВЭД_НР!$A$3:$A$62,H447)&gt;0,Справочник_ОКВЭД_НР!$L$8,
 IF(COUNTIF(Справочник_ОКВЭД_НР!$C$3:$C$62,H447)&gt;0,Справочник_ОКВЭД_НР!$L$9,
  IF(COUNTIF(Справочник_ОКВЭД_НР!$E$3:$E$62,H447)&gt;0,Справочник_ОКВЭД_НР!$L$10,
   IF(COUNTIF(Справочник_ОКВЭД_НР!$G$3:$G$62,H447)&gt;0,Справочник_ОКВЭД_НР!$L$11,50))))</f>
        <v>30</v>
      </c>
      <c r="J447" s="30" cm="1">
        <f t="array" ref="J447">IFERROR(
 (SUMPRODUCT(ISNUMBER(SEARCH(","&amp;Справочник_ОКВЭД_НР!$A$3:$A$62&amp;".",","&amp;SUBSTITUTE(F447," ","")&amp;",")))*Справочник_ОКВЭД_НР!$L$9 +
  SUMPRODUCT(ISNUMBER(SEARCH(","&amp;Справочник_ОКВЭД_НР!$C$3:$C$62&amp;".",","&amp;SUBSTITUTE(F447," ","")&amp;",")))*Справочник_ОКВЭД_НР!$L$10 +
  SUMPRODUCT(ISNUMBER(SEARCH(","&amp;Справочник_ОКВЭД_НР!$E$3:$E$62&amp;".",","&amp;SUBSTITUTE(F447," ","")&amp;",")))*Справочник_ОКВЭД_НР!$L$11 +
  SUMPRODUCT(ISNUMBER(SEARCH(","&amp;Справочник_ОКВЭД_НР!$G$3:$G$62&amp;".",","&amp;SUBSTITUTE(F447," ","")&amp;",")))*Справочник_ОКВЭД_НР!$L$12) /
 (SUMPRODUCT(ISNUMBER(SEARCH(","&amp;Справочник_ОКВЭД_НР!$A$3:$A$62&amp;".",","&amp;SUBSTITUTE(F447," ","")&amp;","))) +
  SUMPRODUCT(ISNUMBER(SEARCH(","&amp;Справочник_ОКВЭД_НР!$C$3:$C$62&amp;".",","&amp;SUBSTITUTE(F447," ","")&amp;","))) +
  SUMPRODUCT(ISNUMBER(SEARCH(","&amp;Справочник_ОКВЭД_НР!$E$3:$E$62&amp;".",","&amp;SUBSTITUTE(F447," ","")&amp;","))) +
  SUMPRODUCT(ISNUMBER(SEARCH(","&amp;Справочник_ОКВЭД_НР!$G$3:$G$62&amp;".",","&amp;SUBSTITUTE(F447," ","")&amp;",")))),
50)</f>
        <v>50</v>
      </c>
      <c r="K447" s="30">
        <f>IFERROR(VLOOKUP(G447,Справочник_ОКВЭД_НР!$O:$P,2,FALSE()),50)</f>
        <v>100</v>
      </c>
      <c r="L447" s="45">
        <f>(I447*Справочник_ОКВЭД_НР!$L$2+J447*Справочник_ОКВЭД_НР!$L$3+K447*Справочник_ОКВЭД_НР!$L$4)*M447</f>
        <v>45.5</v>
      </c>
      <c r="M447" s="47">
        <f>IF(COUNTIF(Справочник_ОКВЭД_НР!$G$3:$G$62,H447)&gt;0,0,1)</f>
        <v>1</v>
      </c>
    </row>
    <row r="448" spans="1:13" x14ac:dyDescent="0.25">
      <c r="A448" s="4">
        <f>ЛИК_дляСкорингаДП!A448</f>
        <v>1032132002869</v>
      </c>
      <c r="B448" s="4">
        <f>ЛИК_дляСкорингаДП!B448</f>
        <v>2117002540</v>
      </c>
      <c r="C448" s="4" t="str">
        <f>ЛИК_дляСкорингаДП!C448</f>
        <v>МБОУ "ШЕМУРШИНСКАЯ СОШ"</v>
      </c>
      <c r="D448" s="5" t="str">
        <f>ЛИК_дляСкорингаДП!M448</f>
        <v>Образование среднее общее</v>
      </c>
      <c r="E448" s="4" t="str">
        <f>ЛИК_дляСкорингаДП!L448</f>
        <v>85.14</v>
      </c>
      <c r="F448" t="str">
        <f>ЛИК_дляСкорингаДП!N448</f>
        <v>85.11,85.12,85.13,85.14,85.41,85.41.9,85.41.91,88.10,88.91</v>
      </c>
      <c r="G448" s="25" t="str">
        <f>ЛИК_дляСкорингаДП!AG448</f>
        <v>ОСН</v>
      </c>
      <c r="H448" s="55" t="str">
        <f>IF(ISNUMBER(E448),E448,
IFERROR(LEFT(E448,FIND(".",E448)-1),E448))</f>
        <v>85</v>
      </c>
      <c r="I448" s="30">
        <f>IF(COUNTIF(Справочник_ОКВЭД_НР!$A$3:$A$62,H448)&gt;0,Справочник_ОКВЭД_НР!$L$8,
 IF(COUNTIF(Справочник_ОКВЭД_НР!$C$3:$C$62,H448)&gt;0,Справочник_ОКВЭД_НР!$L$9,
  IF(COUNTIF(Справочник_ОКВЭД_НР!$E$3:$E$62,H448)&gt;0,Справочник_ОКВЭД_НР!$L$10,
   IF(COUNTIF(Справочник_ОКВЭД_НР!$G$3:$G$62,H448)&gt;0,Справочник_ОКВЭД_НР!$L$11,50))))</f>
        <v>30</v>
      </c>
      <c r="J448" s="30" cm="1">
        <f t="array" ref="J448">IFERROR(
 (SUMPRODUCT(ISNUMBER(SEARCH(","&amp;Справочник_ОКВЭД_НР!$A$3:$A$62&amp;".",","&amp;SUBSTITUTE(F448," ","")&amp;",")))*Справочник_ОКВЭД_НР!$L$9 +
  SUMPRODUCT(ISNUMBER(SEARCH(","&amp;Справочник_ОКВЭД_НР!$C$3:$C$62&amp;".",","&amp;SUBSTITUTE(F448," ","")&amp;",")))*Справочник_ОКВЭД_НР!$L$10 +
  SUMPRODUCT(ISNUMBER(SEARCH(","&amp;Справочник_ОКВЭД_НР!$E$3:$E$62&amp;".",","&amp;SUBSTITUTE(F448," ","")&amp;",")))*Справочник_ОКВЭД_НР!$L$11 +
  SUMPRODUCT(ISNUMBER(SEARCH(","&amp;Справочник_ОКВЭД_НР!$G$3:$G$62&amp;".",","&amp;SUBSTITUTE(F448," ","")&amp;",")))*Справочник_ОКВЭД_НР!$L$12) /
 (SUMPRODUCT(ISNUMBER(SEARCH(","&amp;Справочник_ОКВЭД_НР!$A$3:$A$62&amp;".",","&amp;SUBSTITUTE(F448," ","")&amp;","))) +
  SUMPRODUCT(ISNUMBER(SEARCH(","&amp;Справочник_ОКВЭД_НР!$C$3:$C$62&amp;".",","&amp;SUBSTITUTE(F448," ","")&amp;","))) +
  SUMPRODUCT(ISNUMBER(SEARCH(","&amp;Справочник_ОКВЭД_НР!$E$3:$E$62&amp;".",","&amp;SUBSTITUTE(F448," ","")&amp;","))) +
  SUMPRODUCT(ISNUMBER(SEARCH(","&amp;Справочник_ОКВЭД_НР!$G$3:$G$62&amp;".",","&amp;SUBSTITUTE(F448," ","")&amp;",")))),
50)</f>
        <v>50</v>
      </c>
      <c r="K448" s="30">
        <f>IFERROR(VLOOKUP(G448,Справочник_ОКВЭД_НР!$O:$P,2,FALSE()),50)</f>
        <v>100</v>
      </c>
      <c r="L448" s="45">
        <f>(I448*Справочник_ОКВЭД_НР!$L$2+J448*Справочник_ОКВЭД_НР!$L$3+K448*Справочник_ОКВЭД_НР!$L$4)*M448</f>
        <v>45.5</v>
      </c>
      <c r="M448" s="47">
        <f>IF(COUNTIF(Справочник_ОКВЭД_НР!$G$3:$G$62,H448)&gt;0,0,1)</f>
        <v>1</v>
      </c>
    </row>
    <row r="449" spans="1:13" x14ac:dyDescent="0.25">
      <c r="A449" s="4">
        <f>ЛИК_дляСкорингаДП!A449</f>
        <v>1052128023001</v>
      </c>
      <c r="B449" s="4">
        <f>ЛИК_дляСкорингаДП!B449</f>
        <v>2129056878</v>
      </c>
      <c r="C449" s="4" t="str">
        <f>ЛИК_дляСкорингаДП!C449</f>
        <v>УПРАВЛЕНИЕ РОСПОТРЕБНАДЗОРА ПО ЧУВАШСКОЙ РЕСПУБЛИКЕ - ЧУВАШИИ</v>
      </c>
      <c r="D449" s="5" t="str">
        <f>ЛИК_дляСкорингаДП!M449</f>
        <v>Деятельность полномочных представителей Президента Российской Федерации в регионах Российской Федерации и территориальных органов федеральных органов исполнительной власти в субъектах Российской Федерации (республиках, краях, областях)</v>
      </c>
      <c r="E449" s="4" t="str">
        <f>ЛИК_дляСкорингаДП!L449</f>
        <v>84.11.12</v>
      </c>
      <c r="F449" t="str">
        <f>ЛИК_дляСкорингаДП!N449</f>
        <v>84.11.12</v>
      </c>
      <c r="G449" s="25" t="str">
        <f>ЛИК_дляСкорингаДП!AG449</f>
        <v>ОСН</v>
      </c>
      <c r="H449" s="55" t="str">
        <f>IF(ISNUMBER(E449),E449,
IFERROR(LEFT(E449,FIND(".",E449)-1),E449))</f>
        <v>84</v>
      </c>
      <c r="I449" s="30">
        <f>IF(COUNTIF(Справочник_ОКВЭД_НР!$A$3:$A$62,H449)&gt;0,Справочник_ОКВЭД_НР!$L$8,
 IF(COUNTIF(Справочник_ОКВЭД_НР!$C$3:$C$62,H449)&gt;0,Справочник_ОКВЭД_НР!$L$9,
  IF(COUNTIF(Справочник_ОКВЭД_НР!$E$3:$E$62,H449)&gt;0,Справочник_ОКВЭД_НР!$L$10,
   IF(COUNTIF(Справочник_ОКВЭД_НР!$G$3:$G$62,H449)&gt;0,Справочник_ОКВЭД_НР!$L$11,50))))</f>
        <v>0</v>
      </c>
      <c r="J449" s="30" cm="1">
        <f t="array" ref="J449">IFERROR(
 (SUMPRODUCT(ISNUMBER(SEARCH(","&amp;Справочник_ОКВЭД_НР!$A$3:$A$62&amp;".",","&amp;SUBSTITUTE(F449," ","")&amp;",")))*Справочник_ОКВЭД_НР!$L$9 +
  SUMPRODUCT(ISNUMBER(SEARCH(","&amp;Справочник_ОКВЭД_НР!$C$3:$C$62&amp;".",","&amp;SUBSTITUTE(F449," ","")&amp;",")))*Справочник_ОКВЭД_НР!$L$10 +
  SUMPRODUCT(ISNUMBER(SEARCH(","&amp;Справочник_ОКВЭД_НР!$E$3:$E$62&amp;".",","&amp;SUBSTITUTE(F449," ","")&amp;",")))*Справочник_ОКВЭД_НР!$L$11 +
  SUMPRODUCT(ISNUMBER(SEARCH(","&amp;Справочник_ОКВЭД_НР!$G$3:$G$62&amp;".",","&amp;SUBSTITUTE(F449," ","")&amp;",")))*Справочник_ОКВЭД_НР!$L$12) /
 (SUMPRODUCT(ISNUMBER(SEARCH(","&amp;Справочник_ОКВЭД_НР!$A$3:$A$62&amp;".",","&amp;SUBSTITUTE(F449," ","")&amp;","))) +
  SUMPRODUCT(ISNUMBER(SEARCH(","&amp;Справочник_ОКВЭД_НР!$C$3:$C$62&amp;".",","&amp;SUBSTITUTE(F449," ","")&amp;","))) +
  SUMPRODUCT(ISNUMBER(SEARCH(","&amp;Справочник_ОКВЭД_НР!$E$3:$E$62&amp;".",","&amp;SUBSTITUTE(F449," ","")&amp;","))) +
  SUMPRODUCT(ISNUMBER(SEARCH(","&amp;Справочник_ОКВЭД_НР!$G$3:$G$62&amp;".",","&amp;SUBSTITUTE(F449," ","")&amp;",")))),
50)</f>
        <v>50</v>
      </c>
      <c r="K449" s="30">
        <f>IFERROR(VLOOKUP(G449,Справочник_ОКВЭД_НР!$O:$P,2,FALSE()),50)</f>
        <v>100</v>
      </c>
      <c r="L449" s="45">
        <f>(I449*Справочник_ОКВЭД_НР!$L$2+J449*Справочник_ОКВЭД_НР!$L$3+K449*Справочник_ОКВЭД_НР!$L$4)*M449</f>
        <v>0</v>
      </c>
      <c r="M449" s="47">
        <f>IF(COUNTIF(Справочник_ОКВЭД_НР!$G$3:$G$62,H449)&gt;0,0,1)</f>
        <v>0</v>
      </c>
    </row>
    <row r="450" spans="1:13" x14ac:dyDescent="0.25">
      <c r="A450" s="4">
        <f>ЛИК_дляСкорингаДП!A450</f>
        <v>1042129024112</v>
      </c>
      <c r="B450" s="4">
        <f>ЛИК_дляСкорингаДП!B450</f>
        <v>2129056035</v>
      </c>
      <c r="C450" s="4" t="str">
        <f>ЛИК_дляСкорингаДП!C450</f>
        <v>УФССП РОССИИ ПО ЧУВАШСКОЙ РЕСПУБЛИКЕ</v>
      </c>
      <c r="D450" s="5" t="str">
        <f>ЛИК_дляСкорингаДП!M450</f>
        <v>Деятельность территориальных органов федеральных органов исполнительной власти в городах и районах субъектов Российской Федерации</v>
      </c>
      <c r="E450" s="4" t="str">
        <f>ЛИК_дляСкорингаДП!L450</f>
        <v>84.11.13</v>
      </c>
      <c r="F450" t="str">
        <f>ЛИК_дляСкорингаДП!N450</f>
        <v>84.11.12,84.11.12</v>
      </c>
      <c r="G450" s="25" t="str">
        <f>ЛИК_дляСкорингаДП!AG450</f>
        <v>ОСН</v>
      </c>
      <c r="H450" s="55" t="str">
        <f>IF(ISNUMBER(E450),E450,
IFERROR(LEFT(E450,FIND(".",E450)-1),E450))</f>
        <v>84</v>
      </c>
      <c r="I450" s="30">
        <f>IF(COUNTIF(Справочник_ОКВЭД_НР!$A$3:$A$62,H450)&gt;0,Справочник_ОКВЭД_НР!$L$8,
 IF(COUNTIF(Справочник_ОКВЭД_НР!$C$3:$C$62,H450)&gt;0,Справочник_ОКВЭД_НР!$L$9,
  IF(COUNTIF(Справочник_ОКВЭД_НР!$E$3:$E$62,H450)&gt;0,Справочник_ОКВЭД_НР!$L$10,
   IF(COUNTIF(Справочник_ОКВЭД_НР!$G$3:$G$62,H450)&gt;0,Справочник_ОКВЭД_НР!$L$11,50))))</f>
        <v>0</v>
      </c>
      <c r="J450" s="30" cm="1">
        <f t="array" ref="J450">IFERROR(
 (SUMPRODUCT(ISNUMBER(SEARCH(","&amp;Справочник_ОКВЭД_НР!$A$3:$A$62&amp;".",","&amp;SUBSTITUTE(F450," ","")&amp;",")))*Справочник_ОКВЭД_НР!$L$9 +
  SUMPRODUCT(ISNUMBER(SEARCH(","&amp;Справочник_ОКВЭД_НР!$C$3:$C$62&amp;".",","&amp;SUBSTITUTE(F450," ","")&amp;",")))*Справочник_ОКВЭД_НР!$L$10 +
  SUMPRODUCT(ISNUMBER(SEARCH(","&amp;Справочник_ОКВЭД_НР!$E$3:$E$62&amp;".",","&amp;SUBSTITUTE(F450," ","")&amp;",")))*Справочник_ОКВЭД_НР!$L$11 +
  SUMPRODUCT(ISNUMBER(SEARCH(","&amp;Справочник_ОКВЭД_НР!$G$3:$G$62&amp;".",","&amp;SUBSTITUTE(F450," ","")&amp;",")))*Справочник_ОКВЭД_НР!$L$12) /
 (SUMPRODUCT(ISNUMBER(SEARCH(","&amp;Справочник_ОКВЭД_НР!$A$3:$A$62&amp;".",","&amp;SUBSTITUTE(F450," ","")&amp;","))) +
  SUMPRODUCT(ISNUMBER(SEARCH(","&amp;Справочник_ОКВЭД_НР!$C$3:$C$62&amp;".",","&amp;SUBSTITUTE(F450," ","")&amp;","))) +
  SUMPRODUCT(ISNUMBER(SEARCH(","&amp;Справочник_ОКВЭД_НР!$E$3:$E$62&amp;".",","&amp;SUBSTITUTE(F450," ","")&amp;","))) +
  SUMPRODUCT(ISNUMBER(SEARCH(","&amp;Справочник_ОКВЭД_НР!$G$3:$G$62&amp;".",","&amp;SUBSTITUTE(F450," ","")&amp;",")))),
50)</f>
        <v>50</v>
      </c>
      <c r="K450" s="30">
        <f>IFERROR(VLOOKUP(G450,Справочник_ОКВЭД_НР!$O:$P,2,FALSE()),50)</f>
        <v>100</v>
      </c>
      <c r="L450" s="45">
        <f>(I450*Справочник_ОКВЭД_НР!$L$2+J450*Справочник_ОКВЭД_НР!$L$3+K450*Справочник_ОКВЭД_НР!$L$4)*M450</f>
        <v>0</v>
      </c>
      <c r="M450" s="47">
        <f>IF(COUNTIF(Справочник_ОКВЭД_НР!$G$3:$G$62,H450)&gt;0,0,1)</f>
        <v>0</v>
      </c>
    </row>
    <row r="451" spans="1:13" x14ac:dyDescent="0.25">
      <c r="A451" s="4">
        <f>ЛИК_дляСкорингаДП!A451</f>
        <v>1042129023936</v>
      </c>
      <c r="B451" s="4">
        <f>ЛИК_дляСкорингаДП!B451</f>
        <v>2129056028</v>
      </c>
      <c r="C451" s="4" t="str">
        <f>ЛИК_дляСкорингаДП!C451</f>
        <v>УПРАВЛЕНИЕ РОСРЕЕСТРА ПО ЧУВАШСКОЙ РЕСПУБЛИКЕ</v>
      </c>
      <c r="D451" s="5" t="str">
        <f>ЛИК_дляСкорингаДП!M451</f>
        <v>Деятельность полномочных представителей Президента Российской Федерации в регионах Российской Федерации и территориальных органов федеральных органов исполнительной власти в субъектах Российской Федерации (республиках, краях, областях)</v>
      </c>
      <c r="E451" s="4" t="str">
        <f>ЛИК_дляСкорингаДП!L451</f>
        <v>84.11.12</v>
      </c>
      <c r="F451">
        <f>ЛИК_дляСкорингаДП!N451</f>
        <v>0</v>
      </c>
      <c r="G451" s="25" t="str">
        <f>ЛИК_дляСкорингаДП!AG451</f>
        <v>ОСН</v>
      </c>
      <c r="H451" s="55" t="str">
        <f>IF(ISNUMBER(E451),E451,
IFERROR(LEFT(E451,FIND(".",E451)-1),E451))</f>
        <v>84</v>
      </c>
      <c r="I451" s="30">
        <f>IF(COUNTIF(Справочник_ОКВЭД_НР!$A$3:$A$62,H451)&gt;0,Справочник_ОКВЭД_НР!$L$8,
 IF(COUNTIF(Справочник_ОКВЭД_НР!$C$3:$C$62,H451)&gt;0,Справочник_ОКВЭД_НР!$L$9,
  IF(COUNTIF(Справочник_ОКВЭД_НР!$E$3:$E$62,H451)&gt;0,Справочник_ОКВЭД_НР!$L$10,
   IF(COUNTIF(Справочник_ОКВЭД_НР!$G$3:$G$62,H451)&gt;0,Справочник_ОКВЭД_НР!$L$11,50))))</f>
        <v>0</v>
      </c>
      <c r="J451" s="30" cm="1">
        <f t="array" ref="J451">IFERROR(
 (SUMPRODUCT(ISNUMBER(SEARCH(","&amp;Справочник_ОКВЭД_НР!$A$3:$A$62&amp;".",","&amp;SUBSTITUTE(F451," ","")&amp;",")))*Справочник_ОКВЭД_НР!$L$9 +
  SUMPRODUCT(ISNUMBER(SEARCH(","&amp;Справочник_ОКВЭД_НР!$C$3:$C$62&amp;".",","&amp;SUBSTITUTE(F451," ","")&amp;",")))*Справочник_ОКВЭД_НР!$L$10 +
  SUMPRODUCT(ISNUMBER(SEARCH(","&amp;Справочник_ОКВЭД_НР!$E$3:$E$62&amp;".",","&amp;SUBSTITUTE(F451," ","")&amp;",")))*Справочник_ОКВЭД_НР!$L$11 +
  SUMPRODUCT(ISNUMBER(SEARCH(","&amp;Справочник_ОКВЭД_НР!$G$3:$G$62&amp;".",","&amp;SUBSTITUTE(F451," ","")&amp;",")))*Справочник_ОКВЭД_НР!$L$12) /
 (SUMPRODUCT(ISNUMBER(SEARCH(","&amp;Справочник_ОКВЭД_НР!$A$3:$A$62&amp;".",","&amp;SUBSTITUTE(F451," ","")&amp;","))) +
  SUMPRODUCT(ISNUMBER(SEARCH(","&amp;Справочник_ОКВЭД_НР!$C$3:$C$62&amp;".",","&amp;SUBSTITUTE(F451," ","")&amp;","))) +
  SUMPRODUCT(ISNUMBER(SEARCH(","&amp;Справочник_ОКВЭД_НР!$E$3:$E$62&amp;".",","&amp;SUBSTITUTE(F451," ","")&amp;","))) +
  SUMPRODUCT(ISNUMBER(SEARCH(","&amp;Справочник_ОКВЭД_НР!$G$3:$G$62&amp;".",","&amp;SUBSTITUTE(F451," ","")&amp;",")))),
50)</f>
        <v>50</v>
      </c>
      <c r="K451" s="30">
        <f>IFERROR(VLOOKUP(G451,Справочник_ОКВЭД_НР!$O:$P,2,FALSE()),50)</f>
        <v>100</v>
      </c>
      <c r="L451" s="45">
        <f>(I451*Справочник_ОКВЭД_НР!$L$2+J451*Справочник_ОКВЭД_НР!$L$3+K451*Справочник_ОКВЭД_НР!$L$4)*M451</f>
        <v>0</v>
      </c>
      <c r="M451" s="47">
        <f>IF(COUNTIF(Справочник_ОКВЭД_НР!$G$3:$G$62,H451)&gt;0,0,1)</f>
        <v>0</v>
      </c>
    </row>
    <row r="452" spans="1:13" x14ac:dyDescent="0.25">
      <c r="A452" s="4">
        <f>ЛИК_дляСкорингаДП!A452</f>
        <v>1022100973828</v>
      </c>
      <c r="B452" s="4">
        <f>ЛИК_дляСкорингаДП!B452</f>
        <v>2127010282</v>
      </c>
      <c r="C452" s="4" t="str">
        <f>ЛИК_дляСкорингаДП!C452</f>
        <v>ФБУ ЧУВАШСКАЯ ЛСЭ МИНЮСТА РОССИИ</v>
      </c>
      <c r="D452" s="5" t="str">
        <f>ЛИК_дляСкорингаДП!M452</f>
        <v>Судебно-экспертная деятельность</v>
      </c>
      <c r="E452" s="4" t="str">
        <f>ЛИК_дляСкорингаДП!L452</f>
        <v>71.20.2</v>
      </c>
      <c r="F452" t="str">
        <f>ЛИК_дляСкорингаДП!N452</f>
        <v>84.23,84.24</v>
      </c>
      <c r="G452" s="25" t="str">
        <f>ЛИК_дляСкорингаДП!AG452</f>
        <v>ОСН</v>
      </c>
      <c r="H452" s="55" t="str">
        <f>IF(ISNUMBER(E452),E452,
IFERROR(LEFT(E452,FIND(".",E452)-1),E452))</f>
        <v>71</v>
      </c>
      <c r="I452" s="30">
        <f>IF(COUNTIF(Справочник_ОКВЭД_НР!$A$3:$A$62,H452)&gt;0,Справочник_ОКВЭД_НР!$L$8,
 IF(COUNTIF(Справочник_ОКВЭД_НР!$C$3:$C$62,H452)&gt;0,Справочник_ОКВЭД_НР!$L$9,
  IF(COUNTIF(Справочник_ОКВЭД_НР!$E$3:$E$62,H452)&gt;0,Справочник_ОКВЭД_НР!$L$10,
   IF(COUNTIF(Справочник_ОКВЭД_НР!$G$3:$G$62,H452)&gt;0,Справочник_ОКВЭД_НР!$L$11,50))))</f>
        <v>100</v>
      </c>
      <c r="J452" s="30" cm="1">
        <f t="array" ref="J452">IFERROR(
 (SUMPRODUCT(ISNUMBER(SEARCH(","&amp;Справочник_ОКВЭД_НР!$A$3:$A$62&amp;".",","&amp;SUBSTITUTE(F452," ","")&amp;",")))*Справочник_ОКВЭД_НР!$L$9 +
  SUMPRODUCT(ISNUMBER(SEARCH(","&amp;Справочник_ОКВЭД_НР!$C$3:$C$62&amp;".",","&amp;SUBSTITUTE(F452," ","")&amp;",")))*Справочник_ОКВЭД_НР!$L$10 +
  SUMPRODUCT(ISNUMBER(SEARCH(","&amp;Справочник_ОКВЭД_НР!$E$3:$E$62&amp;".",","&amp;SUBSTITUTE(F452," ","")&amp;",")))*Справочник_ОКВЭД_НР!$L$11 +
  SUMPRODUCT(ISNUMBER(SEARCH(","&amp;Справочник_ОКВЭД_НР!$G$3:$G$62&amp;".",","&amp;SUBSTITUTE(F452," ","")&amp;",")))*Справочник_ОКВЭД_НР!$L$12) /
 (SUMPRODUCT(ISNUMBER(SEARCH(","&amp;Справочник_ОКВЭД_НР!$A$3:$A$62&amp;".",","&amp;SUBSTITUTE(F452," ","")&amp;","))) +
  SUMPRODUCT(ISNUMBER(SEARCH(","&amp;Справочник_ОКВЭД_НР!$C$3:$C$62&amp;".",","&amp;SUBSTITUTE(F452," ","")&amp;","))) +
  SUMPRODUCT(ISNUMBER(SEARCH(","&amp;Справочник_ОКВЭД_НР!$E$3:$E$62&amp;".",","&amp;SUBSTITUTE(F452," ","")&amp;","))) +
  SUMPRODUCT(ISNUMBER(SEARCH(","&amp;Справочник_ОКВЭД_НР!$G$3:$G$62&amp;".",","&amp;SUBSTITUTE(F452," ","")&amp;",")))),
50)</f>
        <v>50</v>
      </c>
      <c r="K452" s="30">
        <f>IFERROR(VLOOKUP(G452,Справочник_ОКВЭД_НР!$O:$P,2,FALSE()),50)</f>
        <v>100</v>
      </c>
      <c r="L452" s="45">
        <f>(I452*Справочник_ОКВЭД_НР!$L$2+J452*Справочник_ОКВЭД_НР!$L$3+K452*Справочник_ОКВЭД_НР!$L$4)*M452</f>
        <v>87.5</v>
      </c>
      <c r="M452" s="47">
        <f>IF(COUNTIF(Справочник_ОКВЭД_НР!$G$3:$G$62,H452)&gt;0,0,1)</f>
        <v>1</v>
      </c>
    </row>
    <row r="453" spans="1:13" x14ac:dyDescent="0.25">
      <c r="A453" s="4">
        <f>ЛИК_дляСкорингаДП!A453</f>
        <v>1022101149806</v>
      </c>
      <c r="B453" s="4">
        <f>ЛИК_дляСкорингаДП!B453</f>
        <v>2128015830</v>
      </c>
      <c r="C453" s="4" t="str">
        <f>ЛИК_дляСкорингаДП!C453</f>
        <v>МВД ПО ЧУВАШСКОЙ РЕСПУБЛИКЕ</v>
      </c>
      <c r="D453" s="5" t="str">
        <f>ЛИК_дляСкорингаДП!M453</f>
        <v>Деятельность по обеспечению общественного порядка и безопасности</v>
      </c>
      <c r="E453" s="4" t="str">
        <f>ЛИК_дляСкорингаДП!L453</f>
        <v>84.24</v>
      </c>
      <c r="F453" t="str">
        <f>ЛИК_дляСкорингаДП!N453</f>
        <v>84.11.12,84.11.12</v>
      </c>
      <c r="G453" s="25" t="str">
        <f>ЛИК_дляСкорингаДП!AG453</f>
        <v>ОСН</v>
      </c>
      <c r="H453" s="55" t="str">
        <f>IF(ISNUMBER(E453),E453,
IFERROR(LEFT(E453,FIND(".",E453)-1),E453))</f>
        <v>84</v>
      </c>
      <c r="I453" s="30">
        <f>IF(COUNTIF(Справочник_ОКВЭД_НР!$A$3:$A$62,H453)&gt;0,Справочник_ОКВЭД_НР!$L$8,
 IF(COUNTIF(Справочник_ОКВЭД_НР!$C$3:$C$62,H453)&gt;0,Справочник_ОКВЭД_НР!$L$9,
  IF(COUNTIF(Справочник_ОКВЭД_НР!$E$3:$E$62,H453)&gt;0,Справочник_ОКВЭД_НР!$L$10,
   IF(COUNTIF(Справочник_ОКВЭД_НР!$G$3:$G$62,H453)&gt;0,Справочник_ОКВЭД_НР!$L$11,50))))</f>
        <v>0</v>
      </c>
      <c r="J453" s="30" cm="1">
        <f t="array" ref="J453">IFERROR(
 (SUMPRODUCT(ISNUMBER(SEARCH(","&amp;Справочник_ОКВЭД_НР!$A$3:$A$62&amp;".",","&amp;SUBSTITUTE(F453," ","")&amp;",")))*Справочник_ОКВЭД_НР!$L$9 +
  SUMPRODUCT(ISNUMBER(SEARCH(","&amp;Справочник_ОКВЭД_НР!$C$3:$C$62&amp;".",","&amp;SUBSTITUTE(F453," ","")&amp;",")))*Справочник_ОКВЭД_НР!$L$10 +
  SUMPRODUCT(ISNUMBER(SEARCH(","&amp;Справочник_ОКВЭД_НР!$E$3:$E$62&amp;".",","&amp;SUBSTITUTE(F453," ","")&amp;",")))*Справочник_ОКВЭД_НР!$L$11 +
  SUMPRODUCT(ISNUMBER(SEARCH(","&amp;Справочник_ОКВЭД_НР!$G$3:$G$62&amp;".",","&amp;SUBSTITUTE(F453," ","")&amp;",")))*Справочник_ОКВЭД_НР!$L$12) /
 (SUMPRODUCT(ISNUMBER(SEARCH(","&amp;Справочник_ОКВЭД_НР!$A$3:$A$62&amp;".",","&amp;SUBSTITUTE(F453," ","")&amp;","))) +
  SUMPRODUCT(ISNUMBER(SEARCH(","&amp;Справочник_ОКВЭД_НР!$C$3:$C$62&amp;".",","&amp;SUBSTITUTE(F453," ","")&amp;","))) +
  SUMPRODUCT(ISNUMBER(SEARCH(","&amp;Справочник_ОКВЭД_НР!$E$3:$E$62&amp;".",","&amp;SUBSTITUTE(F453," ","")&amp;","))) +
  SUMPRODUCT(ISNUMBER(SEARCH(","&amp;Справочник_ОКВЭД_НР!$G$3:$G$62&amp;".",","&amp;SUBSTITUTE(F453," ","")&amp;",")))),
50)</f>
        <v>50</v>
      </c>
      <c r="K453" s="30">
        <f>IFERROR(VLOOKUP(G453,Справочник_ОКВЭД_НР!$O:$P,2,FALSE()),50)</f>
        <v>100</v>
      </c>
      <c r="L453" s="45">
        <f>(I453*Справочник_ОКВЭД_НР!$L$2+J453*Справочник_ОКВЭД_НР!$L$3+K453*Справочник_ОКВЭД_НР!$L$4)*M453</f>
        <v>0</v>
      </c>
      <c r="M453" s="47">
        <f>IF(COUNTIF(Справочник_ОКВЭД_НР!$G$3:$G$62,H453)&gt;0,0,1)</f>
        <v>0</v>
      </c>
    </row>
    <row r="454" spans="1:13" x14ac:dyDescent="0.25">
      <c r="A454" s="4">
        <f>ЛИК_дляСкорингаДП!A454</f>
        <v>1022101143767</v>
      </c>
      <c r="B454" s="4">
        <f>ЛИК_дляСкорингаДП!B454</f>
        <v>2128014515</v>
      </c>
      <c r="C454" s="4" t="str">
        <f>ЛИК_дляСкорингаДП!C454</f>
        <v>АРБИТРАЖНЫЙ СУД ЧУВАШСКОЙ РЕСПУБЛИКИ</v>
      </c>
      <c r="D454" s="5" t="str">
        <f>ЛИК_дляСкорингаДП!M454</f>
        <v>Деятельность арбитражных апелляционных судов, арбитражных судов субъектов Российской Федерации</v>
      </c>
      <c r="E454" s="4" t="str">
        <f>ЛИК_дляСкорингаДП!L454</f>
        <v>84.23.18</v>
      </c>
      <c r="F454">
        <f>ЛИК_дляСкорингаДП!N454</f>
        <v>0</v>
      </c>
      <c r="G454" s="25" t="str">
        <f>ЛИК_дляСкорингаДП!AG454</f>
        <v>ОСН</v>
      </c>
      <c r="H454" s="55" t="str">
        <f>IF(ISNUMBER(E454),E454,
IFERROR(LEFT(E454,FIND(".",E454)-1),E454))</f>
        <v>84</v>
      </c>
      <c r="I454" s="30">
        <f>IF(COUNTIF(Справочник_ОКВЭД_НР!$A$3:$A$62,H454)&gt;0,Справочник_ОКВЭД_НР!$L$8,
 IF(COUNTIF(Справочник_ОКВЭД_НР!$C$3:$C$62,H454)&gt;0,Справочник_ОКВЭД_НР!$L$9,
  IF(COUNTIF(Справочник_ОКВЭД_НР!$E$3:$E$62,H454)&gt;0,Справочник_ОКВЭД_НР!$L$10,
   IF(COUNTIF(Справочник_ОКВЭД_НР!$G$3:$G$62,H454)&gt;0,Справочник_ОКВЭД_НР!$L$11,50))))</f>
        <v>0</v>
      </c>
      <c r="J454" s="30" cm="1">
        <f t="array" ref="J454">IFERROR(
 (SUMPRODUCT(ISNUMBER(SEARCH(","&amp;Справочник_ОКВЭД_НР!$A$3:$A$62&amp;".",","&amp;SUBSTITUTE(F454," ","")&amp;",")))*Справочник_ОКВЭД_НР!$L$9 +
  SUMPRODUCT(ISNUMBER(SEARCH(","&amp;Справочник_ОКВЭД_НР!$C$3:$C$62&amp;".",","&amp;SUBSTITUTE(F454," ","")&amp;",")))*Справочник_ОКВЭД_НР!$L$10 +
  SUMPRODUCT(ISNUMBER(SEARCH(","&amp;Справочник_ОКВЭД_НР!$E$3:$E$62&amp;".",","&amp;SUBSTITUTE(F454," ","")&amp;",")))*Справочник_ОКВЭД_НР!$L$11 +
  SUMPRODUCT(ISNUMBER(SEARCH(","&amp;Справочник_ОКВЭД_НР!$G$3:$G$62&amp;".",","&amp;SUBSTITUTE(F454," ","")&amp;",")))*Справочник_ОКВЭД_НР!$L$12) /
 (SUMPRODUCT(ISNUMBER(SEARCH(","&amp;Справочник_ОКВЭД_НР!$A$3:$A$62&amp;".",","&amp;SUBSTITUTE(F454," ","")&amp;","))) +
  SUMPRODUCT(ISNUMBER(SEARCH(","&amp;Справочник_ОКВЭД_НР!$C$3:$C$62&amp;".",","&amp;SUBSTITUTE(F454," ","")&amp;","))) +
  SUMPRODUCT(ISNUMBER(SEARCH(","&amp;Справочник_ОКВЭД_НР!$E$3:$E$62&amp;".",","&amp;SUBSTITUTE(F454," ","")&amp;","))) +
  SUMPRODUCT(ISNUMBER(SEARCH(","&amp;Справочник_ОКВЭД_НР!$G$3:$G$62&amp;".",","&amp;SUBSTITUTE(F454," ","")&amp;",")))),
50)</f>
        <v>50</v>
      </c>
      <c r="K454" s="30">
        <f>IFERROR(VLOOKUP(G454,Справочник_ОКВЭД_НР!$O:$P,2,FALSE()),50)</f>
        <v>100</v>
      </c>
      <c r="L454" s="45">
        <f>(I454*Справочник_ОКВЭД_НР!$L$2+J454*Справочник_ОКВЭД_НР!$L$3+K454*Справочник_ОКВЭД_НР!$L$4)*M454</f>
        <v>0</v>
      </c>
      <c r="M454" s="47">
        <f>IF(COUNTIF(Справочник_ОКВЭД_НР!$G$3:$G$62,H454)&gt;0,0,1)</f>
        <v>0</v>
      </c>
    </row>
    <row r="455" spans="1:13" x14ac:dyDescent="0.25">
      <c r="A455" s="4">
        <f>ЛИК_дляСкорингаДП!A455</f>
        <v>1022101286657</v>
      </c>
      <c r="B455" s="4">
        <f>ЛИК_дляСкорингаДП!B455</f>
        <v>2128017971</v>
      </c>
      <c r="C455" s="4" t="str">
        <f>ЛИК_дляСкорингаДП!C455</f>
        <v>ЧУВАШСКОЕ УФАС РОССИИ</v>
      </c>
      <c r="D455" s="5" t="str">
        <f>ЛИК_дляСкорингаДП!M455</f>
        <v>Деятельность полномочных представителей Президента Российской Федерации в регионах Российской Федерации и территориальных органов федеральных органов исполнительной власти в субъектах Российской Федерации (республиках, краях, областях)</v>
      </c>
      <c r="E455" s="4" t="str">
        <f>ЛИК_дляСкорингаДП!L455</f>
        <v>84.11.12</v>
      </c>
      <c r="F455">
        <f>ЛИК_дляСкорингаДП!N455</f>
        <v>0</v>
      </c>
      <c r="G455" s="25" t="str">
        <f>ЛИК_дляСкорингаДП!AG455</f>
        <v>ОСН</v>
      </c>
      <c r="H455" s="55" t="str">
        <f>IF(ISNUMBER(E455),E455,
IFERROR(LEFT(E455,FIND(".",E455)-1),E455))</f>
        <v>84</v>
      </c>
      <c r="I455" s="30">
        <f>IF(COUNTIF(Справочник_ОКВЭД_НР!$A$3:$A$62,H455)&gt;0,Справочник_ОКВЭД_НР!$L$8,
 IF(COUNTIF(Справочник_ОКВЭД_НР!$C$3:$C$62,H455)&gt;0,Справочник_ОКВЭД_НР!$L$9,
  IF(COUNTIF(Справочник_ОКВЭД_НР!$E$3:$E$62,H455)&gt;0,Справочник_ОКВЭД_НР!$L$10,
   IF(COUNTIF(Справочник_ОКВЭД_НР!$G$3:$G$62,H455)&gt;0,Справочник_ОКВЭД_НР!$L$11,50))))</f>
        <v>0</v>
      </c>
      <c r="J455" s="30" cm="1">
        <f t="array" ref="J455">IFERROR(
 (SUMPRODUCT(ISNUMBER(SEARCH(","&amp;Справочник_ОКВЭД_НР!$A$3:$A$62&amp;".",","&amp;SUBSTITUTE(F455," ","")&amp;",")))*Справочник_ОКВЭД_НР!$L$9 +
  SUMPRODUCT(ISNUMBER(SEARCH(","&amp;Справочник_ОКВЭД_НР!$C$3:$C$62&amp;".",","&amp;SUBSTITUTE(F455," ","")&amp;",")))*Справочник_ОКВЭД_НР!$L$10 +
  SUMPRODUCT(ISNUMBER(SEARCH(","&amp;Справочник_ОКВЭД_НР!$E$3:$E$62&amp;".",","&amp;SUBSTITUTE(F455," ","")&amp;",")))*Справочник_ОКВЭД_НР!$L$11 +
  SUMPRODUCT(ISNUMBER(SEARCH(","&amp;Справочник_ОКВЭД_НР!$G$3:$G$62&amp;".",","&amp;SUBSTITUTE(F455," ","")&amp;",")))*Справочник_ОКВЭД_НР!$L$12) /
 (SUMPRODUCT(ISNUMBER(SEARCH(","&amp;Справочник_ОКВЭД_НР!$A$3:$A$62&amp;".",","&amp;SUBSTITUTE(F455," ","")&amp;","))) +
  SUMPRODUCT(ISNUMBER(SEARCH(","&amp;Справочник_ОКВЭД_НР!$C$3:$C$62&amp;".",","&amp;SUBSTITUTE(F455," ","")&amp;","))) +
  SUMPRODUCT(ISNUMBER(SEARCH(","&amp;Справочник_ОКВЭД_НР!$E$3:$E$62&amp;".",","&amp;SUBSTITUTE(F455," ","")&amp;","))) +
  SUMPRODUCT(ISNUMBER(SEARCH(","&amp;Справочник_ОКВЭД_НР!$G$3:$G$62&amp;".",","&amp;SUBSTITUTE(F455," ","")&amp;",")))),
50)</f>
        <v>50</v>
      </c>
      <c r="K455" s="30">
        <f>IFERROR(VLOOKUP(G455,Справочник_ОКВЭД_НР!$O:$P,2,FALSE()),50)</f>
        <v>100</v>
      </c>
      <c r="L455" s="45">
        <f>(I455*Справочник_ОКВЭД_НР!$L$2+J455*Справочник_ОКВЭД_НР!$L$3+K455*Справочник_ОКВЭД_НР!$L$4)*M455</f>
        <v>0</v>
      </c>
      <c r="M455" s="47">
        <f>IF(COUNTIF(Справочник_ОКВЭД_НР!$G$3:$G$62,H455)&gt;0,0,1)</f>
        <v>0</v>
      </c>
    </row>
    <row r="456" spans="1:13" x14ac:dyDescent="0.25">
      <c r="A456" s="4">
        <f>ЛИК_дляСкорингаДП!A456</f>
        <v>1022101269409</v>
      </c>
      <c r="B456" s="4">
        <f>ЛИК_дляСкорингаДП!B456</f>
        <v>2126002352</v>
      </c>
      <c r="C456" s="4" t="str">
        <f>ЛИК_дляСкорингаДП!C456</f>
        <v>ОСФР ПО ЧУВАШСКОЙ РЕСПУБЛИКЕ - ЧУВАШИИ</v>
      </c>
      <c r="D456" s="5" t="str">
        <f>ЛИК_дляСкорингаДП!M456</f>
        <v>Деятельность в области обязательного социального обеспечения</v>
      </c>
      <c r="E456" s="4" t="str">
        <f>ЛИК_дляСкорингаДП!L456</f>
        <v>84.30</v>
      </c>
      <c r="F456">
        <f>ЛИК_дляСкорингаДП!N456</f>
        <v>0</v>
      </c>
      <c r="G456" s="25" t="str">
        <f>ЛИК_дляСкорингаДП!AG456</f>
        <v>ОСН</v>
      </c>
      <c r="H456" s="55" t="str">
        <f>IF(ISNUMBER(E456),E456,
IFERROR(LEFT(E456,FIND(".",E456)-1),E456))</f>
        <v>84</v>
      </c>
      <c r="I456" s="30">
        <f>IF(COUNTIF(Справочник_ОКВЭД_НР!$A$3:$A$62,H456)&gt;0,Справочник_ОКВЭД_НР!$L$8,
 IF(COUNTIF(Справочник_ОКВЭД_НР!$C$3:$C$62,H456)&gt;0,Справочник_ОКВЭД_НР!$L$9,
  IF(COUNTIF(Справочник_ОКВЭД_НР!$E$3:$E$62,H456)&gt;0,Справочник_ОКВЭД_НР!$L$10,
   IF(COUNTIF(Справочник_ОКВЭД_НР!$G$3:$G$62,H456)&gt;0,Справочник_ОКВЭД_НР!$L$11,50))))</f>
        <v>0</v>
      </c>
      <c r="J456" s="30" cm="1">
        <f t="array" ref="J456">IFERROR(
 (SUMPRODUCT(ISNUMBER(SEARCH(","&amp;Справочник_ОКВЭД_НР!$A$3:$A$62&amp;".",","&amp;SUBSTITUTE(F456," ","")&amp;",")))*Справочник_ОКВЭД_НР!$L$9 +
  SUMPRODUCT(ISNUMBER(SEARCH(","&amp;Справочник_ОКВЭД_НР!$C$3:$C$62&amp;".",","&amp;SUBSTITUTE(F456," ","")&amp;",")))*Справочник_ОКВЭД_НР!$L$10 +
  SUMPRODUCT(ISNUMBER(SEARCH(","&amp;Справочник_ОКВЭД_НР!$E$3:$E$62&amp;".",","&amp;SUBSTITUTE(F456," ","")&amp;",")))*Справочник_ОКВЭД_НР!$L$11 +
  SUMPRODUCT(ISNUMBER(SEARCH(","&amp;Справочник_ОКВЭД_НР!$G$3:$G$62&amp;".",","&amp;SUBSTITUTE(F456," ","")&amp;",")))*Справочник_ОКВЭД_НР!$L$12) /
 (SUMPRODUCT(ISNUMBER(SEARCH(","&amp;Справочник_ОКВЭД_НР!$A$3:$A$62&amp;".",","&amp;SUBSTITUTE(F456," ","")&amp;","))) +
  SUMPRODUCT(ISNUMBER(SEARCH(","&amp;Справочник_ОКВЭД_НР!$C$3:$C$62&amp;".",","&amp;SUBSTITUTE(F456," ","")&amp;","))) +
  SUMPRODUCT(ISNUMBER(SEARCH(","&amp;Справочник_ОКВЭД_НР!$E$3:$E$62&amp;".",","&amp;SUBSTITUTE(F456," ","")&amp;","))) +
  SUMPRODUCT(ISNUMBER(SEARCH(","&amp;Справочник_ОКВЭД_НР!$G$3:$G$62&amp;".",","&amp;SUBSTITUTE(F456," ","")&amp;",")))),
50)</f>
        <v>50</v>
      </c>
      <c r="K456" s="30">
        <f>IFERROR(VLOOKUP(G456,Справочник_ОКВЭД_НР!$O:$P,2,FALSE()),50)</f>
        <v>100</v>
      </c>
      <c r="L456" s="45">
        <f>(I456*Справочник_ОКВЭД_НР!$L$2+J456*Справочник_ОКВЭД_НР!$L$3+K456*Справочник_ОКВЭД_НР!$L$4)*M456</f>
        <v>0</v>
      </c>
      <c r="M456" s="47">
        <f>IF(COUNTIF(Справочник_ОКВЭД_НР!$G$3:$G$62,H456)&gt;0,0,1)</f>
        <v>0</v>
      </c>
    </row>
    <row r="457" spans="1:13" x14ac:dyDescent="0.25">
      <c r="A457" s="4">
        <f>ЛИК_дляСкорингаДП!A457</f>
        <v>1022102835468</v>
      </c>
      <c r="B457" s="4">
        <f>ЛИК_дляСкорингаДП!B457</f>
        <v>2107003946</v>
      </c>
      <c r="C457" s="4" t="str">
        <f>ЛИК_дляСкорингаДП!C457</f>
        <v>ФКУ ИК-5 УФСИН РОССИИ ПО ЧУВАШСКОЙ РЕСПУБЛИКЕ - ЧУВАШИИ</v>
      </c>
      <c r="D457" s="5" t="str">
        <f>ЛИК_дляСкорингаДП!M457</f>
        <v>Производство спецодежды</v>
      </c>
      <c r="E457" s="4" t="str">
        <f>ЛИК_дляСкорингаДП!L457</f>
        <v>14.12</v>
      </c>
      <c r="F457" t="str">
        <f>ЛИК_дляСкорингаДП!N457</f>
        <v>35.12.1,35.30.14,36.00.1,37.00,39.00,84.23.4,52.10,68.20.2,82.19,84.23.4</v>
      </c>
      <c r="G457" s="25" t="str">
        <f>ЛИК_дляСкорингаДП!AG457</f>
        <v>ОСН</v>
      </c>
      <c r="H457" s="55" t="str">
        <f>IF(ISNUMBER(E457),E457,
IFERROR(LEFT(E457,FIND(".",E457)-1),E457))</f>
        <v>14</v>
      </c>
      <c r="I457" s="30">
        <f>IF(COUNTIF(Справочник_ОКВЭД_НР!$A$3:$A$62,H457)&gt;0,Справочник_ОКВЭД_НР!$L$8,
 IF(COUNTIF(Справочник_ОКВЭД_НР!$C$3:$C$62,H457)&gt;0,Справочник_ОКВЭД_НР!$L$9,
  IF(COUNTIF(Справочник_ОКВЭД_НР!$E$3:$E$62,H457)&gt;0,Справочник_ОКВЭД_НР!$L$10,
   IF(COUNTIF(Справочник_ОКВЭД_НР!$G$3:$G$62,H457)&gt;0,Справочник_ОКВЭД_НР!$L$11,50))))</f>
        <v>60</v>
      </c>
      <c r="J457" s="30" cm="1">
        <f t="array" ref="J457">IFERROR(
 (SUMPRODUCT(ISNUMBER(SEARCH(","&amp;Справочник_ОКВЭД_НР!$A$3:$A$62&amp;".",","&amp;SUBSTITUTE(F457," ","")&amp;",")))*Справочник_ОКВЭД_НР!$L$9 +
  SUMPRODUCT(ISNUMBER(SEARCH(","&amp;Справочник_ОКВЭД_НР!$C$3:$C$62&amp;".",","&amp;SUBSTITUTE(F457," ","")&amp;",")))*Справочник_ОКВЭД_НР!$L$10 +
  SUMPRODUCT(ISNUMBER(SEARCH(","&amp;Справочник_ОКВЭД_НР!$E$3:$E$62&amp;".",","&amp;SUBSTITUTE(F457," ","")&amp;",")))*Справочник_ОКВЭД_НР!$L$11 +
  SUMPRODUCT(ISNUMBER(SEARCH(","&amp;Справочник_ОКВЭД_НР!$G$3:$G$62&amp;".",","&amp;SUBSTITUTE(F457," ","")&amp;",")))*Справочник_ОКВЭД_НР!$L$12) /
 (SUMPRODUCT(ISNUMBER(SEARCH(","&amp;Справочник_ОКВЭД_НР!$A$3:$A$62&amp;".",","&amp;SUBSTITUTE(F457," ","")&amp;","))) +
  SUMPRODUCT(ISNUMBER(SEARCH(","&amp;Справочник_ОКВЭД_НР!$C$3:$C$62&amp;".",","&amp;SUBSTITUTE(F457," ","")&amp;","))) +
  SUMPRODUCT(ISNUMBER(SEARCH(","&amp;Справочник_ОКВЭД_НР!$E$3:$E$62&amp;".",","&amp;SUBSTITUTE(F457," ","")&amp;","))) +
  SUMPRODUCT(ISNUMBER(SEARCH(","&amp;Справочник_ОКВЭД_НР!$G$3:$G$62&amp;".",","&amp;SUBSTITUTE(F457," ","")&amp;",")))),
50)</f>
        <v>50</v>
      </c>
      <c r="K457" s="30">
        <f>IFERROR(VLOOKUP(G457,Справочник_ОКВЭД_НР!$O:$P,2,FALSE()),50)</f>
        <v>100</v>
      </c>
      <c r="L457" s="45">
        <f>(I457*Справочник_ОКВЭД_НР!$L$2+J457*Справочник_ОКВЭД_НР!$L$3+K457*Справочник_ОКВЭД_НР!$L$4)*M457</f>
        <v>63.5</v>
      </c>
      <c r="M457" s="47">
        <f>IF(COUNTIF(Справочник_ОКВЭД_НР!$G$3:$G$62,H457)&gt;0,0,1)</f>
        <v>1</v>
      </c>
    </row>
    <row r="458" spans="1:13" x14ac:dyDescent="0.25">
      <c r="A458" s="4">
        <f>ЛИК_дляСкорингаДП!A458</f>
        <v>1242100008050</v>
      </c>
      <c r="B458" s="4">
        <f>ЛИК_дляСкорингаДП!B458</f>
        <v>2100021022</v>
      </c>
      <c r="C458" s="4" t="str">
        <f>ЛИК_дляСкорингаДП!C458</f>
        <v>АДМИНИСТРАЦИЯ КАНАШСКОГО МУНИЦИПАЛЬНОГО ОКРУГА</v>
      </c>
      <c r="D458" s="5" t="str">
        <f>ЛИК_дляСкорингаДП!M458</f>
        <v>Деятельность органов местного самоуправления муниципальных округов</v>
      </c>
      <c r="E458" s="4" t="str">
        <f>ЛИК_дляСкорингаДП!L458</f>
        <v>84.11.34</v>
      </c>
      <c r="F458">
        <f>ЛИК_дляСкорингаДП!N458</f>
        <v>0</v>
      </c>
      <c r="G458" s="25" t="str">
        <f>ЛИК_дляСкорингаДП!AG458</f>
        <v>ОСН</v>
      </c>
      <c r="H458" s="55" t="str">
        <f>IF(ISNUMBER(E458),E458,
IFERROR(LEFT(E458,FIND(".",E458)-1),E458))</f>
        <v>84</v>
      </c>
      <c r="I458" s="30">
        <f>IF(COUNTIF(Справочник_ОКВЭД_НР!$A$3:$A$62,H458)&gt;0,Справочник_ОКВЭД_НР!$L$8,
 IF(COUNTIF(Справочник_ОКВЭД_НР!$C$3:$C$62,H458)&gt;0,Справочник_ОКВЭД_НР!$L$9,
  IF(COUNTIF(Справочник_ОКВЭД_НР!$E$3:$E$62,H458)&gt;0,Справочник_ОКВЭД_НР!$L$10,
   IF(COUNTIF(Справочник_ОКВЭД_НР!$G$3:$G$62,H458)&gt;0,Справочник_ОКВЭД_НР!$L$11,50))))</f>
        <v>0</v>
      </c>
      <c r="J458" s="30" cm="1">
        <f t="array" ref="J458">IFERROR(
 (SUMPRODUCT(ISNUMBER(SEARCH(","&amp;Справочник_ОКВЭД_НР!$A$3:$A$62&amp;".",","&amp;SUBSTITUTE(F458," ","")&amp;",")))*Справочник_ОКВЭД_НР!$L$9 +
  SUMPRODUCT(ISNUMBER(SEARCH(","&amp;Справочник_ОКВЭД_НР!$C$3:$C$62&amp;".",","&amp;SUBSTITUTE(F458," ","")&amp;",")))*Справочник_ОКВЭД_НР!$L$10 +
  SUMPRODUCT(ISNUMBER(SEARCH(","&amp;Справочник_ОКВЭД_НР!$E$3:$E$62&amp;".",","&amp;SUBSTITUTE(F458," ","")&amp;",")))*Справочник_ОКВЭД_НР!$L$11 +
  SUMPRODUCT(ISNUMBER(SEARCH(","&amp;Справочник_ОКВЭД_НР!$G$3:$G$62&amp;".",","&amp;SUBSTITUTE(F458," ","")&amp;",")))*Справочник_ОКВЭД_НР!$L$12) /
 (SUMPRODUCT(ISNUMBER(SEARCH(","&amp;Справочник_ОКВЭД_НР!$A$3:$A$62&amp;".",","&amp;SUBSTITUTE(F458," ","")&amp;","))) +
  SUMPRODUCT(ISNUMBER(SEARCH(","&amp;Справочник_ОКВЭД_НР!$C$3:$C$62&amp;".",","&amp;SUBSTITUTE(F458," ","")&amp;","))) +
  SUMPRODUCT(ISNUMBER(SEARCH(","&amp;Справочник_ОКВЭД_НР!$E$3:$E$62&amp;".",","&amp;SUBSTITUTE(F458," ","")&amp;","))) +
  SUMPRODUCT(ISNUMBER(SEARCH(","&amp;Справочник_ОКВЭД_НР!$G$3:$G$62&amp;".",","&amp;SUBSTITUTE(F458," ","")&amp;",")))),
50)</f>
        <v>50</v>
      </c>
      <c r="K458" s="30">
        <f>IFERROR(VLOOKUP(G458,Справочник_ОКВЭД_НР!$O:$P,2,FALSE()),50)</f>
        <v>100</v>
      </c>
      <c r="L458" s="45">
        <f>(I458*Справочник_ОКВЭД_НР!$L$2+J458*Справочник_ОКВЭД_НР!$L$3+K458*Справочник_ОКВЭД_НР!$L$4)*M458</f>
        <v>0</v>
      </c>
      <c r="M458" s="47">
        <f>IF(COUNTIF(Справочник_ОКВЭД_НР!$G$3:$G$62,H458)&gt;0,0,1)</f>
        <v>0</v>
      </c>
    </row>
    <row r="459" spans="1:13" x14ac:dyDescent="0.25">
      <c r="A459" s="4">
        <f>ЛИК_дляСкорингаДП!A459</f>
        <v>1062100025184</v>
      </c>
      <c r="B459" s="4">
        <f>ЛИК_дляСкорингаДП!B459</f>
        <v>2130012459</v>
      </c>
      <c r="C459" s="4">
        <f>ЛИК_дляСкорингаДП!C459</f>
        <v>0</v>
      </c>
      <c r="D459" s="5" t="str">
        <f>ЛИК_дляСкорингаДП!M459</f>
        <v>Деятельность физкультурно- оздоровительная</v>
      </c>
      <c r="E459" s="4" t="str">
        <f>ЛИК_дляСкорингаДП!L459</f>
        <v>96.04</v>
      </c>
      <c r="F459" t="str">
        <f>ЛИК_дляСкорингаДП!N459</f>
        <v>77.21,93.19,93.29.9,94.99,96.04</v>
      </c>
      <c r="G459" s="25" t="str">
        <f>ЛИК_дляСкорингаДП!AG459</f>
        <v>ОСН</v>
      </c>
      <c r="H459" s="55" t="str">
        <f>IF(ISNUMBER(E459),E459,
IFERROR(LEFT(E459,FIND(".",E459)-1),E459))</f>
        <v>96</v>
      </c>
      <c r="I459" s="30">
        <f>IF(COUNTIF(Справочник_ОКВЭД_НР!$A$3:$A$62,H459)&gt;0,Справочник_ОКВЭД_НР!$L$8,
 IF(COUNTIF(Справочник_ОКВЭД_НР!$C$3:$C$62,H459)&gt;0,Справочник_ОКВЭД_НР!$L$9,
  IF(COUNTIF(Справочник_ОКВЭД_НР!$E$3:$E$62,H459)&gt;0,Справочник_ОКВЭД_НР!$L$10,
   IF(COUNTIF(Справочник_ОКВЭД_НР!$G$3:$G$62,H459)&gt;0,Справочник_ОКВЭД_НР!$L$11,50))))</f>
        <v>30</v>
      </c>
      <c r="J459" s="30" cm="1">
        <f t="array" ref="J459">IFERROR(
 (SUMPRODUCT(ISNUMBER(SEARCH(","&amp;Справочник_ОКВЭД_НР!$A$3:$A$62&amp;".",","&amp;SUBSTITUTE(F459," ","")&amp;",")))*Справочник_ОКВЭД_НР!$L$9 +
  SUMPRODUCT(ISNUMBER(SEARCH(","&amp;Справочник_ОКВЭД_НР!$C$3:$C$62&amp;".",","&amp;SUBSTITUTE(F459," ","")&amp;",")))*Справочник_ОКВЭД_НР!$L$10 +
  SUMPRODUCT(ISNUMBER(SEARCH(","&amp;Справочник_ОКВЭД_НР!$E$3:$E$62&amp;".",","&amp;SUBSTITUTE(F459," ","")&amp;",")))*Справочник_ОКВЭД_НР!$L$11 +
  SUMPRODUCT(ISNUMBER(SEARCH(","&amp;Справочник_ОКВЭД_НР!$G$3:$G$62&amp;".",","&amp;SUBSTITUTE(F459," ","")&amp;",")))*Справочник_ОКВЭД_НР!$L$12) /
 (SUMPRODUCT(ISNUMBER(SEARCH(","&amp;Справочник_ОКВЭД_НР!$A$3:$A$62&amp;".",","&amp;SUBSTITUTE(F459," ","")&amp;","))) +
  SUMPRODUCT(ISNUMBER(SEARCH(","&amp;Справочник_ОКВЭД_НР!$C$3:$C$62&amp;".",","&amp;SUBSTITUTE(F459," ","")&amp;","))) +
  SUMPRODUCT(ISNUMBER(SEARCH(","&amp;Справочник_ОКВЭД_НР!$E$3:$E$62&amp;".",","&amp;SUBSTITUTE(F459," ","")&amp;","))) +
  SUMPRODUCT(ISNUMBER(SEARCH(","&amp;Справочник_ОКВЭД_НР!$G$3:$G$62&amp;".",","&amp;SUBSTITUTE(F459," ","")&amp;",")))),
50)</f>
        <v>50</v>
      </c>
      <c r="K459" s="30">
        <f>IFERROR(VLOOKUP(G459,Справочник_ОКВЭД_НР!$O:$P,2,FALSE()),50)</f>
        <v>100</v>
      </c>
      <c r="L459" s="45">
        <f>(I459*Справочник_ОКВЭД_НР!$L$2+J459*Справочник_ОКВЭД_НР!$L$3+K459*Справочник_ОКВЭД_НР!$L$4)*M459</f>
        <v>45.5</v>
      </c>
      <c r="M459" s="47">
        <f>IF(COUNTIF(Справочник_ОКВЭД_НР!$G$3:$G$62,H459)&gt;0,0,1)</f>
        <v>1</v>
      </c>
    </row>
    <row r="460" spans="1:13" x14ac:dyDescent="0.25">
      <c r="A460" s="4">
        <f>ЛИК_дляСкорингаДП!A460</f>
        <v>1072130015154</v>
      </c>
      <c r="B460" s="4">
        <f>ЛИК_дляСкорингаДП!B460</f>
        <v>2130027215</v>
      </c>
      <c r="C460" s="4" t="str">
        <f>ЛИК_дляСкорингаДП!C460</f>
        <v>ЖСК "РЕЗИНЩИК"</v>
      </c>
      <c r="D460" s="5" t="str">
        <f>ЛИК_дляСкорингаДП!M460</f>
        <v>Управление эксплуатацией жилого фонда за вознаграждение или на договорной основе</v>
      </c>
      <c r="E460" s="4" t="str">
        <f>ЛИК_дляСкорингаДП!L460</f>
        <v>68.32.1</v>
      </c>
      <c r="F460">
        <f>ЛИК_дляСкорингаДП!N460</f>
        <v>0</v>
      </c>
      <c r="G460" s="25" t="str">
        <f>ЛИК_дляСкорингаДП!AG460</f>
        <v>ОСН</v>
      </c>
      <c r="H460" s="55" t="str">
        <f>IF(ISNUMBER(E460),E460,
IFERROR(LEFT(E460,FIND(".",E460)-1),E460))</f>
        <v>68</v>
      </c>
      <c r="I460" s="30">
        <f>IF(COUNTIF(Справочник_ОКВЭД_НР!$A$3:$A$62,H460)&gt;0,Справочник_ОКВЭД_НР!$L$8,
 IF(COUNTIF(Справочник_ОКВЭД_НР!$C$3:$C$62,H460)&gt;0,Справочник_ОКВЭД_НР!$L$9,
  IF(COUNTIF(Справочник_ОКВЭД_НР!$E$3:$E$62,H460)&gt;0,Справочник_ОКВЭД_НР!$L$10,
   IF(COUNTIF(Справочник_ОКВЭД_НР!$G$3:$G$62,H460)&gt;0,Справочник_ОКВЭД_НР!$L$11,50))))</f>
        <v>100</v>
      </c>
      <c r="J460" s="30" cm="1">
        <f t="array" ref="J460">IFERROR(
 (SUMPRODUCT(ISNUMBER(SEARCH(","&amp;Справочник_ОКВЭД_НР!$A$3:$A$62&amp;".",","&amp;SUBSTITUTE(F460," ","")&amp;",")))*Справочник_ОКВЭД_НР!$L$9 +
  SUMPRODUCT(ISNUMBER(SEARCH(","&amp;Справочник_ОКВЭД_НР!$C$3:$C$62&amp;".",","&amp;SUBSTITUTE(F460," ","")&amp;",")))*Справочник_ОКВЭД_НР!$L$10 +
  SUMPRODUCT(ISNUMBER(SEARCH(","&amp;Справочник_ОКВЭД_НР!$E$3:$E$62&amp;".",","&amp;SUBSTITUTE(F460," ","")&amp;",")))*Справочник_ОКВЭД_НР!$L$11 +
  SUMPRODUCT(ISNUMBER(SEARCH(","&amp;Справочник_ОКВЭД_НР!$G$3:$G$62&amp;".",","&amp;SUBSTITUTE(F460," ","")&amp;",")))*Справочник_ОКВЭД_НР!$L$12) /
 (SUMPRODUCT(ISNUMBER(SEARCH(","&amp;Справочник_ОКВЭД_НР!$A$3:$A$62&amp;".",","&amp;SUBSTITUTE(F460," ","")&amp;","))) +
  SUMPRODUCT(ISNUMBER(SEARCH(","&amp;Справочник_ОКВЭД_НР!$C$3:$C$62&amp;".",","&amp;SUBSTITUTE(F460," ","")&amp;","))) +
  SUMPRODUCT(ISNUMBER(SEARCH(","&amp;Справочник_ОКВЭД_НР!$E$3:$E$62&amp;".",","&amp;SUBSTITUTE(F460," ","")&amp;","))) +
  SUMPRODUCT(ISNUMBER(SEARCH(","&amp;Справочник_ОКВЭД_НР!$G$3:$G$62&amp;".",","&amp;SUBSTITUTE(F460," ","")&amp;",")))),
50)</f>
        <v>50</v>
      </c>
      <c r="K460" s="30">
        <f>IFERROR(VLOOKUP(G460,Справочник_ОКВЭД_НР!$O:$P,2,FALSE()),50)</f>
        <v>100</v>
      </c>
      <c r="L460" s="45">
        <f>(I460*Справочник_ОКВЭД_НР!$L$2+J460*Справочник_ОКВЭД_НР!$L$3+K460*Справочник_ОКВЭД_НР!$L$4)*M460</f>
        <v>87.5</v>
      </c>
      <c r="M460" s="47">
        <f>IF(COUNTIF(Справочник_ОКВЭД_НР!$G$3:$G$62,H460)&gt;0,0,1)</f>
        <v>1</v>
      </c>
    </row>
    <row r="461" spans="1:13" x14ac:dyDescent="0.25">
      <c r="A461" s="4">
        <f>ЛИК_дляСкорингаДП!A461</f>
        <v>1032100002307</v>
      </c>
      <c r="B461" s="4">
        <f>ЛИК_дляСкорингаДП!B461</f>
        <v>2127324465</v>
      </c>
      <c r="C461" s="4" t="str">
        <f>ЛИК_дляСкорингаДП!C461</f>
        <v>ЧРОО "ВЕТЕРАНЫ ФУТБОЛА"</v>
      </c>
      <c r="D461" s="5" t="str">
        <f>ЛИК_дляСкорингаДП!M461</f>
        <v>Деятельность в области спорта прочая</v>
      </c>
      <c r="E461" s="4" t="str">
        <f>ЛИК_дляСкорингаДП!L461</f>
        <v>93.19</v>
      </c>
      <c r="F461" t="str">
        <f>ЛИК_дляСкорингаДП!N461</f>
        <v>01.30,77.21,81.30,93.11,93.12,93.13,94.99,96.04</v>
      </c>
      <c r="G461" s="25" t="str">
        <f>ЛИК_дляСкорингаДП!AG461</f>
        <v>ОСН</v>
      </c>
      <c r="H461" s="55" t="str">
        <f>IF(ISNUMBER(E461),E461,
IFERROR(LEFT(E461,FIND(".",E461)-1),E461))</f>
        <v>93</v>
      </c>
      <c r="I461" s="30">
        <f>IF(COUNTIF(Справочник_ОКВЭД_НР!$A$3:$A$62,H461)&gt;0,Справочник_ОКВЭД_НР!$L$8,
 IF(COUNTIF(Справочник_ОКВЭД_НР!$C$3:$C$62,H461)&gt;0,Справочник_ОКВЭД_НР!$L$9,
  IF(COUNTIF(Справочник_ОКВЭД_НР!$E$3:$E$62,H461)&gt;0,Справочник_ОКВЭД_НР!$L$10,
   IF(COUNTIF(Справочник_ОКВЭД_НР!$G$3:$G$62,H461)&gt;0,Справочник_ОКВЭД_НР!$L$11,50))))</f>
        <v>30</v>
      </c>
      <c r="J461" s="30" cm="1">
        <f t="array" ref="J461">IFERROR(
 (SUMPRODUCT(ISNUMBER(SEARCH(","&amp;Справочник_ОКВЭД_НР!$A$3:$A$62&amp;".",","&amp;SUBSTITUTE(F461," ","")&amp;",")))*Справочник_ОКВЭД_НР!$L$9 +
  SUMPRODUCT(ISNUMBER(SEARCH(","&amp;Справочник_ОКВЭД_НР!$C$3:$C$62&amp;".",","&amp;SUBSTITUTE(F461," ","")&amp;",")))*Справочник_ОКВЭД_НР!$L$10 +
  SUMPRODUCT(ISNUMBER(SEARCH(","&amp;Справочник_ОКВЭД_НР!$E$3:$E$62&amp;".",","&amp;SUBSTITUTE(F461," ","")&amp;",")))*Справочник_ОКВЭД_НР!$L$11 +
  SUMPRODUCT(ISNUMBER(SEARCH(","&amp;Справочник_ОКВЭД_НР!$G$3:$G$62&amp;".",","&amp;SUBSTITUTE(F461," ","")&amp;",")))*Справочник_ОКВЭД_НР!$L$12) /
 (SUMPRODUCT(ISNUMBER(SEARCH(","&amp;Справочник_ОКВЭД_НР!$A$3:$A$62&amp;".",","&amp;SUBSTITUTE(F461," ","")&amp;","))) +
  SUMPRODUCT(ISNUMBER(SEARCH(","&amp;Справочник_ОКВЭД_НР!$C$3:$C$62&amp;".",","&amp;SUBSTITUTE(F461," ","")&amp;","))) +
  SUMPRODUCT(ISNUMBER(SEARCH(","&amp;Справочник_ОКВЭД_НР!$E$3:$E$62&amp;".",","&amp;SUBSTITUTE(F461," ","")&amp;","))) +
  SUMPRODUCT(ISNUMBER(SEARCH(","&amp;Справочник_ОКВЭД_НР!$G$3:$G$62&amp;".",","&amp;SUBSTITUTE(F461," ","")&amp;",")))),
50)</f>
        <v>50</v>
      </c>
      <c r="K461" s="30">
        <f>IFERROR(VLOOKUP(G461,Справочник_ОКВЭД_НР!$O:$P,2,FALSE()),50)</f>
        <v>100</v>
      </c>
      <c r="L461" s="45">
        <f>(I461*Справочник_ОКВЭД_НР!$L$2+J461*Справочник_ОКВЭД_НР!$L$3+K461*Справочник_ОКВЭД_НР!$L$4)*M461</f>
        <v>45.5</v>
      </c>
      <c r="M461" s="47">
        <f>IF(COUNTIF(Справочник_ОКВЭД_НР!$G$3:$G$62,H461)&gt;0,0,1)</f>
        <v>1</v>
      </c>
    </row>
    <row r="462" spans="1:13" x14ac:dyDescent="0.25">
      <c r="A462" s="4">
        <f>ЛИК_дляСкорингаДП!A462</f>
        <v>1102130006340</v>
      </c>
      <c r="B462" s="4">
        <f>ЛИК_дляСкорингаДП!B462</f>
        <v>2130073733</v>
      </c>
      <c r="C462" s="4" t="str">
        <f>ЛИК_дляСкорингаДП!C462</f>
        <v>АУ "ЦМИРО" Г. ЧЕБОКСАРЫ</v>
      </c>
      <c r="D462" s="5" t="str">
        <f>ЛИК_дляСкорингаДП!M462</f>
        <v>Деятельность по дополнительному профессиональному образованию прочая, не включенная в другие группировки</v>
      </c>
      <c r="E462" s="4" t="str">
        <f>ЛИК_дляСкорингаДП!L462</f>
        <v>85.42.9</v>
      </c>
      <c r="F462" t="str">
        <f>ЛИК_дляСкорингаДП!N462</f>
        <v>74.20,74.30,82.92,94.12</v>
      </c>
      <c r="G462" s="25" t="str">
        <f>ЛИК_дляСкорингаДП!AG462</f>
        <v>ОСН</v>
      </c>
      <c r="H462" s="55" t="str">
        <f>IF(ISNUMBER(E462),E462,
IFERROR(LEFT(E462,FIND(".",E462)-1),E462))</f>
        <v>85</v>
      </c>
      <c r="I462" s="30">
        <f>IF(COUNTIF(Справочник_ОКВЭД_НР!$A$3:$A$62,H462)&gt;0,Справочник_ОКВЭД_НР!$L$8,
 IF(COUNTIF(Справочник_ОКВЭД_НР!$C$3:$C$62,H462)&gt;0,Справочник_ОКВЭД_НР!$L$9,
  IF(COUNTIF(Справочник_ОКВЭД_НР!$E$3:$E$62,H462)&gt;0,Справочник_ОКВЭД_НР!$L$10,
   IF(COUNTIF(Справочник_ОКВЭД_НР!$G$3:$G$62,H462)&gt;0,Справочник_ОКВЭД_НР!$L$11,50))))</f>
        <v>30</v>
      </c>
      <c r="J462" s="30" cm="1">
        <f t="array" ref="J462">IFERROR(
 (SUMPRODUCT(ISNUMBER(SEARCH(","&amp;Справочник_ОКВЭД_НР!$A$3:$A$62&amp;".",","&amp;SUBSTITUTE(F462," ","")&amp;",")))*Справочник_ОКВЭД_НР!$L$9 +
  SUMPRODUCT(ISNUMBER(SEARCH(","&amp;Справочник_ОКВЭД_НР!$C$3:$C$62&amp;".",","&amp;SUBSTITUTE(F462," ","")&amp;",")))*Справочник_ОКВЭД_НР!$L$10 +
  SUMPRODUCT(ISNUMBER(SEARCH(","&amp;Справочник_ОКВЭД_НР!$E$3:$E$62&amp;".",","&amp;SUBSTITUTE(F462," ","")&amp;",")))*Справочник_ОКВЭД_НР!$L$11 +
  SUMPRODUCT(ISNUMBER(SEARCH(","&amp;Справочник_ОКВЭД_НР!$G$3:$G$62&amp;".",","&amp;SUBSTITUTE(F462," ","")&amp;",")))*Справочник_ОКВЭД_НР!$L$12) /
 (SUMPRODUCT(ISNUMBER(SEARCH(","&amp;Справочник_ОКВЭД_НР!$A$3:$A$62&amp;".",","&amp;SUBSTITUTE(F462," ","")&amp;","))) +
  SUMPRODUCT(ISNUMBER(SEARCH(","&amp;Справочник_ОКВЭД_НР!$C$3:$C$62&amp;".",","&amp;SUBSTITUTE(F462," ","")&amp;","))) +
  SUMPRODUCT(ISNUMBER(SEARCH(","&amp;Справочник_ОКВЭД_НР!$E$3:$E$62&amp;".",","&amp;SUBSTITUTE(F462," ","")&amp;","))) +
  SUMPRODUCT(ISNUMBER(SEARCH(","&amp;Справочник_ОКВЭД_НР!$G$3:$G$62&amp;".",","&amp;SUBSTITUTE(F462," ","")&amp;",")))),
50)</f>
        <v>50</v>
      </c>
      <c r="K462" s="30">
        <f>IFERROR(VLOOKUP(G462,Справочник_ОКВЭД_НР!$O:$P,2,FALSE()),50)</f>
        <v>100</v>
      </c>
      <c r="L462" s="45">
        <f>(I462*Справочник_ОКВЭД_НР!$L$2+J462*Справочник_ОКВЭД_НР!$L$3+K462*Справочник_ОКВЭД_НР!$L$4)*M462</f>
        <v>45.5</v>
      </c>
      <c r="M462" s="47">
        <f>IF(COUNTIF(Справочник_ОКВЭД_НР!$G$3:$G$62,H462)&gt;0,0,1)</f>
        <v>1</v>
      </c>
    </row>
    <row r="463" spans="1:13" x14ac:dyDescent="0.25">
      <c r="A463" s="4">
        <f>ЛИК_дляСкорингаДП!A463</f>
        <v>1072130005463</v>
      </c>
      <c r="B463" s="4">
        <f>ЛИК_дляСкорингаДП!B463</f>
        <v>2130016573</v>
      </c>
      <c r="C463" s="4" t="str">
        <f>ЛИК_дляСкорингаДП!C463</f>
        <v>КПКГ "КАССА ВЗАИМОПОМОЩИ "СТОЛИЧНАЯ"</v>
      </c>
      <c r="D463" s="5" t="str">
        <f>ЛИК_дляСкорингаДП!M463</f>
        <v>Деятельность по финансовой взаимопомощи</v>
      </c>
      <c r="E463" s="4" t="str">
        <f>ЛИК_дляСкорингаДП!L463</f>
        <v>64.99.6</v>
      </c>
      <c r="F463" t="str">
        <f>ЛИК_дляСкорингаДП!N463</f>
        <v>62.09,63.11.1,64.92.1,64.92.3,64.99.11,66.19.4,68.31.12,68.31.22,68.31.32,68.31.42,69.10,77.11</v>
      </c>
      <c r="G463" s="25" t="str">
        <f>ЛИК_дляСкорингаДП!AG463</f>
        <v>ОСН</v>
      </c>
      <c r="H463" s="55" t="str">
        <f>IF(ISNUMBER(E463),E463,
IFERROR(LEFT(E463,FIND(".",E463)-1),E463))</f>
        <v>64</v>
      </c>
      <c r="I463" s="30">
        <f>IF(COUNTIF(Справочник_ОКВЭД_НР!$A$3:$A$62,H463)&gt;0,Справочник_ОКВЭД_НР!$L$8,
 IF(COUNTIF(Справочник_ОКВЭД_НР!$C$3:$C$62,H463)&gt;0,Справочник_ОКВЭД_НР!$L$9,
  IF(COUNTIF(Справочник_ОКВЭД_НР!$E$3:$E$62,H463)&gt;0,Справочник_ОКВЭД_НР!$L$10,
   IF(COUNTIF(Справочник_ОКВЭД_НР!$G$3:$G$62,H463)&gt;0,Справочник_ОКВЭД_НР!$L$11,50))))</f>
        <v>60</v>
      </c>
      <c r="J463" s="30" cm="1">
        <f t="array" ref="J463">IFERROR(
 (SUMPRODUCT(ISNUMBER(SEARCH(","&amp;Справочник_ОКВЭД_НР!$A$3:$A$62&amp;".",","&amp;SUBSTITUTE(F463," ","")&amp;",")))*Справочник_ОКВЭД_НР!$L$9 +
  SUMPRODUCT(ISNUMBER(SEARCH(","&amp;Справочник_ОКВЭД_НР!$C$3:$C$62&amp;".",","&amp;SUBSTITUTE(F463," ","")&amp;",")))*Справочник_ОКВЭД_НР!$L$10 +
  SUMPRODUCT(ISNUMBER(SEARCH(","&amp;Справочник_ОКВЭД_НР!$E$3:$E$62&amp;".",","&amp;SUBSTITUTE(F463," ","")&amp;",")))*Справочник_ОКВЭД_НР!$L$11 +
  SUMPRODUCT(ISNUMBER(SEARCH(","&amp;Справочник_ОКВЭД_НР!$G$3:$G$62&amp;".",","&amp;SUBSTITUTE(F463," ","")&amp;",")))*Справочник_ОКВЭД_НР!$L$12) /
 (SUMPRODUCT(ISNUMBER(SEARCH(","&amp;Справочник_ОКВЭД_НР!$A$3:$A$62&amp;".",","&amp;SUBSTITUTE(F463," ","")&amp;","))) +
  SUMPRODUCT(ISNUMBER(SEARCH(","&amp;Справочник_ОКВЭД_НР!$C$3:$C$62&amp;".",","&amp;SUBSTITUTE(F463," ","")&amp;","))) +
  SUMPRODUCT(ISNUMBER(SEARCH(","&amp;Справочник_ОКВЭД_НР!$E$3:$E$62&amp;".",","&amp;SUBSTITUTE(F463," ","")&amp;","))) +
  SUMPRODUCT(ISNUMBER(SEARCH(","&amp;Справочник_ОКВЭД_НР!$G$3:$G$62&amp;".",","&amp;SUBSTITUTE(F463," ","")&amp;",")))),
50)</f>
        <v>50</v>
      </c>
      <c r="K463" s="30">
        <f>IFERROR(VLOOKUP(G463,Справочник_ОКВЭД_НР!$O:$P,2,FALSE()),50)</f>
        <v>100</v>
      </c>
      <c r="L463" s="45">
        <f>(I463*Справочник_ОКВЭД_НР!$L$2+J463*Справочник_ОКВЭД_НР!$L$3+K463*Справочник_ОКВЭД_НР!$L$4)*M463</f>
        <v>63.5</v>
      </c>
      <c r="M463" s="47">
        <f>IF(COUNTIF(Справочник_ОКВЭД_НР!$G$3:$G$62,H463)&gt;0,0,1)</f>
        <v>1</v>
      </c>
    </row>
    <row r="464" spans="1:13" x14ac:dyDescent="0.25">
      <c r="A464" s="4">
        <f>ЛИК_дляСкорингаДП!A464</f>
        <v>1052137020330</v>
      </c>
      <c r="B464" s="4">
        <f>ЛИК_дляСкорингаДП!B464</f>
        <v>2114902380</v>
      </c>
      <c r="C464" s="4" t="str">
        <f>ЛИК_дляСкорингаДП!C464</f>
        <v>УРМАРСКИЙ ФИНОТДЕЛ</v>
      </c>
      <c r="D464" s="5" t="str">
        <f>ЛИК_дляСкорингаДП!M464</f>
        <v>Деятельность органов местного самоуправления муниципальных округов</v>
      </c>
      <c r="E464" s="4" t="str">
        <f>ЛИК_дляСкорингаДП!L464</f>
        <v>84.11.34</v>
      </c>
      <c r="F464" t="str">
        <f>ЛИК_дляСкорингаДП!N464</f>
        <v>84.11.3</v>
      </c>
      <c r="G464" s="25" t="str">
        <f>ЛИК_дляСкорингаДП!AG464</f>
        <v>ОСН</v>
      </c>
      <c r="H464" s="55" t="str">
        <f>IF(ISNUMBER(E464),E464,
IFERROR(LEFT(E464,FIND(".",E464)-1),E464))</f>
        <v>84</v>
      </c>
      <c r="I464" s="30">
        <f>IF(COUNTIF(Справочник_ОКВЭД_НР!$A$3:$A$62,H464)&gt;0,Справочник_ОКВЭД_НР!$L$8,
 IF(COUNTIF(Справочник_ОКВЭД_НР!$C$3:$C$62,H464)&gt;0,Справочник_ОКВЭД_НР!$L$9,
  IF(COUNTIF(Справочник_ОКВЭД_НР!$E$3:$E$62,H464)&gt;0,Справочник_ОКВЭД_НР!$L$10,
   IF(COUNTIF(Справочник_ОКВЭД_НР!$G$3:$G$62,H464)&gt;0,Справочник_ОКВЭД_НР!$L$11,50))))</f>
        <v>0</v>
      </c>
      <c r="J464" s="30" cm="1">
        <f t="array" ref="J464">IFERROR(
 (SUMPRODUCT(ISNUMBER(SEARCH(","&amp;Справочник_ОКВЭД_НР!$A$3:$A$62&amp;".",","&amp;SUBSTITUTE(F464," ","")&amp;",")))*Справочник_ОКВЭД_НР!$L$9 +
  SUMPRODUCT(ISNUMBER(SEARCH(","&amp;Справочник_ОКВЭД_НР!$C$3:$C$62&amp;".",","&amp;SUBSTITUTE(F464," ","")&amp;",")))*Справочник_ОКВЭД_НР!$L$10 +
  SUMPRODUCT(ISNUMBER(SEARCH(","&amp;Справочник_ОКВЭД_НР!$E$3:$E$62&amp;".",","&amp;SUBSTITUTE(F464," ","")&amp;",")))*Справочник_ОКВЭД_НР!$L$11 +
  SUMPRODUCT(ISNUMBER(SEARCH(","&amp;Справочник_ОКВЭД_НР!$G$3:$G$62&amp;".",","&amp;SUBSTITUTE(F464," ","")&amp;",")))*Справочник_ОКВЭД_НР!$L$12) /
 (SUMPRODUCT(ISNUMBER(SEARCH(","&amp;Справочник_ОКВЭД_НР!$A$3:$A$62&amp;".",","&amp;SUBSTITUTE(F464," ","")&amp;","))) +
  SUMPRODUCT(ISNUMBER(SEARCH(","&amp;Справочник_ОКВЭД_НР!$C$3:$C$62&amp;".",","&amp;SUBSTITUTE(F464," ","")&amp;","))) +
  SUMPRODUCT(ISNUMBER(SEARCH(","&amp;Справочник_ОКВЭД_НР!$E$3:$E$62&amp;".",","&amp;SUBSTITUTE(F464," ","")&amp;","))) +
  SUMPRODUCT(ISNUMBER(SEARCH(","&amp;Справочник_ОКВЭД_НР!$G$3:$G$62&amp;".",","&amp;SUBSTITUTE(F464," ","")&amp;",")))),
50)</f>
        <v>50</v>
      </c>
      <c r="K464" s="30">
        <f>IFERROR(VLOOKUP(G464,Справочник_ОКВЭД_НР!$O:$P,2,FALSE()),50)</f>
        <v>100</v>
      </c>
      <c r="L464" s="45">
        <f>(I464*Справочник_ОКВЭД_НР!$L$2+J464*Справочник_ОКВЭД_НР!$L$3+K464*Справочник_ОКВЭД_НР!$L$4)*M464</f>
        <v>0</v>
      </c>
      <c r="M464" s="47">
        <f>IF(COUNTIF(Справочник_ОКВЭД_НР!$G$3:$G$62,H464)&gt;0,0,1)</f>
        <v>0</v>
      </c>
    </row>
    <row r="465" spans="1:13" x14ac:dyDescent="0.25">
      <c r="A465" s="4">
        <f>ЛИК_дляСкорингаДП!A465</f>
        <v>1042128022276</v>
      </c>
      <c r="B465" s="4">
        <f>ЛИК_дляСкорингаДП!B465</f>
        <v>2128700000</v>
      </c>
      <c r="C465" s="4" t="str">
        <f>ЛИК_дляСкорингаДП!C465</f>
        <v>УФНС РОССИИ ПО ЧУВАШСКОЙ РЕСПУБЛИКЕ</v>
      </c>
      <c r="D465" s="5" t="str">
        <f>ЛИК_дляСкорингаДП!M465</f>
        <v>Управление финансовой деятельностью и деятельностью в сфере налогообложения</v>
      </c>
      <c r="E465" s="4" t="str">
        <f>ЛИК_дляСкорингаДП!L465</f>
        <v>84.11.4</v>
      </c>
      <c r="F465" t="str">
        <f>ЛИК_дляСкорингаДП!N465</f>
        <v>84.11,84.11.12,84.11.13</v>
      </c>
      <c r="G465" s="25" t="str">
        <f>ЛИК_дляСкорингаДП!AG465</f>
        <v>ОСН</v>
      </c>
      <c r="H465" s="55" t="str">
        <f>IF(ISNUMBER(E465),E465,
IFERROR(LEFT(E465,FIND(".",E465)-1),E465))</f>
        <v>84</v>
      </c>
      <c r="I465" s="30">
        <f>IF(COUNTIF(Справочник_ОКВЭД_НР!$A$3:$A$62,H465)&gt;0,Справочник_ОКВЭД_НР!$L$8,
 IF(COUNTIF(Справочник_ОКВЭД_НР!$C$3:$C$62,H465)&gt;0,Справочник_ОКВЭД_НР!$L$9,
  IF(COUNTIF(Справочник_ОКВЭД_НР!$E$3:$E$62,H465)&gt;0,Справочник_ОКВЭД_НР!$L$10,
   IF(COUNTIF(Справочник_ОКВЭД_НР!$G$3:$G$62,H465)&gt;0,Справочник_ОКВЭД_НР!$L$11,50))))</f>
        <v>0</v>
      </c>
      <c r="J465" s="30" cm="1">
        <f t="array" ref="J465">IFERROR(
 (SUMPRODUCT(ISNUMBER(SEARCH(","&amp;Справочник_ОКВЭД_НР!$A$3:$A$62&amp;".",","&amp;SUBSTITUTE(F465," ","")&amp;",")))*Справочник_ОКВЭД_НР!$L$9 +
  SUMPRODUCT(ISNUMBER(SEARCH(","&amp;Справочник_ОКВЭД_НР!$C$3:$C$62&amp;".",","&amp;SUBSTITUTE(F465," ","")&amp;",")))*Справочник_ОКВЭД_НР!$L$10 +
  SUMPRODUCT(ISNUMBER(SEARCH(","&amp;Справочник_ОКВЭД_НР!$E$3:$E$62&amp;".",","&amp;SUBSTITUTE(F465," ","")&amp;",")))*Справочник_ОКВЭД_НР!$L$11 +
  SUMPRODUCT(ISNUMBER(SEARCH(","&amp;Справочник_ОКВЭД_НР!$G$3:$G$62&amp;".",","&amp;SUBSTITUTE(F465," ","")&amp;",")))*Справочник_ОКВЭД_НР!$L$12) /
 (SUMPRODUCT(ISNUMBER(SEARCH(","&amp;Справочник_ОКВЭД_НР!$A$3:$A$62&amp;".",","&amp;SUBSTITUTE(F465," ","")&amp;","))) +
  SUMPRODUCT(ISNUMBER(SEARCH(","&amp;Справочник_ОКВЭД_НР!$C$3:$C$62&amp;".",","&amp;SUBSTITUTE(F465," ","")&amp;","))) +
  SUMPRODUCT(ISNUMBER(SEARCH(","&amp;Справочник_ОКВЭД_НР!$E$3:$E$62&amp;".",","&amp;SUBSTITUTE(F465," ","")&amp;","))) +
  SUMPRODUCT(ISNUMBER(SEARCH(","&amp;Справочник_ОКВЭД_НР!$G$3:$G$62&amp;".",","&amp;SUBSTITUTE(F465," ","")&amp;",")))),
50)</f>
        <v>50</v>
      </c>
      <c r="K465" s="30">
        <f>IFERROR(VLOOKUP(G465,Справочник_ОКВЭД_НР!$O:$P,2,FALSE()),50)</f>
        <v>100</v>
      </c>
      <c r="L465" s="45">
        <f>(I465*Справочник_ОКВЭД_НР!$L$2+J465*Справочник_ОКВЭД_НР!$L$3+K465*Справочник_ОКВЭД_НР!$L$4)*M465</f>
        <v>0</v>
      </c>
      <c r="M465" s="47">
        <f>IF(COUNTIF(Справочник_ОКВЭД_НР!$G$3:$G$62,H465)&gt;0,0,1)</f>
        <v>0</v>
      </c>
    </row>
    <row r="466" spans="1:13" x14ac:dyDescent="0.25">
      <c r="A466" s="4">
        <f>ЛИК_дляСкорингаДП!A466</f>
        <v>1072130011821</v>
      </c>
      <c r="B466" s="4">
        <f>ЛИК_дляСкорингаДП!B466</f>
        <v>2130024126</v>
      </c>
      <c r="C466" s="4" t="str">
        <f>ЛИК_дляСкорингаДП!C466</f>
        <v>КУ "ЧУВАШУПРДОР" МИНТРАНСА ЧУВАШИИ</v>
      </c>
      <c r="D466" s="5" t="str">
        <f>ЛИК_дляСкорингаДП!M466</f>
        <v>Управление имуществом, находящимся в государственной собственности</v>
      </c>
      <c r="E466" s="4" t="str">
        <f>ЛИК_дляСкорингаДП!L466</f>
        <v>84.11.8</v>
      </c>
      <c r="F466" t="str">
        <f>ЛИК_дляСкорингаДП!N466</f>
        <v>42.11,42.12,42.13,52.21.22,52.21.23,77.34</v>
      </c>
      <c r="G466" s="25" t="str">
        <f>ЛИК_дляСкорингаДП!AG466</f>
        <v>ОСН</v>
      </c>
      <c r="H466" s="55" t="str">
        <f>IF(ISNUMBER(E466),E466,
IFERROR(LEFT(E466,FIND(".",E466)-1),E466))</f>
        <v>84</v>
      </c>
      <c r="I466" s="30">
        <f>IF(COUNTIF(Справочник_ОКВЭД_НР!$A$3:$A$62,H466)&gt;0,Справочник_ОКВЭД_НР!$L$8,
 IF(COUNTIF(Справочник_ОКВЭД_НР!$C$3:$C$62,H466)&gt;0,Справочник_ОКВЭД_НР!$L$9,
  IF(COUNTIF(Справочник_ОКВЭД_НР!$E$3:$E$62,H466)&gt;0,Справочник_ОКВЭД_НР!$L$10,
   IF(COUNTIF(Справочник_ОКВЭД_НР!$G$3:$G$62,H466)&gt;0,Справочник_ОКВЭД_НР!$L$11,50))))</f>
        <v>0</v>
      </c>
      <c r="J466" s="30" cm="1">
        <f t="array" ref="J466">IFERROR(
 (SUMPRODUCT(ISNUMBER(SEARCH(","&amp;Справочник_ОКВЭД_НР!$A$3:$A$62&amp;".",","&amp;SUBSTITUTE(F466," ","")&amp;",")))*Справочник_ОКВЭД_НР!$L$9 +
  SUMPRODUCT(ISNUMBER(SEARCH(","&amp;Справочник_ОКВЭД_НР!$C$3:$C$62&amp;".",","&amp;SUBSTITUTE(F466," ","")&amp;",")))*Справочник_ОКВЭД_НР!$L$10 +
  SUMPRODUCT(ISNUMBER(SEARCH(","&amp;Справочник_ОКВЭД_НР!$E$3:$E$62&amp;".",","&amp;SUBSTITUTE(F466," ","")&amp;",")))*Справочник_ОКВЭД_НР!$L$11 +
  SUMPRODUCT(ISNUMBER(SEARCH(","&amp;Справочник_ОКВЭД_НР!$G$3:$G$62&amp;".",","&amp;SUBSTITUTE(F466," ","")&amp;",")))*Справочник_ОКВЭД_НР!$L$12) /
 (SUMPRODUCT(ISNUMBER(SEARCH(","&amp;Справочник_ОКВЭД_НР!$A$3:$A$62&amp;".",","&amp;SUBSTITUTE(F466," ","")&amp;","))) +
  SUMPRODUCT(ISNUMBER(SEARCH(","&amp;Справочник_ОКВЭД_НР!$C$3:$C$62&amp;".",","&amp;SUBSTITUTE(F466," ","")&amp;","))) +
  SUMPRODUCT(ISNUMBER(SEARCH(","&amp;Справочник_ОКВЭД_НР!$E$3:$E$62&amp;".",","&amp;SUBSTITUTE(F466," ","")&amp;","))) +
  SUMPRODUCT(ISNUMBER(SEARCH(","&amp;Справочник_ОКВЭД_НР!$G$3:$G$62&amp;".",","&amp;SUBSTITUTE(F466," ","")&amp;",")))),
50)</f>
        <v>50</v>
      </c>
      <c r="K466" s="30">
        <f>IFERROR(VLOOKUP(G466,Справочник_ОКВЭД_НР!$O:$P,2,FALSE()),50)</f>
        <v>100</v>
      </c>
      <c r="L466" s="45">
        <f>(I466*Справочник_ОКВЭД_НР!$L$2+J466*Справочник_ОКВЭД_НР!$L$3+K466*Справочник_ОКВЭД_НР!$L$4)*M466</f>
        <v>0</v>
      </c>
      <c r="M466" s="47">
        <f>IF(COUNTIF(Справочник_ОКВЭД_НР!$G$3:$G$62,H466)&gt;0,0,1)</f>
        <v>0</v>
      </c>
    </row>
    <row r="467" spans="1:13" x14ac:dyDescent="0.25">
      <c r="A467" s="4">
        <f>ЛИК_дляСкорингаДП!A467</f>
        <v>1122130007438</v>
      </c>
      <c r="B467" s="4">
        <f>ЛИК_дляСкорингаДП!B467</f>
        <v>2130104830</v>
      </c>
      <c r="C467" s="4" t="str">
        <f>ЛИК_дляСкорингаДП!C467</f>
        <v>МИНТРАНС ЧУВАШИИ</v>
      </c>
      <c r="D467" s="5" t="str">
        <f>ЛИК_дляСкорингаДП!M467</f>
        <v>Деятельность органов государственной власти субъектов Российской Федерации (республик, краев, областей), кроме судебной власти, представительств исполнительных органов государственной власти субъектов Российской Федерации при Президенте Российской Федерации</v>
      </c>
      <c r="E467" s="4" t="str">
        <f>ЛИК_дляСкорингаДП!L467</f>
        <v>84.11.21</v>
      </c>
      <c r="F467">
        <f>ЛИК_дляСкорингаДП!N467</f>
        <v>0</v>
      </c>
      <c r="G467" s="25" t="str">
        <f>ЛИК_дляСкорингаДП!AG467</f>
        <v>ОСН</v>
      </c>
      <c r="H467" s="55" t="str">
        <f>IF(ISNUMBER(E467),E467,
IFERROR(LEFT(E467,FIND(".",E467)-1),E467))</f>
        <v>84</v>
      </c>
      <c r="I467" s="30">
        <f>IF(COUNTIF(Справочник_ОКВЭД_НР!$A$3:$A$62,H467)&gt;0,Справочник_ОКВЭД_НР!$L$8,
 IF(COUNTIF(Справочник_ОКВЭД_НР!$C$3:$C$62,H467)&gt;0,Справочник_ОКВЭД_НР!$L$9,
  IF(COUNTIF(Справочник_ОКВЭД_НР!$E$3:$E$62,H467)&gt;0,Справочник_ОКВЭД_НР!$L$10,
   IF(COUNTIF(Справочник_ОКВЭД_НР!$G$3:$G$62,H467)&gt;0,Справочник_ОКВЭД_НР!$L$11,50))))</f>
        <v>0</v>
      </c>
      <c r="J467" s="30" cm="1">
        <f t="array" ref="J467">IFERROR(
 (SUMPRODUCT(ISNUMBER(SEARCH(","&amp;Справочник_ОКВЭД_НР!$A$3:$A$62&amp;".",","&amp;SUBSTITUTE(F467," ","")&amp;",")))*Справочник_ОКВЭД_НР!$L$9 +
  SUMPRODUCT(ISNUMBER(SEARCH(","&amp;Справочник_ОКВЭД_НР!$C$3:$C$62&amp;".",","&amp;SUBSTITUTE(F467," ","")&amp;",")))*Справочник_ОКВЭД_НР!$L$10 +
  SUMPRODUCT(ISNUMBER(SEARCH(","&amp;Справочник_ОКВЭД_НР!$E$3:$E$62&amp;".",","&amp;SUBSTITUTE(F467," ","")&amp;",")))*Справочник_ОКВЭД_НР!$L$11 +
  SUMPRODUCT(ISNUMBER(SEARCH(","&amp;Справочник_ОКВЭД_НР!$G$3:$G$62&amp;".",","&amp;SUBSTITUTE(F467," ","")&amp;",")))*Справочник_ОКВЭД_НР!$L$12) /
 (SUMPRODUCT(ISNUMBER(SEARCH(","&amp;Справочник_ОКВЭД_НР!$A$3:$A$62&amp;".",","&amp;SUBSTITUTE(F467," ","")&amp;","))) +
  SUMPRODUCT(ISNUMBER(SEARCH(","&amp;Справочник_ОКВЭД_НР!$C$3:$C$62&amp;".",","&amp;SUBSTITUTE(F467," ","")&amp;","))) +
  SUMPRODUCT(ISNUMBER(SEARCH(","&amp;Справочник_ОКВЭД_НР!$E$3:$E$62&amp;".",","&amp;SUBSTITUTE(F467," ","")&amp;","))) +
  SUMPRODUCT(ISNUMBER(SEARCH(","&amp;Справочник_ОКВЭД_НР!$G$3:$G$62&amp;".",","&amp;SUBSTITUTE(F467," ","")&amp;",")))),
50)</f>
        <v>50</v>
      </c>
      <c r="K467" s="30">
        <f>IFERROR(VLOOKUP(G467,Справочник_ОКВЭД_НР!$O:$P,2,FALSE()),50)</f>
        <v>100</v>
      </c>
      <c r="L467" s="45">
        <f>(I467*Справочник_ОКВЭД_НР!$L$2+J467*Справочник_ОКВЭД_НР!$L$3+K467*Справочник_ОКВЭД_НР!$L$4)*M467</f>
        <v>0</v>
      </c>
      <c r="M467" s="47">
        <f>IF(COUNTIF(Справочник_ОКВЭД_НР!$G$3:$G$62,H467)&gt;0,0,1)</f>
        <v>0</v>
      </c>
    </row>
    <row r="468" spans="1:13" x14ac:dyDescent="0.25">
      <c r="A468" s="4">
        <f>ЛИК_дляСкорингаДП!A468</f>
        <v>1032124005660</v>
      </c>
      <c r="B468" s="4">
        <f>ЛИК_дляСкорингаДП!B468</f>
        <v>2124021247</v>
      </c>
      <c r="C468" s="4" t="str">
        <f>ЛИК_дляСкорингаДП!C468</f>
        <v>ПО ЦЕНТР ФИНПО-СОГЛАСИЕ</v>
      </c>
      <c r="D468" s="5" t="str">
        <f>ЛИК_дляСкорингаДП!M468</f>
        <v>Деятельность вспомогательная прочая в сфере финансовых услуг, кроме страхования и пенсионного обеспечения</v>
      </c>
      <c r="E468" s="4" t="str">
        <f>ЛИК_дляСкорингаДП!L468</f>
        <v>66.19</v>
      </c>
      <c r="F468" t="str">
        <f>ЛИК_дляСкорингаДП!N468</f>
        <v>10.13,56.10,64.92,78.10,88.10,96.09</v>
      </c>
      <c r="G468" s="25" t="str">
        <f>ЛИК_дляСкорингаДП!AG468</f>
        <v>ОСН</v>
      </c>
      <c r="H468" s="55" t="str">
        <f>IF(ISNUMBER(E468),E468,
IFERROR(LEFT(E468,FIND(".",E468)-1),E468))</f>
        <v>66</v>
      </c>
      <c r="I468" s="30">
        <f>IF(COUNTIF(Справочник_ОКВЭД_НР!$A$3:$A$62,H468)&gt;0,Справочник_ОКВЭД_НР!$L$8,
 IF(COUNTIF(Справочник_ОКВЭД_НР!$C$3:$C$62,H468)&gt;0,Справочник_ОКВЭД_НР!$L$9,
  IF(COUNTIF(Справочник_ОКВЭД_НР!$E$3:$E$62,H468)&gt;0,Справочник_ОКВЭД_НР!$L$10,
   IF(COUNTIF(Справочник_ОКВЭД_НР!$G$3:$G$62,H468)&gt;0,Справочник_ОКВЭД_НР!$L$11,50))))</f>
        <v>60</v>
      </c>
      <c r="J468" s="30" cm="1">
        <f t="array" ref="J468">IFERROR(
 (SUMPRODUCT(ISNUMBER(SEARCH(","&amp;Справочник_ОКВЭД_НР!$A$3:$A$62&amp;".",","&amp;SUBSTITUTE(F468," ","")&amp;",")))*Справочник_ОКВЭД_НР!$L$9 +
  SUMPRODUCT(ISNUMBER(SEARCH(","&amp;Справочник_ОКВЭД_НР!$C$3:$C$62&amp;".",","&amp;SUBSTITUTE(F468," ","")&amp;",")))*Справочник_ОКВЭД_НР!$L$10 +
  SUMPRODUCT(ISNUMBER(SEARCH(","&amp;Справочник_ОКВЭД_НР!$E$3:$E$62&amp;".",","&amp;SUBSTITUTE(F468," ","")&amp;",")))*Справочник_ОКВЭД_НР!$L$11 +
  SUMPRODUCT(ISNUMBER(SEARCH(","&amp;Справочник_ОКВЭД_НР!$G$3:$G$62&amp;".",","&amp;SUBSTITUTE(F468," ","")&amp;",")))*Справочник_ОКВЭД_НР!$L$12) /
 (SUMPRODUCT(ISNUMBER(SEARCH(","&amp;Справочник_ОКВЭД_НР!$A$3:$A$62&amp;".",","&amp;SUBSTITUTE(F468," ","")&amp;","))) +
  SUMPRODUCT(ISNUMBER(SEARCH(","&amp;Справочник_ОКВЭД_НР!$C$3:$C$62&amp;".",","&amp;SUBSTITUTE(F468," ","")&amp;","))) +
  SUMPRODUCT(ISNUMBER(SEARCH(","&amp;Справочник_ОКВЭД_НР!$E$3:$E$62&amp;".",","&amp;SUBSTITUTE(F468," ","")&amp;","))) +
  SUMPRODUCT(ISNUMBER(SEARCH(","&amp;Справочник_ОКВЭД_НР!$G$3:$G$62&amp;".",","&amp;SUBSTITUTE(F468," ","")&amp;",")))),
50)</f>
        <v>50</v>
      </c>
      <c r="K468" s="30">
        <f>IFERROR(VLOOKUP(G468,Справочник_ОКВЭД_НР!$O:$P,2,FALSE()),50)</f>
        <v>100</v>
      </c>
      <c r="L468" s="45">
        <f>(I468*Справочник_ОКВЭД_НР!$L$2+J468*Справочник_ОКВЭД_НР!$L$3+K468*Справочник_ОКВЭД_НР!$L$4)*M468</f>
        <v>63.5</v>
      </c>
      <c r="M468" s="47">
        <f>IF(COUNTIF(Справочник_ОКВЭД_НР!$G$3:$G$62,H468)&gt;0,0,1)</f>
        <v>1</v>
      </c>
    </row>
    <row r="469" spans="1:13" x14ac:dyDescent="0.25">
      <c r="A469" s="4">
        <f>ЛИК_дляСкорингаДП!A469</f>
        <v>1162100050298</v>
      </c>
      <c r="B469" s="4">
        <f>ЛИК_дляСкорингаДП!B469</f>
        <v>2130173640</v>
      </c>
      <c r="C469" s="4" t="str">
        <f>ЛИК_дляСкорингаДП!C469</f>
        <v>АНО ДПО "ЦЕНТР НЕЗАВИСИМОЙ ЭКСПЕРТИЗЫ"</v>
      </c>
      <c r="D469" s="5" t="str">
        <f>ЛИК_дляСкорингаДП!M469</f>
        <v>Судебно-экспертная деятельность</v>
      </c>
      <c r="E469" s="4" t="str">
        <f>ЛИК_дляСкорингаДП!L469</f>
        <v>71.20.2</v>
      </c>
      <c r="F469" t="str">
        <f>ЛИК_дляСкорингаДП!N469</f>
        <v>66.21,68.31.5,70.22,71.12,71.20,71.20.8,72.19,72.20,74.20,74.90.2,74.90.21,74.90.22,74.90.23,74.90.25,82.30,85.42,86.90.2</v>
      </c>
      <c r="G469" s="25" t="str">
        <f>ЛИК_дляСкорингаДП!AG469</f>
        <v>ОСН</v>
      </c>
      <c r="H469" s="55" t="str">
        <f>IF(ISNUMBER(E469),E469,
IFERROR(LEFT(E469,FIND(".",E469)-1),E469))</f>
        <v>71</v>
      </c>
      <c r="I469" s="30">
        <f>IF(COUNTIF(Справочник_ОКВЭД_НР!$A$3:$A$62,H469)&gt;0,Справочник_ОКВЭД_НР!$L$8,
 IF(COUNTIF(Справочник_ОКВЭД_НР!$C$3:$C$62,H469)&gt;0,Справочник_ОКВЭД_НР!$L$9,
  IF(COUNTIF(Справочник_ОКВЭД_НР!$E$3:$E$62,H469)&gt;0,Справочник_ОКВЭД_НР!$L$10,
   IF(COUNTIF(Справочник_ОКВЭД_НР!$G$3:$G$62,H469)&gt;0,Справочник_ОКВЭД_НР!$L$11,50))))</f>
        <v>100</v>
      </c>
      <c r="J469" s="30" cm="1">
        <f t="array" ref="J469">IFERROR(
 (SUMPRODUCT(ISNUMBER(SEARCH(","&amp;Справочник_ОКВЭД_НР!$A$3:$A$62&amp;".",","&amp;SUBSTITUTE(F469," ","")&amp;",")))*Справочник_ОКВЭД_НР!$L$9 +
  SUMPRODUCT(ISNUMBER(SEARCH(","&amp;Справочник_ОКВЭД_НР!$C$3:$C$62&amp;".",","&amp;SUBSTITUTE(F469," ","")&amp;",")))*Справочник_ОКВЭД_НР!$L$10 +
  SUMPRODUCT(ISNUMBER(SEARCH(","&amp;Справочник_ОКВЭД_НР!$E$3:$E$62&amp;".",","&amp;SUBSTITUTE(F469," ","")&amp;",")))*Справочник_ОКВЭД_НР!$L$11 +
  SUMPRODUCT(ISNUMBER(SEARCH(","&amp;Справочник_ОКВЭД_НР!$G$3:$G$62&amp;".",","&amp;SUBSTITUTE(F469," ","")&amp;",")))*Справочник_ОКВЭД_НР!$L$12) /
 (SUMPRODUCT(ISNUMBER(SEARCH(","&amp;Справочник_ОКВЭД_НР!$A$3:$A$62&amp;".",","&amp;SUBSTITUTE(F469," ","")&amp;","))) +
  SUMPRODUCT(ISNUMBER(SEARCH(","&amp;Справочник_ОКВЭД_НР!$C$3:$C$62&amp;".",","&amp;SUBSTITUTE(F469," ","")&amp;","))) +
  SUMPRODUCT(ISNUMBER(SEARCH(","&amp;Справочник_ОКВЭД_НР!$E$3:$E$62&amp;".",","&amp;SUBSTITUTE(F469," ","")&amp;","))) +
  SUMPRODUCT(ISNUMBER(SEARCH(","&amp;Справочник_ОКВЭД_НР!$G$3:$G$62&amp;".",","&amp;SUBSTITUTE(F469," ","")&amp;",")))),
50)</f>
        <v>50</v>
      </c>
      <c r="K469" s="30">
        <f>IFERROR(VLOOKUP(G469,Справочник_ОКВЭД_НР!$O:$P,2,FALSE()),50)</f>
        <v>100</v>
      </c>
      <c r="L469" s="45">
        <f>(I469*Справочник_ОКВЭД_НР!$L$2+J469*Справочник_ОКВЭД_НР!$L$3+K469*Справочник_ОКВЭД_НР!$L$4)*M469</f>
        <v>87.5</v>
      </c>
      <c r="M469" s="47">
        <f>IF(COUNTIF(Справочник_ОКВЭД_НР!$G$3:$G$62,H469)&gt;0,0,1)</f>
        <v>1</v>
      </c>
    </row>
    <row r="470" spans="1:13" x14ac:dyDescent="0.25">
      <c r="A470" s="4">
        <f>ЛИК_дляСкорингаДП!A470</f>
        <v>1032100000602</v>
      </c>
      <c r="B470" s="4">
        <f>ЛИК_дляСкорингаДП!B470</f>
        <v>2128041526</v>
      </c>
      <c r="C470" s="4" t="str">
        <f>ЛИК_дляСкорингаДП!C470</f>
        <v>ОО"ФУЧР"</v>
      </c>
      <c r="D470" s="5" t="str">
        <f>ЛИК_дляСкорингаДП!M470</f>
        <v>Деятельность прочих общественных организаций и некоммерческих организаций, кроме религиозных и политических организаций</v>
      </c>
      <c r="E470" s="4" t="str">
        <f>ЛИК_дляСкорингаДП!L470</f>
        <v>94.99</v>
      </c>
      <c r="F470">
        <f>ЛИК_дляСкорингаДП!N470</f>
        <v>0</v>
      </c>
      <c r="G470" s="25" t="str">
        <f>ЛИК_дляСкорингаДП!AG470</f>
        <v>ОСН</v>
      </c>
      <c r="H470" s="55" t="str">
        <f>IF(ISNUMBER(E470),E470,
IFERROR(LEFT(E470,FIND(".",E470)-1),E470))</f>
        <v>94</v>
      </c>
      <c r="I470" s="30">
        <f>IF(COUNTIF(Справочник_ОКВЭД_НР!$A$3:$A$62,H470)&gt;0,Справочник_ОКВЭД_НР!$L$8,
 IF(COUNTIF(Справочник_ОКВЭД_НР!$C$3:$C$62,H470)&gt;0,Справочник_ОКВЭД_НР!$L$9,
  IF(COUNTIF(Справочник_ОКВЭД_НР!$E$3:$E$62,H470)&gt;0,Справочник_ОКВЭД_НР!$L$10,
   IF(COUNTIF(Справочник_ОКВЭД_НР!$G$3:$G$62,H470)&gt;0,Справочник_ОКВЭД_НР!$L$11,50))))</f>
        <v>0</v>
      </c>
      <c r="J470" s="30" cm="1">
        <f t="array" ref="J470">IFERROR(
 (SUMPRODUCT(ISNUMBER(SEARCH(","&amp;Справочник_ОКВЭД_НР!$A$3:$A$62&amp;".",","&amp;SUBSTITUTE(F470," ","")&amp;",")))*Справочник_ОКВЭД_НР!$L$9 +
  SUMPRODUCT(ISNUMBER(SEARCH(","&amp;Справочник_ОКВЭД_НР!$C$3:$C$62&amp;".",","&amp;SUBSTITUTE(F470," ","")&amp;",")))*Справочник_ОКВЭД_НР!$L$10 +
  SUMPRODUCT(ISNUMBER(SEARCH(","&amp;Справочник_ОКВЭД_НР!$E$3:$E$62&amp;".",","&amp;SUBSTITUTE(F470," ","")&amp;",")))*Справочник_ОКВЭД_НР!$L$11 +
  SUMPRODUCT(ISNUMBER(SEARCH(","&amp;Справочник_ОКВЭД_НР!$G$3:$G$62&amp;".",","&amp;SUBSTITUTE(F470," ","")&amp;",")))*Справочник_ОКВЭД_НР!$L$12) /
 (SUMPRODUCT(ISNUMBER(SEARCH(","&amp;Справочник_ОКВЭД_НР!$A$3:$A$62&amp;".",","&amp;SUBSTITUTE(F470," ","")&amp;","))) +
  SUMPRODUCT(ISNUMBER(SEARCH(","&amp;Справочник_ОКВЭД_НР!$C$3:$C$62&amp;".",","&amp;SUBSTITUTE(F470," ","")&amp;","))) +
  SUMPRODUCT(ISNUMBER(SEARCH(","&amp;Справочник_ОКВЭД_НР!$E$3:$E$62&amp;".",","&amp;SUBSTITUTE(F470," ","")&amp;","))) +
  SUMPRODUCT(ISNUMBER(SEARCH(","&amp;Справочник_ОКВЭД_НР!$G$3:$G$62&amp;".",","&amp;SUBSTITUTE(F470," ","")&amp;",")))),
50)</f>
        <v>50</v>
      </c>
      <c r="K470" s="30">
        <f>IFERROR(VLOOKUP(G470,Справочник_ОКВЭД_НР!$O:$P,2,FALSE()),50)</f>
        <v>100</v>
      </c>
      <c r="L470" s="45">
        <f>(I470*Справочник_ОКВЭД_НР!$L$2+J470*Справочник_ОКВЭД_НР!$L$3+K470*Справочник_ОКВЭД_НР!$L$4)*M470</f>
        <v>0</v>
      </c>
      <c r="M470" s="47">
        <f>IF(COUNTIF(Справочник_ОКВЭД_НР!$G$3:$G$62,H470)&gt;0,0,1)</f>
        <v>0</v>
      </c>
    </row>
    <row r="471" spans="1:13" x14ac:dyDescent="0.25">
      <c r="A471" s="4">
        <f>ЛИК_дляСкорингаДП!A471</f>
        <v>1022101274315</v>
      </c>
      <c r="B471" s="4">
        <f>ЛИК_дляСкорингаДП!B471</f>
        <v>2129009412</v>
      </c>
      <c r="C471" s="4" t="str">
        <f>ЛИК_дляСкорингаДП!C471</f>
        <v>ФГБОУ ВО "ЧГУ ИМ. И.Н. УЛЬЯНОВА"</v>
      </c>
      <c r="D471" s="5" t="str">
        <f>ЛИК_дляСкорингаДП!M471</f>
        <v>Образование высшее - бакалавриат</v>
      </c>
      <c r="E471" s="4" t="str">
        <f>ЛИК_дляСкорингаДП!L471</f>
        <v>85.22.1</v>
      </c>
      <c r="F471" t="str">
        <f>ЛИК_дляСкорингаДП!N471</f>
        <v>55.90,56.29.2,58.11,72.19.9,85.21,18.11,18.12,18.14,21.10,33.12,35.14,41.20,42.99,43.2,43.21,43.3,43.31,43.34,43.39,43.99,43.99.5,43.99.7,43.99.9,45.20,49.3,49.4,52.29,53.10,53.20.1,55.20,55.90,56.29,58.11,60.10,60.20,61.10.1,62.09,63.11.1,64.99.11,68.31.1,68.31.2,68.31.3,68.31.4,70.22,71.1,71.12.5,71.12.6,71.20,72.19,72.20,78.10,79.11,82.99,85.12,85.13,85.14,85.21,85.22,85.42.1,85.42.9,86.90.4,90.0,90.04,91.01,91.02,91.03,93.19,93.29,95.11,95.12,96.04</v>
      </c>
      <c r="G471" s="25" t="str">
        <f>ЛИК_дляСкорингаДП!AG471</f>
        <v>ОСН</v>
      </c>
      <c r="H471" s="55" t="str">
        <f>IF(ISNUMBER(E471),E471,
IFERROR(LEFT(E471,FIND(".",E471)-1),E471))</f>
        <v>85</v>
      </c>
      <c r="I471" s="30">
        <f>IF(COUNTIF(Справочник_ОКВЭД_НР!$A$3:$A$62,H471)&gt;0,Справочник_ОКВЭД_НР!$L$8,
 IF(COUNTIF(Справочник_ОКВЭД_НР!$C$3:$C$62,H471)&gt;0,Справочник_ОКВЭД_НР!$L$9,
  IF(COUNTIF(Справочник_ОКВЭД_НР!$E$3:$E$62,H471)&gt;0,Справочник_ОКВЭД_НР!$L$10,
   IF(COUNTIF(Справочник_ОКВЭД_НР!$G$3:$G$62,H471)&gt;0,Справочник_ОКВЭД_НР!$L$11,50))))</f>
        <v>30</v>
      </c>
      <c r="J471" s="30" cm="1">
        <f t="array" ref="J471">IFERROR(
 (SUMPRODUCT(ISNUMBER(SEARCH(","&amp;Справочник_ОКВЭД_НР!$A$3:$A$62&amp;".",","&amp;SUBSTITUTE(F471," ","")&amp;",")))*Справочник_ОКВЭД_НР!$L$9 +
  SUMPRODUCT(ISNUMBER(SEARCH(","&amp;Справочник_ОКВЭД_НР!$C$3:$C$62&amp;".",","&amp;SUBSTITUTE(F471," ","")&amp;",")))*Справочник_ОКВЭД_НР!$L$10 +
  SUMPRODUCT(ISNUMBER(SEARCH(","&amp;Справочник_ОКВЭД_НР!$E$3:$E$62&amp;".",","&amp;SUBSTITUTE(F471," ","")&amp;",")))*Справочник_ОКВЭД_НР!$L$11 +
  SUMPRODUCT(ISNUMBER(SEARCH(","&amp;Справочник_ОКВЭД_НР!$G$3:$G$62&amp;".",","&amp;SUBSTITUTE(F471," ","")&amp;",")))*Справочник_ОКВЭД_НР!$L$12) /
 (SUMPRODUCT(ISNUMBER(SEARCH(","&amp;Справочник_ОКВЭД_НР!$A$3:$A$62&amp;".",","&amp;SUBSTITUTE(F471," ","")&amp;","))) +
  SUMPRODUCT(ISNUMBER(SEARCH(","&amp;Справочник_ОКВЭД_НР!$C$3:$C$62&amp;".",","&amp;SUBSTITUTE(F471," ","")&amp;","))) +
  SUMPRODUCT(ISNUMBER(SEARCH(","&amp;Справочник_ОКВЭД_НР!$E$3:$E$62&amp;".",","&amp;SUBSTITUTE(F471," ","")&amp;","))) +
  SUMPRODUCT(ISNUMBER(SEARCH(","&amp;Справочник_ОКВЭД_НР!$G$3:$G$62&amp;".",","&amp;SUBSTITUTE(F471," ","")&amp;",")))),
50)</f>
        <v>50</v>
      </c>
      <c r="K471" s="30">
        <f>IFERROR(VLOOKUP(G471,Справочник_ОКВЭД_НР!$O:$P,2,FALSE()),50)</f>
        <v>100</v>
      </c>
      <c r="L471" s="45">
        <f>(I471*Справочник_ОКВЭД_НР!$L$2+J471*Справочник_ОКВЭД_НР!$L$3+K471*Справочник_ОКВЭД_НР!$L$4)*M471</f>
        <v>45.5</v>
      </c>
      <c r="M471" s="47">
        <f>IF(COUNTIF(Справочник_ОКВЭД_НР!$G$3:$G$62,H471)&gt;0,0,1)</f>
        <v>1</v>
      </c>
    </row>
    <row r="472" spans="1:13" x14ac:dyDescent="0.25">
      <c r="A472" s="4">
        <f>ЛИК_дляСкорингаДП!A472</f>
        <v>1032129014290</v>
      </c>
      <c r="B472" s="4">
        <f>ЛИК_дляСкорингаДП!B472</f>
        <v>2129052256</v>
      </c>
      <c r="C472" s="4" t="str">
        <f>ЛИК_дляСкорингаДП!C472</f>
        <v>ТСЖ "БРИГ"</v>
      </c>
      <c r="D472" s="5" t="str">
        <f>ЛИК_дляСкорингаДП!M472</f>
        <v>Управление недвижимым имуществом за вознаграждение или на договорной основе</v>
      </c>
      <c r="E472" s="4" t="str">
        <f>ЛИК_дляСкорингаДП!L472</f>
        <v>68.32</v>
      </c>
      <c r="F472" t="str">
        <f>ЛИК_дляСкорингаДП!N472</f>
        <v>68.20,81.22,81.29.9</v>
      </c>
      <c r="G472" s="25" t="str">
        <f>ЛИК_дляСкорингаДП!AG472</f>
        <v>ОСН</v>
      </c>
      <c r="H472" s="55" t="str">
        <f>IF(ISNUMBER(E472),E472,
IFERROR(LEFT(E472,FIND(".",E472)-1),E472))</f>
        <v>68</v>
      </c>
      <c r="I472" s="30">
        <f>IF(COUNTIF(Справочник_ОКВЭД_НР!$A$3:$A$62,H472)&gt;0,Справочник_ОКВЭД_НР!$L$8,
 IF(COUNTIF(Справочник_ОКВЭД_НР!$C$3:$C$62,H472)&gt;0,Справочник_ОКВЭД_НР!$L$9,
  IF(COUNTIF(Справочник_ОКВЭД_НР!$E$3:$E$62,H472)&gt;0,Справочник_ОКВЭД_НР!$L$10,
   IF(COUNTIF(Справочник_ОКВЭД_НР!$G$3:$G$62,H472)&gt;0,Справочник_ОКВЭД_НР!$L$11,50))))</f>
        <v>100</v>
      </c>
      <c r="J472" s="30" cm="1">
        <f t="array" ref="J472">IFERROR(
 (SUMPRODUCT(ISNUMBER(SEARCH(","&amp;Справочник_ОКВЭД_НР!$A$3:$A$62&amp;".",","&amp;SUBSTITUTE(F472," ","")&amp;",")))*Справочник_ОКВЭД_НР!$L$9 +
  SUMPRODUCT(ISNUMBER(SEARCH(","&amp;Справочник_ОКВЭД_НР!$C$3:$C$62&amp;".",","&amp;SUBSTITUTE(F472," ","")&amp;",")))*Справочник_ОКВЭД_НР!$L$10 +
  SUMPRODUCT(ISNUMBER(SEARCH(","&amp;Справочник_ОКВЭД_НР!$E$3:$E$62&amp;".",","&amp;SUBSTITUTE(F472," ","")&amp;",")))*Справочник_ОКВЭД_НР!$L$11 +
  SUMPRODUCT(ISNUMBER(SEARCH(","&amp;Справочник_ОКВЭД_НР!$G$3:$G$62&amp;".",","&amp;SUBSTITUTE(F472," ","")&amp;",")))*Справочник_ОКВЭД_НР!$L$12) /
 (SUMPRODUCT(ISNUMBER(SEARCH(","&amp;Справочник_ОКВЭД_НР!$A$3:$A$62&amp;".",","&amp;SUBSTITUTE(F472," ","")&amp;","))) +
  SUMPRODUCT(ISNUMBER(SEARCH(","&amp;Справочник_ОКВЭД_НР!$C$3:$C$62&amp;".",","&amp;SUBSTITUTE(F472," ","")&amp;","))) +
  SUMPRODUCT(ISNUMBER(SEARCH(","&amp;Справочник_ОКВЭД_НР!$E$3:$E$62&amp;".",","&amp;SUBSTITUTE(F472," ","")&amp;","))) +
  SUMPRODUCT(ISNUMBER(SEARCH(","&amp;Справочник_ОКВЭД_НР!$G$3:$G$62&amp;".",","&amp;SUBSTITUTE(F472," ","")&amp;",")))),
50)</f>
        <v>50</v>
      </c>
      <c r="K472" s="30">
        <f>IFERROR(VLOOKUP(G472,Справочник_ОКВЭД_НР!$O:$P,2,FALSE()),50)</f>
        <v>100</v>
      </c>
      <c r="L472" s="45">
        <f>(I472*Справочник_ОКВЭД_НР!$L$2+J472*Справочник_ОКВЭД_НР!$L$3+K472*Справочник_ОКВЭД_НР!$L$4)*M472</f>
        <v>87.5</v>
      </c>
      <c r="M472" s="47">
        <f>IF(COUNTIF(Справочник_ОКВЭД_НР!$G$3:$G$62,H472)&gt;0,0,1)</f>
        <v>1</v>
      </c>
    </row>
    <row r="473" spans="1:13" x14ac:dyDescent="0.25">
      <c r="A473" s="4">
        <f>ЛИК_дляСкорингаДП!A473</f>
        <v>1022101131040</v>
      </c>
      <c r="B473" s="4">
        <f>ЛИК_дляСкорингаДП!B473</f>
        <v>2128018171</v>
      </c>
      <c r="C473" s="4" t="str">
        <f>ЛИК_дляСкорингаДП!C473</f>
        <v>УФК ПО ЧУВАШСКОЙ РЕСПУБЛИКЕ</v>
      </c>
      <c r="D473" s="5" t="str">
        <f>ЛИК_дляСкорингаДП!M473</f>
        <v>Управление финансовой деятельностью и деятельностью в сфере налогообложения</v>
      </c>
      <c r="E473" s="4" t="str">
        <f>ЛИК_дляСкорингаДП!L473</f>
        <v>84.11.4</v>
      </c>
      <c r="F473">
        <f>ЛИК_дляСкорингаДП!N473</f>
        <v>0</v>
      </c>
      <c r="G473" s="25" t="str">
        <f>ЛИК_дляСкорингаДП!AG473</f>
        <v>ОСН</v>
      </c>
      <c r="H473" s="55" t="str">
        <f>IF(ISNUMBER(E473),E473,
IFERROR(LEFT(E473,FIND(".",E473)-1),E473))</f>
        <v>84</v>
      </c>
      <c r="I473" s="30">
        <f>IF(COUNTIF(Справочник_ОКВЭД_НР!$A$3:$A$62,H473)&gt;0,Справочник_ОКВЭД_НР!$L$8,
 IF(COUNTIF(Справочник_ОКВЭД_НР!$C$3:$C$62,H473)&gt;0,Справочник_ОКВЭД_НР!$L$9,
  IF(COUNTIF(Справочник_ОКВЭД_НР!$E$3:$E$62,H473)&gt;0,Справочник_ОКВЭД_НР!$L$10,
   IF(COUNTIF(Справочник_ОКВЭД_НР!$G$3:$G$62,H473)&gt;0,Справочник_ОКВЭД_НР!$L$11,50))))</f>
        <v>0</v>
      </c>
      <c r="J473" s="30" cm="1">
        <f t="array" ref="J473">IFERROR(
 (SUMPRODUCT(ISNUMBER(SEARCH(","&amp;Справочник_ОКВЭД_НР!$A$3:$A$62&amp;".",","&amp;SUBSTITUTE(F473," ","")&amp;",")))*Справочник_ОКВЭД_НР!$L$9 +
  SUMPRODUCT(ISNUMBER(SEARCH(","&amp;Справочник_ОКВЭД_НР!$C$3:$C$62&amp;".",","&amp;SUBSTITUTE(F473," ","")&amp;",")))*Справочник_ОКВЭД_НР!$L$10 +
  SUMPRODUCT(ISNUMBER(SEARCH(","&amp;Справочник_ОКВЭД_НР!$E$3:$E$62&amp;".",","&amp;SUBSTITUTE(F473," ","")&amp;",")))*Справочник_ОКВЭД_НР!$L$11 +
  SUMPRODUCT(ISNUMBER(SEARCH(","&amp;Справочник_ОКВЭД_НР!$G$3:$G$62&amp;".",","&amp;SUBSTITUTE(F473," ","")&amp;",")))*Справочник_ОКВЭД_НР!$L$12) /
 (SUMPRODUCT(ISNUMBER(SEARCH(","&amp;Справочник_ОКВЭД_НР!$A$3:$A$62&amp;".",","&amp;SUBSTITUTE(F473," ","")&amp;","))) +
  SUMPRODUCT(ISNUMBER(SEARCH(","&amp;Справочник_ОКВЭД_НР!$C$3:$C$62&amp;".",","&amp;SUBSTITUTE(F473," ","")&amp;","))) +
  SUMPRODUCT(ISNUMBER(SEARCH(","&amp;Справочник_ОКВЭД_НР!$E$3:$E$62&amp;".",","&amp;SUBSTITUTE(F473," ","")&amp;","))) +
  SUMPRODUCT(ISNUMBER(SEARCH(","&amp;Справочник_ОКВЭД_НР!$G$3:$G$62&amp;".",","&amp;SUBSTITUTE(F473," ","")&amp;",")))),
50)</f>
        <v>50</v>
      </c>
      <c r="K473" s="30">
        <f>IFERROR(VLOOKUP(G473,Справочник_ОКВЭД_НР!$O:$P,2,FALSE()),50)</f>
        <v>100</v>
      </c>
      <c r="L473" s="45">
        <f>(I473*Справочник_ОКВЭД_НР!$L$2+J473*Справочник_ОКВЭД_НР!$L$3+K473*Справочник_ОКВЭД_НР!$L$4)*M473</f>
        <v>0</v>
      </c>
      <c r="M473" s="47">
        <f>IF(COUNTIF(Справочник_ОКВЭД_НР!$G$3:$G$62,H473)&gt;0,0,1)</f>
        <v>0</v>
      </c>
    </row>
    <row r="474" spans="1:13" x14ac:dyDescent="0.25">
      <c r="A474" s="4">
        <f>ЛИК_дляСкорингаДП!A474</f>
        <v>1022101146506</v>
      </c>
      <c r="B474" s="4">
        <f>ЛИК_дляСкорингаДП!B474</f>
        <v>2128005687</v>
      </c>
      <c r="C474" s="4" t="str">
        <f>ЛИК_дляСкорингаДП!C474</f>
        <v>БУ "ЧУВАШСКИЙ НАЦИОНАЛЬНЫЙ МУЗЕЙ" МИНКУЛЬТУРЫ ЧУВАШИИ</v>
      </c>
      <c r="D474" s="5" t="str">
        <f>ЛИК_дляСкорингаДП!M474</f>
        <v>Деятельность музеев</v>
      </c>
      <c r="E474" s="4" t="str">
        <f>ЛИК_дляСкорингаДП!L474</f>
        <v>91.02</v>
      </c>
      <c r="F474" t="str">
        <f>ЛИК_дляСкорингаДП!N474</f>
        <v>18.12,18.20,32.99.8,47.11,47.78.3,47.89,47.91,58.14,58.19,59.11.9,59.13,59.14,59.20.1,63.11.1,63.99.1,68.20,72.20,74.20,79.11,79.12,79.90,79.90.1,79.90.2,79.90.22,79.90.3,82.19,82.30,85.41.2,85.41.9,90.01,90.03,90.04,90.04.3,93.29.3,93.29.9,96.09</v>
      </c>
      <c r="G474" s="25" t="str">
        <f>ЛИК_дляСкорингаДП!AG474</f>
        <v>ОСН</v>
      </c>
      <c r="H474" s="55" t="str">
        <f>IF(ISNUMBER(E474),E474,
IFERROR(LEFT(E474,FIND(".",E474)-1),E474))</f>
        <v>91</v>
      </c>
      <c r="I474" s="30">
        <f>IF(COUNTIF(Справочник_ОКВЭД_НР!$A$3:$A$62,H474)&gt;0,Справочник_ОКВЭД_НР!$L$8,
 IF(COUNTIF(Справочник_ОКВЭД_НР!$C$3:$C$62,H474)&gt;0,Справочник_ОКВЭД_НР!$L$9,
  IF(COUNTIF(Справочник_ОКВЭД_НР!$E$3:$E$62,H474)&gt;0,Справочник_ОКВЭД_НР!$L$10,
   IF(COUNTIF(Справочник_ОКВЭД_НР!$G$3:$G$62,H474)&gt;0,Справочник_ОКВЭД_НР!$L$11,50))))</f>
        <v>0</v>
      </c>
      <c r="J474" s="30" cm="1">
        <f t="array" ref="J474">IFERROR(
 (SUMPRODUCT(ISNUMBER(SEARCH(","&amp;Справочник_ОКВЭД_НР!$A$3:$A$62&amp;".",","&amp;SUBSTITUTE(F474," ","")&amp;",")))*Справочник_ОКВЭД_НР!$L$9 +
  SUMPRODUCT(ISNUMBER(SEARCH(","&amp;Справочник_ОКВЭД_НР!$C$3:$C$62&amp;".",","&amp;SUBSTITUTE(F474," ","")&amp;",")))*Справочник_ОКВЭД_НР!$L$10 +
  SUMPRODUCT(ISNUMBER(SEARCH(","&amp;Справочник_ОКВЭД_НР!$E$3:$E$62&amp;".",","&amp;SUBSTITUTE(F474," ","")&amp;",")))*Справочник_ОКВЭД_НР!$L$11 +
  SUMPRODUCT(ISNUMBER(SEARCH(","&amp;Справочник_ОКВЭД_НР!$G$3:$G$62&amp;".",","&amp;SUBSTITUTE(F474," ","")&amp;",")))*Справочник_ОКВЭД_НР!$L$12) /
 (SUMPRODUCT(ISNUMBER(SEARCH(","&amp;Справочник_ОКВЭД_НР!$A$3:$A$62&amp;".",","&amp;SUBSTITUTE(F474," ","")&amp;","))) +
  SUMPRODUCT(ISNUMBER(SEARCH(","&amp;Справочник_ОКВЭД_НР!$C$3:$C$62&amp;".",","&amp;SUBSTITUTE(F474," ","")&amp;","))) +
  SUMPRODUCT(ISNUMBER(SEARCH(","&amp;Справочник_ОКВЭД_НР!$E$3:$E$62&amp;".",","&amp;SUBSTITUTE(F474," ","")&amp;","))) +
  SUMPRODUCT(ISNUMBER(SEARCH(","&amp;Справочник_ОКВЭД_НР!$G$3:$G$62&amp;".",","&amp;SUBSTITUTE(F474," ","")&amp;",")))),
50)</f>
        <v>50</v>
      </c>
      <c r="K474" s="30">
        <f>IFERROR(VLOOKUP(G474,Справочник_ОКВЭД_НР!$O:$P,2,FALSE()),50)</f>
        <v>100</v>
      </c>
      <c r="L474" s="45">
        <f>(I474*Справочник_ОКВЭД_НР!$L$2+J474*Справочник_ОКВЭД_НР!$L$3+K474*Справочник_ОКВЭД_НР!$L$4)*M474</f>
        <v>0</v>
      </c>
      <c r="M474" s="47">
        <f>IF(COUNTIF(Справочник_ОКВЭД_НР!$G$3:$G$62,H474)&gt;0,0,1)</f>
        <v>0</v>
      </c>
    </row>
    <row r="475" spans="1:13" x14ac:dyDescent="0.25">
      <c r="A475" s="4">
        <f>ЛИК_дляСкорингаДП!A475</f>
        <v>1022101150224</v>
      </c>
      <c r="B475" s="4">
        <f>ЛИК_дляСкорингаДП!B475</f>
        <v>2128020491</v>
      </c>
      <c r="C475" s="4" t="str">
        <f>ЛИК_дляСкорингаДП!C475</f>
        <v>УМВД РОССИИ ПО Г. ЧЕБОКСАРЫ</v>
      </c>
      <c r="D475" s="5" t="str">
        <f>ЛИК_дляСкорингаДП!M475</f>
        <v>Деятельность по обеспечению общественного порядка и безопасности</v>
      </c>
      <c r="E475" s="4" t="str">
        <f>ЛИК_дляСкорингаДП!L475</f>
        <v>84.24</v>
      </c>
      <c r="F475">
        <f>ЛИК_дляСкорингаДП!N475</f>
        <v>0</v>
      </c>
      <c r="G475" s="25" t="str">
        <f>ЛИК_дляСкорингаДП!AG475</f>
        <v>ОСН</v>
      </c>
      <c r="H475" s="55" t="str">
        <f>IF(ISNUMBER(E475),E475,
IFERROR(LEFT(E475,FIND(".",E475)-1),E475))</f>
        <v>84</v>
      </c>
      <c r="I475" s="30">
        <f>IF(COUNTIF(Справочник_ОКВЭД_НР!$A$3:$A$62,H475)&gt;0,Справочник_ОКВЭД_НР!$L$8,
 IF(COUNTIF(Справочник_ОКВЭД_НР!$C$3:$C$62,H475)&gt;0,Справочник_ОКВЭД_НР!$L$9,
  IF(COUNTIF(Справочник_ОКВЭД_НР!$E$3:$E$62,H475)&gt;0,Справочник_ОКВЭД_НР!$L$10,
   IF(COUNTIF(Справочник_ОКВЭД_НР!$G$3:$G$62,H475)&gt;0,Справочник_ОКВЭД_НР!$L$11,50))))</f>
        <v>0</v>
      </c>
      <c r="J475" s="30" cm="1">
        <f t="array" ref="J475">IFERROR(
 (SUMPRODUCT(ISNUMBER(SEARCH(","&amp;Справочник_ОКВЭД_НР!$A$3:$A$62&amp;".",","&amp;SUBSTITUTE(F475," ","")&amp;",")))*Справочник_ОКВЭД_НР!$L$9 +
  SUMPRODUCT(ISNUMBER(SEARCH(","&amp;Справочник_ОКВЭД_НР!$C$3:$C$62&amp;".",","&amp;SUBSTITUTE(F475," ","")&amp;",")))*Справочник_ОКВЭД_НР!$L$10 +
  SUMPRODUCT(ISNUMBER(SEARCH(","&amp;Справочник_ОКВЭД_НР!$E$3:$E$62&amp;".",","&amp;SUBSTITUTE(F475," ","")&amp;",")))*Справочник_ОКВЭД_НР!$L$11 +
  SUMPRODUCT(ISNUMBER(SEARCH(","&amp;Справочник_ОКВЭД_НР!$G$3:$G$62&amp;".",","&amp;SUBSTITUTE(F475," ","")&amp;",")))*Справочник_ОКВЭД_НР!$L$12) /
 (SUMPRODUCT(ISNUMBER(SEARCH(","&amp;Справочник_ОКВЭД_НР!$A$3:$A$62&amp;".",","&amp;SUBSTITUTE(F475," ","")&amp;","))) +
  SUMPRODUCT(ISNUMBER(SEARCH(","&amp;Справочник_ОКВЭД_НР!$C$3:$C$62&amp;".",","&amp;SUBSTITUTE(F475," ","")&amp;","))) +
  SUMPRODUCT(ISNUMBER(SEARCH(","&amp;Справочник_ОКВЭД_НР!$E$3:$E$62&amp;".",","&amp;SUBSTITUTE(F475," ","")&amp;","))) +
  SUMPRODUCT(ISNUMBER(SEARCH(","&amp;Справочник_ОКВЭД_НР!$G$3:$G$62&amp;".",","&amp;SUBSTITUTE(F475," ","")&amp;",")))),
50)</f>
        <v>50</v>
      </c>
      <c r="K475" s="30">
        <f>IFERROR(VLOOKUP(G475,Справочник_ОКВЭД_НР!$O:$P,2,FALSE()),50)</f>
        <v>100</v>
      </c>
      <c r="L475" s="45">
        <f>(I475*Справочник_ОКВЭД_НР!$L$2+J475*Справочник_ОКВЭД_НР!$L$3+K475*Справочник_ОКВЭД_НР!$L$4)*M475</f>
        <v>0</v>
      </c>
      <c r="M475" s="47">
        <f>IF(COUNTIF(Справочник_ОКВЭД_НР!$G$3:$G$62,H475)&gt;0,0,1)</f>
        <v>0</v>
      </c>
    </row>
    <row r="476" spans="1:13" x14ac:dyDescent="0.25">
      <c r="A476" s="4">
        <f>ЛИК_дляСкорингаДП!A476</f>
        <v>1022101150873</v>
      </c>
      <c r="B476" s="4">
        <f>ЛИК_дляСкорингаДП!B476</f>
        <v>2128014498</v>
      </c>
      <c r="C476" s="4">
        <f>ЛИК_дляСкорингаДП!C476</f>
        <v>0</v>
      </c>
      <c r="D476" s="5" t="str">
        <f>ЛИК_дляСкорингаДП!M476</f>
        <v>Деятельность прокуратур городов и районов</v>
      </c>
      <c r="E476" s="4" t="str">
        <f>ЛИК_дляСкорингаДП!L476</f>
        <v>84.23.33</v>
      </c>
      <c r="F476" t="str">
        <f>ЛИК_дляСкорингаДП!N476</f>
        <v>84.23.32,84.23.32</v>
      </c>
      <c r="G476" s="25" t="str">
        <f>ЛИК_дляСкорингаДП!AG476</f>
        <v>ОСН</v>
      </c>
      <c r="H476" s="55" t="str">
        <f>IF(ISNUMBER(E476),E476,
IFERROR(LEFT(E476,FIND(".",E476)-1),E476))</f>
        <v>84</v>
      </c>
      <c r="I476" s="30">
        <f>IF(COUNTIF(Справочник_ОКВЭД_НР!$A$3:$A$62,H476)&gt;0,Справочник_ОКВЭД_НР!$L$8,
 IF(COUNTIF(Справочник_ОКВЭД_НР!$C$3:$C$62,H476)&gt;0,Справочник_ОКВЭД_НР!$L$9,
  IF(COUNTIF(Справочник_ОКВЭД_НР!$E$3:$E$62,H476)&gt;0,Справочник_ОКВЭД_НР!$L$10,
   IF(COUNTIF(Справочник_ОКВЭД_НР!$G$3:$G$62,H476)&gt;0,Справочник_ОКВЭД_НР!$L$11,50))))</f>
        <v>0</v>
      </c>
      <c r="J476" s="30" cm="1">
        <f t="array" ref="J476">IFERROR(
 (SUMPRODUCT(ISNUMBER(SEARCH(","&amp;Справочник_ОКВЭД_НР!$A$3:$A$62&amp;".",","&amp;SUBSTITUTE(F476," ","")&amp;",")))*Справочник_ОКВЭД_НР!$L$9 +
  SUMPRODUCT(ISNUMBER(SEARCH(","&amp;Справочник_ОКВЭД_НР!$C$3:$C$62&amp;".",","&amp;SUBSTITUTE(F476," ","")&amp;",")))*Справочник_ОКВЭД_НР!$L$10 +
  SUMPRODUCT(ISNUMBER(SEARCH(","&amp;Справочник_ОКВЭД_НР!$E$3:$E$62&amp;".",","&amp;SUBSTITUTE(F476," ","")&amp;",")))*Справочник_ОКВЭД_НР!$L$11 +
  SUMPRODUCT(ISNUMBER(SEARCH(","&amp;Справочник_ОКВЭД_НР!$G$3:$G$62&amp;".",","&amp;SUBSTITUTE(F476," ","")&amp;",")))*Справочник_ОКВЭД_НР!$L$12) /
 (SUMPRODUCT(ISNUMBER(SEARCH(","&amp;Справочник_ОКВЭД_НР!$A$3:$A$62&amp;".",","&amp;SUBSTITUTE(F476," ","")&amp;","))) +
  SUMPRODUCT(ISNUMBER(SEARCH(","&amp;Справочник_ОКВЭД_НР!$C$3:$C$62&amp;".",","&amp;SUBSTITUTE(F476," ","")&amp;","))) +
  SUMPRODUCT(ISNUMBER(SEARCH(","&amp;Справочник_ОКВЭД_НР!$E$3:$E$62&amp;".",","&amp;SUBSTITUTE(F476," ","")&amp;","))) +
  SUMPRODUCT(ISNUMBER(SEARCH(","&amp;Справочник_ОКВЭД_НР!$G$3:$G$62&amp;".",","&amp;SUBSTITUTE(F476," ","")&amp;",")))),
50)</f>
        <v>50</v>
      </c>
      <c r="K476" s="30">
        <f>IFERROR(VLOOKUP(G476,Справочник_ОКВЭД_НР!$O:$P,2,FALSE()),50)</f>
        <v>100</v>
      </c>
      <c r="L476" s="45">
        <f>(I476*Справочник_ОКВЭД_НР!$L$2+J476*Справочник_ОКВЭД_НР!$L$3+K476*Справочник_ОКВЭД_НР!$L$4)*M476</f>
        <v>0</v>
      </c>
      <c r="M476" s="47">
        <f>IF(COUNTIF(Справочник_ОКВЭД_НР!$G$3:$G$62,H476)&gt;0,0,1)</f>
        <v>0</v>
      </c>
    </row>
    <row r="477" spans="1:13" x14ac:dyDescent="0.25">
      <c r="A477" s="4">
        <f>ЛИК_дляСкорингаДП!A477</f>
        <v>1022101150037</v>
      </c>
      <c r="B477" s="4">
        <f>ЛИК_дляСкорингаДП!B477</f>
        <v>2126003194</v>
      </c>
      <c r="C477" s="4" t="str">
        <f>ЛИК_дляСкорингаДП!C477</f>
        <v>АДМИНИСТРАЦИЯ Г. ЧЕБОКСАРЫ</v>
      </c>
      <c r="D477" s="5" t="str">
        <f>ЛИК_дляСкорингаДП!M477</f>
        <v>Деятельность органов местного самоуправления городских округов</v>
      </c>
      <c r="E477" s="4" t="str">
        <f>ЛИК_дляСкорингаДП!L477</f>
        <v>84.11.35</v>
      </c>
      <c r="F477">
        <f>ЛИК_дляСкорингаДП!N477</f>
        <v>0</v>
      </c>
      <c r="G477" s="25" t="str">
        <f>ЛИК_дляСкорингаДП!AG477</f>
        <v>ОСН</v>
      </c>
      <c r="H477" s="55" t="str">
        <f>IF(ISNUMBER(E477),E477,
IFERROR(LEFT(E477,FIND(".",E477)-1),E477))</f>
        <v>84</v>
      </c>
      <c r="I477" s="30">
        <f>IF(COUNTIF(Справочник_ОКВЭД_НР!$A$3:$A$62,H477)&gt;0,Справочник_ОКВЭД_НР!$L$8,
 IF(COUNTIF(Справочник_ОКВЭД_НР!$C$3:$C$62,H477)&gt;0,Справочник_ОКВЭД_НР!$L$9,
  IF(COUNTIF(Справочник_ОКВЭД_НР!$E$3:$E$62,H477)&gt;0,Справочник_ОКВЭД_НР!$L$10,
   IF(COUNTIF(Справочник_ОКВЭД_НР!$G$3:$G$62,H477)&gt;0,Справочник_ОКВЭД_НР!$L$11,50))))</f>
        <v>0</v>
      </c>
      <c r="J477" s="30" cm="1">
        <f t="array" ref="J477">IFERROR(
 (SUMPRODUCT(ISNUMBER(SEARCH(","&amp;Справочник_ОКВЭД_НР!$A$3:$A$62&amp;".",","&amp;SUBSTITUTE(F477," ","")&amp;",")))*Справочник_ОКВЭД_НР!$L$9 +
  SUMPRODUCT(ISNUMBER(SEARCH(","&amp;Справочник_ОКВЭД_НР!$C$3:$C$62&amp;".",","&amp;SUBSTITUTE(F477," ","")&amp;",")))*Справочник_ОКВЭД_НР!$L$10 +
  SUMPRODUCT(ISNUMBER(SEARCH(","&amp;Справочник_ОКВЭД_НР!$E$3:$E$62&amp;".",","&amp;SUBSTITUTE(F477," ","")&amp;",")))*Справочник_ОКВЭД_НР!$L$11 +
  SUMPRODUCT(ISNUMBER(SEARCH(","&amp;Справочник_ОКВЭД_НР!$G$3:$G$62&amp;".",","&amp;SUBSTITUTE(F477," ","")&amp;",")))*Справочник_ОКВЭД_НР!$L$12) /
 (SUMPRODUCT(ISNUMBER(SEARCH(","&amp;Справочник_ОКВЭД_НР!$A$3:$A$62&amp;".",","&amp;SUBSTITUTE(F477," ","")&amp;","))) +
  SUMPRODUCT(ISNUMBER(SEARCH(","&amp;Справочник_ОКВЭД_НР!$C$3:$C$62&amp;".",","&amp;SUBSTITUTE(F477," ","")&amp;","))) +
  SUMPRODUCT(ISNUMBER(SEARCH(","&amp;Справочник_ОКВЭД_НР!$E$3:$E$62&amp;".",","&amp;SUBSTITUTE(F477," ","")&amp;","))) +
  SUMPRODUCT(ISNUMBER(SEARCH(","&amp;Справочник_ОКВЭД_НР!$G$3:$G$62&amp;".",","&amp;SUBSTITUTE(F477," ","")&amp;",")))),
50)</f>
        <v>50</v>
      </c>
      <c r="K477" s="30">
        <f>IFERROR(VLOOKUP(G477,Справочник_ОКВЭД_НР!$O:$P,2,FALSE()),50)</f>
        <v>100</v>
      </c>
      <c r="L477" s="45">
        <f>(I477*Справочник_ОКВЭД_НР!$L$2+J477*Справочник_ОКВЭД_НР!$L$3+K477*Справочник_ОКВЭД_НР!$L$4)*M477</f>
        <v>0</v>
      </c>
      <c r="M477" s="47">
        <f>IF(COUNTIF(Справочник_ОКВЭД_НР!$G$3:$G$62,H477)&gt;0,0,1)</f>
        <v>0</v>
      </c>
    </row>
    <row r="478" spans="1:13" x14ac:dyDescent="0.25">
      <c r="A478" s="4">
        <f>ЛИК_дляСкорингаДП!A478</f>
        <v>1082130001788</v>
      </c>
      <c r="B478" s="4">
        <f>ЛИК_дляСкорингаДП!B478</f>
        <v>2130034974</v>
      </c>
      <c r="C478" s="4" t="str">
        <f>ЛИК_дляСкорингаДП!C478</f>
        <v>МКУ "УПРАВЛЕНИЕ ЖКХ И БЛАГОУСТРОЙСТВА" Г.ЧЕБОКСАРЫ</v>
      </c>
      <c r="D478" s="5" t="str">
        <f>ЛИК_дляСкорингаДП!M478</f>
        <v>Деятельность по чистке и уборке прочая, не включенная в другие группировки</v>
      </c>
      <c r="E478" s="4" t="str">
        <f>ЛИК_дляСкорингаДП!L478</f>
        <v>81.29.9</v>
      </c>
      <c r="F478" t="str">
        <f>ЛИК_дляСкорингаДП!N478</f>
        <v>37.00,52.21.22,52.21.23,74.90.5</v>
      </c>
      <c r="G478" s="25" t="str">
        <f>ЛИК_дляСкорингаДП!AG478</f>
        <v>ОСН</v>
      </c>
      <c r="H478" s="55" t="str">
        <f>IF(ISNUMBER(E478),E478,
IFERROR(LEFT(E478,FIND(".",E478)-1),E478))</f>
        <v>81</v>
      </c>
      <c r="I478" s="30">
        <f>IF(COUNTIF(Справочник_ОКВЭД_НР!$A$3:$A$62,H478)&gt;0,Справочник_ОКВЭД_НР!$L$8,
 IF(COUNTIF(Справочник_ОКВЭД_НР!$C$3:$C$62,H478)&gt;0,Справочник_ОКВЭД_НР!$L$9,
  IF(COUNTIF(Справочник_ОКВЭД_НР!$E$3:$E$62,H478)&gt;0,Справочник_ОКВЭД_НР!$L$10,
   IF(COUNTIF(Справочник_ОКВЭД_НР!$G$3:$G$62,H478)&gt;0,Справочник_ОКВЭД_НР!$L$11,50))))</f>
        <v>30</v>
      </c>
      <c r="J478" s="30" cm="1">
        <f t="array" ref="J478">IFERROR(
 (SUMPRODUCT(ISNUMBER(SEARCH(","&amp;Справочник_ОКВЭД_НР!$A$3:$A$62&amp;".",","&amp;SUBSTITUTE(F478," ","")&amp;",")))*Справочник_ОКВЭД_НР!$L$9 +
  SUMPRODUCT(ISNUMBER(SEARCH(","&amp;Справочник_ОКВЭД_НР!$C$3:$C$62&amp;".",","&amp;SUBSTITUTE(F478," ","")&amp;",")))*Справочник_ОКВЭД_НР!$L$10 +
  SUMPRODUCT(ISNUMBER(SEARCH(","&amp;Справочник_ОКВЭД_НР!$E$3:$E$62&amp;".",","&amp;SUBSTITUTE(F478," ","")&amp;",")))*Справочник_ОКВЭД_НР!$L$11 +
  SUMPRODUCT(ISNUMBER(SEARCH(","&amp;Справочник_ОКВЭД_НР!$G$3:$G$62&amp;".",","&amp;SUBSTITUTE(F478," ","")&amp;",")))*Справочник_ОКВЭД_НР!$L$12) /
 (SUMPRODUCT(ISNUMBER(SEARCH(","&amp;Справочник_ОКВЭД_НР!$A$3:$A$62&amp;".",","&amp;SUBSTITUTE(F478," ","")&amp;","))) +
  SUMPRODUCT(ISNUMBER(SEARCH(","&amp;Справочник_ОКВЭД_НР!$C$3:$C$62&amp;".",","&amp;SUBSTITUTE(F478," ","")&amp;","))) +
  SUMPRODUCT(ISNUMBER(SEARCH(","&amp;Справочник_ОКВЭД_НР!$E$3:$E$62&amp;".",","&amp;SUBSTITUTE(F478," ","")&amp;","))) +
  SUMPRODUCT(ISNUMBER(SEARCH(","&amp;Справочник_ОКВЭД_НР!$G$3:$G$62&amp;".",","&amp;SUBSTITUTE(F478," ","")&amp;",")))),
50)</f>
        <v>50</v>
      </c>
      <c r="K478" s="30">
        <f>IFERROR(VLOOKUP(G478,Справочник_ОКВЭД_НР!$O:$P,2,FALSE()),50)</f>
        <v>100</v>
      </c>
      <c r="L478" s="45">
        <f>(I478*Справочник_ОКВЭД_НР!$L$2+J478*Справочник_ОКВЭД_НР!$L$3+K478*Справочник_ОКВЭД_НР!$L$4)*M478</f>
        <v>45.5</v>
      </c>
      <c r="M478" s="47">
        <f>IF(COUNTIF(Справочник_ОКВЭД_НР!$G$3:$G$62,H478)&gt;0,0,1)</f>
        <v>1</v>
      </c>
    </row>
    <row r="479" spans="1:13" x14ac:dyDescent="0.25">
      <c r="A479" s="4">
        <f>ЛИК_дляСкорингаДП!A479</f>
        <v>1062130006410</v>
      </c>
      <c r="B479" s="4">
        <f>ЛИК_дляСкорингаДП!B479</f>
        <v>2130003528</v>
      </c>
      <c r="C479" s="4" t="str">
        <f>ЛИК_дляСкорингаДП!C479</f>
        <v>ГОСТЕХНАДЗОР ЧУВАШИИ</v>
      </c>
      <c r="D479" s="5" t="str">
        <f>ЛИК_дляСкорингаДП!M479</f>
        <v>Деятельность органов государственной власти субъектов Российской Федерации по осуществлению своих полномочий в городах и районах</v>
      </c>
      <c r="E479" s="4" t="str">
        <f>ЛИК_дляСкорингаДП!L479</f>
        <v>84.11.22</v>
      </c>
      <c r="F479" t="str">
        <f>ЛИК_дляСкорингаДП!N479</f>
        <v>84.11.21,84.11.21</v>
      </c>
      <c r="G479" s="25" t="str">
        <f>ЛИК_дляСкорингаДП!AG479</f>
        <v>ОСН</v>
      </c>
      <c r="H479" s="55" t="str">
        <f>IF(ISNUMBER(E479),E479,
IFERROR(LEFT(E479,FIND(".",E479)-1),E479))</f>
        <v>84</v>
      </c>
      <c r="I479" s="30">
        <f>IF(COUNTIF(Справочник_ОКВЭД_НР!$A$3:$A$62,H479)&gt;0,Справочник_ОКВЭД_НР!$L$8,
 IF(COUNTIF(Справочник_ОКВЭД_НР!$C$3:$C$62,H479)&gt;0,Справочник_ОКВЭД_НР!$L$9,
  IF(COUNTIF(Справочник_ОКВЭД_НР!$E$3:$E$62,H479)&gt;0,Справочник_ОКВЭД_НР!$L$10,
   IF(COUNTIF(Справочник_ОКВЭД_НР!$G$3:$G$62,H479)&gt;0,Справочник_ОКВЭД_НР!$L$11,50))))</f>
        <v>0</v>
      </c>
      <c r="J479" s="30" cm="1">
        <f t="array" ref="J479">IFERROR(
 (SUMPRODUCT(ISNUMBER(SEARCH(","&amp;Справочник_ОКВЭД_НР!$A$3:$A$62&amp;".",","&amp;SUBSTITUTE(F479," ","")&amp;",")))*Справочник_ОКВЭД_НР!$L$9 +
  SUMPRODUCT(ISNUMBER(SEARCH(","&amp;Справочник_ОКВЭД_НР!$C$3:$C$62&amp;".",","&amp;SUBSTITUTE(F479," ","")&amp;",")))*Справочник_ОКВЭД_НР!$L$10 +
  SUMPRODUCT(ISNUMBER(SEARCH(","&amp;Справочник_ОКВЭД_НР!$E$3:$E$62&amp;".",","&amp;SUBSTITUTE(F479," ","")&amp;",")))*Справочник_ОКВЭД_НР!$L$11 +
  SUMPRODUCT(ISNUMBER(SEARCH(","&amp;Справочник_ОКВЭД_НР!$G$3:$G$62&amp;".",","&amp;SUBSTITUTE(F479," ","")&amp;",")))*Справочник_ОКВЭД_НР!$L$12) /
 (SUMPRODUCT(ISNUMBER(SEARCH(","&amp;Справочник_ОКВЭД_НР!$A$3:$A$62&amp;".",","&amp;SUBSTITUTE(F479," ","")&amp;","))) +
  SUMPRODUCT(ISNUMBER(SEARCH(","&amp;Справочник_ОКВЭД_НР!$C$3:$C$62&amp;".",","&amp;SUBSTITUTE(F479," ","")&amp;","))) +
  SUMPRODUCT(ISNUMBER(SEARCH(","&amp;Справочник_ОКВЭД_НР!$E$3:$E$62&amp;".",","&amp;SUBSTITUTE(F479," ","")&amp;","))) +
  SUMPRODUCT(ISNUMBER(SEARCH(","&amp;Справочник_ОКВЭД_НР!$G$3:$G$62&amp;".",","&amp;SUBSTITUTE(F479," ","")&amp;",")))),
50)</f>
        <v>50</v>
      </c>
      <c r="K479" s="30">
        <f>IFERROR(VLOOKUP(G479,Справочник_ОКВЭД_НР!$O:$P,2,FALSE()),50)</f>
        <v>100</v>
      </c>
      <c r="L479" s="45">
        <f>(I479*Справочник_ОКВЭД_НР!$L$2+J479*Справочник_ОКВЭД_НР!$L$3+K479*Справочник_ОКВЭД_НР!$L$4)*M479</f>
        <v>0</v>
      </c>
      <c r="M479" s="47">
        <f>IF(COUNTIF(Справочник_ОКВЭД_НР!$G$3:$G$62,H479)&gt;0,0,1)</f>
        <v>0</v>
      </c>
    </row>
    <row r="480" spans="1:13" x14ac:dyDescent="0.25">
      <c r="A480" s="4">
        <f>ЛИК_дляСкорингаДП!A480</f>
        <v>1112130000311</v>
      </c>
      <c r="B480" s="4">
        <f>ЛИК_дляСкорингаДП!B480</f>
        <v>2130082939</v>
      </c>
      <c r="C480" s="4" t="str">
        <f>ЛИК_дляСкорингаДП!C480</f>
        <v>СУ СК РОССИИ ПО ЧУВАШСКОЙ РЕСПУБЛИКЕ</v>
      </c>
      <c r="D480" s="5" t="str">
        <f>ЛИК_дляСкорингаДП!M480</f>
        <v>Деятельность Главного военного следственного управления, главных следственных управлений и следственных управлений Следственного комитета Российской Федерации по субъектам Российской Федерации (в том числе подразделений указанных управлений по административным округам) и приравненных к ним специализированных (в том числе военных) следственных управлений и следственных отделов Следственного комитета Российской Федерации</v>
      </c>
      <c r="E480" s="4" t="str">
        <f>ЛИК_дляСкорингаДП!L480</f>
        <v>84.23.52</v>
      </c>
      <c r="F480" t="str">
        <f>ЛИК_дляСкорингаДП!N480</f>
        <v>84.2</v>
      </c>
      <c r="G480" s="25" t="str">
        <f>ЛИК_дляСкорингаДП!AG480</f>
        <v>ОСН</v>
      </c>
      <c r="H480" s="55" t="str">
        <f>IF(ISNUMBER(E480),E480,
IFERROR(LEFT(E480,FIND(".",E480)-1),E480))</f>
        <v>84</v>
      </c>
      <c r="I480" s="30">
        <f>IF(COUNTIF(Справочник_ОКВЭД_НР!$A$3:$A$62,H480)&gt;0,Справочник_ОКВЭД_НР!$L$8,
 IF(COUNTIF(Справочник_ОКВЭД_НР!$C$3:$C$62,H480)&gt;0,Справочник_ОКВЭД_НР!$L$9,
  IF(COUNTIF(Справочник_ОКВЭД_НР!$E$3:$E$62,H480)&gt;0,Справочник_ОКВЭД_НР!$L$10,
   IF(COUNTIF(Справочник_ОКВЭД_НР!$G$3:$G$62,H480)&gt;0,Справочник_ОКВЭД_НР!$L$11,50))))</f>
        <v>0</v>
      </c>
      <c r="J480" s="30" cm="1">
        <f t="array" ref="J480">IFERROR(
 (SUMPRODUCT(ISNUMBER(SEARCH(","&amp;Справочник_ОКВЭД_НР!$A$3:$A$62&amp;".",","&amp;SUBSTITUTE(F480," ","")&amp;",")))*Справочник_ОКВЭД_НР!$L$9 +
  SUMPRODUCT(ISNUMBER(SEARCH(","&amp;Справочник_ОКВЭД_НР!$C$3:$C$62&amp;".",","&amp;SUBSTITUTE(F480," ","")&amp;",")))*Справочник_ОКВЭД_НР!$L$10 +
  SUMPRODUCT(ISNUMBER(SEARCH(","&amp;Справочник_ОКВЭД_НР!$E$3:$E$62&amp;".",","&amp;SUBSTITUTE(F480," ","")&amp;",")))*Справочник_ОКВЭД_НР!$L$11 +
  SUMPRODUCT(ISNUMBER(SEARCH(","&amp;Справочник_ОКВЭД_НР!$G$3:$G$62&amp;".",","&amp;SUBSTITUTE(F480," ","")&amp;",")))*Справочник_ОКВЭД_НР!$L$12) /
 (SUMPRODUCT(ISNUMBER(SEARCH(","&amp;Справочник_ОКВЭД_НР!$A$3:$A$62&amp;".",","&amp;SUBSTITUTE(F480," ","")&amp;","))) +
  SUMPRODUCT(ISNUMBER(SEARCH(","&amp;Справочник_ОКВЭД_НР!$C$3:$C$62&amp;".",","&amp;SUBSTITUTE(F480," ","")&amp;","))) +
  SUMPRODUCT(ISNUMBER(SEARCH(","&amp;Справочник_ОКВЭД_НР!$E$3:$E$62&amp;".",","&amp;SUBSTITUTE(F480," ","")&amp;","))) +
  SUMPRODUCT(ISNUMBER(SEARCH(","&amp;Справочник_ОКВЭД_НР!$G$3:$G$62&amp;".",","&amp;SUBSTITUTE(F480," ","")&amp;",")))),
50)</f>
        <v>50</v>
      </c>
      <c r="K480" s="30">
        <f>IFERROR(VLOOKUP(G480,Справочник_ОКВЭД_НР!$O:$P,2,FALSE()),50)</f>
        <v>100</v>
      </c>
      <c r="L480" s="45">
        <f>(I480*Справочник_ОКВЭД_НР!$L$2+J480*Справочник_ОКВЭД_НР!$L$3+K480*Справочник_ОКВЭД_НР!$L$4)*M480</f>
        <v>0</v>
      </c>
      <c r="M480" s="47">
        <f>IF(COUNTIF(Справочник_ОКВЭД_НР!$G$3:$G$62,H480)&gt;0,0,1)</f>
        <v>0</v>
      </c>
    </row>
    <row r="481" spans="1:13" x14ac:dyDescent="0.25">
      <c r="A481" s="4">
        <f>ЛИК_дляСкорингаДП!A481</f>
        <v>1112130011201</v>
      </c>
      <c r="B481" s="4">
        <f>ЛИК_дляСкорингаДП!B481</f>
        <v>2130092180</v>
      </c>
      <c r="C481" s="4" t="str">
        <f>ЛИК_дляСкорингаДП!C481</f>
        <v>АО "ЧУВАШХЛЕБОПРОДУКТ"</v>
      </c>
      <c r="D481" s="5" t="str">
        <f>ЛИК_дляСкорингаДП!M481</f>
        <v>Производство муки из зерновых культур</v>
      </c>
      <c r="E481" s="4" t="str">
        <f>ЛИК_дляСкорингаДП!L481</f>
        <v>10.61.2</v>
      </c>
      <c r="F481" t="str">
        <f>ЛИК_дляСкорингаДП!N481</f>
        <v>10.61.3,10.71.1,46.21,47.11,49.41.2,52.10.3,10.61,10.61.2,10.71,10.71.1,10.72,10.8,10.84,10.9,11.07,46.1,46.2,46.3,46.75.1,46.9,47.1,47.11,47.2,47.9,47.91,47.91.2,49.41,52.10,52.21,56.10,56.29,64.92,64.99.3,68.20.2,71.1,71.12.5,71.12.6,74.20,74.30,77.3,77.39,82.92,96.04</v>
      </c>
      <c r="G481" s="25" t="str">
        <f>ЛИК_дляСкорингаДП!AG481</f>
        <v>ОСН</v>
      </c>
      <c r="H481" s="55" t="str">
        <f>IF(ISNUMBER(E481),E481,
IFERROR(LEFT(E481,FIND(".",E481)-1),E481))</f>
        <v>10</v>
      </c>
      <c r="I481" s="30">
        <f>IF(COUNTIF(Справочник_ОКВЭД_НР!$A$3:$A$62,H481)&gt;0,Справочник_ОКВЭД_НР!$L$8,
 IF(COUNTIF(Справочник_ОКВЭД_НР!$C$3:$C$62,H481)&gt;0,Справочник_ОКВЭД_НР!$L$9,
  IF(COUNTIF(Справочник_ОКВЭД_НР!$E$3:$E$62,H481)&gt;0,Справочник_ОКВЭД_НР!$L$10,
   IF(COUNTIF(Справочник_ОКВЭД_НР!$G$3:$G$62,H481)&gt;0,Справочник_ОКВЭД_НР!$L$11,50))))</f>
        <v>100</v>
      </c>
      <c r="J481" s="30" cm="1">
        <f t="array" ref="J481">IFERROR(
 (SUMPRODUCT(ISNUMBER(SEARCH(","&amp;Справочник_ОКВЭД_НР!$A$3:$A$62&amp;".",","&amp;SUBSTITUTE(F481," ","")&amp;",")))*Справочник_ОКВЭД_НР!$L$9 +
  SUMPRODUCT(ISNUMBER(SEARCH(","&amp;Справочник_ОКВЭД_НР!$C$3:$C$62&amp;".",","&amp;SUBSTITUTE(F481," ","")&amp;",")))*Справочник_ОКВЭД_НР!$L$10 +
  SUMPRODUCT(ISNUMBER(SEARCH(","&amp;Справочник_ОКВЭД_НР!$E$3:$E$62&amp;".",","&amp;SUBSTITUTE(F481," ","")&amp;",")))*Справочник_ОКВЭД_НР!$L$11 +
  SUMPRODUCT(ISNUMBER(SEARCH(","&amp;Справочник_ОКВЭД_НР!$G$3:$G$62&amp;".",","&amp;SUBSTITUTE(F481," ","")&amp;",")))*Справочник_ОКВЭД_НР!$L$12) /
 (SUMPRODUCT(ISNUMBER(SEARCH(","&amp;Справочник_ОКВЭД_НР!$A$3:$A$62&amp;".",","&amp;SUBSTITUTE(F481," ","")&amp;","))) +
  SUMPRODUCT(ISNUMBER(SEARCH(","&amp;Справочник_ОКВЭД_НР!$C$3:$C$62&amp;".",","&amp;SUBSTITUTE(F481," ","")&amp;","))) +
  SUMPRODUCT(ISNUMBER(SEARCH(","&amp;Справочник_ОКВЭД_НР!$E$3:$E$62&amp;".",","&amp;SUBSTITUTE(F481," ","")&amp;","))) +
  SUMPRODUCT(ISNUMBER(SEARCH(","&amp;Справочник_ОКВЭД_НР!$G$3:$G$62&amp;".",","&amp;SUBSTITUTE(F481," ","")&amp;",")))),
50)</f>
        <v>50</v>
      </c>
      <c r="K481" s="30">
        <f>IFERROR(VLOOKUP(G481,Справочник_ОКВЭД_НР!$O:$P,2,FALSE()),50)</f>
        <v>100</v>
      </c>
      <c r="L481" s="45">
        <f>(I481*Справочник_ОКВЭД_НР!$L$2+J481*Справочник_ОКВЭД_НР!$L$3+K481*Справочник_ОКВЭД_НР!$L$4)*M481</f>
        <v>87.5</v>
      </c>
      <c r="M481" s="47">
        <f>IF(COUNTIF(Справочник_ОКВЭД_НР!$G$3:$G$62,H481)&gt;0,0,1)</f>
        <v>1</v>
      </c>
    </row>
    <row r="482" spans="1:13" x14ac:dyDescent="0.25">
      <c r="A482" s="4">
        <f>ЛИК_дляСкорингаДП!A482</f>
        <v>1022101274502</v>
      </c>
      <c r="B482" s="4">
        <f>ЛИК_дляСкорингаДП!B482</f>
        <v>2126003123</v>
      </c>
      <c r="C482" s="4" t="str">
        <f>ЛИК_дляСкорингаДП!C482</f>
        <v>ГУП ЧУВАШСКОЙ РЕСПУБЛИКИ "ФАРМАЦИЯ" МИНЗДРАВА ЧУВАШИИ</v>
      </c>
      <c r="D482" s="5" t="str">
        <f>ЛИК_дляСкорингаДП!M482</f>
        <v>Торговля розничная лекарственными средствами в специализированных магазинах (аптеках)</v>
      </c>
      <c r="E482" s="4" t="str">
        <f>ЛИК_дляСкорингаДП!L482</f>
        <v>47.73</v>
      </c>
      <c r="F482" t="str">
        <f>ЛИК_дляСкорингаДП!N482</f>
        <v>46.18.1,46.46,47.74,47.75,47.78.21,49.41.1,52.10,52.29,56.30,77.29.9,86.21,91.01,91.02</v>
      </c>
      <c r="G482" s="25" t="str">
        <f>ЛИК_дляСкорингаДП!AG482</f>
        <v>ОСН</v>
      </c>
      <c r="H482" s="55" t="str">
        <f>IF(ISNUMBER(E482),E482,
IFERROR(LEFT(E482,FIND(".",E482)-1),E482))</f>
        <v>47</v>
      </c>
      <c r="I482" s="30">
        <f>IF(COUNTIF(Справочник_ОКВЭД_НР!$A$3:$A$62,H482)&gt;0,Справочник_ОКВЭД_НР!$L$8,
 IF(COUNTIF(Справочник_ОКВЭД_НР!$C$3:$C$62,H482)&gt;0,Справочник_ОКВЭД_НР!$L$9,
  IF(COUNTIF(Справочник_ОКВЭД_НР!$E$3:$E$62,H482)&gt;0,Справочник_ОКВЭД_НР!$L$10,
   IF(COUNTIF(Справочник_ОКВЭД_НР!$G$3:$G$62,H482)&gt;0,Справочник_ОКВЭД_НР!$L$11,50))))</f>
        <v>60</v>
      </c>
      <c r="J482" s="30" cm="1">
        <f t="array" ref="J482">IFERROR(
 (SUMPRODUCT(ISNUMBER(SEARCH(","&amp;Справочник_ОКВЭД_НР!$A$3:$A$62&amp;".",","&amp;SUBSTITUTE(F482," ","")&amp;",")))*Справочник_ОКВЭД_НР!$L$9 +
  SUMPRODUCT(ISNUMBER(SEARCH(","&amp;Справочник_ОКВЭД_НР!$C$3:$C$62&amp;".",","&amp;SUBSTITUTE(F482," ","")&amp;",")))*Справочник_ОКВЭД_НР!$L$10 +
  SUMPRODUCT(ISNUMBER(SEARCH(","&amp;Справочник_ОКВЭД_НР!$E$3:$E$62&amp;".",","&amp;SUBSTITUTE(F482," ","")&amp;",")))*Справочник_ОКВЭД_НР!$L$11 +
  SUMPRODUCT(ISNUMBER(SEARCH(","&amp;Справочник_ОКВЭД_НР!$G$3:$G$62&amp;".",","&amp;SUBSTITUTE(F482," ","")&amp;",")))*Справочник_ОКВЭД_НР!$L$12) /
 (SUMPRODUCT(ISNUMBER(SEARCH(","&amp;Справочник_ОКВЭД_НР!$A$3:$A$62&amp;".",","&amp;SUBSTITUTE(F482," ","")&amp;","))) +
  SUMPRODUCT(ISNUMBER(SEARCH(","&amp;Справочник_ОКВЭД_НР!$C$3:$C$62&amp;".",","&amp;SUBSTITUTE(F482," ","")&amp;","))) +
  SUMPRODUCT(ISNUMBER(SEARCH(","&amp;Справочник_ОКВЭД_НР!$E$3:$E$62&amp;".",","&amp;SUBSTITUTE(F482," ","")&amp;","))) +
  SUMPRODUCT(ISNUMBER(SEARCH(","&amp;Справочник_ОКВЭД_НР!$G$3:$G$62&amp;".",","&amp;SUBSTITUTE(F482," ","")&amp;",")))),
50)</f>
        <v>50</v>
      </c>
      <c r="K482" s="30">
        <f>IFERROR(VLOOKUP(G482,Справочник_ОКВЭД_НР!$O:$P,2,FALSE()),50)</f>
        <v>100</v>
      </c>
      <c r="L482" s="45">
        <f>(I482*Справочник_ОКВЭД_НР!$L$2+J482*Справочник_ОКВЭД_НР!$L$3+K482*Справочник_ОКВЭД_НР!$L$4)*M482</f>
        <v>63.5</v>
      </c>
      <c r="M482" s="47">
        <f>IF(COUNTIF(Справочник_ОКВЭД_НР!$G$3:$G$62,H482)&gt;0,0,1)</f>
        <v>1</v>
      </c>
    </row>
    <row r="483" spans="1:13" x14ac:dyDescent="0.25">
      <c r="A483" s="4">
        <f>ЛИК_дляСкорингаДП!A483</f>
        <v>1022101137398</v>
      </c>
      <c r="B483" s="4">
        <f>ЛИК_дляСкорингаДП!B483</f>
        <v>2129005369</v>
      </c>
      <c r="C483" s="4" t="str">
        <f>ЛИК_дляСкорингаДП!C483</f>
        <v>АО "СЗ "ТУС"</v>
      </c>
      <c r="D483" s="5" t="str">
        <f>ЛИК_дляСкорингаДП!M483</f>
        <v>Производство кирпича, черепицы и прочих строительных изделий из обожженной глины</v>
      </c>
      <c r="E483" s="4" t="str">
        <f>ЛИК_дляСкорингаДП!L483</f>
        <v>23.32</v>
      </c>
      <c r="F483" t="str">
        <f>ЛИК_дляСкорингаДП!N483</f>
        <v>41.20.1,46.73.6,68.20.29,71.12.2,77.32,08.1,08.11,08.11,08.11.2,08.12,23.20,23.31,23.32,31.01,41.20,42.11,46.73,47.52,49.41,52.24,68.10,68.10.1,68.31</v>
      </c>
      <c r="G483" s="25" t="str">
        <f>ЛИК_дляСкорингаДП!AG483</f>
        <v>ОСН</v>
      </c>
      <c r="H483" s="55" t="str">
        <f>IF(ISNUMBER(E483),E483,
IFERROR(LEFT(E483,FIND(".",E483)-1),E483))</f>
        <v>23</v>
      </c>
      <c r="I483" s="30">
        <f>IF(COUNTIF(Справочник_ОКВЭД_НР!$A$3:$A$62,H483)&gt;0,Справочник_ОКВЭД_НР!$L$8,
 IF(COUNTIF(Справочник_ОКВЭД_НР!$C$3:$C$62,H483)&gt;0,Справочник_ОКВЭД_НР!$L$9,
  IF(COUNTIF(Справочник_ОКВЭД_НР!$E$3:$E$62,H483)&gt;0,Справочник_ОКВЭД_НР!$L$10,
   IF(COUNTIF(Справочник_ОКВЭД_НР!$G$3:$G$62,H483)&gt;0,Справочник_ОКВЭД_НР!$L$11,50))))</f>
        <v>60</v>
      </c>
      <c r="J483" s="30" cm="1">
        <f t="array" ref="J483">IFERROR(
 (SUMPRODUCT(ISNUMBER(SEARCH(","&amp;Справочник_ОКВЭД_НР!$A$3:$A$62&amp;".",","&amp;SUBSTITUTE(F483," ","")&amp;",")))*Справочник_ОКВЭД_НР!$L$9 +
  SUMPRODUCT(ISNUMBER(SEARCH(","&amp;Справочник_ОКВЭД_НР!$C$3:$C$62&amp;".",","&amp;SUBSTITUTE(F483," ","")&amp;",")))*Справочник_ОКВЭД_НР!$L$10 +
  SUMPRODUCT(ISNUMBER(SEARCH(","&amp;Справочник_ОКВЭД_НР!$E$3:$E$62&amp;".",","&amp;SUBSTITUTE(F483," ","")&amp;",")))*Справочник_ОКВЭД_НР!$L$11 +
  SUMPRODUCT(ISNUMBER(SEARCH(","&amp;Справочник_ОКВЭД_НР!$G$3:$G$62&amp;".",","&amp;SUBSTITUTE(F483," ","")&amp;",")))*Справочник_ОКВЭД_НР!$L$12) /
 (SUMPRODUCT(ISNUMBER(SEARCH(","&amp;Справочник_ОКВЭД_НР!$A$3:$A$62&amp;".",","&amp;SUBSTITUTE(F483," ","")&amp;","))) +
  SUMPRODUCT(ISNUMBER(SEARCH(","&amp;Справочник_ОКВЭД_НР!$C$3:$C$62&amp;".",","&amp;SUBSTITUTE(F483," ","")&amp;","))) +
  SUMPRODUCT(ISNUMBER(SEARCH(","&amp;Справочник_ОКВЭД_НР!$E$3:$E$62&amp;".",","&amp;SUBSTITUTE(F483," ","")&amp;","))) +
  SUMPRODUCT(ISNUMBER(SEARCH(","&amp;Справочник_ОКВЭД_НР!$G$3:$G$62&amp;".",","&amp;SUBSTITUTE(F483," ","")&amp;",")))),
50)</f>
        <v>50</v>
      </c>
      <c r="K483" s="30">
        <f>IFERROR(VLOOKUP(G483,Справочник_ОКВЭД_НР!$O:$P,2,FALSE()),50)</f>
        <v>100</v>
      </c>
      <c r="L483" s="45">
        <f>(I483*Справочник_ОКВЭД_НР!$L$2+J483*Справочник_ОКВЭД_НР!$L$3+K483*Справочник_ОКВЭД_НР!$L$4)*M483</f>
        <v>63.5</v>
      </c>
      <c r="M483" s="47">
        <f>IF(COUNTIF(Справочник_ОКВЭД_НР!$G$3:$G$62,H483)&gt;0,0,1)</f>
        <v>1</v>
      </c>
    </row>
    <row r="484" spans="1:13" x14ac:dyDescent="0.25">
      <c r="A484" s="4">
        <f>ЛИК_дляСкорингаДП!A484</f>
        <v>1022102030389</v>
      </c>
      <c r="B484" s="4">
        <f>ЛИК_дляСкорингаДП!B484</f>
        <v>2104000312</v>
      </c>
      <c r="C484" s="4" t="str">
        <f>ЛИК_дляСкорингаДП!C484</f>
        <v>АО "ВУРНАРСКИЙ МЯСОКОМБИНАТ"</v>
      </c>
      <c r="D484" s="5" t="str">
        <f>ЛИК_дляСкорингаДП!M484</f>
        <v>Производство сырого коровьего молока</v>
      </c>
      <c r="E484" s="4" t="str">
        <f>ЛИК_дляСкорингаДП!L484</f>
        <v>01.41.21</v>
      </c>
      <c r="F484" t="str">
        <f>ЛИК_дляСкорингаДП!N484</f>
        <v>01.11.1,01.19.1,01.41.12,01.46.11,10.11.1,46.90,56.29.2,68.20.29,01.50,01.6,01.70,10.1,10.11,10.11.1,10.11.2,10.11.3,10.11.4,10.11.5,10.11.6,10.13.1,10.13.2,10.13.3,10.13.4,10.13.5,10.13.6,10.13.7,10.41.1,10.71,10.91.1,46.2,46.3,46.7,47.22,47.24,47.25,47.26,56.29,68.20.2,77.39.1,77.39.27</v>
      </c>
      <c r="G484" s="25" t="str">
        <f>ЛИК_дляСкорингаДП!AG484</f>
        <v>ОСН</v>
      </c>
      <c r="H484" s="55" t="str">
        <f>IF(ISNUMBER(E484),E484,
IFERROR(LEFT(E484,FIND(".",E484)-1),E484))</f>
        <v>01</v>
      </c>
      <c r="I484" s="30">
        <f>IF(COUNTIF(Справочник_ОКВЭД_НР!$A$3:$A$62,H484)&gt;0,Справочник_ОКВЭД_НР!$L$8,
 IF(COUNTIF(Справочник_ОКВЭД_НР!$C$3:$C$62,H484)&gt;0,Справочник_ОКВЭД_НР!$L$9,
  IF(COUNTIF(Справочник_ОКВЭД_НР!$E$3:$E$62,H484)&gt;0,Справочник_ОКВЭД_НР!$L$10,
   IF(COUNTIF(Справочник_ОКВЭД_НР!$G$3:$G$62,H484)&gt;0,Справочник_ОКВЭД_НР!$L$11,50))))</f>
        <v>60</v>
      </c>
      <c r="J484" s="30" cm="1">
        <f t="array" ref="J484">IFERROR(
 (SUMPRODUCT(ISNUMBER(SEARCH(","&amp;Справочник_ОКВЭД_НР!$A$3:$A$62&amp;".",","&amp;SUBSTITUTE(F484," ","")&amp;",")))*Справочник_ОКВЭД_НР!$L$9 +
  SUMPRODUCT(ISNUMBER(SEARCH(","&amp;Справочник_ОКВЭД_НР!$C$3:$C$62&amp;".",","&amp;SUBSTITUTE(F484," ","")&amp;",")))*Справочник_ОКВЭД_НР!$L$10 +
  SUMPRODUCT(ISNUMBER(SEARCH(","&amp;Справочник_ОКВЭД_НР!$E$3:$E$62&amp;".",","&amp;SUBSTITUTE(F484," ","")&amp;",")))*Справочник_ОКВЭД_НР!$L$11 +
  SUMPRODUCT(ISNUMBER(SEARCH(","&amp;Справочник_ОКВЭД_НР!$G$3:$G$62&amp;".",","&amp;SUBSTITUTE(F484," ","")&amp;",")))*Справочник_ОКВЭД_НР!$L$12) /
 (SUMPRODUCT(ISNUMBER(SEARCH(","&amp;Справочник_ОКВЭД_НР!$A$3:$A$62&amp;".",","&amp;SUBSTITUTE(F484," ","")&amp;","))) +
  SUMPRODUCT(ISNUMBER(SEARCH(","&amp;Справочник_ОКВЭД_НР!$C$3:$C$62&amp;".",","&amp;SUBSTITUTE(F484," ","")&amp;","))) +
  SUMPRODUCT(ISNUMBER(SEARCH(","&amp;Справочник_ОКВЭД_НР!$E$3:$E$62&amp;".",","&amp;SUBSTITUTE(F484," ","")&amp;","))) +
  SUMPRODUCT(ISNUMBER(SEARCH(","&amp;Справочник_ОКВЭД_НР!$G$3:$G$62&amp;".",","&amp;SUBSTITUTE(F484," ","")&amp;",")))),
50)</f>
        <v>50</v>
      </c>
      <c r="K484" s="30">
        <f>IFERROR(VLOOKUP(G484,Справочник_ОКВЭД_НР!$O:$P,2,FALSE()),50)</f>
        <v>100</v>
      </c>
      <c r="L484" s="45">
        <f>(I484*Справочник_ОКВЭД_НР!$L$2+J484*Справочник_ОКВЭД_НР!$L$3+K484*Справочник_ОКВЭД_НР!$L$4)*M484</f>
        <v>63.5</v>
      </c>
      <c r="M484" s="47">
        <f>IF(COUNTIF(Справочник_ОКВЭД_НР!$G$3:$G$62,H484)&gt;0,0,1)</f>
        <v>1</v>
      </c>
    </row>
    <row r="485" spans="1:13" x14ac:dyDescent="0.25">
      <c r="A485" s="4">
        <f>ЛИК_дляСкорингаДП!A485</f>
        <v>1092124000616</v>
      </c>
      <c r="B485" s="4">
        <f>ЛИК_дляСкорингаДП!B485</f>
        <v>2124030957</v>
      </c>
      <c r="C485" s="4" t="str">
        <f>ЛИК_дляСкорингаДП!C485</f>
        <v>ООО "ХЕВЕЛ"</v>
      </c>
      <c r="D485" s="5" t="str">
        <f>ЛИК_дляСкорингаДП!M485</f>
        <v>Производство электрического оборудования прочего, не включенного в другие группировки</v>
      </c>
      <c r="E485" s="4" t="str">
        <f>ЛИК_дляСкорингаДП!L485</f>
        <v>27.90.9</v>
      </c>
      <c r="F485" t="str">
        <f>ЛИК_дляСкорингаДП!N485</f>
        <v>20.11,23.11,23.12,26.11,32.12.1,38.32.51,41.2,41.20,43.21,46.73.5,46.75,46.9,52.10,52.10.21,52.10.22,52.10.9,71.2,71.20.8,77.11,77.3,77.39,77.39.29</v>
      </c>
      <c r="G485" s="25" t="str">
        <f>ЛИК_дляСкорингаДП!AG485</f>
        <v>ОСН</v>
      </c>
      <c r="H485" s="55" t="str">
        <f>IF(ISNUMBER(E485),E485,
IFERROR(LEFT(E485,FIND(".",E485)-1),E485))</f>
        <v>27</v>
      </c>
      <c r="I485" s="30">
        <f>IF(COUNTIF(Справочник_ОКВЭД_НР!$A$3:$A$62,H485)&gt;0,Справочник_ОКВЭД_НР!$L$8,
 IF(COUNTIF(Справочник_ОКВЭД_НР!$C$3:$C$62,H485)&gt;0,Справочник_ОКВЭД_НР!$L$9,
  IF(COUNTIF(Справочник_ОКВЭД_НР!$E$3:$E$62,H485)&gt;0,Справочник_ОКВЭД_НР!$L$10,
   IF(COUNTIF(Справочник_ОКВЭД_НР!$G$3:$G$62,H485)&gt;0,Справочник_ОКВЭД_НР!$L$11,50))))</f>
        <v>100</v>
      </c>
      <c r="J485" s="30" cm="1">
        <f t="array" ref="J485">IFERROR(
 (SUMPRODUCT(ISNUMBER(SEARCH(","&amp;Справочник_ОКВЭД_НР!$A$3:$A$62&amp;".",","&amp;SUBSTITUTE(F485," ","")&amp;",")))*Справочник_ОКВЭД_НР!$L$9 +
  SUMPRODUCT(ISNUMBER(SEARCH(","&amp;Справочник_ОКВЭД_НР!$C$3:$C$62&amp;".",","&amp;SUBSTITUTE(F485," ","")&amp;",")))*Справочник_ОКВЭД_НР!$L$10 +
  SUMPRODUCT(ISNUMBER(SEARCH(","&amp;Справочник_ОКВЭД_НР!$E$3:$E$62&amp;".",","&amp;SUBSTITUTE(F485," ","")&amp;",")))*Справочник_ОКВЭД_НР!$L$11 +
  SUMPRODUCT(ISNUMBER(SEARCH(","&amp;Справочник_ОКВЭД_НР!$G$3:$G$62&amp;".",","&amp;SUBSTITUTE(F485," ","")&amp;",")))*Справочник_ОКВЭД_НР!$L$12) /
 (SUMPRODUCT(ISNUMBER(SEARCH(","&amp;Справочник_ОКВЭД_НР!$A$3:$A$62&amp;".",","&amp;SUBSTITUTE(F485," ","")&amp;","))) +
  SUMPRODUCT(ISNUMBER(SEARCH(","&amp;Справочник_ОКВЭД_НР!$C$3:$C$62&amp;".",","&amp;SUBSTITUTE(F485," ","")&amp;","))) +
  SUMPRODUCT(ISNUMBER(SEARCH(","&amp;Справочник_ОКВЭД_НР!$E$3:$E$62&amp;".",","&amp;SUBSTITUTE(F485," ","")&amp;","))) +
  SUMPRODUCT(ISNUMBER(SEARCH(","&amp;Справочник_ОКВЭД_НР!$G$3:$G$62&amp;".",","&amp;SUBSTITUTE(F485," ","")&amp;",")))),
50)</f>
        <v>50</v>
      </c>
      <c r="K485" s="30">
        <f>IFERROR(VLOOKUP(G485,Справочник_ОКВЭД_НР!$O:$P,2,FALSE()),50)</f>
        <v>100</v>
      </c>
      <c r="L485" s="45">
        <f>(I485*Справочник_ОКВЭД_НР!$L$2+J485*Справочник_ОКВЭД_НР!$L$3+K485*Справочник_ОКВЭД_НР!$L$4)*M485</f>
        <v>87.5</v>
      </c>
      <c r="M485" s="47">
        <f>IF(COUNTIF(Справочник_ОКВЭД_НР!$G$3:$G$62,H485)&gt;0,0,1)</f>
        <v>1</v>
      </c>
    </row>
    <row r="486" spans="1:13" x14ac:dyDescent="0.25">
      <c r="A486" s="4">
        <f>ЛИК_дляСкорингаДП!A486</f>
        <v>1076639000855</v>
      </c>
      <c r="B486" s="4">
        <f>ЛИК_дляСкорингаДП!B486</f>
        <v>6639016397</v>
      </c>
      <c r="C486" s="4" t="str">
        <f>ЛИК_дляСкорингаДП!C486</f>
        <v>ООО "СТАЛТА"</v>
      </c>
      <c r="D486" s="5" t="str">
        <f>ЛИК_дляСкорингаДП!M486</f>
        <v>Производство металлических бочек и аналогичных емкостей</v>
      </c>
      <c r="E486" s="4" t="str">
        <f>ЛИК_дляСкорингаДП!L486</f>
        <v>25.91</v>
      </c>
      <c r="F486" t="str">
        <f>ЛИК_дляСкорингаДП!N486</f>
        <v>25.29,25.61,25.62,25.9,25.92,46.9,49.41,52.10,52.21,52.24,68.2</v>
      </c>
      <c r="G486" s="25" t="str">
        <f>ЛИК_дляСкорингаДП!AG486</f>
        <v>ОСН</v>
      </c>
      <c r="H486" s="55" t="str">
        <f>IF(ISNUMBER(E486),E486,
IFERROR(LEFT(E486,FIND(".",E486)-1),E486))</f>
        <v>25</v>
      </c>
      <c r="I486" s="30">
        <f>IF(COUNTIF(Справочник_ОКВЭД_НР!$A$3:$A$62,H486)&gt;0,Справочник_ОКВЭД_НР!$L$8,
 IF(COUNTIF(Справочник_ОКВЭД_НР!$C$3:$C$62,H486)&gt;0,Справочник_ОКВЭД_НР!$L$9,
  IF(COUNTIF(Справочник_ОКВЭД_НР!$E$3:$E$62,H486)&gt;0,Справочник_ОКВЭД_НР!$L$10,
   IF(COUNTIF(Справочник_ОКВЭД_НР!$G$3:$G$62,H486)&gt;0,Справочник_ОКВЭД_НР!$L$11,50))))</f>
        <v>60</v>
      </c>
      <c r="J486" s="30" cm="1">
        <f t="array" ref="J486">IFERROR(
 (SUMPRODUCT(ISNUMBER(SEARCH(","&amp;Справочник_ОКВЭД_НР!$A$3:$A$62&amp;".",","&amp;SUBSTITUTE(F486," ","")&amp;",")))*Справочник_ОКВЭД_НР!$L$9 +
  SUMPRODUCT(ISNUMBER(SEARCH(","&amp;Справочник_ОКВЭД_НР!$C$3:$C$62&amp;".",","&amp;SUBSTITUTE(F486," ","")&amp;",")))*Справочник_ОКВЭД_НР!$L$10 +
  SUMPRODUCT(ISNUMBER(SEARCH(","&amp;Справочник_ОКВЭД_НР!$E$3:$E$62&amp;".",","&amp;SUBSTITUTE(F486," ","")&amp;",")))*Справочник_ОКВЭД_НР!$L$11 +
  SUMPRODUCT(ISNUMBER(SEARCH(","&amp;Справочник_ОКВЭД_НР!$G$3:$G$62&amp;".",","&amp;SUBSTITUTE(F486," ","")&amp;",")))*Справочник_ОКВЭД_НР!$L$12) /
 (SUMPRODUCT(ISNUMBER(SEARCH(","&amp;Справочник_ОКВЭД_НР!$A$3:$A$62&amp;".",","&amp;SUBSTITUTE(F486," ","")&amp;","))) +
  SUMPRODUCT(ISNUMBER(SEARCH(","&amp;Справочник_ОКВЭД_НР!$C$3:$C$62&amp;".",","&amp;SUBSTITUTE(F486," ","")&amp;","))) +
  SUMPRODUCT(ISNUMBER(SEARCH(","&amp;Справочник_ОКВЭД_НР!$E$3:$E$62&amp;".",","&amp;SUBSTITUTE(F486," ","")&amp;","))) +
  SUMPRODUCT(ISNUMBER(SEARCH(","&amp;Справочник_ОКВЭД_НР!$G$3:$G$62&amp;".",","&amp;SUBSTITUTE(F486," ","")&amp;",")))),
50)</f>
        <v>50</v>
      </c>
      <c r="K486" s="30">
        <f>IFERROR(VLOOKUP(G486,Справочник_ОКВЭД_НР!$O:$P,2,FALSE()),50)</f>
        <v>100</v>
      </c>
      <c r="L486" s="45">
        <f>(I486*Справочник_ОКВЭД_НР!$L$2+J486*Справочник_ОКВЭД_НР!$L$3+K486*Справочник_ОКВЭД_НР!$L$4)*M486</f>
        <v>63.5</v>
      </c>
      <c r="M486" s="47">
        <f>IF(COUNTIF(Справочник_ОКВЭД_НР!$G$3:$G$62,H486)&gt;0,0,1)</f>
        <v>1</v>
      </c>
    </row>
    <row r="487" spans="1:13" x14ac:dyDescent="0.25">
      <c r="A487" s="4">
        <f>ЛИК_дляСкорингаДП!A487</f>
        <v>1112130006746</v>
      </c>
      <c r="B487" s="4">
        <f>ЛИК_дляСкорингаДП!B487</f>
        <v>2130088634</v>
      </c>
      <c r="C487" s="4" t="str">
        <f>ЛИК_дляСкорингаДП!C487</f>
        <v>ООО "ДЕВЕЛЕЙ"</v>
      </c>
      <c r="D487" s="5" t="str">
        <f>ЛИК_дляСкорингаДП!M487</f>
        <v>Производство приправ и пряностей</v>
      </c>
      <c r="E487" s="4" t="str">
        <f>ЛИК_дляСкорингаДП!L487</f>
        <v>10.84</v>
      </c>
      <c r="F487" t="str">
        <f>ЛИК_дляСкорингаДП!N487</f>
        <v>46.90,10.84,68.20.2,68.31.12,68.31.22,68.31.32,68.31.42,70.22</v>
      </c>
      <c r="G487" s="25" t="str">
        <f>ЛИК_дляСкорингаДП!AG487</f>
        <v>ОСН</v>
      </c>
      <c r="H487" s="55" t="str">
        <f>IF(ISNUMBER(E487),E487,
IFERROR(LEFT(E487,FIND(".",E487)-1),E487))</f>
        <v>10</v>
      </c>
      <c r="I487" s="30">
        <f>IF(COUNTIF(Справочник_ОКВЭД_НР!$A$3:$A$62,H487)&gt;0,Справочник_ОКВЭД_НР!$L$8,
 IF(COUNTIF(Справочник_ОКВЭД_НР!$C$3:$C$62,H487)&gt;0,Справочник_ОКВЭД_НР!$L$9,
  IF(COUNTIF(Справочник_ОКВЭД_НР!$E$3:$E$62,H487)&gt;0,Справочник_ОКВЭД_НР!$L$10,
   IF(COUNTIF(Справочник_ОКВЭД_НР!$G$3:$G$62,H487)&gt;0,Справочник_ОКВЭД_НР!$L$11,50))))</f>
        <v>100</v>
      </c>
      <c r="J487" s="30" cm="1">
        <f t="array" ref="J487">IFERROR(
 (SUMPRODUCT(ISNUMBER(SEARCH(","&amp;Справочник_ОКВЭД_НР!$A$3:$A$62&amp;".",","&amp;SUBSTITUTE(F487," ","")&amp;",")))*Справочник_ОКВЭД_НР!$L$9 +
  SUMPRODUCT(ISNUMBER(SEARCH(","&amp;Справочник_ОКВЭД_НР!$C$3:$C$62&amp;".",","&amp;SUBSTITUTE(F487," ","")&amp;",")))*Справочник_ОКВЭД_НР!$L$10 +
  SUMPRODUCT(ISNUMBER(SEARCH(","&amp;Справочник_ОКВЭД_НР!$E$3:$E$62&amp;".",","&amp;SUBSTITUTE(F487," ","")&amp;",")))*Справочник_ОКВЭД_НР!$L$11 +
  SUMPRODUCT(ISNUMBER(SEARCH(","&amp;Справочник_ОКВЭД_НР!$G$3:$G$62&amp;".",","&amp;SUBSTITUTE(F487," ","")&amp;",")))*Справочник_ОКВЭД_НР!$L$12) /
 (SUMPRODUCT(ISNUMBER(SEARCH(","&amp;Справочник_ОКВЭД_НР!$A$3:$A$62&amp;".",","&amp;SUBSTITUTE(F487," ","")&amp;","))) +
  SUMPRODUCT(ISNUMBER(SEARCH(","&amp;Справочник_ОКВЭД_НР!$C$3:$C$62&amp;".",","&amp;SUBSTITUTE(F487," ","")&amp;","))) +
  SUMPRODUCT(ISNUMBER(SEARCH(","&amp;Справочник_ОКВЭД_НР!$E$3:$E$62&amp;".",","&amp;SUBSTITUTE(F487," ","")&amp;","))) +
  SUMPRODUCT(ISNUMBER(SEARCH(","&amp;Справочник_ОКВЭД_НР!$G$3:$G$62&amp;".",","&amp;SUBSTITUTE(F487," ","")&amp;",")))),
50)</f>
        <v>50</v>
      </c>
      <c r="K487" s="30">
        <f>IFERROR(VLOOKUP(G487,Справочник_ОКВЭД_НР!$O:$P,2,FALSE()),50)</f>
        <v>100</v>
      </c>
      <c r="L487" s="45">
        <f>(I487*Справочник_ОКВЭД_НР!$L$2+J487*Справочник_ОКВЭД_НР!$L$3+K487*Справочник_ОКВЭД_НР!$L$4)*M487</f>
        <v>87.5</v>
      </c>
      <c r="M487" s="47">
        <f>IF(COUNTIF(Справочник_ОКВЭД_НР!$G$3:$G$62,H487)&gt;0,0,1)</f>
        <v>1</v>
      </c>
    </row>
    <row r="488" spans="1:13" x14ac:dyDescent="0.25">
      <c r="A488" s="4">
        <f>ЛИК_дляСкорингаДП!A488</f>
        <v>1162130067219</v>
      </c>
      <c r="B488" s="4">
        <f>ЛИК_дляСкорингаДП!B488</f>
        <v>2130179610</v>
      </c>
      <c r="C488" s="4" t="str">
        <f>ЛИК_дляСкорингаДП!C488</f>
        <v>ООО "ЧЛВЗ"</v>
      </c>
      <c r="D488" s="5" t="str">
        <f>ЛИК_дляСкорингаДП!M488</f>
        <v>Производство дистиллированных питьевых алкогольных напитков: водки, виски, бренди, джина, ликеров и т. п.</v>
      </c>
      <c r="E488" s="4" t="str">
        <f>ЛИК_дляСкорингаДП!L488</f>
        <v>11.01.1</v>
      </c>
      <c r="F488" t="str">
        <f>ЛИК_дляСкорингаДП!N488</f>
        <v>11.01.1,11.01.2,11.01.3,11.01.4,46.34.21,47.25</v>
      </c>
      <c r="G488" s="25" t="str">
        <f>ЛИК_дляСкорингаДП!AG488</f>
        <v>ОСН</v>
      </c>
      <c r="H488" s="55" t="str">
        <f>IF(ISNUMBER(E488),E488,
IFERROR(LEFT(E488,FIND(".",E488)-1),E488))</f>
        <v>11</v>
      </c>
      <c r="I488" s="30">
        <f>IF(COUNTIF(Справочник_ОКВЭД_НР!$A$3:$A$62,H488)&gt;0,Справочник_ОКВЭД_НР!$L$8,
 IF(COUNTIF(Справочник_ОКВЭД_НР!$C$3:$C$62,H488)&gt;0,Справочник_ОКВЭД_НР!$L$9,
  IF(COUNTIF(Справочник_ОКВЭД_НР!$E$3:$E$62,H488)&gt;0,Справочник_ОКВЭД_НР!$L$10,
   IF(COUNTIF(Справочник_ОКВЭД_НР!$G$3:$G$62,H488)&gt;0,Справочник_ОКВЭД_НР!$L$11,50))))</f>
        <v>100</v>
      </c>
      <c r="J488" s="30" cm="1">
        <f t="array" ref="J488">IFERROR(
 (SUMPRODUCT(ISNUMBER(SEARCH(","&amp;Справочник_ОКВЭД_НР!$A$3:$A$62&amp;".",","&amp;SUBSTITUTE(F488," ","")&amp;",")))*Справочник_ОКВЭД_НР!$L$9 +
  SUMPRODUCT(ISNUMBER(SEARCH(","&amp;Справочник_ОКВЭД_НР!$C$3:$C$62&amp;".",","&amp;SUBSTITUTE(F488," ","")&amp;",")))*Справочник_ОКВЭД_НР!$L$10 +
  SUMPRODUCT(ISNUMBER(SEARCH(","&amp;Справочник_ОКВЭД_НР!$E$3:$E$62&amp;".",","&amp;SUBSTITUTE(F488," ","")&amp;",")))*Справочник_ОКВЭД_НР!$L$11 +
  SUMPRODUCT(ISNUMBER(SEARCH(","&amp;Справочник_ОКВЭД_НР!$G$3:$G$62&amp;".",","&amp;SUBSTITUTE(F488," ","")&amp;",")))*Справочник_ОКВЭД_НР!$L$12) /
 (SUMPRODUCT(ISNUMBER(SEARCH(","&amp;Справочник_ОКВЭД_НР!$A$3:$A$62&amp;".",","&amp;SUBSTITUTE(F488," ","")&amp;","))) +
  SUMPRODUCT(ISNUMBER(SEARCH(","&amp;Справочник_ОКВЭД_НР!$C$3:$C$62&amp;".",","&amp;SUBSTITUTE(F488," ","")&amp;","))) +
  SUMPRODUCT(ISNUMBER(SEARCH(","&amp;Справочник_ОКВЭД_НР!$E$3:$E$62&amp;".",","&amp;SUBSTITUTE(F488," ","")&amp;","))) +
  SUMPRODUCT(ISNUMBER(SEARCH(","&amp;Справочник_ОКВЭД_НР!$G$3:$G$62&amp;".",","&amp;SUBSTITUTE(F488," ","")&amp;",")))),
50)</f>
        <v>50</v>
      </c>
      <c r="K488" s="30">
        <f>IFERROR(VLOOKUP(G488,Справочник_ОКВЭД_НР!$O:$P,2,FALSE()),50)</f>
        <v>100</v>
      </c>
      <c r="L488" s="45">
        <f>(I488*Справочник_ОКВЭД_НР!$L$2+J488*Справочник_ОКВЭД_НР!$L$3+K488*Справочник_ОКВЭД_НР!$L$4)*M488</f>
        <v>87.5</v>
      </c>
      <c r="M488" s="47">
        <f>IF(COUNTIF(Справочник_ОКВЭД_НР!$G$3:$G$62,H488)&gt;0,0,1)</f>
        <v>1</v>
      </c>
    </row>
    <row r="489" spans="1:13" x14ac:dyDescent="0.25">
      <c r="A489" s="4">
        <f>ЛИК_дляСкорингаДП!A489</f>
        <v>1022101277934</v>
      </c>
      <c r="B489" s="4">
        <f>ЛИК_дляСкорингаДП!B489</f>
        <v>2126002786</v>
      </c>
      <c r="C489" s="4" t="str">
        <f>ЛИК_дляСкорингаДП!C489</f>
        <v>ЗАО "ЧЕБОКСАРСКОЕ ПРЕДПРИЯТИЕ "СЕСПЕЛЬ"</v>
      </c>
      <c r="D489" s="5" t="str">
        <f>ЛИК_дляСкорингаДП!M489</f>
        <v>Производство прицепов и полуприцепов</v>
      </c>
      <c r="E489" s="4" t="str">
        <f>ЛИК_дляСкорингаДП!L489</f>
        <v>29.20.4</v>
      </c>
      <c r="F489" t="str">
        <f>ЛИК_дляСкорингаДП!N489</f>
        <v>46.90,24.20,24.51,24.52,24.53,24.54,25.11,25.29,25.50,25.61,25.62,25.73,25.91,25.94,25.99,27.11,27.90,28.12,28.13,28.14,28.15,28.22,28.29,28.30,28.30.7,28.41,28.49,28.92,29.20,29.31,29.32,32.99,33.11,33.12,33.14,33.20,41.20,43.99,45.1,45.20,45.3,49.3,49.4,52.10,52.21,52.29,62.09,63.11,64.99,68.10,68.20,71.20.1,71.20.3,71.20.9,72.19,77.11,77.39.11</v>
      </c>
      <c r="G489" s="25" t="str">
        <f>ЛИК_дляСкорингаДП!AG489</f>
        <v>ОСН</v>
      </c>
      <c r="H489" s="55" t="str">
        <f>IF(ISNUMBER(E489),E489,
IFERROR(LEFT(E489,FIND(".",E489)-1),E489))</f>
        <v>29</v>
      </c>
      <c r="I489" s="30">
        <f>IF(COUNTIF(Справочник_ОКВЭД_НР!$A$3:$A$62,H489)&gt;0,Справочник_ОКВЭД_НР!$L$8,
 IF(COUNTIF(Справочник_ОКВЭД_НР!$C$3:$C$62,H489)&gt;0,Справочник_ОКВЭД_НР!$L$9,
  IF(COUNTIF(Справочник_ОКВЭД_НР!$E$3:$E$62,H489)&gt;0,Справочник_ОКВЭД_НР!$L$10,
   IF(COUNTIF(Справочник_ОКВЭД_НР!$G$3:$G$62,H489)&gt;0,Справочник_ОКВЭД_НР!$L$11,50))))</f>
        <v>60</v>
      </c>
      <c r="J489" s="30" cm="1">
        <f t="array" ref="J489">IFERROR(
 (SUMPRODUCT(ISNUMBER(SEARCH(","&amp;Справочник_ОКВЭД_НР!$A$3:$A$62&amp;".",","&amp;SUBSTITUTE(F489," ","")&amp;",")))*Справочник_ОКВЭД_НР!$L$9 +
  SUMPRODUCT(ISNUMBER(SEARCH(","&amp;Справочник_ОКВЭД_НР!$C$3:$C$62&amp;".",","&amp;SUBSTITUTE(F489," ","")&amp;",")))*Справочник_ОКВЭД_НР!$L$10 +
  SUMPRODUCT(ISNUMBER(SEARCH(","&amp;Справочник_ОКВЭД_НР!$E$3:$E$62&amp;".",","&amp;SUBSTITUTE(F489," ","")&amp;",")))*Справочник_ОКВЭД_НР!$L$11 +
  SUMPRODUCT(ISNUMBER(SEARCH(","&amp;Справочник_ОКВЭД_НР!$G$3:$G$62&amp;".",","&amp;SUBSTITUTE(F489," ","")&amp;",")))*Справочник_ОКВЭД_НР!$L$12) /
 (SUMPRODUCT(ISNUMBER(SEARCH(","&amp;Справочник_ОКВЭД_НР!$A$3:$A$62&amp;".",","&amp;SUBSTITUTE(F489," ","")&amp;","))) +
  SUMPRODUCT(ISNUMBER(SEARCH(","&amp;Справочник_ОКВЭД_НР!$C$3:$C$62&amp;".",","&amp;SUBSTITUTE(F489," ","")&amp;","))) +
  SUMPRODUCT(ISNUMBER(SEARCH(","&amp;Справочник_ОКВЭД_НР!$E$3:$E$62&amp;".",","&amp;SUBSTITUTE(F489," ","")&amp;","))) +
  SUMPRODUCT(ISNUMBER(SEARCH(","&amp;Справочник_ОКВЭД_НР!$G$3:$G$62&amp;".",","&amp;SUBSTITUTE(F489," ","")&amp;",")))),
50)</f>
        <v>50</v>
      </c>
      <c r="K489" s="30">
        <f>IFERROR(VLOOKUP(G489,Справочник_ОКВЭД_НР!$O:$P,2,FALSE()),50)</f>
        <v>100</v>
      </c>
      <c r="L489" s="45">
        <f>(I489*Справочник_ОКВЭД_НР!$L$2+J489*Справочник_ОКВЭД_НР!$L$3+K489*Справочник_ОКВЭД_НР!$L$4)*M489</f>
        <v>63.5</v>
      </c>
      <c r="M489" s="47">
        <f>IF(COUNTIF(Справочник_ОКВЭД_НР!$G$3:$G$62,H489)&gt;0,0,1)</f>
        <v>1</v>
      </c>
    </row>
    <row r="490" spans="1:13" x14ac:dyDescent="0.25">
      <c r="A490" s="4">
        <f>ЛИК_дляСкорингаДП!A490</f>
        <v>1022102432186</v>
      </c>
      <c r="B490" s="4">
        <f>ЛИК_дляСкорингаДП!B490</f>
        <v>2116491707</v>
      </c>
      <c r="C490" s="4" t="str">
        <f>ЛИК_дляСкорингаДП!C490</f>
        <v>ООО "ИЗВА"</v>
      </c>
      <c r="D490" s="5" t="str">
        <f>ЛИК_дляСкорингаДП!M490</f>
        <v>Производство электрической распределительной и регулирующей аппаратуры</v>
      </c>
      <c r="E490" s="4" t="str">
        <f>ЛИК_дляСкорингаДП!L490</f>
        <v>27.12</v>
      </c>
      <c r="F490" t="str">
        <f>ЛИК_дляСкорингаДП!N490</f>
        <v>25.62,33.14,36.00.2,46.90,49.41.3,68.20.29,77.39.29,25.61,27.12,36.00,46.69.9,46.90,49.39.13,49.41,52.10,52.29,68.20,71.11.1,77.39</v>
      </c>
      <c r="G490" s="25" t="str">
        <f>ЛИК_дляСкорингаДП!AG490</f>
        <v>ОСН</v>
      </c>
      <c r="H490" s="55" t="str">
        <f>IF(ISNUMBER(E490),E490,
IFERROR(LEFT(E490,FIND(".",E490)-1),E490))</f>
        <v>27</v>
      </c>
      <c r="I490" s="30">
        <f>IF(COUNTIF(Справочник_ОКВЭД_НР!$A$3:$A$62,H490)&gt;0,Справочник_ОКВЭД_НР!$L$8,
 IF(COUNTIF(Справочник_ОКВЭД_НР!$C$3:$C$62,H490)&gt;0,Справочник_ОКВЭД_НР!$L$9,
  IF(COUNTIF(Справочник_ОКВЭД_НР!$E$3:$E$62,H490)&gt;0,Справочник_ОКВЭД_НР!$L$10,
   IF(COUNTIF(Справочник_ОКВЭД_НР!$G$3:$G$62,H490)&gt;0,Справочник_ОКВЭД_НР!$L$11,50))))</f>
        <v>100</v>
      </c>
      <c r="J490" s="30" cm="1">
        <f t="array" ref="J490">IFERROR(
 (SUMPRODUCT(ISNUMBER(SEARCH(","&amp;Справочник_ОКВЭД_НР!$A$3:$A$62&amp;".",","&amp;SUBSTITUTE(F490," ","")&amp;",")))*Справочник_ОКВЭД_НР!$L$9 +
  SUMPRODUCT(ISNUMBER(SEARCH(","&amp;Справочник_ОКВЭД_НР!$C$3:$C$62&amp;".",","&amp;SUBSTITUTE(F490," ","")&amp;",")))*Справочник_ОКВЭД_НР!$L$10 +
  SUMPRODUCT(ISNUMBER(SEARCH(","&amp;Справочник_ОКВЭД_НР!$E$3:$E$62&amp;".",","&amp;SUBSTITUTE(F490," ","")&amp;",")))*Справочник_ОКВЭД_НР!$L$11 +
  SUMPRODUCT(ISNUMBER(SEARCH(","&amp;Справочник_ОКВЭД_НР!$G$3:$G$62&amp;".",","&amp;SUBSTITUTE(F490," ","")&amp;",")))*Справочник_ОКВЭД_НР!$L$12) /
 (SUMPRODUCT(ISNUMBER(SEARCH(","&amp;Справочник_ОКВЭД_НР!$A$3:$A$62&amp;".",","&amp;SUBSTITUTE(F490," ","")&amp;","))) +
  SUMPRODUCT(ISNUMBER(SEARCH(","&amp;Справочник_ОКВЭД_НР!$C$3:$C$62&amp;".",","&amp;SUBSTITUTE(F490," ","")&amp;","))) +
  SUMPRODUCT(ISNUMBER(SEARCH(","&amp;Справочник_ОКВЭД_НР!$E$3:$E$62&amp;".",","&amp;SUBSTITUTE(F490," ","")&amp;","))) +
  SUMPRODUCT(ISNUMBER(SEARCH(","&amp;Справочник_ОКВЭД_НР!$G$3:$G$62&amp;".",","&amp;SUBSTITUTE(F490," ","")&amp;",")))),
50)</f>
        <v>50</v>
      </c>
      <c r="K490" s="30">
        <f>IFERROR(VLOOKUP(G490,Справочник_ОКВЭД_НР!$O:$P,2,FALSE()),50)</f>
        <v>100</v>
      </c>
      <c r="L490" s="45">
        <f>(I490*Справочник_ОКВЭД_НР!$L$2+J490*Справочник_ОКВЭД_НР!$L$3+K490*Справочник_ОКВЭД_НР!$L$4)*M490</f>
        <v>87.5</v>
      </c>
      <c r="M490" s="47">
        <f>IF(COUNTIF(Справочник_ОКВЭД_НР!$G$3:$G$62,H490)&gt;0,0,1)</f>
        <v>1</v>
      </c>
    </row>
    <row r="491" spans="1:13" x14ac:dyDescent="0.25">
      <c r="A491" s="4">
        <f>ЛИК_дляСкорингаДП!A491</f>
        <v>1072130006376</v>
      </c>
      <c r="B491" s="4">
        <f>ЛИК_дляСкорингаДП!B491</f>
        <v>2130017760</v>
      </c>
      <c r="C491" s="4" t="str">
        <f>ЛИК_дляСкорингаДП!C491</f>
        <v>АО "ВОДОКАНАЛ"</v>
      </c>
      <c r="D491" s="5" t="str">
        <f>ЛИК_дляСкорингаДП!M491</f>
        <v>Сбор и обработка сточных вод</v>
      </c>
      <c r="E491" s="4" t="str">
        <f>ЛИК_дляСкорингаДП!L491</f>
        <v>37.00</v>
      </c>
      <c r="F491" t="str">
        <f>ЛИК_дляСкорингаДП!N491</f>
        <v>36.00.2,36.00,37.00</v>
      </c>
      <c r="G491" s="25" t="str">
        <f>ЛИК_дляСкорингаДП!AG491</f>
        <v>ОСН</v>
      </c>
      <c r="H491" s="55" t="str">
        <f>IF(ISNUMBER(E491),E491,
IFERROR(LEFT(E491,FIND(".",E491)-1),E491))</f>
        <v>37</v>
      </c>
      <c r="I491" s="30">
        <f>IF(COUNTIF(Справочник_ОКВЭД_НР!$A$3:$A$62,H491)&gt;0,Справочник_ОКВЭД_НР!$L$8,
 IF(COUNTIF(Справочник_ОКВЭД_НР!$C$3:$C$62,H491)&gt;0,Справочник_ОКВЭД_НР!$L$9,
  IF(COUNTIF(Справочник_ОКВЭД_НР!$E$3:$E$62,H491)&gt;0,Справочник_ОКВЭД_НР!$L$10,
   IF(COUNTIF(Справочник_ОКВЭД_НР!$G$3:$G$62,H491)&gt;0,Справочник_ОКВЭД_НР!$L$11,50))))</f>
        <v>30</v>
      </c>
      <c r="J491" s="30" cm="1">
        <f t="array" ref="J491">IFERROR(
 (SUMPRODUCT(ISNUMBER(SEARCH(","&amp;Справочник_ОКВЭД_НР!$A$3:$A$62&amp;".",","&amp;SUBSTITUTE(F491," ","")&amp;",")))*Справочник_ОКВЭД_НР!$L$9 +
  SUMPRODUCT(ISNUMBER(SEARCH(","&amp;Справочник_ОКВЭД_НР!$C$3:$C$62&amp;".",","&amp;SUBSTITUTE(F491," ","")&amp;",")))*Справочник_ОКВЭД_НР!$L$10 +
  SUMPRODUCT(ISNUMBER(SEARCH(","&amp;Справочник_ОКВЭД_НР!$E$3:$E$62&amp;".",","&amp;SUBSTITUTE(F491," ","")&amp;",")))*Справочник_ОКВЭД_НР!$L$11 +
  SUMPRODUCT(ISNUMBER(SEARCH(","&amp;Справочник_ОКВЭД_НР!$G$3:$G$62&amp;".",","&amp;SUBSTITUTE(F491," ","")&amp;",")))*Справочник_ОКВЭД_НР!$L$12) /
 (SUMPRODUCT(ISNUMBER(SEARCH(","&amp;Справочник_ОКВЭД_НР!$A$3:$A$62&amp;".",","&amp;SUBSTITUTE(F491," ","")&amp;","))) +
  SUMPRODUCT(ISNUMBER(SEARCH(","&amp;Справочник_ОКВЭД_НР!$C$3:$C$62&amp;".",","&amp;SUBSTITUTE(F491," ","")&amp;","))) +
  SUMPRODUCT(ISNUMBER(SEARCH(","&amp;Справочник_ОКВЭД_НР!$E$3:$E$62&amp;".",","&amp;SUBSTITUTE(F491," ","")&amp;","))) +
  SUMPRODUCT(ISNUMBER(SEARCH(","&amp;Справочник_ОКВЭД_НР!$G$3:$G$62&amp;".",","&amp;SUBSTITUTE(F491," ","")&amp;",")))),
50)</f>
        <v>50</v>
      </c>
      <c r="K491" s="30">
        <f>IFERROR(VLOOKUP(G491,Справочник_ОКВЭД_НР!$O:$P,2,FALSE()),50)</f>
        <v>100</v>
      </c>
      <c r="L491" s="45">
        <f>(I491*Справочник_ОКВЭД_НР!$L$2+J491*Справочник_ОКВЭД_НР!$L$3+K491*Справочник_ОКВЭД_НР!$L$4)*M491</f>
        <v>45.5</v>
      </c>
      <c r="M491" s="47">
        <f>IF(COUNTIF(Справочник_ОКВЭД_НР!$G$3:$G$62,H491)&gt;0,0,1)</f>
        <v>1</v>
      </c>
    </row>
    <row r="492" spans="1:13" x14ac:dyDescent="0.25">
      <c r="A492" s="4">
        <f>ЛИК_дляСкорингаДП!A492</f>
        <v>1062130012141</v>
      </c>
      <c r="B492" s="4">
        <f>ЛИК_дляСкорингаДП!B492</f>
        <v>2130007787</v>
      </c>
      <c r="C492" s="4" t="str">
        <f>ЛИК_дляСкорингаДП!C492</f>
        <v>ООО "КЕРАМИКА"</v>
      </c>
      <c r="D492" s="5" t="str">
        <f>ЛИК_дляСкорингаДП!M492</f>
        <v>Производство керамических санитарно-технических изделий</v>
      </c>
      <c r="E492" s="4" t="str">
        <f>ЛИК_дляСкорингаДП!L492</f>
        <v>23.42</v>
      </c>
      <c r="F492" t="str">
        <f>ЛИК_дляСкорингаДП!N492</f>
        <v>22.23.1,28.14,46.73.3,46.90,68.20.29,82.99,18.1,23.42,23.49,41.20,46.90,49.4,68.31.1,68.31.2,68.31.3,68.31.4,70.22,79.11,82.99</v>
      </c>
      <c r="G492" s="25" t="str">
        <f>ЛИК_дляСкорингаДП!AG492</f>
        <v>ОСН</v>
      </c>
      <c r="H492" s="55" t="str">
        <f>IF(ISNUMBER(E492),E492,
IFERROR(LEFT(E492,FIND(".",E492)-1),E492))</f>
        <v>23</v>
      </c>
      <c r="I492" s="30">
        <f>IF(COUNTIF(Справочник_ОКВЭД_НР!$A$3:$A$62,H492)&gt;0,Справочник_ОКВЭД_НР!$L$8,
 IF(COUNTIF(Справочник_ОКВЭД_НР!$C$3:$C$62,H492)&gt;0,Справочник_ОКВЭД_НР!$L$9,
  IF(COUNTIF(Справочник_ОКВЭД_НР!$E$3:$E$62,H492)&gt;0,Справочник_ОКВЭД_НР!$L$10,
   IF(COUNTIF(Справочник_ОКВЭД_НР!$G$3:$G$62,H492)&gt;0,Справочник_ОКВЭД_НР!$L$11,50))))</f>
        <v>60</v>
      </c>
      <c r="J492" s="30" cm="1">
        <f t="array" ref="J492">IFERROR(
 (SUMPRODUCT(ISNUMBER(SEARCH(","&amp;Справочник_ОКВЭД_НР!$A$3:$A$62&amp;".",","&amp;SUBSTITUTE(F492," ","")&amp;",")))*Справочник_ОКВЭД_НР!$L$9 +
  SUMPRODUCT(ISNUMBER(SEARCH(","&amp;Справочник_ОКВЭД_НР!$C$3:$C$62&amp;".",","&amp;SUBSTITUTE(F492," ","")&amp;",")))*Справочник_ОКВЭД_НР!$L$10 +
  SUMPRODUCT(ISNUMBER(SEARCH(","&amp;Справочник_ОКВЭД_НР!$E$3:$E$62&amp;".",","&amp;SUBSTITUTE(F492," ","")&amp;",")))*Справочник_ОКВЭД_НР!$L$11 +
  SUMPRODUCT(ISNUMBER(SEARCH(","&amp;Справочник_ОКВЭД_НР!$G$3:$G$62&amp;".",","&amp;SUBSTITUTE(F492," ","")&amp;",")))*Справочник_ОКВЭД_НР!$L$12) /
 (SUMPRODUCT(ISNUMBER(SEARCH(","&amp;Справочник_ОКВЭД_НР!$A$3:$A$62&amp;".",","&amp;SUBSTITUTE(F492," ","")&amp;","))) +
  SUMPRODUCT(ISNUMBER(SEARCH(","&amp;Справочник_ОКВЭД_НР!$C$3:$C$62&amp;".",","&amp;SUBSTITUTE(F492," ","")&amp;","))) +
  SUMPRODUCT(ISNUMBER(SEARCH(","&amp;Справочник_ОКВЭД_НР!$E$3:$E$62&amp;".",","&amp;SUBSTITUTE(F492," ","")&amp;","))) +
  SUMPRODUCT(ISNUMBER(SEARCH(","&amp;Справочник_ОКВЭД_НР!$G$3:$G$62&amp;".",","&amp;SUBSTITUTE(F492," ","")&amp;",")))),
50)</f>
        <v>50</v>
      </c>
      <c r="K492" s="30">
        <f>IFERROR(VLOOKUP(G492,Справочник_ОКВЭД_НР!$O:$P,2,FALSE()),50)</f>
        <v>100</v>
      </c>
      <c r="L492" s="45">
        <f>(I492*Справочник_ОКВЭД_НР!$L$2+J492*Справочник_ОКВЭД_НР!$L$3+K492*Справочник_ОКВЭД_НР!$L$4)*M492</f>
        <v>63.5</v>
      </c>
      <c r="M492" s="47">
        <f>IF(COUNTIF(Справочник_ОКВЭД_НР!$G$3:$G$62,H492)&gt;0,0,1)</f>
        <v>1</v>
      </c>
    </row>
    <row r="493" spans="1:13" x14ac:dyDescent="0.25">
      <c r="A493" s="4">
        <f>ЛИК_дляСкорингаДП!A493</f>
        <v>1072130006563</v>
      </c>
      <c r="B493" s="4">
        <f>ЛИК_дляСкорингаДП!B493</f>
        <v>2130018010</v>
      </c>
      <c r="C493" s="4" t="str">
        <f>ЛИК_дляСкорингаДП!C493</f>
        <v>АО "ДОРЭКС"</v>
      </c>
      <c r="D493" s="5" t="str">
        <f>ЛИК_дляСкорингаДП!M493</f>
        <v>Подметание улиц и уборка снега</v>
      </c>
      <c r="E493" s="4" t="str">
        <f>ЛИК_дляСкорингаДП!L493</f>
        <v>81.29.2</v>
      </c>
      <c r="F493" t="str">
        <f>ЛИК_дляСкорингаДП!N493</f>
        <v>45.20,45.32,52.2,52.21.22,86.90.9</v>
      </c>
      <c r="G493" s="25" t="str">
        <f>ЛИК_дляСкорингаДП!AG493</f>
        <v>ОСН</v>
      </c>
      <c r="H493" s="55" t="str">
        <f>IF(ISNUMBER(E493),E493,
IFERROR(LEFT(E493,FIND(".",E493)-1),E493))</f>
        <v>81</v>
      </c>
      <c r="I493" s="30">
        <f>IF(COUNTIF(Справочник_ОКВЭД_НР!$A$3:$A$62,H493)&gt;0,Справочник_ОКВЭД_НР!$L$8,
 IF(COUNTIF(Справочник_ОКВЭД_НР!$C$3:$C$62,H493)&gt;0,Справочник_ОКВЭД_НР!$L$9,
  IF(COUNTIF(Справочник_ОКВЭД_НР!$E$3:$E$62,H493)&gt;0,Справочник_ОКВЭД_НР!$L$10,
   IF(COUNTIF(Справочник_ОКВЭД_НР!$G$3:$G$62,H493)&gt;0,Справочник_ОКВЭД_НР!$L$11,50))))</f>
        <v>30</v>
      </c>
      <c r="J493" s="30" cm="1">
        <f t="array" ref="J493">IFERROR(
 (SUMPRODUCT(ISNUMBER(SEARCH(","&amp;Справочник_ОКВЭД_НР!$A$3:$A$62&amp;".",","&amp;SUBSTITUTE(F493," ","")&amp;",")))*Справочник_ОКВЭД_НР!$L$9 +
  SUMPRODUCT(ISNUMBER(SEARCH(","&amp;Справочник_ОКВЭД_НР!$C$3:$C$62&amp;".",","&amp;SUBSTITUTE(F493," ","")&amp;",")))*Справочник_ОКВЭД_НР!$L$10 +
  SUMPRODUCT(ISNUMBER(SEARCH(","&amp;Справочник_ОКВЭД_НР!$E$3:$E$62&amp;".",","&amp;SUBSTITUTE(F493," ","")&amp;",")))*Справочник_ОКВЭД_НР!$L$11 +
  SUMPRODUCT(ISNUMBER(SEARCH(","&amp;Справочник_ОКВЭД_НР!$G$3:$G$62&amp;".",","&amp;SUBSTITUTE(F493," ","")&amp;",")))*Справочник_ОКВЭД_НР!$L$12) /
 (SUMPRODUCT(ISNUMBER(SEARCH(","&amp;Справочник_ОКВЭД_НР!$A$3:$A$62&amp;".",","&amp;SUBSTITUTE(F493," ","")&amp;","))) +
  SUMPRODUCT(ISNUMBER(SEARCH(","&amp;Справочник_ОКВЭД_НР!$C$3:$C$62&amp;".",","&amp;SUBSTITUTE(F493," ","")&amp;","))) +
  SUMPRODUCT(ISNUMBER(SEARCH(","&amp;Справочник_ОКВЭД_НР!$E$3:$E$62&amp;".",","&amp;SUBSTITUTE(F493," ","")&amp;","))) +
  SUMPRODUCT(ISNUMBER(SEARCH(","&amp;Справочник_ОКВЭД_НР!$G$3:$G$62&amp;".",","&amp;SUBSTITUTE(F493," ","")&amp;",")))),
50)</f>
        <v>50</v>
      </c>
      <c r="K493" s="30">
        <f>IFERROR(VLOOKUP(G493,Справочник_ОКВЭД_НР!$O:$P,2,FALSE()),50)</f>
        <v>100</v>
      </c>
      <c r="L493" s="45">
        <f>(I493*Справочник_ОКВЭД_НР!$L$2+J493*Справочник_ОКВЭД_НР!$L$3+K493*Справочник_ОКВЭД_НР!$L$4)*M493</f>
        <v>45.5</v>
      </c>
      <c r="M493" s="47">
        <f>IF(COUNTIF(Справочник_ОКВЭД_НР!$G$3:$G$62,H493)&gt;0,0,1)</f>
        <v>1</v>
      </c>
    </row>
    <row r="494" spans="1:13" x14ac:dyDescent="0.25">
      <c r="A494" s="4">
        <f>ЛИК_дляСкорингаДП!A494</f>
        <v>1022101135726</v>
      </c>
      <c r="B494" s="4">
        <f>ЛИК_дляСкорингаДП!B494</f>
        <v>2126001172</v>
      </c>
      <c r="C494" s="4" t="str">
        <f>ЛИК_дляСкорингаДП!C494</f>
        <v>ООО НПП "ЭКРА"</v>
      </c>
      <c r="D494" s="5" t="str">
        <f>ЛИК_дляСкорингаДП!M494</f>
        <v>Производство электрической распределительной и регулирующей аппаратуры</v>
      </c>
      <c r="E494" s="4" t="str">
        <f>ЛИК_дляСкорингаДП!L494</f>
        <v>27.12</v>
      </c>
      <c r="F494" t="str">
        <f>ЛИК_дляСкорингаДП!N494</f>
        <v>33.20,46.90,18.1,18.2,25.61,25.62,26.11,26.20,26.5,27.12,45.1,45.20,46.90,47.19,49.4,52.24,58,62.01,62.02,64.99,68.10,68.10.1,68.20,71.1,71.12.5,71.12.6,71.2,71.20,72.1,72.19,73.11,73.20,74.20,74.30,77.11,77.12,82.92,85.23,85.42,85.42</v>
      </c>
      <c r="G494" s="25" t="str">
        <f>ЛИК_дляСкорингаДП!AG494</f>
        <v>ОСН</v>
      </c>
      <c r="H494" s="55" t="str">
        <f>IF(ISNUMBER(E494),E494,
IFERROR(LEFT(E494,FIND(".",E494)-1),E494))</f>
        <v>27</v>
      </c>
      <c r="I494" s="30">
        <f>IF(COUNTIF(Справочник_ОКВЭД_НР!$A$3:$A$62,H494)&gt;0,Справочник_ОКВЭД_НР!$L$8,
 IF(COUNTIF(Справочник_ОКВЭД_НР!$C$3:$C$62,H494)&gt;0,Справочник_ОКВЭД_НР!$L$9,
  IF(COUNTIF(Справочник_ОКВЭД_НР!$E$3:$E$62,H494)&gt;0,Справочник_ОКВЭД_НР!$L$10,
   IF(COUNTIF(Справочник_ОКВЭД_НР!$G$3:$G$62,H494)&gt;0,Справочник_ОКВЭД_НР!$L$11,50))))</f>
        <v>100</v>
      </c>
      <c r="J494" s="30" cm="1">
        <f t="array" ref="J494">IFERROR(
 (SUMPRODUCT(ISNUMBER(SEARCH(","&amp;Справочник_ОКВЭД_НР!$A$3:$A$62&amp;".",","&amp;SUBSTITUTE(F494," ","")&amp;",")))*Справочник_ОКВЭД_НР!$L$9 +
  SUMPRODUCT(ISNUMBER(SEARCH(","&amp;Справочник_ОКВЭД_НР!$C$3:$C$62&amp;".",","&amp;SUBSTITUTE(F494," ","")&amp;",")))*Справочник_ОКВЭД_НР!$L$10 +
  SUMPRODUCT(ISNUMBER(SEARCH(","&amp;Справочник_ОКВЭД_НР!$E$3:$E$62&amp;".",","&amp;SUBSTITUTE(F494," ","")&amp;",")))*Справочник_ОКВЭД_НР!$L$11 +
  SUMPRODUCT(ISNUMBER(SEARCH(","&amp;Справочник_ОКВЭД_НР!$G$3:$G$62&amp;".",","&amp;SUBSTITUTE(F494," ","")&amp;",")))*Справочник_ОКВЭД_НР!$L$12) /
 (SUMPRODUCT(ISNUMBER(SEARCH(","&amp;Справочник_ОКВЭД_НР!$A$3:$A$62&amp;".",","&amp;SUBSTITUTE(F494," ","")&amp;","))) +
  SUMPRODUCT(ISNUMBER(SEARCH(","&amp;Справочник_ОКВЭД_НР!$C$3:$C$62&amp;".",","&amp;SUBSTITUTE(F494," ","")&amp;","))) +
  SUMPRODUCT(ISNUMBER(SEARCH(","&amp;Справочник_ОКВЭД_НР!$E$3:$E$62&amp;".",","&amp;SUBSTITUTE(F494," ","")&amp;","))) +
  SUMPRODUCT(ISNUMBER(SEARCH(","&amp;Справочник_ОКВЭД_НР!$G$3:$G$62&amp;".",","&amp;SUBSTITUTE(F494," ","")&amp;",")))),
50)</f>
        <v>50</v>
      </c>
      <c r="K494" s="30">
        <f>IFERROR(VLOOKUP(G494,Справочник_ОКВЭД_НР!$O:$P,2,FALSE()),50)</f>
        <v>100</v>
      </c>
      <c r="L494" s="45">
        <f>(I494*Справочник_ОКВЭД_НР!$L$2+J494*Справочник_ОКВЭД_НР!$L$3+K494*Справочник_ОКВЭД_НР!$L$4)*M494</f>
        <v>87.5</v>
      </c>
      <c r="M494" s="47">
        <f>IF(COUNTIF(Справочник_ОКВЭД_НР!$G$3:$G$62,H494)&gt;0,0,1)</f>
        <v>1</v>
      </c>
    </row>
    <row r="495" spans="1:13" x14ac:dyDescent="0.25">
      <c r="A495" s="4">
        <f>ЛИК_дляСкорингаДП!A495</f>
        <v>1022101140082</v>
      </c>
      <c r="B495" s="4">
        <f>ЛИК_дляСкорингаДП!B495</f>
        <v>2129013377</v>
      </c>
      <c r="C495" s="4" t="str">
        <f>ЛИК_дляСкорингаДП!C495</f>
        <v>ООО "ГОФМАКЛЕР"</v>
      </c>
      <c r="D495" s="5" t="str">
        <f>ЛИК_дляСкорингаДП!M495</f>
        <v>Деятельность брокерская по сделкам с ценными бумагами и товарами</v>
      </c>
      <c r="E495" s="4" t="str">
        <f>ЛИК_дляСкорингаДП!L495</f>
        <v>66.12</v>
      </c>
      <c r="F495" t="str">
        <f>ЛИК_дляСкорингаДП!N495</f>
        <v>64.91,64.99,66.11,66.19,68.31.5,70.22</v>
      </c>
      <c r="G495" s="25" t="str">
        <f>ЛИК_дляСкорингаДП!AG495</f>
        <v>ОСН</v>
      </c>
      <c r="H495" s="55" t="str">
        <f>IF(ISNUMBER(E495),E495,
IFERROR(LEFT(E495,FIND(".",E495)-1),E495))</f>
        <v>66</v>
      </c>
      <c r="I495" s="30">
        <f>IF(COUNTIF(Справочник_ОКВЭД_НР!$A$3:$A$62,H495)&gt;0,Справочник_ОКВЭД_НР!$L$8,
 IF(COUNTIF(Справочник_ОКВЭД_НР!$C$3:$C$62,H495)&gt;0,Справочник_ОКВЭД_НР!$L$9,
  IF(COUNTIF(Справочник_ОКВЭД_НР!$E$3:$E$62,H495)&gt;0,Справочник_ОКВЭД_НР!$L$10,
   IF(COUNTIF(Справочник_ОКВЭД_НР!$G$3:$G$62,H495)&gt;0,Справочник_ОКВЭД_НР!$L$11,50))))</f>
        <v>60</v>
      </c>
      <c r="J495" s="30" cm="1">
        <f t="array" ref="J495">IFERROR(
 (SUMPRODUCT(ISNUMBER(SEARCH(","&amp;Справочник_ОКВЭД_НР!$A$3:$A$62&amp;".",","&amp;SUBSTITUTE(F495," ","")&amp;",")))*Справочник_ОКВЭД_НР!$L$9 +
  SUMPRODUCT(ISNUMBER(SEARCH(","&amp;Справочник_ОКВЭД_НР!$C$3:$C$62&amp;".",","&amp;SUBSTITUTE(F495," ","")&amp;",")))*Справочник_ОКВЭД_НР!$L$10 +
  SUMPRODUCT(ISNUMBER(SEARCH(","&amp;Справочник_ОКВЭД_НР!$E$3:$E$62&amp;".",","&amp;SUBSTITUTE(F495," ","")&amp;",")))*Справочник_ОКВЭД_НР!$L$11 +
  SUMPRODUCT(ISNUMBER(SEARCH(","&amp;Справочник_ОКВЭД_НР!$G$3:$G$62&amp;".",","&amp;SUBSTITUTE(F495," ","")&amp;",")))*Справочник_ОКВЭД_НР!$L$12) /
 (SUMPRODUCT(ISNUMBER(SEARCH(","&amp;Справочник_ОКВЭД_НР!$A$3:$A$62&amp;".",","&amp;SUBSTITUTE(F495," ","")&amp;","))) +
  SUMPRODUCT(ISNUMBER(SEARCH(","&amp;Справочник_ОКВЭД_НР!$C$3:$C$62&amp;".",","&amp;SUBSTITUTE(F495," ","")&amp;","))) +
  SUMPRODUCT(ISNUMBER(SEARCH(","&amp;Справочник_ОКВЭД_НР!$E$3:$E$62&amp;".",","&amp;SUBSTITUTE(F495," ","")&amp;","))) +
  SUMPRODUCT(ISNUMBER(SEARCH(","&amp;Справочник_ОКВЭД_НР!$G$3:$G$62&amp;".",","&amp;SUBSTITUTE(F495," ","")&amp;",")))),
50)</f>
        <v>50</v>
      </c>
      <c r="K495" s="30">
        <f>IFERROR(VLOOKUP(G495,Справочник_ОКВЭД_НР!$O:$P,2,FALSE()),50)</f>
        <v>100</v>
      </c>
      <c r="L495" s="45">
        <f>(I495*Справочник_ОКВЭД_НР!$L$2+J495*Справочник_ОКВЭД_НР!$L$3+K495*Справочник_ОКВЭД_НР!$L$4)*M495</f>
        <v>63.5</v>
      </c>
      <c r="M495" s="47">
        <f>IF(COUNTIF(Справочник_ОКВЭД_НР!$G$3:$G$62,H495)&gt;0,0,1)</f>
        <v>1</v>
      </c>
    </row>
    <row r="496" spans="1:13" x14ac:dyDescent="0.25">
      <c r="A496" s="4">
        <f>ЛИК_дляСкорингаДП!A496</f>
        <v>1022101134186</v>
      </c>
      <c r="B496" s="4">
        <f>ЛИК_дляСкорингаДП!B496</f>
        <v>2126003691</v>
      </c>
      <c r="C496" s="4" t="str">
        <f>ЛИК_дляСкорингаДП!C496</f>
        <v>АО "СЗ "ИСКО-Ч"</v>
      </c>
      <c r="D496" s="5" t="str">
        <f>ЛИК_дляСкорингаДП!M496</f>
        <v>Жилищное строительство</v>
      </c>
      <c r="E496" s="4" t="str">
        <f>ЛИК_дляСкорингаДП!L496</f>
        <v>41.20.1</v>
      </c>
      <c r="F496" t="str">
        <f>ЛИК_дляСкорингаДП!N496</f>
        <v>23.61.2,23.63,23.64,36.00.1,41.20.9,43.21,43.99.9,46.71.9,49.41.2,68.20.29,77.32,23.61,23.63,23.64,23.65,41.20,43.21,43.29,43.31,43.32,43.33,43.34,43.39,43.91,43.99,46.73,46.90,49.41,68.10,68.10.1,68.20,68.31,71.1,71.12.5,71.12.6,77.39.11</v>
      </c>
      <c r="G496" s="25" t="str">
        <f>ЛИК_дляСкорингаДП!AG496</f>
        <v>ОСН</v>
      </c>
      <c r="H496" s="55" t="str">
        <f>IF(ISNUMBER(E496),E496,
IFERROR(LEFT(E496,FIND(".",E496)-1),E496))</f>
        <v>41</v>
      </c>
      <c r="I496" s="30">
        <f>IF(COUNTIF(Справочник_ОКВЭД_НР!$A$3:$A$62,H496)&gt;0,Справочник_ОКВЭД_НР!$L$8,
 IF(COUNTIF(Справочник_ОКВЭД_НР!$C$3:$C$62,H496)&gt;0,Справочник_ОКВЭД_НР!$L$9,
  IF(COUNTIF(Справочник_ОКВЭД_НР!$E$3:$E$62,H496)&gt;0,Справочник_ОКВЭД_НР!$L$10,
   IF(COUNTIF(Справочник_ОКВЭД_НР!$G$3:$G$62,H496)&gt;0,Справочник_ОКВЭД_НР!$L$11,50))))</f>
        <v>100</v>
      </c>
      <c r="J496" s="30" cm="1">
        <f t="array" ref="J496">IFERROR(
 (SUMPRODUCT(ISNUMBER(SEARCH(","&amp;Справочник_ОКВЭД_НР!$A$3:$A$62&amp;".",","&amp;SUBSTITUTE(F496," ","")&amp;",")))*Справочник_ОКВЭД_НР!$L$9 +
  SUMPRODUCT(ISNUMBER(SEARCH(","&amp;Справочник_ОКВЭД_НР!$C$3:$C$62&amp;".",","&amp;SUBSTITUTE(F496," ","")&amp;",")))*Справочник_ОКВЭД_НР!$L$10 +
  SUMPRODUCT(ISNUMBER(SEARCH(","&amp;Справочник_ОКВЭД_НР!$E$3:$E$62&amp;".",","&amp;SUBSTITUTE(F496," ","")&amp;",")))*Справочник_ОКВЭД_НР!$L$11 +
  SUMPRODUCT(ISNUMBER(SEARCH(","&amp;Справочник_ОКВЭД_НР!$G$3:$G$62&amp;".",","&amp;SUBSTITUTE(F496," ","")&amp;",")))*Справочник_ОКВЭД_НР!$L$12) /
 (SUMPRODUCT(ISNUMBER(SEARCH(","&amp;Справочник_ОКВЭД_НР!$A$3:$A$62&amp;".",","&amp;SUBSTITUTE(F496," ","")&amp;","))) +
  SUMPRODUCT(ISNUMBER(SEARCH(","&amp;Справочник_ОКВЭД_НР!$C$3:$C$62&amp;".",","&amp;SUBSTITUTE(F496," ","")&amp;","))) +
  SUMPRODUCT(ISNUMBER(SEARCH(","&amp;Справочник_ОКВЭД_НР!$E$3:$E$62&amp;".",","&amp;SUBSTITUTE(F496," ","")&amp;","))) +
  SUMPRODUCT(ISNUMBER(SEARCH(","&amp;Справочник_ОКВЭД_НР!$G$3:$G$62&amp;".",","&amp;SUBSTITUTE(F496," ","")&amp;",")))),
50)</f>
        <v>50</v>
      </c>
      <c r="K496" s="30">
        <f>IFERROR(VLOOKUP(G496,Справочник_ОКВЭД_НР!$O:$P,2,FALSE()),50)</f>
        <v>100</v>
      </c>
      <c r="L496" s="45">
        <f>(I496*Справочник_ОКВЭД_НР!$L$2+J496*Справочник_ОКВЭД_НР!$L$3+K496*Справочник_ОКВЭД_НР!$L$4)*M496</f>
        <v>87.5</v>
      </c>
      <c r="M496" s="47">
        <f>IF(COUNTIF(Справочник_ОКВЭД_НР!$G$3:$G$62,H496)&gt;0,0,1)</f>
        <v>1</v>
      </c>
    </row>
    <row r="497" spans="1:13" x14ac:dyDescent="0.25">
      <c r="A497" s="4">
        <f>ЛИК_дляСкорингаДП!A497</f>
        <v>1022101139268</v>
      </c>
      <c r="B497" s="4">
        <f>ЛИК_дляСкорингаДП!B497</f>
        <v>2126000651</v>
      </c>
      <c r="C497" s="4" t="str">
        <f>ЛИК_дляСкорингаДП!C497</f>
        <v>ГУП ЧУВАШСКОЙ РЕСПУБЛИКИ "ЧТУ" МИНТРАНСА ЧУВАШИИ</v>
      </c>
      <c r="D497" s="5" t="str">
        <f>ЛИК_дляСкорингаДП!M497</f>
        <v>Регулярные перевозки пассажиров троллейбусами в городском и пригородном сообщении</v>
      </c>
      <c r="E497" s="4" t="str">
        <f>ЛИК_дляСкорингаДП!L497</f>
        <v>49.31.22</v>
      </c>
      <c r="F497" t="str">
        <f>ЛИК_дляСкорингаДП!N497</f>
        <v>46.77,52.21.29,49.31,49.31.22,49.39.1,49.39.3,49.41</v>
      </c>
      <c r="G497" s="25" t="str">
        <f>ЛИК_дляСкорингаДП!AG497</f>
        <v>ОСН</v>
      </c>
      <c r="H497" s="55" t="str">
        <f>IF(ISNUMBER(E497),E497,
IFERROR(LEFT(E497,FIND(".",E497)-1),E497))</f>
        <v>49</v>
      </c>
      <c r="I497" s="30">
        <f>IF(COUNTIF(Справочник_ОКВЭД_НР!$A$3:$A$62,H497)&gt;0,Справочник_ОКВЭД_НР!$L$8,
 IF(COUNTIF(Справочник_ОКВЭД_НР!$C$3:$C$62,H497)&gt;0,Справочник_ОКВЭД_НР!$L$9,
  IF(COUNTIF(Справочник_ОКВЭД_НР!$E$3:$E$62,H497)&gt;0,Справочник_ОКВЭД_НР!$L$10,
   IF(COUNTIF(Справочник_ОКВЭД_НР!$G$3:$G$62,H497)&gt;0,Справочник_ОКВЭД_НР!$L$11,50))))</f>
        <v>60</v>
      </c>
      <c r="J497" s="30" cm="1">
        <f t="array" ref="J497">IFERROR(
 (SUMPRODUCT(ISNUMBER(SEARCH(","&amp;Справочник_ОКВЭД_НР!$A$3:$A$62&amp;".",","&amp;SUBSTITUTE(F497," ","")&amp;",")))*Справочник_ОКВЭД_НР!$L$9 +
  SUMPRODUCT(ISNUMBER(SEARCH(","&amp;Справочник_ОКВЭД_НР!$C$3:$C$62&amp;".",","&amp;SUBSTITUTE(F497," ","")&amp;",")))*Справочник_ОКВЭД_НР!$L$10 +
  SUMPRODUCT(ISNUMBER(SEARCH(","&amp;Справочник_ОКВЭД_НР!$E$3:$E$62&amp;".",","&amp;SUBSTITUTE(F497," ","")&amp;",")))*Справочник_ОКВЭД_НР!$L$11 +
  SUMPRODUCT(ISNUMBER(SEARCH(","&amp;Справочник_ОКВЭД_НР!$G$3:$G$62&amp;".",","&amp;SUBSTITUTE(F497," ","")&amp;",")))*Справочник_ОКВЭД_НР!$L$12) /
 (SUMPRODUCT(ISNUMBER(SEARCH(","&amp;Справочник_ОКВЭД_НР!$A$3:$A$62&amp;".",","&amp;SUBSTITUTE(F497," ","")&amp;","))) +
  SUMPRODUCT(ISNUMBER(SEARCH(","&amp;Справочник_ОКВЭД_НР!$C$3:$C$62&amp;".",","&amp;SUBSTITUTE(F497," ","")&amp;","))) +
  SUMPRODUCT(ISNUMBER(SEARCH(","&amp;Справочник_ОКВЭД_НР!$E$3:$E$62&amp;".",","&amp;SUBSTITUTE(F497," ","")&amp;","))) +
  SUMPRODUCT(ISNUMBER(SEARCH(","&amp;Справочник_ОКВЭД_НР!$G$3:$G$62&amp;".",","&amp;SUBSTITUTE(F497," ","")&amp;",")))),
50)</f>
        <v>50</v>
      </c>
      <c r="K497" s="30">
        <f>IFERROR(VLOOKUP(G497,Справочник_ОКВЭД_НР!$O:$P,2,FALSE()),50)</f>
        <v>100</v>
      </c>
      <c r="L497" s="45">
        <f>(I497*Справочник_ОКВЭД_НР!$L$2+J497*Справочник_ОКВЭД_НР!$L$3+K497*Справочник_ОКВЭД_НР!$L$4)*M497</f>
        <v>63.5</v>
      </c>
      <c r="M497" s="47">
        <f>IF(COUNTIF(Справочник_ОКВЭД_НР!$G$3:$G$62,H497)&gt;0,0,1)</f>
        <v>1</v>
      </c>
    </row>
    <row r="498" spans="1:13" x14ac:dyDescent="0.25">
      <c r="A498" s="4">
        <f>ЛИК_дляСкорингаДП!A498</f>
        <v>1041200453953</v>
      </c>
      <c r="B498" s="4">
        <f>ЛИК_дляСкорингаДП!B498</f>
        <v>1215099400</v>
      </c>
      <c r="C498" s="4" t="str">
        <f>ЛИК_дляСкорингаДП!C498</f>
        <v>ООО "АВТОРЕГИОН"</v>
      </c>
      <c r="D498" s="5" t="str">
        <f>ЛИК_дляСкорингаДП!M498</f>
        <v>Торговля розничная легковыми автомобилями и легкими автотранспортными средствами в специализированных магазинах</v>
      </c>
      <c r="E498" s="4" t="str">
        <f>ЛИК_дляСкорингаДП!L498</f>
        <v>45.11.2</v>
      </c>
      <c r="F498" t="str">
        <f>ЛИК_дляСкорингаДП!N498</f>
        <v>41.20,42.99,45.11,45.11.1,45.11.3,45.11.31,45.11.39,45.11.4,45.11.41,45.11.49,45.19,45.19.1,45.19.2,45.19.3,45.19.31,45.19.39,45.19.4,45.19.41,45.19.49,45.20,45.20.1,45.20.2,45.31.1,45.32,45.40,45.40.1,45.40.2,45.40.3,45.40.5,46.90,47.24,47.25.2,47.29,47.30,47.91.2</v>
      </c>
      <c r="G498" s="25" t="str">
        <f>ЛИК_дляСкорингаДП!AG498</f>
        <v>ОСН</v>
      </c>
      <c r="H498" s="55" t="str">
        <f>IF(ISNUMBER(E498),E498,
IFERROR(LEFT(E498,FIND(".",E498)-1),E498))</f>
        <v>45</v>
      </c>
      <c r="I498" s="30">
        <f>IF(COUNTIF(Справочник_ОКВЭД_НР!$A$3:$A$62,H498)&gt;0,Справочник_ОКВЭД_НР!$L$8,
 IF(COUNTIF(Справочник_ОКВЭД_НР!$C$3:$C$62,H498)&gt;0,Справочник_ОКВЭД_НР!$L$9,
  IF(COUNTIF(Справочник_ОКВЭД_НР!$E$3:$E$62,H498)&gt;0,Справочник_ОКВЭД_НР!$L$10,
   IF(COUNTIF(Справочник_ОКВЭД_НР!$G$3:$G$62,H498)&gt;0,Справочник_ОКВЭД_НР!$L$11,50))))</f>
        <v>60</v>
      </c>
      <c r="J498" s="30" cm="1">
        <f t="array" ref="J498">IFERROR(
 (SUMPRODUCT(ISNUMBER(SEARCH(","&amp;Справочник_ОКВЭД_НР!$A$3:$A$62&amp;".",","&amp;SUBSTITUTE(F498," ","")&amp;",")))*Справочник_ОКВЭД_НР!$L$9 +
  SUMPRODUCT(ISNUMBER(SEARCH(","&amp;Справочник_ОКВЭД_НР!$C$3:$C$62&amp;".",","&amp;SUBSTITUTE(F498," ","")&amp;",")))*Справочник_ОКВЭД_НР!$L$10 +
  SUMPRODUCT(ISNUMBER(SEARCH(","&amp;Справочник_ОКВЭД_НР!$E$3:$E$62&amp;".",","&amp;SUBSTITUTE(F498," ","")&amp;",")))*Справочник_ОКВЭД_НР!$L$11 +
  SUMPRODUCT(ISNUMBER(SEARCH(","&amp;Справочник_ОКВЭД_НР!$G$3:$G$62&amp;".",","&amp;SUBSTITUTE(F498," ","")&amp;",")))*Справочник_ОКВЭД_НР!$L$12) /
 (SUMPRODUCT(ISNUMBER(SEARCH(","&amp;Справочник_ОКВЭД_НР!$A$3:$A$62&amp;".",","&amp;SUBSTITUTE(F498," ","")&amp;","))) +
  SUMPRODUCT(ISNUMBER(SEARCH(","&amp;Справочник_ОКВЭД_НР!$C$3:$C$62&amp;".",","&amp;SUBSTITUTE(F498," ","")&amp;","))) +
  SUMPRODUCT(ISNUMBER(SEARCH(","&amp;Справочник_ОКВЭД_НР!$E$3:$E$62&amp;".",","&amp;SUBSTITUTE(F498," ","")&amp;","))) +
  SUMPRODUCT(ISNUMBER(SEARCH(","&amp;Справочник_ОКВЭД_НР!$G$3:$G$62&amp;".",","&amp;SUBSTITUTE(F498," ","")&amp;",")))),
50)</f>
        <v>50</v>
      </c>
      <c r="K498" s="30">
        <f>IFERROR(VLOOKUP(G498,Справочник_ОКВЭД_НР!$O:$P,2,FALSE()),50)</f>
        <v>100</v>
      </c>
      <c r="L498" s="45">
        <f>(I498*Справочник_ОКВЭД_НР!$L$2+J498*Справочник_ОКВЭД_НР!$L$3+K498*Справочник_ОКВЭД_НР!$L$4)*M498</f>
        <v>63.5</v>
      </c>
      <c r="M498" s="47">
        <f>IF(COUNTIF(Справочник_ОКВЭД_НР!$G$3:$G$62,H498)&gt;0,0,1)</f>
        <v>1</v>
      </c>
    </row>
    <row r="499" spans="1:13" x14ac:dyDescent="0.25">
      <c r="A499" s="4">
        <f>ЛИК_дляСкорингаДП!A499</f>
        <v>1092136000417</v>
      </c>
      <c r="B499" s="4">
        <f>ЛИК_дляСкорингаДП!B499</f>
        <v>2112390754</v>
      </c>
      <c r="C499" s="4" t="str">
        <f>ЛИК_дляСкорингаДП!C499</f>
        <v>ОАО "ПТИЦЕФАБРИКА "МОРГАУШСКАЯ"</v>
      </c>
      <c r="D499" s="5" t="str">
        <f>ЛИК_дляСкорингаДП!M499</f>
        <v>Производство яиц сельскохозяйственной птицы</v>
      </c>
      <c r="E499" s="4" t="str">
        <f>ЛИК_дляСкорингаДП!L499</f>
        <v>01.47.2</v>
      </c>
      <c r="F499" t="str">
        <f>ЛИК_дляСкорингаДП!N499</f>
        <v>10.12.2,10.12.4,10.89.9,46.90,56.29.2,01.11,01.13,01.25,01.30,01.47.2,01.49,01.50,10.13,46.21,46.32,46.32.3,46.38,46.39,47.22,47.24,47.25,47.29,47.71,49.4,56.10,56.10.1,56.10.3,86.90</v>
      </c>
      <c r="G499" s="25" t="str">
        <f>ЛИК_дляСкорингаДП!AG499</f>
        <v>ЕСХН</v>
      </c>
      <c r="H499" s="55" t="str">
        <f>IF(ISNUMBER(E499),E499,
IFERROR(LEFT(E499,FIND(".",E499)-1),E499))</f>
        <v>01</v>
      </c>
      <c r="I499" s="30">
        <f>IF(COUNTIF(Справочник_ОКВЭД_НР!$A$3:$A$62,H499)&gt;0,Справочник_ОКВЭД_НР!$L$8,
 IF(COUNTIF(Справочник_ОКВЭД_НР!$C$3:$C$62,H499)&gt;0,Справочник_ОКВЭД_НР!$L$9,
  IF(COUNTIF(Справочник_ОКВЭД_НР!$E$3:$E$62,H499)&gt;0,Справочник_ОКВЭД_НР!$L$10,
   IF(COUNTIF(Справочник_ОКВЭД_НР!$G$3:$G$62,H499)&gt;0,Справочник_ОКВЭД_НР!$L$11,50))))</f>
        <v>60</v>
      </c>
      <c r="J499" s="30" cm="1">
        <f t="array" ref="J499">IFERROR(
 (SUMPRODUCT(ISNUMBER(SEARCH(","&amp;Справочник_ОКВЭД_НР!$A$3:$A$62&amp;".",","&amp;SUBSTITUTE(F499," ","")&amp;",")))*Справочник_ОКВЭД_НР!$L$9 +
  SUMPRODUCT(ISNUMBER(SEARCH(","&amp;Справочник_ОКВЭД_НР!$C$3:$C$62&amp;".",","&amp;SUBSTITUTE(F499," ","")&amp;",")))*Справочник_ОКВЭД_НР!$L$10 +
  SUMPRODUCT(ISNUMBER(SEARCH(","&amp;Справочник_ОКВЭД_НР!$E$3:$E$62&amp;".",","&amp;SUBSTITUTE(F499," ","")&amp;",")))*Справочник_ОКВЭД_НР!$L$11 +
  SUMPRODUCT(ISNUMBER(SEARCH(","&amp;Справочник_ОКВЭД_НР!$G$3:$G$62&amp;".",","&amp;SUBSTITUTE(F499," ","")&amp;",")))*Справочник_ОКВЭД_НР!$L$12) /
 (SUMPRODUCT(ISNUMBER(SEARCH(","&amp;Справочник_ОКВЭД_НР!$A$3:$A$62&amp;".",","&amp;SUBSTITUTE(F499," ","")&amp;","))) +
  SUMPRODUCT(ISNUMBER(SEARCH(","&amp;Справочник_ОКВЭД_НР!$C$3:$C$62&amp;".",","&amp;SUBSTITUTE(F499," ","")&amp;","))) +
  SUMPRODUCT(ISNUMBER(SEARCH(","&amp;Справочник_ОКВЭД_НР!$E$3:$E$62&amp;".",","&amp;SUBSTITUTE(F499," ","")&amp;","))) +
  SUMPRODUCT(ISNUMBER(SEARCH(","&amp;Справочник_ОКВЭД_НР!$G$3:$G$62&amp;".",","&amp;SUBSTITUTE(F499," ","")&amp;",")))),
50)</f>
        <v>50</v>
      </c>
      <c r="K499" s="30">
        <f>IFERROR(VLOOKUP(G499,Справочник_ОКВЭД_НР!$O:$P,2,FALSE()),50)</f>
        <v>40</v>
      </c>
      <c r="L499" s="45">
        <f>(I499*Справочник_ОКВЭД_НР!$L$2+J499*Справочник_ОКВЭД_НР!$L$3+K499*Справочник_ОКВЭД_НР!$L$4)*M499</f>
        <v>54.5</v>
      </c>
      <c r="M499" s="47">
        <f>IF(COUNTIF(Справочник_ОКВЭД_НР!$G$3:$G$62,H499)&gt;0,0,1)</f>
        <v>1</v>
      </c>
    </row>
    <row r="500" spans="1:13" x14ac:dyDescent="0.25">
      <c r="A500" s="4">
        <f>ЛИК_дляСкорингаДП!A500</f>
        <v>1022102831277</v>
      </c>
      <c r="B500" s="4">
        <f>ЛИК_дляСкорингаДП!B500</f>
        <v>2115003788</v>
      </c>
      <c r="C500" s="4" t="str">
        <f>ЛИК_дляСкорингаДП!C500</f>
        <v>ООО "ВОДДОРСТРОЙ"</v>
      </c>
      <c r="D500" s="5" t="str">
        <f>ЛИК_дляСкорингаДП!M500</f>
        <v>Строительство автомобильных дорог и автомагистралей</v>
      </c>
      <c r="E500" s="4" t="str">
        <f>ЛИК_дляСкорингаДП!L500</f>
        <v>42.11</v>
      </c>
      <c r="F500" t="str">
        <f>ЛИК_дляСкорингаДП!N500</f>
        <v>01.1,01.11,01.11.1,01.11.2,01.13.1,01.13.3,01.19.1,01.2,01.4,01.41,01.42,01.46,01.5,01.61,23.61,23.63,23.70.1,23.70.3,23.9,23.99.2,23.99.3,25.1,42.12,42.13,42.21,42.22.1,42.22.2,42.91.2,42.91.4,43.12.3,43.22,43.29,43.31,43.33,43.34.1,43.91,43.99,43.99.3,43.99.4,43.99.5,43.99.6,43.99.7,46.73,46.90,47.11,47.25,49.41.3,52.21.22,52.21.23,64.92,64.92.2,70.22,71.11.1,71.20.3,71.20.6,77.32</v>
      </c>
      <c r="G500" s="25" t="str">
        <f>ЛИК_дляСкорингаДП!AG500</f>
        <v>ОСН</v>
      </c>
      <c r="H500" s="55" t="str">
        <f>IF(ISNUMBER(E500),E500,
IFERROR(LEFT(E500,FIND(".",E500)-1),E500))</f>
        <v>42</v>
      </c>
      <c r="I500" s="30">
        <f>IF(COUNTIF(Справочник_ОКВЭД_НР!$A$3:$A$62,H500)&gt;0,Справочник_ОКВЭД_НР!$L$8,
 IF(COUNTIF(Справочник_ОКВЭД_НР!$C$3:$C$62,H500)&gt;0,Справочник_ОКВЭД_НР!$L$9,
  IF(COUNTIF(Справочник_ОКВЭД_НР!$E$3:$E$62,H500)&gt;0,Справочник_ОКВЭД_НР!$L$10,
   IF(COUNTIF(Справочник_ОКВЭД_НР!$G$3:$G$62,H500)&gt;0,Справочник_ОКВЭД_НР!$L$11,50))))</f>
        <v>100</v>
      </c>
      <c r="J500" s="30" cm="1">
        <f t="array" ref="J500">IFERROR(
 (SUMPRODUCT(ISNUMBER(SEARCH(","&amp;Справочник_ОКВЭД_НР!$A$3:$A$62&amp;".",","&amp;SUBSTITUTE(F500," ","")&amp;",")))*Справочник_ОКВЭД_НР!$L$9 +
  SUMPRODUCT(ISNUMBER(SEARCH(","&amp;Справочник_ОКВЭД_НР!$C$3:$C$62&amp;".",","&amp;SUBSTITUTE(F500," ","")&amp;",")))*Справочник_ОКВЭД_НР!$L$10 +
  SUMPRODUCT(ISNUMBER(SEARCH(","&amp;Справочник_ОКВЭД_НР!$E$3:$E$62&amp;".",","&amp;SUBSTITUTE(F500," ","")&amp;",")))*Справочник_ОКВЭД_НР!$L$11 +
  SUMPRODUCT(ISNUMBER(SEARCH(","&amp;Справочник_ОКВЭД_НР!$G$3:$G$62&amp;".",","&amp;SUBSTITUTE(F500," ","")&amp;",")))*Справочник_ОКВЭД_НР!$L$12) /
 (SUMPRODUCT(ISNUMBER(SEARCH(","&amp;Справочник_ОКВЭД_НР!$A$3:$A$62&amp;".",","&amp;SUBSTITUTE(F500," ","")&amp;","))) +
  SUMPRODUCT(ISNUMBER(SEARCH(","&amp;Справочник_ОКВЭД_НР!$C$3:$C$62&amp;".",","&amp;SUBSTITUTE(F500," ","")&amp;","))) +
  SUMPRODUCT(ISNUMBER(SEARCH(","&amp;Справочник_ОКВЭД_НР!$E$3:$E$62&amp;".",","&amp;SUBSTITUTE(F500," ","")&amp;","))) +
  SUMPRODUCT(ISNUMBER(SEARCH(","&amp;Справочник_ОКВЭД_НР!$G$3:$G$62&amp;".",","&amp;SUBSTITUTE(F500," ","")&amp;",")))),
50)</f>
        <v>50</v>
      </c>
      <c r="K500" s="30">
        <f>IFERROR(VLOOKUP(G500,Справочник_ОКВЭД_НР!$O:$P,2,FALSE()),50)</f>
        <v>100</v>
      </c>
      <c r="L500" s="45">
        <f>(I500*Справочник_ОКВЭД_НР!$L$2+J500*Справочник_ОКВЭД_НР!$L$3+K500*Справочник_ОКВЭД_НР!$L$4)*M500</f>
        <v>87.5</v>
      </c>
      <c r="M500" s="47">
        <f>IF(COUNTIF(Справочник_ОКВЭД_НР!$G$3:$G$62,H500)&gt;0,0,1)</f>
        <v>1</v>
      </c>
    </row>
    <row r="501" spans="1:13" x14ac:dyDescent="0.25">
      <c r="A501" s="4">
        <f>ЛИК_дляСкорингаДП!A501</f>
        <v>1042124001105</v>
      </c>
      <c r="B501" s="4">
        <f>ЛИК_дляСкорингаДП!B501</f>
        <v>2124021590</v>
      </c>
      <c r="C501" s="4" t="str">
        <f>ЛИК_дляСкорингаДП!C501</f>
        <v>АО "СЗ "ЖБК-1"</v>
      </c>
      <c r="D501" s="5" t="str">
        <f>ЛИК_дляСкорингаДП!M501</f>
        <v>Жилищное строительство</v>
      </c>
      <c r="E501" s="4" t="str">
        <f>ЛИК_дляСкорингаДП!L501</f>
        <v>41.20.1</v>
      </c>
      <c r="F501" t="str">
        <f>ЛИК_дляСкорингаДП!N501</f>
        <v>23.61.2,23.63,23.64,49.41.2,16.10,16.10.9,16.23.1,16.23.2,23.61,23.63,25.11,41.20,42.21,42.21,42.22.1,42.22.2,42.99,43.11,43.12.1,43.12.3,43.21,43.22,43.29,43.31,43.32,43.33,43.34.1,43.34.2,43.39,43.91,43.99,43.99.1,43.99.4,43.99.5,43.99.6,43.99.7,52.10.21,68.10,68.10.1,68.10.11,68.10.12,68.10.21,68.10.22,68.10.23,71.11.1,71.12.2,71.12.45,71.12.5,71.12.6</v>
      </c>
      <c r="G501" s="25" t="str">
        <f>ЛИК_дляСкорингаДП!AG501</f>
        <v>ОСН</v>
      </c>
      <c r="H501" s="55" t="str">
        <f>IF(ISNUMBER(E501),E501,
IFERROR(LEFT(E501,FIND(".",E501)-1),E501))</f>
        <v>41</v>
      </c>
      <c r="I501" s="30">
        <f>IF(COUNTIF(Справочник_ОКВЭД_НР!$A$3:$A$62,H501)&gt;0,Справочник_ОКВЭД_НР!$L$8,
 IF(COUNTIF(Справочник_ОКВЭД_НР!$C$3:$C$62,H501)&gt;0,Справочник_ОКВЭД_НР!$L$9,
  IF(COUNTIF(Справочник_ОКВЭД_НР!$E$3:$E$62,H501)&gt;0,Справочник_ОКВЭД_НР!$L$10,
   IF(COUNTIF(Справочник_ОКВЭД_НР!$G$3:$G$62,H501)&gt;0,Справочник_ОКВЭД_НР!$L$11,50))))</f>
        <v>100</v>
      </c>
      <c r="J501" s="30" cm="1">
        <f t="array" ref="J501">IFERROR(
 (SUMPRODUCT(ISNUMBER(SEARCH(","&amp;Справочник_ОКВЭД_НР!$A$3:$A$62&amp;".",","&amp;SUBSTITUTE(F501," ","")&amp;",")))*Справочник_ОКВЭД_НР!$L$9 +
  SUMPRODUCT(ISNUMBER(SEARCH(","&amp;Справочник_ОКВЭД_НР!$C$3:$C$62&amp;".",","&amp;SUBSTITUTE(F501," ","")&amp;",")))*Справочник_ОКВЭД_НР!$L$10 +
  SUMPRODUCT(ISNUMBER(SEARCH(","&amp;Справочник_ОКВЭД_НР!$E$3:$E$62&amp;".",","&amp;SUBSTITUTE(F501," ","")&amp;",")))*Справочник_ОКВЭД_НР!$L$11 +
  SUMPRODUCT(ISNUMBER(SEARCH(","&amp;Справочник_ОКВЭД_НР!$G$3:$G$62&amp;".",","&amp;SUBSTITUTE(F501," ","")&amp;",")))*Справочник_ОКВЭД_НР!$L$12) /
 (SUMPRODUCT(ISNUMBER(SEARCH(","&amp;Справочник_ОКВЭД_НР!$A$3:$A$62&amp;".",","&amp;SUBSTITUTE(F501," ","")&amp;","))) +
  SUMPRODUCT(ISNUMBER(SEARCH(","&amp;Справочник_ОКВЭД_НР!$C$3:$C$62&amp;".",","&amp;SUBSTITUTE(F501," ","")&amp;","))) +
  SUMPRODUCT(ISNUMBER(SEARCH(","&amp;Справочник_ОКВЭД_НР!$E$3:$E$62&amp;".",","&amp;SUBSTITUTE(F501," ","")&amp;","))) +
  SUMPRODUCT(ISNUMBER(SEARCH(","&amp;Справочник_ОКВЭД_НР!$G$3:$G$62&amp;".",","&amp;SUBSTITUTE(F501," ","")&amp;",")))),
50)</f>
        <v>50</v>
      </c>
      <c r="K501" s="30">
        <f>IFERROR(VLOOKUP(G501,Справочник_ОКВЭД_НР!$O:$P,2,FALSE()),50)</f>
        <v>100</v>
      </c>
      <c r="L501" s="45">
        <f>(I501*Справочник_ОКВЭД_НР!$L$2+J501*Справочник_ОКВЭД_НР!$L$3+K501*Справочник_ОКВЭД_НР!$L$4)*M501</f>
        <v>87.5</v>
      </c>
      <c r="M501" s="47">
        <f>IF(COUNTIF(Справочник_ОКВЭД_НР!$G$3:$G$62,H501)&gt;0,0,1)</f>
        <v>1</v>
      </c>
    </row>
    <row r="502" spans="1:13" x14ac:dyDescent="0.25">
      <c r="A502" s="4">
        <f>ЛИК_дляСкорингаДП!A502</f>
        <v>1122130000167</v>
      </c>
      <c r="B502" s="4">
        <f>ЛИК_дляСкорингаДП!B502</f>
        <v>2130097685</v>
      </c>
      <c r="C502" s="4" t="str">
        <f>ЛИК_дляСкорингаДП!C502</f>
        <v>ООО "СЗ"ОТДЕЛФИНСТРОЙ И ПАРТНЕРЫ"</v>
      </c>
      <c r="D502" s="5" t="str">
        <f>ЛИК_дляСкорингаДП!M502</f>
        <v>Деятельность заказчика-застройщика, генерального подрядчика</v>
      </c>
      <c r="E502" s="4" t="str">
        <f>ЛИК_дляСкорингаДП!L502</f>
        <v>71.12.2</v>
      </c>
      <c r="F502" t="str">
        <f>ЛИК_дляСкорингаДП!N502</f>
        <v>41.20,46.73,46.90,68.10,68.20,68.31,71.1,71.12.1</v>
      </c>
      <c r="G502" s="25" t="str">
        <f>ЛИК_дляСкорингаДП!AG502</f>
        <v>ОСН</v>
      </c>
      <c r="H502" s="55" t="str">
        <f>IF(ISNUMBER(E502),E502,
IFERROR(LEFT(E502,FIND(".",E502)-1),E502))</f>
        <v>71</v>
      </c>
      <c r="I502" s="30">
        <f>IF(COUNTIF(Справочник_ОКВЭД_НР!$A$3:$A$62,H502)&gt;0,Справочник_ОКВЭД_НР!$L$8,
 IF(COUNTIF(Справочник_ОКВЭД_НР!$C$3:$C$62,H502)&gt;0,Справочник_ОКВЭД_НР!$L$9,
  IF(COUNTIF(Справочник_ОКВЭД_НР!$E$3:$E$62,H502)&gt;0,Справочник_ОКВЭД_НР!$L$10,
   IF(COUNTIF(Справочник_ОКВЭД_НР!$G$3:$G$62,H502)&gt;0,Справочник_ОКВЭД_НР!$L$11,50))))</f>
        <v>100</v>
      </c>
      <c r="J502" s="30" cm="1">
        <f t="array" ref="J502">IFERROR(
 (SUMPRODUCT(ISNUMBER(SEARCH(","&amp;Справочник_ОКВЭД_НР!$A$3:$A$62&amp;".",","&amp;SUBSTITUTE(F502," ","")&amp;",")))*Справочник_ОКВЭД_НР!$L$9 +
  SUMPRODUCT(ISNUMBER(SEARCH(","&amp;Справочник_ОКВЭД_НР!$C$3:$C$62&amp;".",","&amp;SUBSTITUTE(F502," ","")&amp;",")))*Справочник_ОКВЭД_НР!$L$10 +
  SUMPRODUCT(ISNUMBER(SEARCH(","&amp;Справочник_ОКВЭД_НР!$E$3:$E$62&amp;".",","&amp;SUBSTITUTE(F502," ","")&amp;",")))*Справочник_ОКВЭД_НР!$L$11 +
  SUMPRODUCT(ISNUMBER(SEARCH(","&amp;Справочник_ОКВЭД_НР!$G$3:$G$62&amp;".",","&amp;SUBSTITUTE(F502," ","")&amp;",")))*Справочник_ОКВЭД_НР!$L$12) /
 (SUMPRODUCT(ISNUMBER(SEARCH(","&amp;Справочник_ОКВЭД_НР!$A$3:$A$62&amp;".",","&amp;SUBSTITUTE(F502," ","")&amp;","))) +
  SUMPRODUCT(ISNUMBER(SEARCH(","&amp;Справочник_ОКВЭД_НР!$C$3:$C$62&amp;".",","&amp;SUBSTITUTE(F502," ","")&amp;","))) +
  SUMPRODUCT(ISNUMBER(SEARCH(","&amp;Справочник_ОКВЭД_НР!$E$3:$E$62&amp;".",","&amp;SUBSTITUTE(F502," ","")&amp;","))) +
  SUMPRODUCT(ISNUMBER(SEARCH(","&amp;Справочник_ОКВЭД_НР!$G$3:$G$62&amp;".",","&amp;SUBSTITUTE(F502," ","")&amp;",")))),
50)</f>
        <v>50</v>
      </c>
      <c r="K502" s="30">
        <f>IFERROR(VLOOKUP(G502,Справочник_ОКВЭД_НР!$O:$P,2,FALSE()),50)</f>
        <v>100</v>
      </c>
      <c r="L502" s="45">
        <f>(I502*Справочник_ОКВЭД_НР!$L$2+J502*Справочник_ОКВЭД_НР!$L$3+K502*Справочник_ОКВЭД_НР!$L$4)*M502</f>
        <v>87.5</v>
      </c>
      <c r="M502" s="47">
        <f>IF(COUNTIF(Справочник_ОКВЭД_НР!$G$3:$G$62,H502)&gt;0,0,1)</f>
        <v>1</v>
      </c>
    </row>
    <row r="503" spans="1:13" x14ac:dyDescent="0.25">
      <c r="A503" s="4">
        <f>ЛИК_дляСкорингаДП!A503</f>
        <v>1132124000304</v>
      </c>
      <c r="B503" s="4">
        <f>ЛИК_дляСкорингаДП!B503</f>
        <v>2124036934</v>
      </c>
      <c r="C503" s="4" t="str">
        <f>ЛИК_дляСкорингаДП!C503</f>
        <v>ООО "ТК "МАКСИМА"</v>
      </c>
      <c r="D503" s="5" t="str">
        <f>ЛИК_дляСкорингаДП!M503</f>
        <v>Торговля оптовая напитками</v>
      </c>
      <c r="E503" s="4" t="str">
        <f>ЛИК_дляСкорингаДП!L503</f>
        <v>46.34</v>
      </c>
      <c r="F503" t="str">
        <f>ЛИК_дляСкорингаДП!N503</f>
        <v>46.17,49.41.2,52.10.9,52.29,77.12,46.17,46.17.1,46.17.2,46.17.21,46.3,46.34,46.34.1,46.39,46.39.1,46.39.2,46.90,47.11.2,47.19,47.2,47.25.1,47.25.12,47.29.3,47.9,49.4,49.41,49.41.1,52.10,52.29,73.11,73.20,73.20.1,82.99</v>
      </c>
      <c r="G503" s="25" t="str">
        <f>ЛИК_дляСкорингаДП!AG503</f>
        <v>ОСН</v>
      </c>
      <c r="H503" s="55" t="str">
        <f>IF(ISNUMBER(E503),E503,
IFERROR(LEFT(E503,FIND(".",E503)-1),E503))</f>
        <v>46</v>
      </c>
      <c r="I503" s="30">
        <f>IF(COUNTIF(Справочник_ОКВЭД_НР!$A$3:$A$62,H503)&gt;0,Справочник_ОКВЭД_НР!$L$8,
 IF(COUNTIF(Справочник_ОКВЭД_НР!$C$3:$C$62,H503)&gt;0,Справочник_ОКВЭД_НР!$L$9,
  IF(COUNTIF(Справочник_ОКВЭД_НР!$E$3:$E$62,H503)&gt;0,Справочник_ОКВЭД_НР!$L$10,
   IF(COUNTIF(Справочник_ОКВЭД_НР!$G$3:$G$62,H503)&gt;0,Справочник_ОКВЭД_НР!$L$11,50))))</f>
        <v>60</v>
      </c>
      <c r="J503" s="30" cm="1">
        <f t="array" ref="J503">IFERROR(
 (SUMPRODUCT(ISNUMBER(SEARCH(","&amp;Справочник_ОКВЭД_НР!$A$3:$A$62&amp;".",","&amp;SUBSTITUTE(F503," ","")&amp;",")))*Справочник_ОКВЭД_НР!$L$9 +
  SUMPRODUCT(ISNUMBER(SEARCH(","&amp;Справочник_ОКВЭД_НР!$C$3:$C$62&amp;".",","&amp;SUBSTITUTE(F503," ","")&amp;",")))*Справочник_ОКВЭД_НР!$L$10 +
  SUMPRODUCT(ISNUMBER(SEARCH(","&amp;Справочник_ОКВЭД_НР!$E$3:$E$62&amp;".",","&amp;SUBSTITUTE(F503," ","")&amp;",")))*Справочник_ОКВЭД_НР!$L$11 +
  SUMPRODUCT(ISNUMBER(SEARCH(","&amp;Справочник_ОКВЭД_НР!$G$3:$G$62&amp;".",","&amp;SUBSTITUTE(F503," ","")&amp;",")))*Справочник_ОКВЭД_НР!$L$12) /
 (SUMPRODUCT(ISNUMBER(SEARCH(","&amp;Справочник_ОКВЭД_НР!$A$3:$A$62&amp;".",","&amp;SUBSTITUTE(F503," ","")&amp;","))) +
  SUMPRODUCT(ISNUMBER(SEARCH(","&amp;Справочник_ОКВЭД_НР!$C$3:$C$62&amp;".",","&amp;SUBSTITUTE(F503," ","")&amp;","))) +
  SUMPRODUCT(ISNUMBER(SEARCH(","&amp;Справочник_ОКВЭД_НР!$E$3:$E$62&amp;".",","&amp;SUBSTITUTE(F503," ","")&amp;","))) +
  SUMPRODUCT(ISNUMBER(SEARCH(","&amp;Справочник_ОКВЭД_НР!$G$3:$G$62&amp;".",","&amp;SUBSTITUTE(F503," ","")&amp;",")))),
50)</f>
        <v>50</v>
      </c>
      <c r="K503" s="30">
        <f>IFERROR(VLOOKUP(G503,Справочник_ОКВЭД_НР!$O:$P,2,FALSE()),50)</f>
        <v>100</v>
      </c>
      <c r="L503" s="45">
        <f>(I503*Справочник_ОКВЭД_НР!$L$2+J503*Справочник_ОКВЭД_НР!$L$3+K503*Справочник_ОКВЭД_НР!$L$4)*M503</f>
        <v>63.5</v>
      </c>
      <c r="M503" s="47">
        <f>IF(COUNTIF(Справочник_ОКВЭД_НР!$G$3:$G$62,H503)&gt;0,0,1)</f>
        <v>1</v>
      </c>
    </row>
    <row r="504" spans="1:13" x14ac:dyDescent="0.25">
      <c r="A504" s="4">
        <f>ЛИК_дляСкорингаДП!A504</f>
        <v>1022101274777</v>
      </c>
      <c r="B504" s="4">
        <f>ЛИК_дляСкорингаДП!B504</f>
        <v>2129022734</v>
      </c>
      <c r="C504" s="4" t="str">
        <f>ЛИК_дляСкорингаДП!C504</f>
        <v>АО "ЧЭМЗ"</v>
      </c>
      <c r="D504" s="5" t="str">
        <f>ЛИК_дляСкорингаДП!M504</f>
        <v>Производство электрической распределительной и регулирующей аппаратуры</v>
      </c>
      <c r="E504" s="4" t="str">
        <f>ЛИК_дляСкорингаДП!L504</f>
        <v>27.12</v>
      </c>
      <c r="F504" t="str">
        <f>ЛИК_дляСкорингаДП!N504</f>
        <v>25.11,25.12,25.61,25.62,25.99,28.29.1,35.13,35.30.4,35.30.5,41.2,43.12,43.2,46.69,46.90,49.3,62.01,62.02,62.09,70.22,71.11.1</v>
      </c>
      <c r="G504" s="25" t="str">
        <f>ЛИК_дляСкорингаДП!AG504</f>
        <v>ОСН</v>
      </c>
      <c r="H504" s="55" t="str">
        <f>IF(ISNUMBER(E504),E504,
IFERROR(LEFT(E504,FIND(".",E504)-1),E504))</f>
        <v>27</v>
      </c>
      <c r="I504" s="30">
        <f>IF(COUNTIF(Справочник_ОКВЭД_НР!$A$3:$A$62,H504)&gt;0,Справочник_ОКВЭД_НР!$L$8,
 IF(COUNTIF(Справочник_ОКВЭД_НР!$C$3:$C$62,H504)&gt;0,Справочник_ОКВЭД_НР!$L$9,
  IF(COUNTIF(Справочник_ОКВЭД_НР!$E$3:$E$62,H504)&gt;0,Справочник_ОКВЭД_НР!$L$10,
   IF(COUNTIF(Справочник_ОКВЭД_НР!$G$3:$G$62,H504)&gt;0,Справочник_ОКВЭД_НР!$L$11,50))))</f>
        <v>100</v>
      </c>
      <c r="J504" s="30" cm="1">
        <f t="array" ref="J504">IFERROR(
 (SUMPRODUCT(ISNUMBER(SEARCH(","&amp;Справочник_ОКВЭД_НР!$A$3:$A$62&amp;".",","&amp;SUBSTITUTE(F504," ","")&amp;",")))*Справочник_ОКВЭД_НР!$L$9 +
  SUMPRODUCT(ISNUMBER(SEARCH(","&amp;Справочник_ОКВЭД_НР!$C$3:$C$62&amp;".",","&amp;SUBSTITUTE(F504," ","")&amp;",")))*Справочник_ОКВЭД_НР!$L$10 +
  SUMPRODUCT(ISNUMBER(SEARCH(","&amp;Справочник_ОКВЭД_НР!$E$3:$E$62&amp;".",","&amp;SUBSTITUTE(F504," ","")&amp;",")))*Справочник_ОКВЭД_НР!$L$11 +
  SUMPRODUCT(ISNUMBER(SEARCH(","&amp;Справочник_ОКВЭД_НР!$G$3:$G$62&amp;".",","&amp;SUBSTITUTE(F504," ","")&amp;",")))*Справочник_ОКВЭД_НР!$L$12) /
 (SUMPRODUCT(ISNUMBER(SEARCH(","&amp;Справочник_ОКВЭД_НР!$A$3:$A$62&amp;".",","&amp;SUBSTITUTE(F504," ","")&amp;","))) +
  SUMPRODUCT(ISNUMBER(SEARCH(","&amp;Справочник_ОКВЭД_НР!$C$3:$C$62&amp;".",","&amp;SUBSTITUTE(F504," ","")&amp;","))) +
  SUMPRODUCT(ISNUMBER(SEARCH(","&amp;Справочник_ОКВЭД_НР!$E$3:$E$62&amp;".",","&amp;SUBSTITUTE(F504," ","")&amp;","))) +
  SUMPRODUCT(ISNUMBER(SEARCH(","&amp;Справочник_ОКВЭД_НР!$G$3:$G$62&amp;".",","&amp;SUBSTITUTE(F504," ","")&amp;",")))),
50)</f>
        <v>50</v>
      </c>
      <c r="K504" s="30">
        <f>IFERROR(VLOOKUP(G504,Справочник_ОКВЭД_НР!$O:$P,2,FALSE()),50)</f>
        <v>100</v>
      </c>
      <c r="L504" s="45">
        <f>(I504*Справочник_ОКВЭД_НР!$L$2+J504*Справочник_ОКВЭД_НР!$L$3+K504*Справочник_ОКВЭД_НР!$L$4)*M504</f>
        <v>87.5</v>
      </c>
      <c r="M504" s="47">
        <f>IF(COUNTIF(Справочник_ОКВЭД_НР!$G$3:$G$62,H504)&gt;0,0,1)</f>
        <v>1</v>
      </c>
    </row>
    <row r="505" spans="1:13" x14ac:dyDescent="0.25">
      <c r="A505" s="4">
        <f>ЛИК_дляСкорингаДП!A505</f>
        <v>1052128000033</v>
      </c>
      <c r="B505" s="4">
        <f>ЛИК_дляСкорингаДП!B505</f>
        <v>2128700232</v>
      </c>
      <c r="C505" s="4" t="str">
        <f>ЛИК_дляСкорингаДП!C505</f>
        <v>АО "ЧУВАШСКАЯ ЭНЕРГОСБЫТОВАЯ КОМПАНИЯ"</v>
      </c>
      <c r="D505" s="5" t="str">
        <f>ЛИК_дляСкорингаДП!M505</f>
        <v>Торговля электроэнергией</v>
      </c>
      <c r="E505" s="4" t="str">
        <f>ЛИК_дляСкорингаДП!L505</f>
        <v>35.14</v>
      </c>
      <c r="F505" t="str">
        <f>ЛИК_дляСкорингаДП!N505</f>
        <v>66.19.61,68.32.1,82.99,18.12,35.14,41.20,42.21,42.22,43.21,45.20.5,46.69.7,47.54,53.20.39,64.9,66.19,66.19.61,66.19.62,66.22,68.20.2,68.32,68.32.1,71.11,71.11.1,71.12,71.20.4,71.20.9,74.90.6,77.39.11,96.09.9</v>
      </c>
      <c r="G505" s="25" t="str">
        <f>ЛИК_дляСкорингаДП!AG505</f>
        <v>ОСН</v>
      </c>
      <c r="H505" s="55" t="str">
        <f>IF(ISNUMBER(E505),E505,
IFERROR(LEFT(E505,FIND(".",E505)-1),E505))</f>
        <v>35</v>
      </c>
      <c r="I505" s="30">
        <f>IF(COUNTIF(Справочник_ОКВЭД_НР!$A$3:$A$62,H505)&gt;0,Справочник_ОКВЭД_НР!$L$8,
 IF(COUNTIF(Справочник_ОКВЭД_НР!$C$3:$C$62,H505)&gt;0,Справочник_ОКВЭД_НР!$L$9,
  IF(COUNTIF(Справочник_ОКВЭД_НР!$E$3:$E$62,H505)&gt;0,Справочник_ОКВЭД_НР!$L$10,
   IF(COUNTIF(Справочник_ОКВЭД_НР!$G$3:$G$62,H505)&gt;0,Справочник_ОКВЭД_НР!$L$11,50))))</f>
        <v>60</v>
      </c>
      <c r="J505" s="30" cm="1">
        <f t="array" ref="J505">IFERROR(
 (SUMPRODUCT(ISNUMBER(SEARCH(","&amp;Справочник_ОКВЭД_НР!$A$3:$A$62&amp;".",","&amp;SUBSTITUTE(F505," ","")&amp;",")))*Справочник_ОКВЭД_НР!$L$9 +
  SUMPRODUCT(ISNUMBER(SEARCH(","&amp;Справочник_ОКВЭД_НР!$C$3:$C$62&amp;".",","&amp;SUBSTITUTE(F505," ","")&amp;",")))*Справочник_ОКВЭД_НР!$L$10 +
  SUMPRODUCT(ISNUMBER(SEARCH(","&amp;Справочник_ОКВЭД_НР!$E$3:$E$62&amp;".",","&amp;SUBSTITUTE(F505," ","")&amp;",")))*Справочник_ОКВЭД_НР!$L$11 +
  SUMPRODUCT(ISNUMBER(SEARCH(","&amp;Справочник_ОКВЭД_НР!$G$3:$G$62&amp;".",","&amp;SUBSTITUTE(F505," ","")&amp;",")))*Справочник_ОКВЭД_НР!$L$12) /
 (SUMPRODUCT(ISNUMBER(SEARCH(","&amp;Справочник_ОКВЭД_НР!$A$3:$A$62&amp;".",","&amp;SUBSTITUTE(F505," ","")&amp;","))) +
  SUMPRODUCT(ISNUMBER(SEARCH(","&amp;Справочник_ОКВЭД_НР!$C$3:$C$62&amp;".",","&amp;SUBSTITUTE(F505," ","")&amp;","))) +
  SUMPRODUCT(ISNUMBER(SEARCH(","&amp;Справочник_ОКВЭД_НР!$E$3:$E$62&amp;".",","&amp;SUBSTITUTE(F505," ","")&amp;","))) +
  SUMPRODUCT(ISNUMBER(SEARCH(","&amp;Справочник_ОКВЭД_НР!$G$3:$G$62&amp;".",","&amp;SUBSTITUTE(F505," ","")&amp;",")))),
50)</f>
        <v>50</v>
      </c>
      <c r="K505" s="30">
        <f>IFERROR(VLOOKUP(G505,Справочник_ОКВЭД_НР!$O:$P,2,FALSE()),50)</f>
        <v>100</v>
      </c>
      <c r="L505" s="45">
        <f>(I505*Справочник_ОКВЭД_НР!$L$2+J505*Справочник_ОКВЭД_НР!$L$3+K505*Справочник_ОКВЭД_НР!$L$4)*M505</f>
        <v>63.5</v>
      </c>
      <c r="M505" s="47">
        <f>IF(COUNTIF(Справочник_ОКВЭД_НР!$G$3:$G$62,H505)&gt;0,0,1)</f>
        <v>1</v>
      </c>
    </row>
    <row r="506" spans="1:13" x14ac:dyDescent="0.25">
      <c r="A506" s="4">
        <f>ЛИК_дляСкорингаДП!A506</f>
        <v>1152135000654</v>
      </c>
      <c r="B506" s="4">
        <f>ЛИК_дляСкорингаДП!B506</f>
        <v>2116000589</v>
      </c>
      <c r="C506" s="4" t="str">
        <f>ЛИК_дляСкорингаДП!C506</f>
        <v>ООО "ЧЕБОМИЛК"</v>
      </c>
      <c r="D506" s="5" t="str">
        <f>ЛИК_дляСкорингаДП!M506</f>
        <v>Разведение племенного молочного крупного рогатого скота</v>
      </c>
      <c r="E506" s="4" t="str">
        <f>ЛИК_дляСкорингаДП!L506</f>
        <v>01.41.12</v>
      </c>
      <c r="F506" t="str">
        <f>ЛИК_дляСкорингаДП!N506</f>
        <v>01.11.1,10.41.26,01.11,01.11.3,01.13,01.2,01.25,01.30,01.41,01.43.1,01.45.1,01.46,01.47,01.49,01.50,10.11,10.12,10.13,10.41,10.51,10.61,10.91,20.15.8,46.21.19,68.20,74.90,74.90.4,79.90,79.90.2,82.99</v>
      </c>
      <c r="G506" s="25" t="str">
        <f>ЛИК_дляСкорингаДП!AG506</f>
        <v>ЕСХН</v>
      </c>
      <c r="H506" s="55" t="str">
        <f>IF(ISNUMBER(E506),E506,
IFERROR(LEFT(E506,FIND(".",E506)-1),E506))</f>
        <v>01</v>
      </c>
      <c r="I506" s="30">
        <f>IF(COUNTIF(Справочник_ОКВЭД_НР!$A$3:$A$62,H506)&gt;0,Справочник_ОКВЭД_НР!$L$8,
 IF(COUNTIF(Справочник_ОКВЭД_НР!$C$3:$C$62,H506)&gt;0,Справочник_ОКВЭД_НР!$L$9,
  IF(COUNTIF(Справочник_ОКВЭД_НР!$E$3:$E$62,H506)&gt;0,Справочник_ОКВЭД_НР!$L$10,
   IF(COUNTIF(Справочник_ОКВЭД_НР!$G$3:$G$62,H506)&gt;0,Справочник_ОКВЭД_НР!$L$11,50))))</f>
        <v>60</v>
      </c>
      <c r="J506" s="30" cm="1">
        <f t="array" ref="J506">IFERROR(
 (SUMPRODUCT(ISNUMBER(SEARCH(","&amp;Справочник_ОКВЭД_НР!$A$3:$A$62&amp;".",","&amp;SUBSTITUTE(F506," ","")&amp;",")))*Справочник_ОКВЭД_НР!$L$9 +
  SUMPRODUCT(ISNUMBER(SEARCH(","&amp;Справочник_ОКВЭД_НР!$C$3:$C$62&amp;".",","&amp;SUBSTITUTE(F506," ","")&amp;",")))*Справочник_ОКВЭД_НР!$L$10 +
  SUMPRODUCT(ISNUMBER(SEARCH(","&amp;Справочник_ОКВЭД_НР!$E$3:$E$62&amp;".",","&amp;SUBSTITUTE(F506," ","")&amp;",")))*Справочник_ОКВЭД_НР!$L$11 +
  SUMPRODUCT(ISNUMBER(SEARCH(","&amp;Справочник_ОКВЭД_НР!$G$3:$G$62&amp;".",","&amp;SUBSTITUTE(F506," ","")&amp;",")))*Справочник_ОКВЭД_НР!$L$12) /
 (SUMPRODUCT(ISNUMBER(SEARCH(","&amp;Справочник_ОКВЭД_НР!$A$3:$A$62&amp;".",","&amp;SUBSTITUTE(F506," ","")&amp;","))) +
  SUMPRODUCT(ISNUMBER(SEARCH(","&amp;Справочник_ОКВЭД_НР!$C$3:$C$62&amp;".",","&amp;SUBSTITUTE(F506," ","")&amp;","))) +
  SUMPRODUCT(ISNUMBER(SEARCH(","&amp;Справочник_ОКВЭД_НР!$E$3:$E$62&amp;".",","&amp;SUBSTITUTE(F506," ","")&amp;","))) +
  SUMPRODUCT(ISNUMBER(SEARCH(","&amp;Справочник_ОКВЭД_НР!$G$3:$G$62&amp;".",","&amp;SUBSTITUTE(F506," ","")&amp;",")))),
50)</f>
        <v>50</v>
      </c>
      <c r="K506" s="30">
        <f>IFERROR(VLOOKUP(G506,Справочник_ОКВЭД_НР!$O:$P,2,FALSE()),50)</f>
        <v>40</v>
      </c>
      <c r="L506" s="45">
        <f>(I506*Справочник_ОКВЭД_НР!$L$2+J506*Справочник_ОКВЭД_НР!$L$3+K506*Справочник_ОКВЭД_НР!$L$4)*M506</f>
        <v>54.5</v>
      </c>
      <c r="M506" s="47">
        <f>IF(COUNTIF(Справочник_ОКВЭД_НР!$G$3:$G$62,H506)&gt;0,0,1)</f>
        <v>1</v>
      </c>
    </row>
    <row r="507" spans="1:13" x14ac:dyDescent="0.25">
      <c r="A507" s="4">
        <f>ЛИК_дляСкорингаДП!A507</f>
        <v>1082130003867</v>
      </c>
      <c r="B507" s="4">
        <f>ЛИК_дляСкорингаДП!B507</f>
        <v>2130037140</v>
      </c>
      <c r="C507" s="4" t="str">
        <f>ЛИК_дляСкорингаДП!C507</f>
        <v>АО "ВНИИР ГИДРОЭЛЕКТРОАВТОМАТИКА"</v>
      </c>
      <c r="D507" s="5" t="str">
        <f>ЛИК_дляСкорингаДП!M507</f>
        <v>Производство электроэнергии</v>
      </c>
      <c r="E507" s="4" t="str">
        <f>ЛИК_дляСкорингаДП!L507</f>
        <v>35.11</v>
      </c>
      <c r="F507" t="str">
        <f>ЛИК_дляСкорингаДП!N507</f>
        <v>27.12,27.90,43.21,43.29,43.99.1,46.69,46.90,62.02,62.09,68.20,71.1,71.12.5,71.12.6,71.20,72.19,74.30,82.92,82.99</v>
      </c>
      <c r="G507" s="25" t="str">
        <f>ЛИК_дляСкорингаДП!AG507</f>
        <v>ОСН</v>
      </c>
      <c r="H507" s="55" t="str">
        <f>IF(ISNUMBER(E507),E507,
IFERROR(LEFT(E507,FIND(".",E507)-1),E507))</f>
        <v>35</v>
      </c>
      <c r="I507" s="30">
        <f>IF(COUNTIF(Справочник_ОКВЭД_НР!$A$3:$A$62,H507)&gt;0,Справочник_ОКВЭД_НР!$L$8,
 IF(COUNTIF(Справочник_ОКВЭД_НР!$C$3:$C$62,H507)&gt;0,Справочник_ОКВЭД_НР!$L$9,
  IF(COUNTIF(Справочник_ОКВЭД_НР!$E$3:$E$62,H507)&gt;0,Справочник_ОКВЭД_НР!$L$10,
   IF(COUNTIF(Справочник_ОКВЭД_НР!$G$3:$G$62,H507)&gt;0,Справочник_ОКВЭД_НР!$L$11,50))))</f>
        <v>60</v>
      </c>
      <c r="J507" s="30" cm="1">
        <f t="array" ref="J507">IFERROR(
 (SUMPRODUCT(ISNUMBER(SEARCH(","&amp;Справочник_ОКВЭД_НР!$A$3:$A$62&amp;".",","&amp;SUBSTITUTE(F507," ","")&amp;",")))*Справочник_ОКВЭД_НР!$L$9 +
  SUMPRODUCT(ISNUMBER(SEARCH(","&amp;Справочник_ОКВЭД_НР!$C$3:$C$62&amp;".",","&amp;SUBSTITUTE(F507," ","")&amp;",")))*Справочник_ОКВЭД_НР!$L$10 +
  SUMPRODUCT(ISNUMBER(SEARCH(","&amp;Справочник_ОКВЭД_НР!$E$3:$E$62&amp;".",","&amp;SUBSTITUTE(F507," ","")&amp;",")))*Справочник_ОКВЭД_НР!$L$11 +
  SUMPRODUCT(ISNUMBER(SEARCH(","&amp;Справочник_ОКВЭД_НР!$G$3:$G$62&amp;".",","&amp;SUBSTITUTE(F507," ","")&amp;",")))*Справочник_ОКВЭД_НР!$L$12) /
 (SUMPRODUCT(ISNUMBER(SEARCH(","&amp;Справочник_ОКВЭД_НР!$A$3:$A$62&amp;".",","&amp;SUBSTITUTE(F507," ","")&amp;","))) +
  SUMPRODUCT(ISNUMBER(SEARCH(","&amp;Справочник_ОКВЭД_НР!$C$3:$C$62&amp;".",","&amp;SUBSTITUTE(F507," ","")&amp;","))) +
  SUMPRODUCT(ISNUMBER(SEARCH(","&amp;Справочник_ОКВЭД_НР!$E$3:$E$62&amp;".",","&amp;SUBSTITUTE(F507," ","")&amp;","))) +
  SUMPRODUCT(ISNUMBER(SEARCH(","&amp;Справочник_ОКВЭД_НР!$G$3:$G$62&amp;".",","&amp;SUBSTITUTE(F507," ","")&amp;",")))),
50)</f>
        <v>50</v>
      </c>
      <c r="K507" s="30">
        <f>IFERROR(VLOOKUP(G507,Справочник_ОКВЭД_НР!$O:$P,2,FALSE()),50)</f>
        <v>100</v>
      </c>
      <c r="L507" s="45">
        <f>(I507*Справочник_ОКВЭД_НР!$L$2+J507*Справочник_ОКВЭД_НР!$L$3+K507*Справочник_ОКВЭД_НР!$L$4)*M507</f>
        <v>63.5</v>
      </c>
      <c r="M507" s="47">
        <f>IF(COUNTIF(Справочник_ОКВЭД_НР!$G$3:$G$62,H507)&gt;0,0,1)</f>
        <v>1</v>
      </c>
    </row>
    <row r="508" spans="1:13" x14ac:dyDescent="0.25">
      <c r="A508" s="4">
        <f>ЛИК_дляСкорингаДП!A508</f>
        <v>1022101130314</v>
      </c>
      <c r="B508" s="4">
        <f>ЛИК_дляСкорингаДП!B508</f>
        <v>2128006240</v>
      </c>
      <c r="C508" s="4" t="str">
        <f>ЛИК_дляСкорингаДП!C508</f>
        <v>АО "АБС ЗЭИМ АВТОМАТИЗАЦИЯ"</v>
      </c>
      <c r="D508" s="5" t="str">
        <f>ЛИК_дляСкорингаДП!M508</f>
        <v>Производство приборов и аппаратуры для автоматического регулирования или управления</v>
      </c>
      <c r="E508" s="4" t="str">
        <f>ЛИК_дляСкорингаДП!L508</f>
        <v>26.51.7</v>
      </c>
      <c r="F508" t="str">
        <f>ЛИК_дляСкорингаДП!N508</f>
        <v>24.53,25.61,25.62,26.51.6,26.51.8,28.14,28.25.1,33.12,33.13,35.30,43.2,43.99.5,46.90,49.4,56.29,62.09,63.11.1,68.20.2,70.22,71.11.1,71.12.1,71.12.12,71.12.13,71.12.45,71.20.1,72.19,73.20.1</v>
      </c>
      <c r="G508" s="25" t="str">
        <f>ЛИК_дляСкорингаДП!AG508</f>
        <v>ОСН</v>
      </c>
      <c r="H508" s="55" t="str">
        <f>IF(ISNUMBER(E508),E508,
IFERROR(LEFT(E508,FIND(".",E508)-1),E508))</f>
        <v>26</v>
      </c>
      <c r="I508" s="30">
        <f>IF(COUNTIF(Справочник_ОКВЭД_НР!$A$3:$A$62,H508)&gt;0,Справочник_ОКВЭД_НР!$L$8,
 IF(COUNTIF(Справочник_ОКВЭД_НР!$C$3:$C$62,H508)&gt;0,Справочник_ОКВЭД_НР!$L$9,
  IF(COUNTIF(Справочник_ОКВЭД_НР!$E$3:$E$62,H508)&gt;0,Справочник_ОКВЭД_НР!$L$10,
   IF(COUNTIF(Справочник_ОКВЭД_НР!$G$3:$G$62,H508)&gt;0,Справочник_ОКВЭД_НР!$L$11,50))))</f>
        <v>60</v>
      </c>
      <c r="J508" s="30" cm="1">
        <f t="array" ref="J508">IFERROR(
 (SUMPRODUCT(ISNUMBER(SEARCH(","&amp;Справочник_ОКВЭД_НР!$A$3:$A$62&amp;".",","&amp;SUBSTITUTE(F508," ","")&amp;",")))*Справочник_ОКВЭД_НР!$L$9 +
  SUMPRODUCT(ISNUMBER(SEARCH(","&amp;Справочник_ОКВЭД_НР!$C$3:$C$62&amp;".",","&amp;SUBSTITUTE(F508," ","")&amp;",")))*Справочник_ОКВЭД_НР!$L$10 +
  SUMPRODUCT(ISNUMBER(SEARCH(","&amp;Справочник_ОКВЭД_НР!$E$3:$E$62&amp;".",","&amp;SUBSTITUTE(F508," ","")&amp;",")))*Справочник_ОКВЭД_НР!$L$11 +
  SUMPRODUCT(ISNUMBER(SEARCH(","&amp;Справочник_ОКВЭД_НР!$G$3:$G$62&amp;".",","&amp;SUBSTITUTE(F508," ","")&amp;",")))*Справочник_ОКВЭД_НР!$L$12) /
 (SUMPRODUCT(ISNUMBER(SEARCH(","&amp;Справочник_ОКВЭД_НР!$A$3:$A$62&amp;".",","&amp;SUBSTITUTE(F508," ","")&amp;","))) +
  SUMPRODUCT(ISNUMBER(SEARCH(","&amp;Справочник_ОКВЭД_НР!$C$3:$C$62&amp;".",","&amp;SUBSTITUTE(F508," ","")&amp;","))) +
  SUMPRODUCT(ISNUMBER(SEARCH(","&amp;Справочник_ОКВЭД_НР!$E$3:$E$62&amp;".",","&amp;SUBSTITUTE(F508," ","")&amp;","))) +
  SUMPRODUCT(ISNUMBER(SEARCH(","&amp;Справочник_ОКВЭД_НР!$G$3:$G$62&amp;".",","&amp;SUBSTITUTE(F508," ","")&amp;",")))),
50)</f>
        <v>50</v>
      </c>
      <c r="K508" s="30">
        <f>IFERROR(VLOOKUP(G508,Справочник_ОКВЭД_НР!$O:$P,2,FALSE()),50)</f>
        <v>100</v>
      </c>
      <c r="L508" s="45">
        <f>(I508*Справочник_ОКВЭД_НР!$L$2+J508*Справочник_ОКВЭД_НР!$L$3+K508*Справочник_ОКВЭД_НР!$L$4)*M508</f>
        <v>63.5</v>
      </c>
      <c r="M508" s="47">
        <f>IF(COUNTIF(Справочник_ОКВЭД_НР!$G$3:$G$62,H508)&gt;0,0,1)</f>
        <v>1</v>
      </c>
    </row>
    <row r="509" spans="1:13" x14ac:dyDescent="0.25">
      <c r="A509" s="4">
        <f>ЛИК_дляСкорингаДП!A509</f>
        <v>1022101129896</v>
      </c>
      <c r="B509" s="4">
        <f>ЛИК_дляСкорингаДП!B509</f>
        <v>2128000600</v>
      </c>
      <c r="C509" s="4" t="str">
        <f>ЛИК_дляСкорингаДП!C509</f>
        <v>АО "ЧЭАЗ"</v>
      </c>
      <c r="D509" s="5" t="str">
        <f>ЛИК_дляСкорингаДП!M509</f>
        <v>Производство электрической распределительной и регулирующей аппаратуры</v>
      </c>
      <c r="E509" s="4" t="str">
        <f>ЛИК_дляСкорингаДП!L509</f>
        <v>27.12</v>
      </c>
      <c r="F509" t="str">
        <f>ЛИК_дляСкорингаДП!N509</f>
        <v>25.30.22,26.11,26.12,27.11,30.30,33.14,33.20,35.30.4,39.00,41.20,43.21,46.69.5,47.11,49.3,49.4,56.10,56.10.1,56.10.3,56.29,58.13,61.10.1,61.10.4,64.99.11,66.12.3,71.1,71.12.5,71.12.6,71.12.8,72.19,74.90.9,85.42,86.90,86.90.4,90.04,93.11,93.19,93.29.2</v>
      </c>
      <c r="G509" s="25" t="str">
        <f>ЛИК_дляСкорингаДП!AG509</f>
        <v>ОСН</v>
      </c>
      <c r="H509" s="55" t="str">
        <f>IF(ISNUMBER(E509),E509,
IFERROR(LEFT(E509,FIND(".",E509)-1),E509))</f>
        <v>27</v>
      </c>
      <c r="I509" s="30">
        <f>IF(COUNTIF(Справочник_ОКВЭД_НР!$A$3:$A$62,H509)&gt;0,Справочник_ОКВЭД_НР!$L$8,
 IF(COUNTIF(Справочник_ОКВЭД_НР!$C$3:$C$62,H509)&gt;0,Справочник_ОКВЭД_НР!$L$9,
  IF(COUNTIF(Справочник_ОКВЭД_НР!$E$3:$E$62,H509)&gt;0,Справочник_ОКВЭД_НР!$L$10,
   IF(COUNTIF(Справочник_ОКВЭД_НР!$G$3:$G$62,H509)&gt;0,Справочник_ОКВЭД_НР!$L$11,50))))</f>
        <v>100</v>
      </c>
      <c r="J509" s="30" cm="1">
        <f t="array" ref="J509">IFERROR(
 (SUMPRODUCT(ISNUMBER(SEARCH(","&amp;Справочник_ОКВЭД_НР!$A$3:$A$62&amp;".",","&amp;SUBSTITUTE(F509," ","")&amp;",")))*Справочник_ОКВЭД_НР!$L$9 +
  SUMPRODUCT(ISNUMBER(SEARCH(","&amp;Справочник_ОКВЭД_НР!$C$3:$C$62&amp;".",","&amp;SUBSTITUTE(F509," ","")&amp;",")))*Справочник_ОКВЭД_НР!$L$10 +
  SUMPRODUCT(ISNUMBER(SEARCH(","&amp;Справочник_ОКВЭД_НР!$E$3:$E$62&amp;".",","&amp;SUBSTITUTE(F509," ","")&amp;",")))*Справочник_ОКВЭД_НР!$L$11 +
  SUMPRODUCT(ISNUMBER(SEARCH(","&amp;Справочник_ОКВЭД_НР!$G$3:$G$62&amp;".",","&amp;SUBSTITUTE(F509," ","")&amp;",")))*Справочник_ОКВЭД_НР!$L$12) /
 (SUMPRODUCT(ISNUMBER(SEARCH(","&amp;Справочник_ОКВЭД_НР!$A$3:$A$62&amp;".",","&amp;SUBSTITUTE(F509," ","")&amp;","))) +
  SUMPRODUCT(ISNUMBER(SEARCH(","&amp;Справочник_ОКВЭД_НР!$C$3:$C$62&amp;".",","&amp;SUBSTITUTE(F509," ","")&amp;","))) +
  SUMPRODUCT(ISNUMBER(SEARCH(","&amp;Справочник_ОКВЭД_НР!$E$3:$E$62&amp;".",","&amp;SUBSTITUTE(F509," ","")&amp;","))) +
  SUMPRODUCT(ISNUMBER(SEARCH(","&amp;Справочник_ОКВЭД_НР!$G$3:$G$62&amp;".",","&amp;SUBSTITUTE(F509," ","")&amp;",")))),
50)</f>
        <v>50</v>
      </c>
      <c r="K509" s="30">
        <f>IFERROR(VLOOKUP(G509,Справочник_ОКВЭД_НР!$O:$P,2,FALSE()),50)</f>
        <v>100</v>
      </c>
      <c r="L509" s="45">
        <f>(I509*Справочник_ОКВЭД_НР!$L$2+J509*Справочник_ОКВЭД_НР!$L$3+K509*Справочник_ОКВЭД_НР!$L$4)*M509</f>
        <v>87.5</v>
      </c>
      <c r="M509" s="47">
        <f>IF(COUNTIF(Справочник_ОКВЭД_НР!$G$3:$G$62,H509)&gt;0,0,1)</f>
        <v>1</v>
      </c>
    </row>
    <row r="510" spans="1:13" x14ac:dyDescent="0.25">
      <c r="A510" s="4">
        <f>ЛИК_дляСкорингаДП!A510</f>
        <v>1022101269673</v>
      </c>
      <c r="B510" s="4">
        <f>ЛИК_дляСкорингаДП!B510</f>
        <v>2129003280</v>
      </c>
      <c r="C510" s="4" t="str">
        <f>ЛИК_дляСкорингаДП!C510</f>
        <v>АО "СЗ "ИНКОСТ"</v>
      </c>
      <c r="D510" s="5" t="str">
        <f>ЛИК_дляСкорингаДП!M510</f>
        <v>Деятельность заказчика-застройщика, генерального подрядчика</v>
      </c>
      <c r="E510" s="4" t="str">
        <f>ЛИК_дляСкорингаДП!L510</f>
        <v>71.12.2</v>
      </c>
      <c r="F510" t="str">
        <f>ЛИК_дляСкорингаДП!N510</f>
        <v>16.23.1,22.23.1,23.12.5,23.63,23.64,25.11,28.22.3,41.20.1,46.36,46.42,46.69.3,46.71.2,46.73.2,46.73.6,46.77,49.41.2,56.29.2,68.20.29,70.22,16.10,16.10.3,16.10.9,16.23.1,28.22,28.22.9,28.94.2,33.12,33.12,41.2,41.20,42.21,42.22.1,43.11,43.12.3,43.21,43.3,43.31,43.32,43.33,43.34.1,43.34.2,43.39,43.91,43.99,43.99,43.99.1,43.99.4,43.99.5,43.99.6,43.99.7</v>
      </c>
      <c r="G510" s="25" t="str">
        <f>ЛИК_дляСкорингаДП!AG510</f>
        <v>ОСН</v>
      </c>
      <c r="H510" s="55" t="str">
        <f>IF(ISNUMBER(E510),E510,
IFERROR(LEFT(E510,FIND(".",E510)-1),E510))</f>
        <v>71</v>
      </c>
      <c r="I510" s="30">
        <f>IF(COUNTIF(Справочник_ОКВЭД_НР!$A$3:$A$62,H510)&gt;0,Справочник_ОКВЭД_НР!$L$8,
 IF(COUNTIF(Справочник_ОКВЭД_НР!$C$3:$C$62,H510)&gt;0,Справочник_ОКВЭД_НР!$L$9,
  IF(COUNTIF(Справочник_ОКВЭД_НР!$E$3:$E$62,H510)&gt;0,Справочник_ОКВЭД_НР!$L$10,
   IF(COUNTIF(Справочник_ОКВЭД_НР!$G$3:$G$62,H510)&gt;0,Справочник_ОКВЭД_НР!$L$11,50))))</f>
        <v>100</v>
      </c>
      <c r="J510" s="30" cm="1">
        <f t="array" ref="J510">IFERROR(
 (SUMPRODUCT(ISNUMBER(SEARCH(","&amp;Справочник_ОКВЭД_НР!$A$3:$A$62&amp;".",","&amp;SUBSTITUTE(F510," ","")&amp;",")))*Справочник_ОКВЭД_НР!$L$9 +
  SUMPRODUCT(ISNUMBER(SEARCH(","&amp;Справочник_ОКВЭД_НР!$C$3:$C$62&amp;".",","&amp;SUBSTITUTE(F510," ","")&amp;",")))*Справочник_ОКВЭД_НР!$L$10 +
  SUMPRODUCT(ISNUMBER(SEARCH(","&amp;Справочник_ОКВЭД_НР!$E$3:$E$62&amp;".",","&amp;SUBSTITUTE(F510," ","")&amp;",")))*Справочник_ОКВЭД_НР!$L$11 +
  SUMPRODUCT(ISNUMBER(SEARCH(","&amp;Справочник_ОКВЭД_НР!$G$3:$G$62&amp;".",","&amp;SUBSTITUTE(F510," ","")&amp;",")))*Справочник_ОКВЭД_НР!$L$12) /
 (SUMPRODUCT(ISNUMBER(SEARCH(","&amp;Справочник_ОКВЭД_НР!$A$3:$A$62&amp;".",","&amp;SUBSTITUTE(F510," ","")&amp;","))) +
  SUMPRODUCT(ISNUMBER(SEARCH(","&amp;Справочник_ОКВЭД_НР!$C$3:$C$62&amp;".",","&amp;SUBSTITUTE(F510," ","")&amp;","))) +
  SUMPRODUCT(ISNUMBER(SEARCH(","&amp;Справочник_ОКВЭД_НР!$E$3:$E$62&amp;".",","&amp;SUBSTITUTE(F510," ","")&amp;","))) +
  SUMPRODUCT(ISNUMBER(SEARCH(","&amp;Справочник_ОКВЭД_НР!$G$3:$G$62&amp;".",","&amp;SUBSTITUTE(F510," ","")&amp;",")))),
50)</f>
        <v>50</v>
      </c>
      <c r="K510" s="30">
        <f>IFERROR(VLOOKUP(G510,Справочник_ОКВЭД_НР!$O:$P,2,FALSE()),50)</f>
        <v>100</v>
      </c>
      <c r="L510" s="45">
        <f>(I510*Справочник_ОКВЭД_НР!$L$2+J510*Справочник_ОКВЭД_НР!$L$3+K510*Справочник_ОКВЭД_НР!$L$4)*M510</f>
        <v>87.5</v>
      </c>
      <c r="M510" s="47">
        <f>IF(COUNTIF(Справочник_ОКВЭД_НР!$G$3:$G$62,H510)&gt;0,0,1)</f>
        <v>1</v>
      </c>
    </row>
    <row r="511" spans="1:13" x14ac:dyDescent="0.25">
      <c r="A511" s="4">
        <f>ЛИК_дляСкорингаДП!A511</f>
        <v>1022103028408</v>
      </c>
      <c r="B511" s="4">
        <f>ЛИК_дляСкорингаДП!B511</f>
        <v>2125000440</v>
      </c>
      <c r="C511" s="4" t="str">
        <f>ЛИК_дляСкорингаДП!C511</f>
        <v>АО "КАФ"</v>
      </c>
      <c r="D511" s="5" t="str">
        <f>ЛИК_дляСкорингаДП!M511</f>
        <v>Производство автотранспортных средств</v>
      </c>
      <c r="E511" s="4" t="str">
        <f>ЛИК_дляСкорингаДП!L511</f>
        <v>29.10</v>
      </c>
      <c r="F511" t="str">
        <f>ЛИК_дляСкорингаДП!N511</f>
        <v>28.22,29.10.31,29.10.5,29.20,29.20.2,29.20.4,29.20.5,29.32,35.30,45.19,45.20,49.3,49.4,56.29,64.99,68.20.2,71.20,72.19,77.39.29</v>
      </c>
      <c r="G511" s="25" t="str">
        <f>ЛИК_дляСкорингаДП!AG511</f>
        <v>ОСН</v>
      </c>
      <c r="H511" s="55" t="str">
        <f>IF(ISNUMBER(E511),E511,
IFERROR(LEFT(E511,FIND(".",E511)-1),E511))</f>
        <v>29</v>
      </c>
      <c r="I511" s="30">
        <f>IF(COUNTIF(Справочник_ОКВЭД_НР!$A$3:$A$62,H511)&gt;0,Справочник_ОКВЭД_НР!$L$8,
 IF(COUNTIF(Справочник_ОКВЭД_НР!$C$3:$C$62,H511)&gt;0,Справочник_ОКВЭД_НР!$L$9,
  IF(COUNTIF(Справочник_ОКВЭД_НР!$E$3:$E$62,H511)&gt;0,Справочник_ОКВЭД_НР!$L$10,
   IF(COUNTIF(Справочник_ОКВЭД_НР!$G$3:$G$62,H511)&gt;0,Справочник_ОКВЭД_НР!$L$11,50))))</f>
        <v>60</v>
      </c>
      <c r="J511" s="30" cm="1">
        <f t="array" ref="J511">IFERROR(
 (SUMPRODUCT(ISNUMBER(SEARCH(","&amp;Справочник_ОКВЭД_НР!$A$3:$A$62&amp;".",","&amp;SUBSTITUTE(F511," ","")&amp;",")))*Справочник_ОКВЭД_НР!$L$9 +
  SUMPRODUCT(ISNUMBER(SEARCH(","&amp;Справочник_ОКВЭД_НР!$C$3:$C$62&amp;".",","&amp;SUBSTITUTE(F511," ","")&amp;",")))*Справочник_ОКВЭД_НР!$L$10 +
  SUMPRODUCT(ISNUMBER(SEARCH(","&amp;Справочник_ОКВЭД_НР!$E$3:$E$62&amp;".",","&amp;SUBSTITUTE(F511," ","")&amp;",")))*Справочник_ОКВЭД_НР!$L$11 +
  SUMPRODUCT(ISNUMBER(SEARCH(","&amp;Справочник_ОКВЭД_НР!$G$3:$G$62&amp;".",","&amp;SUBSTITUTE(F511," ","")&amp;",")))*Справочник_ОКВЭД_НР!$L$12) /
 (SUMPRODUCT(ISNUMBER(SEARCH(","&amp;Справочник_ОКВЭД_НР!$A$3:$A$62&amp;".",","&amp;SUBSTITUTE(F511," ","")&amp;","))) +
  SUMPRODUCT(ISNUMBER(SEARCH(","&amp;Справочник_ОКВЭД_НР!$C$3:$C$62&amp;".",","&amp;SUBSTITUTE(F511," ","")&amp;","))) +
  SUMPRODUCT(ISNUMBER(SEARCH(","&amp;Справочник_ОКВЭД_НР!$E$3:$E$62&amp;".",","&amp;SUBSTITUTE(F511," ","")&amp;","))) +
  SUMPRODUCT(ISNUMBER(SEARCH(","&amp;Справочник_ОКВЭД_НР!$G$3:$G$62&amp;".",","&amp;SUBSTITUTE(F511," ","")&amp;",")))),
50)</f>
        <v>50</v>
      </c>
      <c r="K511" s="30">
        <f>IFERROR(VLOOKUP(G511,Справочник_ОКВЭД_НР!$O:$P,2,FALSE()),50)</f>
        <v>100</v>
      </c>
      <c r="L511" s="45">
        <f>(I511*Справочник_ОКВЭД_НР!$L$2+J511*Справочник_ОКВЭД_НР!$L$3+K511*Справочник_ОКВЭД_НР!$L$4)*M511</f>
        <v>63.5</v>
      </c>
      <c r="M511" s="47">
        <f>IF(COUNTIF(Справочник_ОКВЭД_НР!$G$3:$G$62,H511)&gt;0,0,1)</f>
        <v>1</v>
      </c>
    </row>
    <row r="512" spans="1:13" x14ac:dyDescent="0.25">
      <c r="A512" s="4">
        <f>ЛИК_дляСкорингаДП!A512</f>
        <v>1042135001600</v>
      </c>
      <c r="B512" s="4">
        <f>ЛИК_дляСкорингаДП!B512</f>
        <v>2111006918</v>
      </c>
      <c r="C512" s="4" t="str">
        <f>ЛИК_дляСкорингаДП!C512</f>
        <v>АО "МАРПОСАДКАБЕЛЬ"</v>
      </c>
      <c r="D512" s="5" t="str">
        <f>ЛИК_дляСкорингаДП!M512</f>
        <v>Производство прочих проводов и кабелей для электронного и электрического оборудования</v>
      </c>
      <c r="E512" s="4" t="str">
        <f>ЛИК_дляСкорингаДП!L512</f>
        <v>27.32</v>
      </c>
      <c r="F512" t="str">
        <f>ЛИК_дляСкорингаДП!N512</f>
        <v>27.90,33.14,33.20,35.14,46.69.5,46.72.2,46.73,46.76.3,46.90,49.4</v>
      </c>
      <c r="G512" s="25" t="str">
        <f>ЛИК_дляСкорингаДП!AG512</f>
        <v>ОСН</v>
      </c>
      <c r="H512" s="55" t="str">
        <f>IF(ISNUMBER(E512),E512,
IFERROR(LEFT(E512,FIND(".",E512)-1),E512))</f>
        <v>27</v>
      </c>
      <c r="I512" s="30">
        <f>IF(COUNTIF(Справочник_ОКВЭД_НР!$A$3:$A$62,H512)&gt;0,Справочник_ОКВЭД_НР!$L$8,
 IF(COUNTIF(Справочник_ОКВЭД_НР!$C$3:$C$62,H512)&gt;0,Справочник_ОКВЭД_НР!$L$9,
  IF(COUNTIF(Справочник_ОКВЭД_НР!$E$3:$E$62,H512)&gt;0,Справочник_ОКВЭД_НР!$L$10,
   IF(COUNTIF(Справочник_ОКВЭД_НР!$G$3:$G$62,H512)&gt;0,Справочник_ОКВЭД_НР!$L$11,50))))</f>
        <v>100</v>
      </c>
      <c r="J512" s="30" cm="1">
        <f t="array" ref="J512">IFERROR(
 (SUMPRODUCT(ISNUMBER(SEARCH(","&amp;Справочник_ОКВЭД_НР!$A$3:$A$62&amp;".",","&amp;SUBSTITUTE(F512," ","")&amp;",")))*Справочник_ОКВЭД_НР!$L$9 +
  SUMPRODUCT(ISNUMBER(SEARCH(","&amp;Справочник_ОКВЭД_НР!$C$3:$C$62&amp;".",","&amp;SUBSTITUTE(F512," ","")&amp;",")))*Справочник_ОКВЭД_НР!$L$10 +
  SUMPRODUCT(ISNUMBER(SEARCH(","&amp;Справочник_ОКВЭД_НР!$E$3:$E$62&amp;".",","&amp;SUBSTITUTE(F512," ","")&amp;",")))*Справочник_ОКВЭД_НР!$L$11 +
  SUMPRODUCT(ISNUMBER(SEARCH(","&amp;Справочник_ОКВЭД_НР!$G$3:$G$62&amp;".",","&amp;SUBSTITUTE(F512," ","")&amp;",")))*Справочник_ОКВЭД_НР!$L$12) /
 (SUMPRODUCT(ISNUMBER(SEARCH(","&amp;Справочник_ОКВЭД_НР!$A$3:$A$62&amp;".",","&amp;SUBSTITUTE(F512," ","")&amp;","))) +
  SUMPRODUCT(ISNUMBER(SEARCH(","&amp;Справочник_ОКВЭД_НР!$C$3:$C$62&amp;".",","&amp;SUBSTITUTE(F512," ","")&amp;","))) +
  SUMPRODUCT(ISNUMBER(SEARCH(","&amp;Справочник_ОКВЭД_НР!$E$3:$E$62&amp;".",","&amp;SUBSTITUTE(F512," ","")&amp;","))) +
  SUMPRODUCT(ISNUMBER(SEARCH(","&amp;Справочник_ОКВЭД_НР!$G$3:$G$62&amp;".",","&amp;SUBSTITUTE(F512," ","")&amp;",")))),
50)</f>
        <v>50</v>
      </c>
      <c r="K512" s="30">
        <f>IFERROR(VLOOKUP(G512,Справочник_ОКВЭД_НР!$O:$P,2,FALSE()),50)</f>
        <v>100</v>
      </c>
      <c r="L512" s="45">
        <f>(I512*Справочник_ОКВЭД_НР!$L$2+J512*Справочник_ОКВЭД_НР!$L$3+K512*Справочник_ОКВЭД_НР!$L$4)*M512</f>
        <v>87.5</v>
      </c>
      <c r="M512" s="47">
        <f>IF(COUNTIF(Справочник_ОКВЭД_НР!$G$3:$G$62,H512)&gt;0,0,1)</f>
        <v>1</v>
      </c>
    </row>
    <row r="513" spans="1:13" x14ac:dyDescent="0.25">
      <c r="A513" s="4">
        <f>ЛИК_дляСкорингаДП!A513</f>
        <v>1022101282455</v>
      </c>
      <c r="B513" s="4">
        <f>ЛИК_дляСкорингаДП!B513</f>
        <v>2129008850</v>
      </c>
      <c r="C513" s="4" t="str">
        <f>ЛИК_дляСкорингаДП!C513</f>
        <v>АО "ЧЕБОКСАРСКИЙ РЕЧНОЙ ПОРТ"</v>
      </c>
      <c r="D513" s="5" t="str">
        <f>ЛИК_дляСкорингаДП!M513</f>
        <v>Транспортная обработка прочих грузов</v>
      </c>
      <c r="E513" s="4" t="str">
        <f>ЛИК_дляСкорингаДП!L513</f>
        <v>52.24.2</v>
      </c>
      <c r="F513" t="str">
        <f>ЛИК_дляСкорингаДП!N513</f>
        <v>08.12.1,23.63,23.70.1,46.73.6,50.30.1,50.40.1,52.22.29,68.20.29,08.12,23.63,23.70.1,30.11,33.15,38.11,38.12,42.21,42.22.2,43.99,46.73.6,47.79.3,49.41,50.30,50.30.2,50.40,50.40.2,52.10.9,52.22,52.22.2,52.24.1,52.24.2,52.29,68.20.2,71.1,77.11,77.12,77.32,77.34,77.39,79.11,79.90.2,79.90.3</v>
      </c>
      <c r="G513" s="25" t="str">
        <f>ЛИК_дляСкорингаДП!AG513</f>
        <v>ОСН</v>
      </c>
      <c r="H513" s="55" t="str">
        <f>IF(ISNUMBER(E513),E513,
IFERROR(LEFT(E513,FIND(".",E513)-1),E513))</f>
        <v>52</v>
      </c>
      <c r="I513" s="30">
        <f>IF(COUNTIF(Справочник_ОКВЭД_НР!$A$3:$A$62,H513)&gt;0,Справочник_ОКВЭД_НР!$L$8,
 IF(COUNTIF(Справочник_ОКВЭД_НР!$C$3:$C$62,H513)&gt;0,Справочник_ОКВЭД_НР!$L$9,
  IF(COUNTIF(Справочник_ОКВЭД_НР!$E$3:$E$62,H513)&gt;0,Справочник_ОКВЭД_НР!$L$10,
   IF(COUNTIF(Справочник_ОКВЭД_НР!$G$3:$G$62,H513)&gt;0,Справочник_ОКВЭД_НР!$L$11,50))))</f>
        <v>60</v>
      </c>
      <c r="J513" s="30" cm="1">
        <f t="array" ref="J513">IFERROR(
 (SUMPRODUCT(ISNUMBER(SEARCH(","&amp;Справочник_ОКВЭД_НР!$A$3:$A$62&amp;".",","&amp;SUBSTITUTE(F513," ","")&amp;",")))*Справочник_ОКВЭД_НР!$L$9 +
  SUMPRODUCT(ISNUMBER(SEARCH(","&amp;Справочник_ОКВЭД_НР!$C$3:$C$62&amp;".",","&amp;SUBSTITUTE(F513," ","")&amp;",")))*Справочник_ОКВЭД_НР!$L$10 +
  SUMPRODUCT(ISNUMBER(SEARCH(","&amp;Справочник_ОКВЭД_НР!$E$3:$E$62&amp;".",","&amp;SUBSTITUTE(F513," ","")&amp;",")))*Справочник_ОКВЭД_НР!$L$11 +
  SUMPRODUCT(ISNUMBER(SEARCH(","&amp;Справочник_ОКВЭД_НР!$G$3:$G$62&amp;".",","&amp;SUBSTITUTE(F513," ","")&amp;",")))*Справочник_ОКВЭД_НР!$L$12) /
 (SUMPRODUCT(ISNUMBER(SEARCH(","&amp;Справочник_ОКВЭД_НР!$A$3:$A$62&amp;".",","&amp;SUBSTITUTE(F513," ","")&amp;","))) +
  SUMPRODUCT(ISNUMBER(SEARCH(","&amp;Справочник_ОКВЭД_НР!$C$3:$C$62&amp;".",","&amp;SUBSTITUTE(F513," ","")&amp;","))) +
  SUMPRODUCT(ISNUMBER(SEARCH(","&amp;Справочник_ОКВЭД_НР!$E$3:$E$62&amp;".",","&amp;SUBSTITUTE(F513," ","")&amp;","))) +
  SUMPRODUCT(ISNUMBER(SEARCH(","&amp;Справочник_ОКВЭД_НР!$G$3:$G$62&amp;".",","&amp;SUBSTITUTE(F513," ","")&amp;",")))),
50)</f>
        <v>50</v>
      </c>
      <c r="K513" s="30">
        <f>IFERROR(VLOOKUP(G513,Справочник_ОКВЭД_НР!$O:$P,2,FALSE()),50)</f>
        <v>100</v>
      </c>
      <c r="L513" s="45">
        <f>(I513*Справочник_ОКВЭД_НР!$L$2+J513*Справочник_ОКВЭД_НР!$L$3+K513*Справочник_ОКВЭД_НР!$L$4)*M513</f>
        <v>63.5</v>
      </c>
      <c r="M513" s="47">
        <f>IF(COUNTIF(Справочник_ОКВЭД_НР!$G$3:$G$62,H513)&gt;0,0,1)</f>
        <v>1</v>
      </c>
    </row>
    <row r="514" spans="1:13" x14ac:dyDescent="0.25">
      <c r="A514" s="4">
        <f>ЛИК_дляСкорингаДП!A514</f>
        <v>1032128009605</v>
      </c>
      <c r="B514" s="4">
        <f>ЛИК_дляСкорингаДП!B514</f>
        <v>2128049998</v>
      </c>
      <c r="C514" s="4" t="str">
        <f>ЛИК_дляСкорингаДП!C514</f>
        <v>АО "ГАЗПРОМ ГАЗОРАСПРЕДЕЛЕНИЕ ЧЕБОКСАРЫ"</v>
      </c>
      <c r="D514" s="5" t="str">
        <f>ЛИК_дляСкорингаДП!M514</f>
        <v>Распределение газообразного топлива по газораспределительным сетям</v>
      </c>
      <c r="E514" s="4" t="str">
        <f>ЛИК_дляСкорингаДП!L514</f>
        <v>35.22</v>
      </c>
      <c r="F514" t="str">
        <f>ЛИК_дляСкорингаДП!N514</f>
        <v>43.22,46.73.3,47.52,56.10.1,56.30,68.20.29,71.12.11,71.12.62,85.42.9,35.22,35.23,35.30.14,35.30.4,42.21,43.21,43.22,43.29,46.71,47.19,47.52.5,52.21.24,56.10.1,56.29,56.30,68.20.1,68.20.2,71.12,71.12.1,71.12.4,71.12.62,85.42,86.90.9</v>
      </c>
      <c r="G514" s="25" t="str">
        <f>ЛИК_дляСкорингаДП!AG514</f>
        <v>ОСН</v>
      </c>
      <c r="H514" s="55" t="str">
        <f>IF(ISNUMBER(E514),E514,
IFERROR(LEFT(E514,FIND(".",E514)-1),E514))</f>
        <v>35</v>
      </c>
      <c r="I514" s="30">
        <f>IF(COUNTIF(Справочник_ОКВЭД_НР!$A$3:$A$62,H514)&gt;0,Справочник_ОКВЭД_НР!$L$8,
 IF(COUNTIF(Справочник_ОКВЭД_НР!$C$3:$C$62,H514)&gt;0,Справочник_ОКВЭД_НР!$L$9,
  IF(COUNTIF(Справочник_ОКВЭД_НР!$E$3:$E$62,H514)&gt;0,Справочник_ОКВЭД_НР!$L$10,
   IF(COUNTIF(Справочник_ОКВЭД_НР!$G$3:$G$62,H514)&gt;0,Справочник_ОКВЭД_НР!$L$11,50))))</f>
        <v>60</v>
      </c>
      <c r="J514" s="30" cm="1">
        <f t="array" ref="J514">IFERROR(
 (SUMPRODUCT(ISNUMBER(SEARCH(","&amp;Справочник_ОКВЭД_НР!$A$3:$A$62&amp;".",","&amp;SUBSTITUTE(F514," ","")&amp;",")))*Справочник_ОКВЭД_НР!$L$9 +
  SUMPRODUCT(ISNUMBER(SEARCH(","&amp;Справочник_ОКВЭД_НР!$C$3:$C$62&amp;".",","&amp;SUBSTITUTE(F514," ","")&amp;",")))*Справочник_ОКВЭД_НР!$L$10 +
  SUMPRODUCT(ISNUMBER(SEARCH(","&amp;Справочник_ОКВЭД_НР!$E$3:$E$62&amp;".",","&amp;SUBSTITUTE(F514," ","")&amp;",")))*Справочник_ОКВЭД_НР!$L$11 +
  SUMPRODUCT(ISNUMBER(SEARCH(","&amp;Справочник_ОКВЭД_НР!$G$3:$G$62&amp;".",","&amp;SUBSTITUTE(F514," ","")&amp;",")))*Справочник_ОКВЭД_НР!$L$12) /
 (SUMPRODUCT(ISNUMBER(SEARCH(","&amp;Справочник_ОКВЭД_НР!$A$3:$A$62&amp;".",","&amp;SUBSTITUTE(F514," ","")&amp;","))) +
  SUMPRODUCT(ISNUMBER(SEARCH(","&amp;Справочник_ОКВЭД_НР!$C$3:$C$62&amp;".",","&amp;SUBSTITUTE(F514," ","")&amp;","))) +
  SUMPRODUCT(ISNUMBER(SEARCH(","&amp;Справочник_ОКВЭД_НР!$E$3:$E$62&amp;".",","&amp;SUBSTITUTE(F514," ","")&amp;","))) +
  SUMPRODUCT(ISNUMBER(SEARCH(","&amp;Справочник_ОКВЭД_НР!$G$3:$G$62&amp;".",","&amp;SUBSTITUTE(F514," ","")&amp;",")))),
50)</f>
        <v>50</v>
      </c>
      <c r="K514" s="30">
        <f>IFERROR(VLOOKUP(G514,Справочник_ОКВЭД_НР!$O:$P,2,FALSE()),50)</f>
        <v>100</v>
      </c>
      <c r="L514" s="45">
        <f>(I514*Справочник_ОКВЭД_НР!$L$2+J514*Справочник_ОКВЭД_НР!$L$3+K514*Справочник_ОКВЭД_НР!$L$4)*M514</f>
        <v>63.5</v>
      </c>
      <c r="M514" s="47">
        <f>IF(COUNTIF(Справочник_ОКВЭД_НР!$G$3:$G$62,H514)&gt;0,0,1)</f>
        <v>1</v>
      </c>
    </row>
    <row r="515" spans="1:13" x14ac:dyDescent="0.25">
      <c r="A515" s="4">
        <f>ЛИК_дляСкорингаДП!A515</f>
        <v>1022101630462</v>
      </c>
      <c r="B515" s="4">
        <f>ЛИК_дляСкорингаДП!B515</f>
        <v>2122003073</v>
      </c>
      <c r="C515" s="4" t="str">
        <f>ЛИК_дляСкорингаДП!C515</f>
        <v>ООО "АЛАТЫРСКАЯ БУМАЖНАЯ ФАБРИКА"</v>
      </c>
      <c r="D515" s="5" t="str">
        <f>ЛИК_дляСкорингаДП!M515</f>
        <v>Производство бумаги и картона</v>
      </c>
      <c r="E515" s="4" t="str">
        <f>ЛИК_дляСкорингаДП!L515</f>
        <v>17.12</v>
      </c>
      <c r="F515" t="str">
        <f>ЛИК_дляСкорингаДП!N515</f>
        <v>17.21,17.29,35.30.14,47.11,49.41.2,56.29.2,17.12,17.21,35.30.14,37.00,46.76.1,46.90</v>
      </c>
      <c r="G515" s="25" t="str">
        <f>ЛИК_дляСкорингаДП!AG515</f>
        <v>ОСН</v>
      </c>
      <c r="H515" s="55" t="str">
        <f>IF(ISNUMBER(E515),E515,
IFERROR(LEFT(E515,FIND(".",E515)-1),E515))</f>
        <v>17</v>
      </c>
      <c r="I515" s="30">
        <f>IF(COUNTIF(Справочник_ОКВЭД_НР!$A$3:$A$62,H515)&gt;0,Справочник_ОКВЭД_НР!$L$8,
 IF(COUNTIF(Справочник_ОКВЭД_НР!$C$3:$C$62,H515)&gt;0,Справочник_ОКВЭД_НР!$L$9,
  IF(COUNTIF(Справочник_ОКВЭД_НР!$E$3:$E$62,H515)&gt;0,Справочник_ОКВЭД_НР!$L$10,
   IF(COUNTIF(Справочник_ОКВЭД_НР!$G$3:$G$62,H515)&gt;0,Справочник_ОКВЭД_НР!$L$11,50))))</f>
        <v>60</v>
      </c>
      <c r="J515" s="30" cm="1">
        <f t="array" ref="J515">IFERROR(
 (SUMPRODUCT(ISNUMBER(SEARCH(","&amp;Справочник_ОКВЭД_НР!$A$3:$A$62&amp;".",","&amp;SUBSTITUTE(F515," ","")&amp;",")))*Справочник_ОКВЭД_НР!$L$9 +
  SUMPRODUCT(ISNUMBER(SEARCH(","&amp;Справочник_ОКВЭД_НР!$C$3:$C$62&amp;".",","&amp;SUBSTITUTE(F515," ","")&amp;",")))*Справочник_ОКВЭД_НР!$L$10 +
  SUMPRODUCT(ISNUMBER(SEARCH(","&amp;Справочник_ОКВЭД_НР!$E$3:$E$62&amp;".",","&amp;SUBSTITUTE(F515," ","")&amp;",")))*Справочник_ОКВЭД_НР!$L$11 +
  SUMPRODUCT(ISNUMBER(SEARCH(","&amp;Справочник_ОКВЭД_НР!$G$3:$G$62&amp;".",","&amp;SUBSTITUTE(F515," ","")&amp;",")))*Справочник_ОКВЭД_НР!$L$12) /
 (SUMPRODUCT(ISNUMBER(SEARCH(","&amp;Справочник_ОКВЭД_НР!$A$3:$A$62&amp;".",","&amp;SUBSTITUTE(F515," ","")&amp;","))) +
  SUMPRODUCT(ISNUMBER(SEARCH(","&amp;Справочник_ОКВЭД_НР!$C$3:$C$62&amp;".",","&amp;SUBSTITUTE(F515," ","")&amp;","))) +
  SUMPRODUCT(ISNUMBER(SEARCH(","&amp;Справочник_ОКВЭД_НР!$E$3:$E$62&amp;".",","&amp;SUBSTITUTE(F515," ","")&amp;","))) +
  SUMPRODUCT(ISNUMBER(SEARCH(","&amp;Справочник_ОКВЭД_НР!$G$3:$G$62&amp;".",","&amp;SUBSTITUTE(F515," ","")&amp;",")))),
50)</f>
        <v>50</v>
      </c>
      <c r="K515" s="30">
        <f>IFERROR(VLOOKUP(G515,Справочник_ОКВЭД_НР!$O:$P,2,FALSE()),50)</f>
        <v>100</v>
      </c>
      <c r="L515" s="45">
        <f>(I515*Справочник_ОКВЭД_НР!$L$2+J515*Справочник_ОКВЭД_НР!$L$3+K515*Справочник_ОКВЭД_НР!$L$4)*M515</f>
        <v>63.5</v>
      </c>
      <c r="M515" s="47">
        <f>IF(COUNTIF(Справочник_ОКВЭД_НР!$G$3:$G$62,H515)&gt;0,0,1)</f>
        <v>1</v>
      </c>
    </row>
    <row r="516" spans="1:13" x14ac:dyDescent="0.25">
      <c r="A516" s="4">
        <f>ЛИК_дляСкорингаДП!A516</f>
        <v>1022101275723</v>
      </c>
      <c r="B516" s="4">
        <f>ЛИК_дляСкорингаДП!B516</f>
        <v>2129046654</v>
      </c>
      <c r="C516" s="4" t="str">
        <f>ЛИК_дляСкорингаДП!C516</f>
        <v>ООО "СЗ "СК "СТАРАТЕЛЬ"</v>
      </c>
      <c r="D516" s="5" t="str">
        <f>ЛИК_дляСкорингаДП!M516</f>
        <v>Жилищное строительство</v>
      </c>
      <c r="E516" s="4" t="str">
        <f>ЛИК_дляСкорингаДП!L516</f>
        <v>41.20.1</v>
      </c>
      <c r="F516" t="str">
        <f>ЛИК_дляСкорингаДП!N516</f>
        <v>23.63,41.20.9,46.73.6,16.23,23.63,41.20,43.11,43.12.1,43.12.3,43.21,43.22,43.31,43.32,43.33,43.34,43.91,43.99.1,43.99.5,43.99.6</v>
      </c>
      <c r="G516" s="25" t="str">
        <f>ЛИК_дляСкорингаДП!AG516</f>
        <v>ОСН</v>
      </c>
      <c r="H516" s="55" t="str">
        <f>IF(ISNUMBER(E516),E516,
IFERROR(LEFT(E516,FIND(".",E516)-1),E516))</f>
        <v>41</v>
      </c>
      <c r="I516" s="30">
        <f>IF(COUNTIF(Справочник_ОКВЭД_НР!$A$3:$A$62,H516)&gt;0,Справочник_ОКВЭД_НР!$L$8,
 IF(COUNTIF(Справочник_ОКВЭД_НР!$C$3:$C$62,H516)&gt;0,Справочник_ОКВЭД_НР!$L$9,
  IF(COUNTIF(Справочник_ОКВЭД_НР!$E$3:$E$62,H516)&gt;0,Справочник_ОКВЭД_НР!$L$10,
   IF(COUNTIF(Справочник_ОКВЭД_НР!$G$3:$G$62,H516)&gt;0,Справочник_ОКВЭД_НР!$L$11,50))))</f>
        <v>100</v>
      </c>
      <c r="J516" s="30" cm="1">
        <f t="array" ref="J516">IFERROR(
 (SUMPRODUCT(ISNUMBER(SEARCH(","&amp;Справочник_ОКВЭД_НР!$A$3:$A$62&amp;".",","&amp;SUBSTITUTE(F516," ","")&amp;",")))*Справочник_ОКВЭД_НР!$L$9 +
  SUMPRODUCT(ISNUMBER(SEARCH(","&amp;Справочник_ОКВЭД_НР!$C$3:$C$62&amp;".",","&amp;SUBSTITUTE(F516," ","")&amp;",")))*Справочник_ОКВЭД_НР!$L$10 +
  SUMPRODUCT(ISNUMBER(SEARCH(","&amp;Справочник_ОКВЭД_НР!$E$3:$E$62&amp;".",","&amp;SUBSTITUTE(F516," ","")&amp;",")))*Справочник_ОКВЭД_НР!$L$11 +
  SUMPRODUCT(ISNUMBER(SEARCH(","&amp;Справочник_ОКВЭД_НР!$G$3:$G$62&amp;".",","&amp;SUBSTITUTE(F516," ","")&amp;",")))*Справочник_ОКВЭД_НР!$L$12) /
 (SUMPRODUCT(ISNUMBER(SEARCH(","&amp;Справочник_ОКВЭД_НР!$A$3:$A$62&amp;".",","&amp;SUBSTITUTE(F516," ","")&amp;","))) +
  SUMPRODUCT(ISNUMBER(SEARCH(","&amp;Справочник_ОКВЭД_НР!$C$3:$C$62&amp;".",","&amp;SUBSTITUTE(F516," ","")&amp;","))) +
  SUMPRODUCT(ISNUMBER(SEARCH(","&amp;Справочник_ОКВЭД_НР!$E$3:$E$62&amp;".",","&amp;SUBSTITUTE(F516," ","")&amp;","))) +
  SUMPRODUCT(ISNUMBER(SEARCH(","&amp;Справочник_ОКВЭД_НР!$G$3:$G$62&amp;".",","&amp;SUBSTITUTE(F516," ","")&amp;",")))),
50)</f>
        <v>50</v>
      </c>
      <c r="K516" s="30">
        <f>IFERROR(VLOOKUP(G516,Справочник_ОКВЭД_НР!$O:$P,2,FALSE()),50)</f>
        <v>100</v>
      </c>
      <c r="L516" s="45">
        <f>(I516*Справочник_ОКВЭД_НР!$L$2+J516*Справочник_ОКВЭД_НР!$L$3+K516*Справочник_ОКВЭД_НР!$L$4)*M516</f>
        <v>87.5</v>
      </c>
      <c r="M516" s="47">
        <f>IF(COUNTIF(Справочник_ОКВЭД_НР!$G$3:$G$62,H516)&gt;0,0,1)</f>
        <v>1</v>
      </c>
    </row>
    <row r="517" spans="1:13" x14ac:dyDescent="0.25">
      <c r="A517" s="4">
        <f>ЛИК_дляСкорингаДП!A517</f>
        <v>1022101135143</v>
      </c>
      <c r="B517" s="4">
        <f>ЛИК_дляСкорингаДП!B517</f>
        <v>2126001503</v>
      </c>
      <c r="C517" s="4" t="str">
        <f>ЛИК_дляСкорингаДП!C517</f>
        <v>АО "ЧУВАШВТОРМЕТ"</v>
      </c>
      <c r="D517" s="5" t="str">
        <f>ЛИК_дляСкорингаДП!M517</f>
        <v>Заготовка, хранение, переработка и реализация лома и отходов черных металлов</v>
      </c>
      <c r="E517" s="4" t="str">
        <f>ЛИК_дляСкорингаДП!L517</f>
        <v>38.32.3</v>
      </c>
      <c r="F517" t="str">
        <f>ЛИК_дляСкорингаДП!N517</f>
        <v>49.41.1,68.20.29,38.32.3,38.32.4,46.77,47.79.3,49.41</v>
      </c>
      <c r="G517" s="25" t="str">
        <f>ЛИК_дляСкорингаДП!AG517</f>
        <v>ОСН</v>
      </c>
      <c r="H517" s="55" t="str">
        <f>IF(ISNUMBER(E517),E517,
IFERROR(LEFT(E517,FIND(".",E517)-1),E517))</f>
        <v>38</v>
      </c>
      <c r="I517" s="30">
        <f>IF(COUNTIF(Справочник_ОКВЭД_НР!$A$3:$A$62,H517)&gt;0,Справочник_ОКВЭД_НР!$L$8,
 IF(COUNTIF(Справочник_ОКВЭД_НР!$C$3:$C$62,H517)&gt;0,Справочник_ОКВЭД_НР!$L$9,
  IF(COUNTIF(Справочник_ОКВЭД_НР!$E$3:$E$62,H517)&gt;0,Справочник_ОКВЭД_НР!$L$10,
   IF(COUNTIF(Справочник_ОКВЭД_НР!$G$3:$G$62,H517)&gt;0,Справочник_ОКВЭД_НР!$L$11,50))))</f>
        <v>30</v>
      </c>
      <c r="J517" s="30" cm="1">
        <f t="array" ref="J517">IFERROR(
 (SUMPRODUCT(ISNUMBER(SEARCH(","&amp;Справочник_ОКВЭД_НР!$A$3:$A$62&amp;".",","&amp;SUBSTITUTE(F517," ","")&amp;",")))*Справочник_ОКВЭД_НР!$L$9 +
  SUMPRODUCT(ISNUMBER(SEARCH(","&amp;Справочник_ОКВЭД_НР!$C$3:$C$62&amp;".",","&amp;SUBSTITUTE(F517," ","")&amp;",")))*Справочник_ОКВЭД_НР!$L$10 +
  SUMPRODUCT(ISNUMBER(SEARCH(","&amp;Справочник_ОКВЭД_НР!$E$3:$E$62&amp;".",","&amp;SUBSTITUTE(F517," ","")&amp;",")))*Справочник_ОКВЭД_НР!$L$11 +
  SUMPRODUCT(ISNUMBER(SEARCH(","&amp;Справочник_ОКВЭД_НР!$G$3:$G$62&amp;".",","&amp;SUBSTITUTE(F517," ","")&amp;",")))*Справочник_ОКВЭД_НР!$L$12) /
 (SUMPRODUCT(ISNUMBER(SEARCH(","&amp;Справочник_ОКВЭД_НР!$A$3:$A$62&amp;".",","&amp;SUBSTITUTE(F517," ","")&amp;","))) +
  SUMPRODUCT(ISNUMBER(SEARCH(","&amp;Справочник_ОКВЭД_НР!$C$3:$C$62&amp;".",","&amp;SUBSTITUTE(F517," ","")&amp;","))) +
  SUMPRODUCT(ISNUMBER(SEARCH(","&amp;Справочник_ОКВЭД_НР!$E$3:$E$62&amp;".",","&amp;SUBSTITUTE(F517," ","")&amp;","))) +
  SUMPRODUCT(ISNUMBER(SEARCH(","&amp;Справочник_ОКВЭД_НР!$G$3:$G$62&amp;".",","&amp;SUBSTITUTE(F517," ","")&amp;",")))),
50)</f>
        <v>50</v>
      </c>
      <c r="K517" s="30">
        <f>IFERROR(VLOOKUP(G517,Справочник_ОКВЭД_НР!$O:$P,2,FALSE()),50)</f>
        <v>100</v>
      </c>
      <c r="L517" s="45">
        <f>(I517*Справочник_ОКВЭД_НР!$L$2+J517*Справочник_ОКВЭД_НР!$L$3+K517*Справочник_ОКВЭД_НР!$L$4)*M517</f>
        <v>45.5</v>
      </c>
      <c r="M517" s="47">
        <f>IF(COUNTIF(Справочник_ОКВЭД_НР!$G$3:$G$62,H517)&gt;0,0,1)</f>
        <v>1</v>
      </c>
    </row>
    <row r="518" spans="1:13" x14ac:dyDescent="0.25">
      <c r="A518" s="4">
        <f>ЛИК_дляСкорингаДП!A518</f>
        <v>1022100968317</v>
      </c>
      <c r="B518" s="4">
        <f>ЛИК_дляСкорингаДП!B518</f>
        <v>2127308248</v>
      </c>
      <c r="C518" s="4" t="str">
        <f>ЛИК_дляСкорингаДП!C518</f>
        <v>ООО "АВРОРА"</v>
      </c>
      <c r="D518" s="5" t="str">
        <f>ЛИК_дляСкорингаДП!M518</f>
        <v>Торговля оптовая алкогольными напитками, включая пиво и пищевой этиловый спирт</v>
      </c>
      <c r="E518" s="4" t="str">
        <f>ЛИК_дляСкорингаДП!L518</f>
        <v>46.34.2</v>
      </c>
      <c r="F518" t="str">
        <f>ЛИК_дляСкорингаДП!N518</f>
        <v>01.11,31.09,32.99.9,41.20,46.17,46.17.1,46.17.3,46.18,46.21.2,46.35,46.39.2,46.90,47.11,47.25.1,49.41,49.42,52.29,56.10,56.10.1,56.10.3,64.91,68.20.2,73.11,79.11,82.99,93.29</v>
      </c>
      <c r="G518" s="25" t="str">
        <f>ЛИК_дляСкорингаДП!AG518</f>
        <v>ОСН</v>
      </c>
      <c r="H518" s="55" t="str">
        <f>IF(ISNUMBER(E518),E518,
IFERROR(LEFT(E518,FIND(".",E518)-1),E518))</f>
        <v>46</v>
      </c>
      <c r="I518" s="30">
        <f>IF(COUNTIF(Справочник_ОКВЭД_НР!$A$3:$A$62,H518)&gt;0,Справочник_ОКВЭД_НР!$L$8,
 IF(COUNTIF(Справочник_ОКВЭД_НР!$C$3:$C$62,H518)&gt;0,Справочник_ОКВЭД_НР!$L$9,
  IF(COUNTIF(Справочник_ОКВЭД_НР!$E$3:$E$62,H518)&gt;0,Справочник_ОКВЭД_НР!$L$10,
   IF(COUNTIF(Справочник_ОКВЭД_НР!$G$3:$G$62,H518)&gt;0,Справочник_ОКВЭД_НР!$L$11,50))))</f>
        <v>60</v>
      </c>
      <c r="J518" s="30" cm="1">
        <f t="array" ref="J518">IFERROR(
 (SUMPRODUCT(ISNUMBER(SEARCH(","&amp;Справочник_ОКВЭД_НР!$A$3:$A$62&amp;".",","&amp;SUBSTITUTE(F518," ","")&amp;",")))*Справочник_ОКВЭД_НР!$L$9 +
  SUMPRODUCT(ISNUMBER(SEARCH(","&amp;Справочник_ОКВЭД_НР!$C$3:$C$62&amp;".",","&amp;SUBSTITUTE(F518," ","")&amp;",")))*Справочник_ОКВЭД_НР!$L$10 +
  SUMPRODUCT(ISNUMBER(SEARCH(","&amp;Справочник_ОКВЭД_НР!$E$3:$E$62&amp;".",","&amp;SUBSTITUTE(F518," ","")&amp;",")))*Справочник_ОКВЭД_НР!$L$11 +
  SUMPRODUCT(ISNUMBER(SEARCH(","&amp;Справочник_ОКВЭД_НР!$G$3:$G$62&amp;".",","&amp;SUBSTITUTE(F518," ","")&amp;",")))*Справочник_ОКВЭД_НР!$L$12) /
 (SUMPRODUCT(ISNUMBER(SEARCH(","&amp;Справочник_ОКВЭД_НР!$A$3:$A$62&amp;".",","&amp;SUBSTITUTE(F518," ","")&amp;","))) +
  SUMPRODUCT(ISNUMBER(SEARCH(","&amp;Справочник_ОКВЭД_НР!$C$3:$C$62&amp;".",","&amp;SUBSTITUTE(F518," ","")&amp;","))) +
  SUMPRODUCT(ISNUMBER(SEARCH(","&amp;Справочник_ОКВЭД_НР!$E$3:$E$62&amp;".",","&amp;SUBSTITUTE(F518," ","")&amp;","))) +
  SUMPRODUCT(ISNUMBER(SEARCH(","&amp;Справочник_ОКВЭД_НР!$G$3:$G$62&amp;".",","&amp;SUBSTITUTE(F518," ","")&amp;",")))),
50)</f>
        <v>50</v>
      </c>
      <c r="K518" s="30">
        <f>IFERROR(VLOOKUP(G518,Справочник_ОКВЭД_НР!$O:$P,2,FALSE()),50)</f>
        <v>100</v>
      </c>
      <c r="L518" s="45">
        <f>(I518*Справочник_ОКВЭД_НР!$L$2+J518*Справочник_ОКВЭД_НР!$L$3+K518*Справочник_ОКВЭД_НР!$L$4)*M518</f>
        <v>63.5</v>
      </c>
      <c r="M518" s="47">
        <f>IF(COUNTIF(Справочник_ОКВЭД_НР!$G$3:$G$62,H518)&gt;0,0,1)</f>
        <v>1</v>
      </c>
    </row>
    <row r="519" spans="1:13" x14ac:dyDescent="0.25">
      <c r="A519" s="4">
        <f>ЛИК_дляСкорингаДП!A519</f>
        <v>1022100908510</v>
      </c>
      <c r="B519" s="4">
        <f>ЛИК_дляСкорингаДП!B519</f>
        <v>2124003784</v>
      </c>
      <c r="C519" s="4" t="str">
        <f>ЛИК_дляСкорингаДП!C519</f>
        <v>АО "ЧЕБОКСАРЫ-ЛАДА"</v>
      </c>
      <c r="D519" s="5" t="str">
        <f>ЛИК_дляСкорингаДП!M519</f>
        <v>Торговля розничная легковыми автомобилями и легкими автотранспортными средствами в специализированных магазинах</v>
      </c>
      <c r="E519" s="4" t="str">
        <f>ЛИК_дляСкорингаДП!L519</f>
        <v>45.11.2</v>
      </c>
      <c r="F519" t="str">
        <f>ЛИК_дляСкорингаДП!N519</f>
        <v>45.20.1,45.32.1,66.22,68.20.29,45.11,45.11.2,45.11.3,45.19.2,45.19.3,45.20,45.20.1,45.3,45.32.2,47.91,71.20.5</v>
      </c>
      <c r="G519" s="25" t="str">
        <f>ЛИК_дляСкорингаДП!AG519</f>
        <v>ОСН</v>
      </c>
      <c r="H519" s="55" t="str">
        <f>IF(ISNUMBER(E519),E519,
IFERROR(LEFT(E519,FIND(".",E519)-1),E519))</f>
        <v>45</v>
      </c>
      <c r="I519" s="30">
        <f>IF(COUNTIF(Справочник_ОКВЭД_НР!$A$3:$A$62,H519)&gt;0,Справочник_ОКВЭД_НР!$L$8,
 IF(COUNTIF(Справочник_ОКВЭД_НР!$C$3:$C$62,H519)&gt;0,Справочник_ОКВЭД_НР!$L$9,
  IF(COUNTIF(Справочник_ОКВЭД_НР!$E$3:$E$62,H519)&gt;0,Справочник_ОКВЭД_НР!$L$10,
   IF(COUNTIF(Справочник_ОКВЭД_НР!$G$3:$G$62,H519)&gt;0,Справочник_ОКВЭД_НР!$L$11,50))))</f>
        <v>60</v>
      </c>
      <c r="J519" s="30" cm="1">
        <f t="array" ref="J519">IFERROR(
 (SUMPRODUCT(ISNUMBER(SEARCH(","&amp;Справочник_ОКВЭД_НР!$A$3:$A$62&amp;".",","&amp;SUBSTITUTE(F519," ","")&amp;",")))*Справочник_ОКВЭД_НР!$L$9 +
  SUMPRODUCT(ISNUMBER(SEARCH(","&amp;Справочник_ОКВЭД_НР!$C$3:$C$62&amp;".",","&amp;SUBSTITUTE(F519," ","")&amp;",")))*Справочник_ОКВЭД_НР!$L$10 +
  SUMPRODUCT(ISNUMBER(SEARCH(","&amp;Справочник_ОКВЭД_НР!$E$3:$E$62&amp;".",","&amp;SUBSTITUTE(F519," ","")&amp;",")))*Справочник_ОКВЭД_НР!$L$11 +
  SUMPRODUCT(ISNUMBER(SEARCH(","&amp;Справочник_ОКВЭД_НР!$G$3:$G$62&amp;".",","&amp;SUBSTITUTE(F519," ","")&amp;",")))*Справочник_ОКВЭД_НР!$L$12) /
 (SUMPRODUCT(ISNUMBER(SEARCH(","&amp;Справочник_ОКВЭД_НР!$A$3:$A$62&amp;".",","&amp;SUBSTITUTE(F519," ","")&amp;","))) +
  SUMPRODUCT(ISNUMBER(SEARCH(","&amp;Справочник_ОКВЭД_НР!$C$3:$C$62&amp;".",","&amp;SUBSTITUTE(F519," ","")&amp;","))) +
  SUMPRODUCT(ISNUMBER(SEARCH(","&amp;Справочник_ОКВЭД_НР!$E$3:$E$62&amp;".",","&amp;SUBSTITUTE(F519," ","")&amp;","))) +
  SUMPRODUCT(ISNUMBER(SEARCH(","&amp;Справочник_ОКВЭД_НР!$G$3:$G$62&amp;".",","&amp;SUBSTITUTE(F519," ","")&amp;",")))),
50)</f>
        <v>50</v>
      </c>
      <c r="K519" s="30">
        <f>IFERROR(VLOOKUP(G519,Справочник_ОКВЭД_НР!$O:$P,2,FALSE()),50)</f>
        <v>100</v>
      </c>
      <c r="L519" s="45">
        <f>(I519*Справочник_ОКВЭД_НР!$L$2+J519*Справочник_ОКВЭД_НР!$L$3+K519*Справочник_ОКВЭД_НР!$L$4)*M519</f>
        <v>63.5</v>
      </c>
      <c r="M519" s="47">
        <f>IF(COUNTIF(Справочник_ОКВЭД_НР!$G$3:$G$62,H519)&gt;0,0,1)</f>
        <v>1</v>
      </c>
    </row>
    <row r="520" spans="1:13" x14ac:dyDescent="0.25">
      <c r="A520" s="4">
        <f>ЛИК_дляСкорингаДП!A520</f>
        <v>1022101271378</v>
      </c>
      <c r="B520" s="4">
        <f>ЛИК_дляСкорингаДП!B520</f>
        <v>2129001830</v>
      </c>
      <c r="C520" s="4" t="str">
        <f>ЛИК_дляСкорингаДП!C520</f>
        <v>ООО "НПП "ДИНАМИКА"</v>
      </c>
      <c r="D520" s="5" t="str">
        <f>ЛИК_дляСкорингаДП!M520</f>
        <v>Производство приборов и аппаратуры для измерения электрических величин или ионизирующих излучений</v>
      </c>
      <c r="E520" s="4" t="str">
        <f>ЛИК_дляСкорингаДП!L520</f>
        <v>26.51.4</v>
      </c>
      <c r="F520" t="str">
        <f>ЛИК_дляСкорингаДП!N520</f>
        <v>46.51,26.51.4,26.51.6,33.13,46.51,46.69.5,46.69.7,58.11.1,58.11.2,58.12.1,58.12.2,58.14.1,58.14.2,62.01,62.02.3,62.02.9,62.03.13,72.19,73.20.1</v>
      </c>
      <c r="G520" s="25" t="str">
        <f>ЛИК_дляСкорингаДП!AG520</f>
        <v>ОСН</v>
      </c>
      <c r="H520" s="55" t="str">
        <f>IF(ISNUMBER(E520),E520,
IFERROR(LEFT(E520,FIND(".",E520)-1),E520))</f>
        <v>26</v>
      </c>
      <c r="I520" s="30">
        <f>IF(COUNTIF(Справочник_ОКВЭД_НР!$A$3:$A$62,H520)&gt;0,Справочник_ОКВЭД_НР!$L$8,
 IF(COUNTIF(Справочник_ОКВЭД_НР!$C$3:$C$62,H520)&gt;0,Справочник_ОКВЭД_НР!$L$9,
  IF(COUNTIF(Справочник_ОКВЭД_НР!$E$3:$E$62,H520)&gt;0,Справочник_ОКВЭД_НР!$L$10,
   IF(COUNTIF(Справочник_ОКВЭД_НР!$G$3:$G$62,H520)&gt;0,Справочник_ОКВЭД_НР!$L$11,50))))</f>
        <v>60</v>
      </c>
      <c r="J520" s="30" cm="1">
        <f t="array" ref="J520">IFERROR(
 (SUMPRODUCT(ISNUMBER(SEARCH(","&amp;Справочник_ОКВЭД_НР!$A$3:$A$62&amp;".",","&amp;SUBSTITUTE(F520," ","")&amp;",")))*Справочник_ОКВЭД_НР!$L$9 +
  SUMPRODUCT(ISNUMBER(SEARCH(","&amp;Справочник_ОКВЭД_НР!$C$3:$C$62&amp;".",","&amp;SUBSTITUTE(F520," ","")&amp;",")))*Справочник_ОКВЭД_НР!$L$10 +
  SUMPRODUCT(ISNUMBER(SEARCH(","&amp;Справочник_ОКВЭД_НР!$E$3:$E$62&amp;".",","&amp;SUBSTITUTE(F520," ","")&amp;",")))*Справочник_ОКВЭД_НР!$L$11 +
  SUMPRODUCT(ISNUMBER(SEARCH(","&amp;Справочник_ОКВЭД_НР!$G$3:$G$62&amp;".",","&amp;SUBSTITUTE(F520," ","")&amp;",")))*Справочник_ОКВЭД_НР!$L$12) /
 (SUMPRODUCT(ISNUMBER(SEARCH(","&amp;Справочник_ОКВЭД_НР!$A$3:$A$62&amp;".",","&amp;SUBSTITUTE(F520," ","")&amp;","))) +
  SUMPRODUCT(ISNUMBER(SEARCH(","&amp;Справочник_ОКВЭД_НР!$C$3:$C$62&amp;".",","&amp;SUBSTITUTE(F520," ","")&amp;","))) +
  SUMPRODUCT(ISNUMBER(SEARCH(","&amp;Справочник_ОКВЭД_НР!$E$3:$E$62&amp;".",","&amp;SUBSTITUTE(F520," ","")&amp;","))) +
  SUMPRODUCT(ISNUMBER(SEARCH(","&amp;Справочник_ОКВЭД_НР!$G$3:$G$62&amp;".",","&amp;SUBSTITUTE(F520," ","")&amp;",")))),
50)</f>
        <v>50</v>
      </c>
      <c r="K520" s="30">
        <f>IFERROR(VLOOKUP(G520,Справочник_ОКВЭД_НР!$O:$P,2,FALSE()),50)</f>
        <v>100</v>
      </c>
      <c r="L520" s="45">
        <f>(I520*Справочник_ОКВЭД_НР!$L$2+J520*Справочник_ОКВЭД_НР!$L$3+K520*Справочник_ОКВЭД_НР!$L$4)*M520</f>
        <v>63.5</v>
      </c>
      <c r="M520" s="47">
        <f>IF(COUNTIF(Справочник_ОКВЭД_НР!$G$3:$G$62,H520)&gt;0,0,1)</f>
        <v>1</v>
      </c>
    </row>
    <row r="521" spans="1:13" x14ac:dyDescent="0.25">
      <c r="A521" s="4">
        <f>ЛИК_дляСкорингаДП!A521</f>
        <v>1022100973223</v>
      </c>
      <c r="B521" s="4">
        <f>ЛИК_дляСкорингаДП!B521</f>
        <v>2127007963</v>
      </c>
      <c r="C521" s="4" t="str">
        <f>ЛИК_дляСкорингаДП!C521</f>
        <v>ОАО "ТАРОУПАКОВКА"</v>
      </c>
      <c r="D521" s="5" t="str">
        <f>ЛИК_дляСкорингаДП!M521</f>
        <v>Производство гофрированной бумаги и картона, бумажной и картонной тары</v>
      </c>
      <c r="E521" s="4" t="str">
        <f>ЛИК_дляСкорингаДП!L521</f>
        <v>17.21</v>
      </c>
      <c r="F521" t="str">
        <f>ЛИК_дляСкорингаДП!N521</f>
        <v>18.12.9,68.20.29,17.12,17.21,18.12,46.76.1,49.41,68.20.2,77.39.2</v>
      </c>
      <c r="G521" s="25" t="str">
        <f>ЛИК_дляСкорингаДП!AG521</f>
        <v>ОСН</v>
      </c>
      <c r="H521" s="55" t="str">
        <f>IF(ISNUMBER(E521),E521,
IFERROR(LEFT(E521,FIND(".",E521)-1),E521))</f>
        <v>17</v>
      </c>
      <c r="I521" s="30">
        <f>IF(COUNTIF(Справочник_ОКВЭД_НР!$A$3:$A$62,H521)&gt;0,Справочник_ОКВЭД_НР!$L$8,
 IF(COUNTIF(Справочник_ОКВЭД_НР!$C$3:$C$62,H521)&gt;0,Справочник_ОКВЭД_НР!$L$9,
  IF(COUNTIF(Справочник_ОКВЭД_НР!$E$3:$E$62,H521)&gt;0,Справочник_ОКВЭД_НР!$L$10,
   IF(COUNTIF(Справочник_ОКВЭД_НР!$G$3:$G$62,H521)&gt;0,Справочник_ОКВЭД_НР!$L$11,50))))</f>
        <v>60</v>
      </c>
      <c r="J521" s="30" cm="1">
        <f t="array" ref="J521">IFERROR(
 (SUMPRODUCT(ISNUMBER(SEARCH(","&amp;Справочник_ОКВЭД_НР!$A$3:$A$62&amp;".",","&amp;SUBSTITUTE(F521," ","")&amp;",")))*Справочник_ОКВЭД_НР!$L$9 +
  SUMPRODUCT(ISNUMBER(SEARCH(","&amp;Справочник_ОКВЭД_НР!$C$3:$C$62&amp;".",","&amp;SUBSTITUTE(F521," ","")&amp;",")))*Справочник_ОКВЭД_НР!$L$10 +
  SUMPRODUCT(ISNUMBER(SEARCH(","&amp;Справочник_ОКВЭД_НР!$E$3:$E$62&amp;".",","&amp;SUBSTITUTE(F521," ","")&amp;",")))*Справочник_ОКВЭД_НР!$L$11 +
  SUMPRODUCT(ISNUMBER(SEARCH(","&amp;Справочник_ОКВЭД_НР!$G$3:$G$62&amp;".",","&amp;SUBSTITUTE(F521," ","")&amp;",")))*Справочник_ОКВЭД_НР!$L$12) /
 (SUMPRODUCT(ISNUMBER(SEARCH(","&amp;Справочник_ОКВЭД_НР!$A$3:$A$62&amp;".",","&amp;SUBSTITUTE(F521," ","")&amp;","))) +
  SUMPRODUCT(ISNUMBER(SEARCH(","&amp;Справочник_ОКВЭД_НР!$C$3:$C$62&amp;".",","&amp;SUBSTITUTE(F521," ","")&amp;","))) +
  SUMPRODUCT(ISNUMBER(SEARCH(","&amp;Справочник_ОКВЭД_НР!$E$3:$E$62&amp;".",","&amp;SUBSTITUTE(F521," ","")&amp;","))) +
  SUMPRODUCT(ISNUMBER(SEARCH(","&amp;Справочник_ОКВЭД_НР!$G$3:$G$62&amp;".",","&amp;SUBSTITUTE(F521," ","")&amp;",")))),
50)</f>
        <v>50</v>
      </c>
      <c r="K521" s="30">
        <f>IFERROR(VLOOKUP(G521,Справочник_ОКВЭД_НР!$O:$P,2,FALSE()),50)</f>
        <v>100</v>
      </c>
      <c r="L521" s="45">
        <f>(I521*Справочник_ОКВЭД_НР!$L$2+J521*Справочник_ОКВЭД_НР!$L$3+K521*Справочник_ОКВЭД_НР!$L$4)*M521</f>
        <v>63.5</v>
      </c>
      <c r="M521" s="47">
        <f>IF(COUNTIF(Справочник_ОКВЭД_НР!$G$3:$G$62,H521)&gt;0,0,1)</f>
        <v>1</v>
      </c>
    </row>
    <row r="522" spans="1:13" x14ac:dyDescent="0.25">
      <c r="A522" s="4">
        <f>ЛИК_дляСкорингаДП!A522</f>
        <v>1022100967195</v>
      </c>
      <c r="B522" s="4">
        <f>ЛИК_дляСкорингаДП!B522</f>
        <v>2127008364</v>
      </c>
      <c r="C522" s="4" t="str">
        <f>ЛИК_дляСкорингаДП!C522</f>
        <v>ПАО "ДОРИСС"</v>
      </c>
      <c r="D522" s="5" t="str">
        <f>ЛИК_дляСкорингаДП!M522</f>
        <v>Строительство автомобильных дорог и автомагистралей</v>
      </c>
      <c r="E522" s="4" t="str">
        <f>ЛИК_дляСкорингаДП!L522</f>
        <v>42.11</v>
      </c>
      <c r="F522" t="str">
        <f>ЛИК_дляСкорингаДП!N522</f>
        <v>35.12.1,46.73.6,23.61,23.63,23.99.3,25.11,33.12,41.20,41.20,42.11,42.21,42.99,43.12.3,43.31,43.32,43.33,43.34,43.91,43.99,43.99.4,46.73,47.41,47.43,47.52.7,47.54,49.4,62.01,62.02,70.22,71.12,82.99</v>
      </c>
      <c r="G522" s="25" t="str">
        <f>ЛИК_дляСкорингаДП!AG522</f>
        <v>ОСН</v>
      </c>
      <c r="H522" s="55" t="str">
        <f>IF(ISNUMBER(E522),E522,
IFERROR(LEFT(E522,FIND(".",E522)-1),E522))</f>
        <v>42</v>
      </c>
      <c r="I522" s="30">
        <f>IF(COUNTIF(Справочник_ОКВЭД_НР!$A$3:$A$62,H522)&gt;0,Справочник_ОКВЭД_НР!$L$8,
 IF(COUNTIF(Справочник_ОКВЭД_НР!$C$3:$C$62,H522)&gt;0,Справочник_ОКВЭД_НР!$L$9,
  IF(COUNTIF(Справочник_ОКВЭД_НР!$E$3:$E$62,H522)&gt;0,Справочник_ОКВЭД_НР!$L$10,
   IF(COUNTIF(Справочник_ОКВЭД_НР!$G$3:$G$62,H522)&gt;0,Справочник_ОКВЭД_НР!$L$11,50))))</f>
        <v>100</v>
      </c>
      <c r="J522" s="30" cm="1">
        <f t="array" ref="J522">IFERROR(
 (SUMPRODUCT(ISNUMBER(SEARCH(","&amp;Справочник_ОКВЭД_НР!$A$3:$A$62&amp;".",","&amp;SUBSTITUTE(F522," ","")&amp;",")))*Справочник_ОКВЭД_НР!$L$9 +
  SUMPRODUCT(ISNUMBER(SEARCH(","&amp;Справочник_ОКВЭД_НР!$C$3:$C$62&amp;".",","&amp;SUBSTITUTE(F522," ","")&amp;",")))*Справочник_ОКВЭД_НР!$L$10 +
  SUMPRODUCT(ISNUMBER(SEARCH(","&amp;Справочник_ОКВЭД_НР!$E$3:$E$62&amp;".",","&amp;SUBSTITUTE(F522," ","")&amp;",")))*Справочник_ОКВЭД_НР!$L$11 +
  SUMPRODUCT(ISNUMBER(SEARCH(","&amp;Справочник_ОКВЭД_НР!$G$3:$G$62&amp;".",","&amp;SUBSTITUTE(F522," ","")&amp;",")))*Справочник_ОКВЭД_НР!$L$12) /
 (SUMPRODUCT(ISNUMBER(SEARCH(","&amp;Справочник_ОКВЭД_НР!$A$3:$A$62&amp;".",","&amp;SUBSTITUTE(F522," ","")&amp;","))) +
  SUMPRODUCT(ISNUMBER(SEARCH(","&amp;Справочник_ОКВЭД_НР!$C$3:$C$62&amp;".",","&amp;SUBSTITUTE(F522," ","")&amp;","))) +
  SUMPRODUCT(ISNUMBER(SEARCH(","&amp;Справочник_ОКВЭД_НР!$E$3:$E$62&amp;".",","&amp;SUBSTITUTE(F522," ","")&amp;","))) +
  SUMPRODUCT(ISNUMBER(SEARCH(","&amp;Справочник_ОКВЭД_НР!$G$3:$G$62&amp;".",","&amp;SUBSTITUTE(F522," ","")&amp;",")))),
50)</f>
        <v>50</v>
      </c>
      <c r="K522" s="30">
        <f>IFERROR(VLOOKUP(G522,Справочник_ОКВЭД_НР!$O:$P,2,FALSE()),50)</f>
        <v>100</v>
      </c>
      <c r="L522" s="45">
        <f>(I522*Справочник_ОКВЭД_НР!$L$2+J522*Справочник_ОКВЭД_НР!$L$3+K522*Справочник_ОКВЭД_НР!$L$4)*M522</f>
        <v>87.5</v>
      </c>
      <c r="M522" s="47">
        <f>IF(COUNTIF(Справочник_ОКВЭД_НР!$G$3:$G$62,H522)&gt;0,0,1)</f>
        <v>1</v>
      </c>
    </row>
    <row r="523" spans="1:13" x14ac:dyDescent="0.25">
      <c r="A523" s="4">
        <f>ЛИК_дляСкорингаДП!A523</f>
        <v>1022101137662</v>
      </c>
      <c r="B523" s="4">
        <f>ЛИК_дляСкорингаДП!B523</f>
        <v>2128000368</v>
      </c>
      <c r="C523" s="4" t="str">
        <f>ЛИК_дляСкорингаДП!C523</f>
        <v>ООО "ЮНОНА-2"</v>
      </c>
      <c r="D523" s="5" t="str">
        <f>ЛИК_дляСкорингаДП!M523</f>
        <v>Торговля оптовая металлами и металлическими рудами</v>
      </c>
      <c r="E523" s="4" t="str">
        <f>ЛИК_дляСкорингаДП!L523</f>
        <v>46.72</v>
      </c>
      <c r="F523" t="str">
        <f>ЛИК_дляСкорингаДП!N523</f>
        <v>25.11,25.12,43.11,43.12.3,45.20.1,45.20.2,46.72.21,46.72.22,47.29,52.10,52.10.9,56.10,56.10.1,56.10.3,68.10,68.10.1,73.11,85.22,96.09</v>
      </c>
      <c r="G523" s="25" t="str">
        <f>ЛИК_дляСкорингаДП!AG523</f>
        <v>ОСН</v>
      </c>
      <c r="H523" s="55" t="str">
        <f>IF(ISNUMBER(E523),E523,
IFERROR(LEFT(E523,FIND(".",E523)-1),E523))</f>
        <v>46</v>
      </c>
      <c r="I523" s="30">
        <f>IF(COUNTIF(Справочник_ОКВЭД_НР!$A$3:$A$62,H523)&gt;0,Справочник_ОКВЭД_НР!$L$8,
 IF(COUNTIF(Справочник_ОКВЭД_НР!$C$3:$C$62,H523)&gt;0,Справочник_ОКВЭД_НР!$L$9,
  IF(COUNTIF(Справочник_ОКВЭД_НР!$E$3:$E$62,H523)&gt;0,Справочник_ОКВЭД_НР!$L$10,
   IF(COUNTIF(Справочник_ОКВЭД_НР!$G$3:$G$62,H523)&gt;0,Справочник_ОКВЭД_НР!$L$11,50))))</f>
        <v>60</v>
      </c>
      <c r="J523" s="30" cm="1">
        <f t="array" ref="J523">IFERROR(
 (SUMPRODUCT(ISNUMBER(SEARCH(","&amp;Справочник_ОКВЭД_НР!$A$3:$A$62&amp;".",","&amp;SUBSTITUTE(F523," ","")&amp;",")))*Справочник_ОКВЭД_НР!$L$9 +
  SUMPRODUCT(ISNUMBER(SEARCH(","&amp;Справочник_ОКВЭД_НР!$C$3:$C$62&amp;".",","&amp;SUBSTITUTE(F523," ","")&amp;",")))*Справочник_ОКВЭД_НР!$L$10 +
  SUMPRODUCT(ISNUMBER(SEARCH(","&amp;Справочник_ОКВЭД_НР!$E$3:$E$62&amp;".",","&amp;SUBSTITUTE(F523," ","")&amp;",")))*Справочник_ОКВЭД_НР!$L$11 +
  SUMPRODUCT(ISNUMBER(SEARCH(","&amp;Справочник_ОКВЭД_НР!$G$3:$G$62&amp;".",","&amp;SUBSTITUTE(F523," ","")&amp;",")))*Справочник_ОКВЭД_НР!$L$12) /
 (SUMPRODUCT(ISNUMBER(SEARCH(","&amp;Справочник_ОКВЭД_НР!$A$3:$A$62&amp;".",","&amp;SUBSTITUTE(F523," ","")&amp;","))) +
  SUMPRODUCT(ISNUMBER(SEARCH(","&amp;Справочник_ОКВЭД_НР!$C$3:$C$62&amp;".",","&amp;SUBSTITUTE(F523," ","")&amp;","))) +
  SUMPRODUCT(ISNUMBER(SEARCH(","&amp;Справочник_ОКВЭД_НР!$E$3:$E$62&amp;".",","&amp;SUBSTITUTE(F523," ","")&amp;","))) +
  SUMPRODUCT(ISNUMBER(SEARCH(","&amp;Справочник_ОКВЭД_НР!$G$3:$G$62&amp;".",","&amp;SUBSTITUTE(F523," ","")&amp;",")))),
50)</f>
        <v>50</v>
      </c>
      <c r="K523" s="30">
        <f>IFERROR(VLOOKUP(G523,Справочник_ОКВЭД_НР!$O:$P,2,FALSE()),50)</f>
        <v>100</v>
      </c>
      <c r="L523" s="45">
        <f>(I523*Справочник_ОКВЭД_НР!$L$2+J523*Справочник_ОКВЭД_НР!$L$3+K523*Справочник_ОКВЭД_НР!$L$4)*M523</f>
        <v>63.5</v>
      </c>
      <c r="M523" s="47">
        <f>IF(COUNTIF(Справочник_ОКВЭД_НР!$G$3:$G$62,H523)&gt;0,0,1)</f>
        <v>1</v>
      </c>
    </row>
    <row r="524" spans="1:13" x14ac:dyDescent="0.25">
      <c r="A524" s="4">
        <f>ЛИК_дляСкорингаДП!A524</f>
        <v>1022102430327</v>
      </c>
      <c r="B524" s="4">
        <f>ЛИК_дляСкорингаДП!B524</f>
        <v>2116480078</v>
      </c>
      <c r="C524" s="4" t="str">
        <f>ЛИК_дляСкорингаДП!C524</f>
        <v>АО "АГРОФИРМА "ОЛЬДЕЕВСКАЯ"</v>
      </c>
      <c r="D524" s="5" t="str">
        <f>ЛИК_дляСкорингаДП!M524</f>
        <v>Выращивание овощей</v>
      </c>
      <c r="E524" s="4" t="str">
        <f>ЛИК_дляСкорингаДП!L524</f>
        <v>01.13.1</v>
      </c>
      <c r="F524" t="str">
        <f>ЛИК_дляСкорингаДП!N524</f>
        <v>01.11.1,01.30,01.41.12,01.41.21,01.49.9,47.19,56.29.2,01.11.1,01.11.2,01.13.1,01.19.1,01.30,01.41,01.42,01.49,01.61,01.62,01.63,01.64,10.91,33.11,33.12,33.14,33.17,35.12.1,35.14,35.30,36.00.2,37.00,45.20,46.21.11,46.21.12,46.21.14,46.21.19,46.22,46.23,46.31,46.32.1,46.33.1,47.11,47.2,47.81,49.39,49.41,52.10.3,52.10.9,56.29</v>
      </c>
      <c r="G524" s="25" t="str">
        <f>ЛИК_дляСкорингаДП!AG524</f>
        <v>ЕСХН</v>
      </c>
      <c r="H524" s="55" t="str">
        <f>IF(ISNUMBER(E524),E524,
IFERROR(LEFT(E524,FIND(".",E524)-1),E524))</f>
        <v>01</v>
      </c>
      <c r="I524" s="30">
        <f>IF(COUNTIF(Справочник_ОКВЭД_НР!$A$3:$A$62,H524)&gt;0,Справочник_ОКВЭД_НР!$L$8,
 IF(COUNTIF(Справочник_ОКВЭД_НР!$C$3:$C$62,H524)&gt;0,Справочник_ОКВЭД_НР!$L$9,
  IF(COUNTIF(Справочник_ОКВЭД_НР!$E$3:$E$62,H524)&gt;0,Справочник_ОКВЭД_НР!$L$10,
   IF(COUNTIF(Справочник_ОКВЭД_НР!$G$3:$G$62,H524)&gt;0,Справочник_ОКВЭД_НР!$L$11,50))))</f>
        <v>60</v>
      </c>
      <c r="J524" s="30" cm="1">
        <f t="array" ref="J524">IFERROR(
 (SUMPRODUCT(ISNUMBER(SEARCH(","&amp;Справочник_ОКВЭД_НР!$A$3:$A$62&amp;".",","&amp;SUBSTITUTE(F524," ","")&amp;",")))*Справочник_ОКВЭД_НР!$L$9 +
  SUMPRODUCT(ISNUMBER(SEARCH(","&amp;Справочник_ОКВЭД_НР!$C$3:$C$62&amp;".",","&amp;SUBSTITUTE(F524," ","")&amp;",")))*Справочник_ОКВЭД_НР!$L$10 +
  SUMPRODUCT(ISNUMBER(SEARCH(","&amp;Справочник_ОКВЭД_НР!$E$3:$E$62&amp;".",","&amp;SUBSTITUTE(F524," ","")&amp;",")))*Справочник_ОКВЭД_НР!$L$11 +
  SUMPRODUCT(ISNUMBER(SEARCH(","&amp;Справочник_ОКВЭД_НР!$G$3:$G$62&amp;".",","&amp;SUBSTITUTE(F524," ","")&amp;",")))*Справочник_ОКВЭД_НР!$L$12) /
 (SUMPRODUCT(ISNUMBER(SEARCH(","&amp;Справочник_ОКВЭД_НР!$A$3:$A$62&amp;".",","&amp;SUBSTITUTE(F524," ","")&amp;","))) +
  SUMPRODUCT(ISNUMBER(SEARCH(","&amp;Справочник_ОКВЭД_НР!$C$3:$C$62&amp;".",","&amp;SUBSTITUTE(F524," ","")&amp;","))) +
  SUMPRODUCT(ISNUMBER(SEARCH(","&amp;Справочник_ОКВЭД_НР!$E$3:$E$62&amp;".",","&amp;SUBSTITUTE(F524," ","")&amp;","))) +
  SUMPRODUCT(ISNUMBER(SEARCH(","&amp;Справочник_ОКВЭД_НР!$G$3:$G$62&amp;".",","&amp;SUBSTITUTE(F524," ","")&amp;",")))),
50)</f>
        <v>50</v>
      </c>
      <c r="K524" s="30">
        <f>IFERROR(VLOOKUP(G524,Справочник_ОКВЭД_НР!$O:$P,2,FALSE()),50)</f>
        <v>40</v>
      </c>
      <c r="L524" s="45">
        <f>(I524*Справочник_ОКВЭД_НР!$L$2+J524*Справочник_ОКВЭД_НР!$L$3+K524*Справочник_ОКВЭД_НР!$L$4)*M524</f>
        <v>54.5</v>
      </c>
      <c r="M524" s="47">
        <f>IF(COUNTIF(Справочник_ОКВЭД_НР!$G$3:$G$62,H524)&gt;0,0,1)</f>
        <v>1</v>
      </c>
    </row>
    <row r="525" spans="1:13" x14ac:dyDescent="0.25">
      <c r="A525" s="4">
        <f>ЛИК_дляСкорингаДП!A525</f>
        <v>1042135001127</v>
      </c>
      <c r="B525" s="4">
        <f>ЛИК_дляСкорингаДП!B525</f>
        <v>2116470312</v>
      </c>
      <c r="C525" s="4" t="str">
        <f>ЛИК_дляСкорингаДП!C525</f>
        <v>АО "ЧУВАШЭНЕРГОСЕТЬРЕМОНТ"</v>
      </c>
      <c r="D525" s="5" t="str">
        <f>ЛИК_дляСкорингаДП!M525</f>
        <v>Технологическое присоединение к распределительным электросетям</v>
      </c>
      <c r="E525" s="4" t="str">
        <f>ЛИК_дляСкорингаДП!L525</f>
        <v>35.12.2</v>
      </c>
      <c r="F525" t="str">
        <f>ЛИК_дляСкорингаДП!N525</f>
        <v>46.90,35.12,41.20,42.11,42.12,43.11,43.12.3,43.21,43.22,43.29,43.34.1,43.39,43.91,43.99,46.69.5,46.69.9</v>
      </c>
      <c r="G525" s="25" t="str">
        <f>ЛИК_дляСкорингаДП!AG525</f>
        <v>ОСН</v>
      </c>
      <c r="H525" s="55" t="str">
        <f>IF(ISNUMBER(E525),E525,
IFERROR(LEFT(E525,FIND(".",E525)-1),E525))</f>
        <v>35</v>
      </c>
      <c r="I525" s="30">
        <f>IF(COUNTIF(Справочник_ОКВЭД_НР!$A$3:$A$62,H525)&gt;0,Справочник_ОКВЭД_НР!$L$8,
 IF(COUNTIF(Справочник_ОКВЭД_НР!$C$3:$C$62,H525)&gt;0,Справочник_ОКВЭД_НР!$L$9,
  IF(COUNTIF(Справочник_ОКВЭД_НР!$E$3:$E$62,H525)&gt;0,Справочник_ОКВЭД_НР!$L$10,
   IF(COUNTIF(Справочник_ОКВЭД_НР!$G$3:$G$62,H525)&gt;0,Справочник_ОКВЭД_НР!$L$11,50))))</f>
        <v>60</v>
      </c>
      <c r="J525" s="30" cm="1">
        <f t="array" ref="J525">IFERROR(
 (SUMPRODUCT(ISNUMBER(SEARCH(","&amp;Справочник_ОКВЭД_НР!$A$3:$A$62&amp;".",","&amp;SUBSTITUTE(F525," ","")&amp;",")))*Справочник_ОКВЭД_НР!$L$9 +
  SUMPRODUCT(ISNUMBER(SEARCH(","&amp;Справочник_ОКВЭД_НР!$C$3:$C$62&amp;".",","&amp;SUBSTITUTE(F525," ","")&amp;",")))*Справочник_ОКВЭД_НР!$L$10 +
  SUMPRODUCT(ISNUMBER(SEARCH(","&amp;Справочник_ОКВЭД_НР!$E$3:$E$62&amp;".",","&amp;SUBSTITUTE(F525," ","")&amp;",")))*Справочник_ОКВЭД_НР!$L$11 +
  SUMPRODUCT(ISNUMBER(SEARCH(","&amp;Справочник_ОКВЭД_НР!$G$3:$G$62&amp;".",","&amp;SUBSTITUTE(F525," ","")&amp;",")))*Справочник_ОКВЭД_НР!$L$12) /
 (SUMPRODUCT(ISNUMBER(SEARCH(","&amp;Справочник_ОКВЭД_НР!$A$3:$A$62&amp;".",","&amp;SUBSTITUTE(F525," ","")&amp;","))) +
  SUMPRODUCT(ISNUMBER(SEARCH(","&amp;Справочник_ОКВЭД_НР!$C$3:$C$62&amp;".",","&amp;SUBSTITUTE(F525," ","")&amp;","))) +
  SUMPRODUCT(ISNUMBER(SEARCH(","&amp;Справочник_ОКВЭД_НР!$E$3:$E$62&amp;".",","&amp;SUBSTITUTE(F525," ","")&amp;","))) +
  SUMPRODUCT(ISNUMBER(SEARCH(","&amp;Справочник_ОКВЭД_НР!$G$3:$G$62&amp;".",","&amp;SUBSTITUTE(F525," ","")&amp;",")))),
50)</f>
        <v>50</v>
      </c>
      <c r="K525" s="30">
        <f>IFERROR(VLOOKUP(G525,Справочник_ОКВЭД_НР!$O:$P,2,FALSE()),50)</f>
        <v>100</v>
      </c>
      <c r="L525" s="45">
        <f>(I525*Справочник_ОКВЭД_НР!$L$2+J525*Справочник_ОКВЭД_НР!$L$3+K525*Справочник_ОКВЭД_НР!$L$4)*M525</f>
        <v>63.5</v>
      </c>
      <c r="M525" s="47">
        <f>IF(COUNTIF(Справочник_ОКВЭД_НР!$G$3:$G$62,H525)&gt;0,0,1)</f>
        <v>1</v>
      </c>
    </row>
    <row r="526" spans="1:13" x14ac:dyDescent="0.25">
      <c r="A526" s="4">
        <f>ЛИК_дляСкорингаДП!A526</f>
        <v>1032128015193</v>
      </c>
      <c r="B526" s="4">
        <f>ЛИК_дляСкорингаДП!B526</f>
        <v>2128051718</v>
      </c>
      <c r="C526" s="4" t="str">
        <f>ЛИК_дляСкорингаДП!C526</f>
        <v>ООО "ДИАЛ - АВТО"</v>
      </c>
      <c r="D526" s="5" t="str">
        <f>ЛИК_дляСкорингаДП!M526</f>
        <v>Техническое обслуживание и ремонт легковых автомобилей и легких грузовых автотранспортных средств</v>
      </c>
      <c r="E526" s="4" t="str">
        <f>ЛИК_дляСкорингаДП!L526</f>
        <v>45.20.1</v>
      </c>
      <c r="F526" t="str">
        <f>ЛИК_дляСкорингаДП!N526</f>
        <v>45.11.1,45.11.2,41.20,41.20,42.99,45.11,45.11.1,45.11.2,45.11.3,45.11.31,45.11.39,45.11.4,45.11.4,45.11.41,45.11.49,45.19,45.19.1,45.19.2,45.19.3,45.19.31,45.19.39,45.19.4,45.19.41,45.19.49,45.20,45.20.1,45.20.2,45.20.2,45.3,45.31.1,45.32,45.40,45.40.1,45.40.2,45.40.3,45.40.5,46.90,47.24,47.25.2,47.29,47.30,47.91.2</v>
      </c>
      <c r="G526" s="25" t="str">
        <f>ЛИК_дляСкорингаДП!AG526</f>
        <v>ОСН</v>
      </c>
      <c r="H526" s="55" t="str">
        <f>IF(ISNUMBER(E526),E526,
IFERROR(LEFT(E526,FIND(".",E526)-1),E526))</f>
        <v>45</v>
      </c>
      <c r="I526" s="30">
        <f>IF(COUNTIF(Справочник_ОКВЭД_НР!$A$3:$A$62,H526)&gt;0,Справочник_ОКВЭД_НР!$L$8,
 IF(COUNTIF(Справочник_ОКВЭД_НР!$C$3:$C$62,H526)&gt;0,Справочник_ОКВЭД_НР!$L$9,
  IF(COUNTIF(Справочник_ОКВЭД_НР!$E$3:$E$62,H526)&gt;0,Справочник_ОКВЭД_НР!$L$10,
   IF(COUNTIF(Справочник_ОКВЭД_НР!$G$3:$G$62,H526)&gt;0,Справочник_ОКВЭД_НР!$L$11,50))))</f>
        <v>60</v>
      </c>
      <c r="J526" s="30" cm="1">
        <f t="array" ref="J526">IFERROR(
 (SUMPRODUCT(ISNUMBER(SEARCH(","&amp;Справочник_ОКВЭД_НР!$A$3:$A$62&amp;".",","&amp;SUBSTITUTE(F526," ","")&amp;",")))*Справочник_ОКВЭД_НР!$L$9 +
  SUMPRODUCT(ISNUMBER(SEARCH(","&amp;Справочник_ОКВЭД_НР!$C$3:$C$62&amp;".",","&amp;SUBSTITUTE(F526," ","")&amp;",")))*Справочник_ОКВЭД_НР!$L$10 +
  SUMPRODUCT(ISNUMBER(SEARCH(","&amp;Справочник_ОКВЭД_НР!$E$3:$E$62&amp;".",","&amp;SUBSTITUTE(F526," ","")&amp;",")))*Справочник_ОКВЭД_НР!$L$11 +
  SUMPRODUCT(ISNUMBER(SEARCH(","&amp;Справочник_ОКВЭД_НР!$G$3:$G$62&amp;".",","&amp;SUBSTITUTE(F526," ","")&amp;",")))*Справочник_ОКВЭД_НР!$L$12) /
 (SUMPRODUCT(ISNUMBER(SEARCH(","&amp;Справочник_ОКВЭД_НР!$A$3:$A$62&amp;".",","&amp;SUBSTITUTE(F526," ","")&amp;","))) +
  SUMPRODUCT(ISNUMBER(SEARCH(","&amp;Справочник_ОКВЭД_НР!$C$3:$C$62&amp;".",","&amp;SUBSTITUTE(F526," ","")&amp;","))) +
  SUMPRODUCT(ISNUMBER(SEARCH(","&amp;Справочник_ОКВЭД_НР!$E$3:$E$62&amp;".",","&amp;SUBSTITUTE(F526," ","")&amp;","))) +
  SUMPRODUCT(ISNUMBER(SEARCH(","&amp;Справочник_ОКВЭД_НР!$G$3:$G$62&amp;".",","&amp;SUBSTITUTE(F526," ","")&amp;",")))),
50)</f>
        <v>50</v>
      </c>
      <c r="K526" s="30">
        <f>IFERROR(VLOOKUP(G526,Справочник_ОКВЭД_НР!$O:$P,2,FALSE()),50)</f>
        <v>100</v>
      </c>
      <c r="L526" s="45">
        <f>(I526*Справочник_ОКВЭД_НР!$L$2+J526*Справочник_ОКВЭД_НР!$L$3+K526*Справочник_ОКВЭД_НР!$L$4)*M526</f>
        <v>63.5</v>
      </c>
      <c r="M526" s="47">
        <f>IF(COUNTIF(Справочник_ОКВЭД_НР!$G$3:$G$62,H526)&gt;0,0,1)</f>
        <v>1</v>
      </c>
    </row>
    <row r="527" spans="1:13" x14ac:dyDescent="0.25">
      <c r="A527" s="4">
        <f>ЛИК_дляСкорингаДП!A527</f>
        <v>1052137003566</v>
      </c>
      <c r="B527" s="4">
        <f>ЛИК_дляСкорингаДП!B527</f>
        <v>2107902319</v>
      </c>
      <c r="C527" s="4" t="str">
        <f>ЛИК_дляСкорингаДП!C527</f>
        <v>ООО "АВТОФУРГОН"</v>
      </c>
      <c r="D527" s="5" t="str">
        <f>ЛИК_дляСкорингаДП!M527</f>
        <v>Производство автомобилей специального назначения</v>
      </c>
      <c r="E527" s="4" t="str">
        <f>ЛИК_дляСкорингаДП!L527</f>
        <v>29.10.5</v>
      </c>
      <c r="F527" t="str">
        <f>ЛИК_дляСкорингаДП!N527</f>
        <v>45.19.1,23.61,23.63,28.99,29.10.3,29.10.5,29.20,42.99,47.52.71,49.39,49.41,52.29,68.10.22</v>
      </c>
      <c r="G527" s="25" t="str">
        <f>ЛИК_дляСкорингаДП!AG527</f>
        <v>ОСН</v>
      </c>
      <c r="H527" s="55" t="str">
        <f>IF(ISNUMBER(E527),E527,
IFERROR(LEFT(E527,FIND(".",E527)-1),E527))</f>
        <v>29</v>
      </c>
      <c r="I527" s="30">
        <f>IF(COUNTIF(Справочник_ОКВЭД_НР!$A$3:$A$62,H527)&gt;0,Справочник_ОКВЭД_НР!$L$8,
 IF(COUNTIF(Справочник_ОКВЭД_НР!$C$3:$C$62,H527)&gt;0,Справочник_ОКВЭД_НР!$L$9,
  IF(COUNTIF(Справочник_ОКВЭД_НР!$E$3:$E$62,H527)&gt;0,Справочник_ОКВЭД_НР!$L$10,
   IF(COUNTIF(Справочник_ОКВЭД_НР!$G$3:$G$62,H527)&gt;0,Справочник_ОКВЭД_НР!$L$11,50))))</f>
        <v>60</v>
      </c>
      <c r="J527" s="30" cm="1">
        <f t="array" ref="J527">IFERROR(
 (SUMPRODUCT(ISNUMBER(SEARCH(","&amp;Справочник_ОКВЭД_НР!$A$3:$A$62&amp;".",","&amp;SUBSTITUTE(F527," ","")&amp;",")))*Справочник_ОКВЭД_НР!$L$9 +
  SUMPRODUCT(ISNUMBER(SEARCH(","&amp;Справочник_ОКВЭД_НР!$C$3:$C$62&amp;".",","&amp;SUBSTITUTE(F527," ","")&amp;",")))*Справочник_ОКВЭД_НР!$L$10 +
  SUMPRODUCT(ISNUMBER(SEARCH(","&amp;Справочник_ОКВЭД_НР!$E$3:$E$62&amp;".",","&amp;SUBSTITUTE(F527," ","")&amp;",")))*Справочник_ОКВЭД_НР!$L$11 +
  SUMPRODUCT(ISNUMBER(SEARCH(","&amp;Справочник_ОКВЭД_НР!$G$3:$G$62&amp;".",","&amp;SUBSTITUTE(F527," ","")&amp;",")))*Справочник_ОКВЭД_НР!$L$12) /
 (SUMPRODUCT(ISNUMBER(SEARCH(","&amp;Справочник_ОКВЭД_НР!$A$3:$A$62&amp;".",","&amp;SUBSTITUTE(F527," ","")&amp;","))) +
  SUMPRODUCT(ISNUMBER(SEARCH(","&amp;Справочник_ОКВЭД_НР!$C$3:$C$62&amp;".",","&amp;SUBSTITUTE(F527," ","")&amp;","))) +
  SUMPRODUCT(ISNUMBER(SEARCH(","&amp;Справочник_ОКВЭД_НР!$E$3:$E$62&amp;".",","&amp;SUBSTITUTE(F527," ","")&amp;","))) +
  SUMPRODUCT(ISNUMBER(SEARCH(","&amp;Справочник_ОКВЭД_НР!$G$3:$G$62&amp;".",","&amp;SUBSTITUTE(F527," ","")&amp;",")))),
50)</f>
        <v>50</v>
      </c>
      <c r="K527" s="30">
        <f>IFERROR(VLOOKUP(G527,Справочник_ОКВЭД_НР!$O:$P,2,FALSE()),50)</f>
        <v>100</v>
      </c>
      <c r="L527" s="45">
        <f>(I527*Справочник_ОКВЭД_НР!$L$2+J527*Справочник_ОКВЭД_НР!$L$3+K527*Справочник_ОКВЭД_НР!$L$4)*M527</f>
        <v>63.5</v>
      </c>
      <c r="M527" s="47">
        <f>IF(COUNTIF(Справочник_ОКВЭД_НР!$G$3:$G$62,H527)&gt;0,0,1)</f>
        <v>1</v>
      </c>
    </row>
    <row r="528" spans="1:13" x14ac:dyDescent="0.25">
      <c r="A528" s="4">
        <f>ЛИК_дляСкорингаДП!A528</f>
        <v>1072130009874</v>
      </c>
      <c r="B528" s="4">
        <f>ЛИК_дляСкорингаДП!B528</f>
        <v>2130022111</v>
      </c>
      <c r="C528" s="4" t="str">
        <f>ЛИК_дляСкорингаДП!C528</f>
        <v>ООО "ЭЛИНОКС"</v>
      </c>
      <c r="D528" s="5" t="str">
        <f>ЛИК_дляСкорингаДП!M528</f>
        <v>Производство прочего электрического оборудования</v>
      </c>
      <c r="E528" s="4" t="str">
        <f>ЛИК_дляСкорингаДП!L528</f>
        <v>27.90</v>
      </c>
      <c r="F528" t="str">
        <f>ЛИК_дляСкорингаДП!N528</f>
        <v>16.10,16.10.9,16.23,16.24,17.21,25.99,28.25,28.93,31.01,35.13,35.30,36.00,46.6,46.73,46.90,47.11.3,47.9,56.29,68.20,77.39.1,77.39.2</v>
      </c>
      <c r="G528" s="25" t="str">
        <f>ЛИК_дляСкорингаДП!AG528</f>
        <v>ОСН</v>
      </c>
      <c r="H528" s="55" t="str">
        <f>IF(ISNUMBER(E528),E528,
IFERROR(LEFT(E528,FIND(".",E528)-1),E528))</f>
        <v>27</v>
      </c>
      <c r="I528" s="30">
        <f>IF(COUNTIF(Справочник_ОКВЭД_НР!$A$3:$A$62,H528)&gt;0,Справочник_ОКВЭД_НР!$L$8,
 IF(COUNTIF(Справочник_ОКВЭД_НР!$C$3:$C$62,H528)&gt;0,Справочник_ОКВЭД_НР!$L$9,
  IF(COUNTIF(Справочник_ОКВЭД_НР!$E$3:$E$62,H528)&gt;0,Справочник_ОКВЭД_НР!$L$10,
   IF(COUNTIF(Справочник_ОКВЭД_НР!$G$3:$G$62,H528)&gt;0,Справочник_ОКВЭД_НР!$L$11,50))))</f>
        <v>100</v>
      </c>
      <c r="J528" s="30" cm="1">
        <f t="array" ref="J528">IFERROR(
 (SUMPRODUCT(ISNUMBER(SEARCH(","&amp;Справочник_ОКВЭД_НР!$A$3:$A$62&amp;".",","&amp;SUBSTITUTE(F528," ","")&amp;",")))*Справочник_ОКВЭД_НР!$L$9 +
  SUMPRODUCT(ISNUMBER(SEARCH(","&amp;Справочник_ОКВЭД_НР!$C$3:$C$62&amp;".",","&amp;SUBSTITUTE(F528," ","")&amp;",")))*Справочник_ОКВЭД_НР!$L$10 +
  SUMPRODUCT(ISNUMBER(SEARCH(","&amp;Справочник_ОКВЭД_НР!$E$3:$E$62&amp;".",","&amp;SUBSTITUTE(F528," ","")&amp;",")))*Справочник_ОКВЭД_НР!$L$11 +
  SUMPRODUCT(ISNUMBER(SEARCH(","&amp;Справочник_ОКВЭД_НР!$G$3:$G$62&amp;".",","&amp;SUBSTITUTE(F528," ","")&amp;",")))*Справочник_ОКВЭД_НР!$L$12) /
 (SUMPRODUCT(ISNUMBER(SEARCH(","&amp;Справочник_ОКВЭД_НР!$A$3:$A$62&amp;".",","&amp;SUBSTITUTE(F528," ","")&amp;","))) +
  SUMPRODUCT(ISNUMBER(SEARCH(","&amp;Справочник_ОКВЭД_НР!$C$3:$C$62&amp;".",","&amp;SUBSTITUTE(F528," ","")&amp;","))) +
  SUMPRODUCT(ISNUMBER(SEARCH(","&amp;Справочник_ОКВЭД_НР!$E$3:$E$62&amp;".",","&amp;SUBSTITUTE(F528," ","")&amp;","))) +
  SUMPRODUCT(ISNUMBER(SEARCH(","&amp;Справочник_ОКВЭД_НР!$G$3:$G$62&amp;".",","&amp;SUBSTITUTE(F528," ","")&amp;",")))),
50)</f>
        <v>50</v>
      </c>
      <c r="K528" s="30">
        <f>IFERROR(VLOOKUP(G528,Справочник_ОКВЭД_НР!$O:$P,2,FALSE()),50)</f>
        <v>100</v>
      </c>
      <c r="L528" s="45">
        <f>(I528*Справочник_ОКВЭД_НР!$L$2+J528*Справочник_ОКВЭД_НР!$L$3+K528*Справочник_ОКВЭД_НР!$L$4)*M528</f>
        <v>87.5</v>
      </c>
      <c r="M528" s="47">
        <f>IF(COUNTIF(Справочник_ОКВЭД_НР!$G$3:$G$62,H528)&gt;0,0,1)</f>
        <v>1</v>
      </c>
    </row>
    <row r="529" spans="1:13" x14ac:dyDescent="0.25">
      <c r="A529" s="4">
        <f>ЛИК_дляСкорингаДП!A529</f>
        <v>1052128018470</v>
      </c>
      <c r="B529" s="4">
        <f>ЛИК_дляСкорингаДП!B529</f>
        <v>2128701349</v>
      </c>
      <c r="C529" s="4" t="str">
        <f>ЛИК_дляСкорингаДП!C529</f>
        <v>ООО "КОМПЛЕКТЭНЕРГО"</v>
      </c>
      <c r="D529" s="5" t="str">
        <f>ЛИК_дляСкорингаДП!M529</f>
        <v>Торговля оптовая производственным электротехническим оборудованием, машинами, аппаратурой и материалами</v>
      </c>
      <c r="E529" s="4" t="str">
        <f>ЛИК_дляСкорингаДП!L529</f>
        <v>46.69.5</v>
      </c>
      <c r="F529" t="str">
        <f>ЛИК_дляСкорингаДП!N529</f>
        <v>27.12,41.2,43.21,46.69.5,46.69.9,46.90,49.4,52.24,52.29,62.0,62.01,62.02,62.02,64.9,68.10,68.10.1,68.20,70.22,71.11,71.12,71.20,72.19,73.11,73.20.1,74.90,77.11,77.39,85.23,85.42</v>
      </c>
      <c r="G529" s="25" t="str">
        <f>ЛИК_дляСкорингаДП!AG529</f>
        <v>ОСН</v>
      </c>
      <c r="H529" s="55" t="str">
        <f>IF(ISNUMBER(E529),E529,
IFERROR(LEFT(E529,FIND(".",E529)-1),E529))</f>
        <v>46</v>
      </c>
      <c r="I529" s="30">
        <f>IF(COUNTIF(Справочник_ОКВЭД_НР!$A$3:$A$62,H529)&gt;0,Справочник_ОКВЭД_НР!$L$8,
 IF(COUNTIF(Справочник_ОКВЭД_НР!$C$3:$C$62,H529)&gt;0,Справочник_ОКВЭД_НР!$L$9,
  IF(COUNTIF(Справочник_ОКВЭД_НР!$E$3:$E$62,H529)&gt;0,Справочник_ОКВЭД_НР!$L$10,
   IF(COUNTIF(Справочник_ОКВЭД_НР!$G$3:$G$62,H529)&gt;0,Справочник_ОКВЭД_НР!$L$11,50))))</f>
        <v>60</v>
      </c>
      <c r="J529" s="30" cm="1">
        <f t="array" ref="J529">IFERROR(
 (SUMPRODUCT(ISNUMBER(SEARCH(","&amp;Справочник_ОКВЭД_НР!$A$3:$A$62&amp;".",","&amp;SUBSTITUTE(F529," ","")&amp;",")))*Справочник_ОКВЭД_НР!$L$9 +
  SUMPRODUCT(ISNUMBER(SEARCH(","&amp;Справочник_ОКВЭД_НР!$C$3:$C$62&amp;".",","&amp;SUBSTITUTE(F529," ","")&amp;",")))*Справочник_ОКВЭД_НР!$L$10 +
  SUMPRODUCT(ISNUMBER(SEARCH(","&amp;Справочник_ОКВЭД_НР!$E$3:$E$62&amp;".",","&amp;SUBSTITUTE(F529," ","")&amp;",")))*Справочник_ОКВЭД_НР!$L$11 +
  SUMPRODUCT(ISNUMBER(SEARCH(","&amp;Справочник_ОКВЭД_НР!$G$3:$G$62&amp;".",","&amp;SUBSTITUTE(F529," ","")&amp;",")))*Справочник_ОКВЭД_НР!$L$12) /
 (SUMPRODUCT(ISNUMBER(SEARCH(","&amp;Справочник_ОКВЭД_НР!$A$3:$A$62&amp;".",","&amp;SUBSTITUTE(F529," ","")&amp;","))) +
  SUMPRODUCT(ISNUMBER(SEARCH(","&amp;Справочник_ОКВЭД_НР!$C$3:$C$62&amp;".",","&amp;SUBSTITUTE(F529," ","")&amp;","))) +
  SUMPRODUCT(ISNUMBER(SEARCH(","&amp;Справочник_ОКВЭД_НР!$E$3:$E$62&amp;".",","&amp;SUBSTITUTE(F529," ","")&amp;","))) +
  SUMPRODUCT(ISNUMBER(SEARCH(","&amp;Справочник_ОКВЭД_НР!$G$3:$G$62&amp;".",","&amp;SUBSTITUTE(F529," ","")&amp;",")))),
50)</f>
        <v>50</v>
      </c>
      <c r="K529" s="30">
        <f>IFERROR(VLOOKUP(G529,Справочник_ОКВЭД_НР!$O:$P,2,FALSE()),50)</f>
        <v>100</v>
      </c>
      <c r="L529" s="45">
        <f>(I529*Справочник_ОКВЭД_НР!$L$2+J529*Справочник_ОКВЭД_НР!$L$3+K529*Справочник_ОКВЭД_НР!$L$4)*M529</f>
        <v>63.5</v>
      </c>
      <c r="M529" s="47">
        <f>IF(COUNTIF(Справочник_ОКВЭД_НР!$G$3:$G$62,H529)&gt;0,0,1)</f>
        <v>1</v>
      </c>
    </row>
    <row r="530" spans="1:13" x14ac:dyDescent="0.25">
      <c r="A530" s="4">
        <f>ЛИК_дляСкорингаДП!A530</f>
        <v>1052128050479</v>
      </c>
      <c r="B530" s="4">
        <f>ЛИК_дляСкорингаДП!B530</f>
        <v>2128702350</v>
      </c>
      <c r="C530" s="4" t="str">
        <f>ЛИК_дляСкорингаДП!C530</f>
        <v>ООО "ПИОНЕР-ЛИЗИНГ"</v>
      </c>
      <c r="D530" s="5" t="str">
        <f>ЛИК_дляСкорингаДП!M530</f>
        <v>Деятельность по финансовой аренде (лизингу/сублизингу) в прочих областях, кроме племенных животных</v>
      </c>
      <c r="E530" s="4" t="str">
        <f>ЛИК_дляСкорингаДП!L530</f>
        <v>64.91.2</v>
      </c>
      <c r="F530" t="str">
        <f>ЛИК_дляСкорингаДП!N530</f>
        <v>46.11,46.12,46.13,46.14,46.15,46.16,46.17,46.18,46.19,62.01,62.02,62.02.1,62.02.4,62.03.13,62.09,63.11.1,64.91,64.99,64.99.11,64.99.4,73.20</v>
      </c>
      <c r="G530" s="25" t="str">
        <f>ЛИК_дляСкорингаДП!AG530</f>
        <v>ОСН</v>
      </c>
      <c r="H530" s="55" t="str">
        <f>IF(ISNUMBER(E530),E530,
IFERROR(LEFT(E530,FIND(".",E530)-1),E530))</f>
        <v>64</v>
      </c>
      <c r="I530" s="30">
        <f>IF(COUNTIF(Справочник_ОКВЭД_НР!$A$3:$A$62,H530)&gt;0,Справочник_ОКВЭД_НР!$L$8,
 IF(COUNTIF(Справочник_ОКВЭД_НР!$C$3:$C$62,H530)&gt;0,Справочник_ОКВЭД_НР!$L$9,
  IF(COUNTIF(Справочник_ОКВЭД_НР!$E$3:$E$62,H530)&gt;0,Справочник_ОКВЭД_НР!$L$10,
   IF(COUNTIF(Справочник_ОКВЭД_НР!$G$3:$G$62,H530)&gt;0,Справочник_ОКВЭД_НР!$L$11,50))))</f>
        <v>60</v>
      </c>
      <c r="J530" s="30" cm="1">
        <f t="array" ref="J530">IFERROR(
 (SUMPRODUCT(ISNUMBER(SEARCH(","&amp;Справочник_ОКВЭД_НР!$A$3:$A$62&amp;".",","&amp;SUBSTITUTE(F530," ","")&amp;",")))*Справочник_ОКВЭД_НР!$L$9 +
  SUMPRODUCT(ISNUMBER(SEARCH(","&amp;Справочник_ОКВЭД_НР!$C$3:$C$62&amp;".",","&amp;SUBSTITUTE(F530," ","")&amp;",")))*Справочник_ОКВЭД_НР!$L$10 +
  SUMPRODUCT(ISNUMBER(SEARCH(","&amp;Справочник_ОКВЭД_НР!$E$3:$E$62&amp;".",","&amp;SUBSTITUTE(F530," ","")&amp;",")))*Справочник_ОКВЭД_НР!$L$11 +
  SUMPRODUCT(ISNUMBER(SEARCH(","&amp;Справочник_ОКВЭД_НР!$G$3:$G$62&amp;".",","&amp;SUBSTITUTE(F530," ","")&amp;",")))*Справочник_ОКВЭД_НР!$L$12) /
 (SUMPRODUCT(ISNUMBER(SEARCH(","&amp;Справочник_ОКВЭД_НР!$A$3:$A$62&amp;".",","&amp;SUBSTITUTE(F530," ","")&amp;","))) +
  SUMPRODUCT(ISNUMBER(SEARCH(","&amp;Справочник_ОКВЭД_НР!$C$3:$C$62&amp;".",","&amp;SUBSTITUTE(F530," ","")&amp;","))) +
  SUMPRODUCT(ISNUMBER(SEARCH(","&amp;Справочник_ОКВЭД_НР!$E$3:$E$62&amp;".",","&amp;SUBSTITUTE(F530," ","")&amp;","))) +
  SUMPRODUCT(ISNUMBER(SEARCH(","&amp;Справочник_ОКВЭД_НР!$G$3:$G$62&amp;".",","&amp;SUBSTITUTE(F530," ","")&amp;",")))),
50)</f>
        <v>50</v>
      </c>
      <c r="K530" s="30">
        <f>IFERROR(VLOOKUP(G530,Справочник_ОКВЭД_НР!$O:$P,2,FALSE()),50)</f>
        <v>100</v>
      </c>
      <c r="L530" s="45">
        <f>(I530*Справочник_ОКВЭД_НР!$L$2+J530*Справочник_ОКВЭД_НР!$L$3+K530*Справочник_ОКВЭД_НР!$L$4)*M530</f>
        <v>63.5</v>
      </c>
      <c r="M530" s="47">
        <f>IF(COUNTIF(Справочник_ОКВЭД_НР!$G$3:$G$62,H530)&gt;0,0,1)</f>
        <v>1</v>
      </c>
    </row>
    <row r="531" spans="1:13" x14ac:dyDescent="0.25">
      <c r="A531" s="4">
        <f>ЛИК_дляСкорингаДП!A531</f>
        <v>1082135001046</v>
      </c>
      <c r="B531" s="4">
        <f>ЛИК_дляСкорингаДП!B531</f>
        <v>2111007975</v>
      </c>
      <c r="C531" s="4" t="str">
        <f>ЛИК_дляСкорингаДП!C531</f>
        <v>ООО "МАРИИНСКО-ПОСАДСКИЙ МАСЛОЗАВОД"</v>
      </c>
      <c r="D531" s="5" t="str">
        <f>ЛИК_дляСкорингаДП!M531</f>
        <v>Производство растительных и животных масел и жиров</v>
      </c>
      <c r="E531" s="4" t="str">
        <f>ЛИК_дляСкорингаДП!L531</f>
        <v>10.4</v>
      </c>
      <c r="F531" t="str">
        <f>ЛИК_дляСкорингаДП!N531</f>
        <v>01.1,01.11.3,01.2,10.41.5,10.41.54,46.33,46.33.3,46.38,49.41,52.21.2,52.29,55.20</v>
      </c>
      <c r="G531" s="25" t="str">
        <f>ЛИК_дляСкорингаДП!AG531</f>
        <v>ОСН</v>
      </c>
      <c r="H531" s="55" t="str">
        <f>IF(ISNUMBER(E531),E531,
IFERROR(LEFT(E531,FIND(".",E531)-1),E531))</f>
        <v>10</v>
      </c>
      <c r="I531" s="30">
        <f>IF(COUNTIF(Справочник_ОКВЭД_НР!$A$3:$A$62,H531)&gt;0,Справочник_ОКВЭД_НР!$L$8,
 IF(COUNTIF(Справочник_ОКВЭД_НР!$C$3:$C$62,H531)&gt;0,Справочник_ОКВЭД_НР!$L$9,
  IF(COUNTIF(Справочник_ОКВЭД_НР!$E$3:$E$62,H531)&gt;0,Справочник_ОКВЭД_НР!$L$10,
   IF(COUNTIF(Справочник_ОКВЭД_НР!$G$3:$G$62,H531)&gt;0,Справочник_ОКВЭД_НР!$L$11,50))))</f>
        <v>100</v>
      </c>
      <c r="J531" s="30" cm="1">
        <f t="array" ref="J531">IFERROR(
 (SUMPRODUCT(ISNUMBER(SEARCH(","&amp;Справочник_ОКВЭД_НР!$A$3:$A$62&amp;".",","&amp;SUBSTITUTE(F531," ","")&amp;",")))*Справочник_ОКВЭД_НР!$L$9 +
  SUMPRODUCT(ISNUMBER(SEARCH(","&amp;Справочник_ОКВЭД_НР!$C$3:$C$62&amp;".",","&amp;SUBSTITUTE(F531," ","")&amp;",")))*Справочник_ОКВЭД_НР!$L$10 +
  SUMPRODUCT(ISNUMBER(SEARCH(","&amp;Справочник_ОКВЭД_НР!$E$3:$E$62&amp;".",","&amp;SUBSTITUTE(F531," ","")&amp;",")))*Справочник_ОКВЭД_НР!$L$11 +
  SUMPRODUCT(ISNUMBER(SEARCH(","&amp;Справочник_ОКВЭД_НР!$G$3:$G$62&amp;".",","&amp;SUBSTITUTE(F531," ","")&amp;",")))*Справочник_ОКВЭД_НР!$L$12) /
 (SUMPRODUCT(ISNUMBER(SEARCH(","&amp;Справочник_ОКВЭД_НР!$A$3:$A$62&amp;".",","&amp;SUBSTITUTE(F531," ","")&amp;","))) +
  SUMPRODUCT(ISNUMBER(SEARCH(","&amp;Справочник_ОКВЭД_НР!$C$3:$C$62&amp;".",","&amp;SUBSTITUTE(F531," ","")&amp;","))) +
  SUMPRODUCT(ISNUMBER(SEARCH(","&amp;Справочник_ОКВЭД_НР!$E$3:$E$62&amp;".",","&amp;SUBSTITUTE(F531," ","")&amp;","))) +
  SUMPRODUCT(ISNUMBER(SEARCH(","&amp;Справочник_ОКВЭД_НР!$G$3:$G$62&amp;".",","&amp;SUBSTITUTE(F531," ","")&amp;",")))),
50)</f>
        <v>50</v>
      </c>
      <c r="K531" s="30">
        <f>IFERROR(VLOOKUP(G531,Справочник_ОКВЭД_НР!$O:$P,2,FALSE()),50)</f>
        <v>100</v>
      </c>
      <c r="L531" s="45">
        <f>(I531*Справочник_ОКВЭД_НР!$L$2+J531*Справочник_ОКВЭД_НР!$L$3+K531*Справочник_ОКВЭД_НР!$L$4)*M531</f>
        <v>87.5</v>
      </c>
      <c r="M531" s="47">
        <f>IF(COUNTIF(Справочник_ОКВЭД_НР!$G$3:$G$62,H531)&gt;0,0,1)</f>
        <v>1</v>
      </c>
    </row>
    <row r="532" spans="1:13" x14ac:dyDescent="0.25">
      <c r="A532" s="4">
        <f>ЛИК_дляСкорингаДП!A532</f>
        <v>1102137000074</v>
      </c>
      <c r="B532" s="4">
        <f>ЛИК_дляСкорингаДП!B532</f>
        <v>2115905070</v>
      </c>
      <c r="C532" s="4" t="str">
        <f>ЛИК_дляСкорингаДП!C532</f>
        <v>ООО "ЗИТ"</v>
      </c>
      <c r="D532" s="5" t="str">
        <f>ЛИК_дляСкорингаДП!M532</f>
        <v>Производство электрической распределительной и регулирующей аппаратуры</v>
      </c>
      <c r="E532" s="4" t="str">
        <f>ЛИК_дляСкорингаДП!L532</f>
        <v>27.12</v>
      </c>
      <c r="F532" t="str">
        <f>ЛИК_дляСкорингаДП!N532</f>
        <v>25.11,26.11,26.30,26.40,26.51,26.51.4,27.11,27.20,27.32,27.40,27.90,28.49,30.30.5,33.14,33.20,41.10,41.2,41.20,43.2,43.21,43.29,43.3,43.99.1,46.62,46.69.5,46.69.9,46.90,47.91.2,47.91.3,47.91.4,51.22.3,52.29,53.20.1,61.10.9,62.01,62.02,68.20.2,69,69.10,71.12.1,71.12.6,72.1,84.22</v>
      </c>
      <c r="G532" s="25" t="str">
        <f>ЛИК_дляСкорингаДП!AG532</f>
        <v>ОСН</v>
      </c>
      <c r="H532" s="55" t="str">
        <f>IF(ISNUMBER(E532),E532,
IFERROR(LEFT(E532,FIND(".",E532)-1),E532))</f>
        <v>27</v>
      </c>
      <c r="I532" s="30">
        <f>IF(COUNTIF(Справочник_ОКВЭД_НР!$A$3:$A$62,H532)&gt;0,Справочник_ОКВЭД_НР!$L$8,
 IF(COUNTIF(Справочник_ОКВЭД_НР!$C$3:$C$62,H532)&gt;0,Справочник_ОКВЭД_НР!$L$9,
  IF(COUNTIF(Справочник_ОКВЭД_НР!$E$3:$E$62,H532)&gt;0,Справочник_ОКВЭД_НР!$L$10,
   IF(COUNTIF(Справочник_ОКВЭД_НР!$G$3:$G$62,H532)&gt;0,Справочник_ОКВЭД_НР!$L$11,50))))</f>
        <v>100</v>
      </c>
      <c r="J532" s="30" cm="1">
        <f t="array" ref="J532">IFERROR(
 (SUMPRODUCT(ISNUMBER(SEARCH(","&amp;Справочник_ОКВЭД_НР!$A$3:$A$62&amp;".",","&amp;SUBSTITUTE(F532," ","")&amp;",")))*Справочник_ОКВЭД_НР!$L$9 +
  SUMPRODUCT(ISNUMBER(SEARCH(","&amp;Справочник_ОКВЭД_НР!$C$3:$C$62&amp;".",","&amp;SUBSTITUTE(F532," ","")&amp;",")))*Справочник_ОКВЭД_НР!$L$10 +
  SUMPRODUCT(ISNUMBER(SEARCH(","&amp;Справочник_ОКВЭД_НР!$E$3:$E$62&amp;".",","&amp;SUBSTITUTE(F532," ","")&amp;",")))*Справочник_ОКВЭД_НР!$L$11 +
  SUMPRODUCT(ISNUMBER(SEARCH(","&amp;Справочник_ОКВЭД_НР!$G$3:$G$62&amp;".",","&amp;SUBSTITUTE(F532," ","")&amp;",")))*Справочник_ОКВЭД_НР!$L$12) /
 (SUMPRODUCT(ISNUMBER(SEARCH(","&amp;Справочник_ОКВЭД_НР!$A$3:$A$62&amp;".",","&amp;SUBSTITUTE(F532," ","")&amp;","))) +
  SUMPRODUCT(ISNUMBER(SEARCH(","&amp;Справочник_ОКВЭД_НР!$C$3:$C$62&amp;".",","&amp;SUBSTITUTE(F532," ","")&amp;","))) +
  SUMPRODUCT(ISNUMBER(SEARCH(","&amp;Справочник_ОКВЭД_НР!$E$3:$E$62&amp;".",","&amp;SUBSTITUTE(F532," ","")&amp;","))) +
  SUMPRODUCT(ISNUMBER(SEARCH(","&amp;Справочник_ОКВЭД_НР!$G$3:$G$62&amp;".",","&amp;SUBSTITUTE(F532," ","")&amp;",")))),
50)</f>
        <v>50</v>
      </c>
      <c r="K532" s="30">
        <f>IFERROR(VLOOKUP(G532,Справочник_ОКВЭД_НР!$O:$P,2,FALSE()),50)</f>
        <v>100</v>
      </c>
      <c r="L532" s="45">
        <f>(I532*Справочник_ОКВЭД_НР!$L$2+J532*Справочник_ОКВЭД_НР!$L$3+K532*Справочник_ОКВЭД_НР!$L$4)*M532</f>
        <v>87.5</v>
      </c>
      <c r="M532" s="47">
        <f>IF(COUNTIF(Справочник_ОКВЭД_НР!$G$3:$G$62,H532)&gt;0,0,1)</f>
        <v>1</v>
      </c>
    </row>
    <row r="533" spans="1:13" x14ac:dyDescent="0.25">
      <c r="A533" s="4">
        <f>ЛИК_дляСкорингаДП!A533</f>
        <v>1092130002832</v>
      </c>
      <c r="B533" s="4">
        <f>ЛИК_дляСкорингаДП!B533</f>
        <v>2130054931</v>
      </c>
      <c r="C533" s="4" t="str">
        <f>ЛИК_дляСкорингаДП!C533</f>
        <v>ООО "АВТОН"</v>
      </c>
      <c r="D533" s="5" t="str">
        <f>ЛИК_дляСкорингаДП!M533</f>
        <v>Техническое обслуживание и ремонт легковых автомобилей и легких грузовых автотранспортных средств</v>
      </c>
      <c r="E533" s="4" t="str">
        <f>ЛИК_дляСкорингаДП!L533</f>
        <v>45.20.1</v>
      </c>
      <c r="F533" t="str">
        <f>ЛИК_дляСкорингаДП!N533</f>
        <v>45.11.2,41.2,43.3,45.11,45.11.1,45.11.2,45.11.3,45.11.31,45.11.39,45.11.4,45.11.4,45.11.41,45.11.49,45.19,45.19.1,45.19.2,45.19.3,45.19.31,45.19.39,45.19.4,45.19.41,45.19.49,45.20,45.20.1,45.20.2,45.20.2,45.3,45.31.1,45.32,47.24,47.25.2,47.29,47.30,47.43,47.91.2</v>
      </c>
      <c r="G533" s="25" t="str">
        <f>ЛИК_дляСкорингаДП!AG533</f>
        <v>ОСН</v>
      </c>
      <c r="H533" s="55" t="str">
        <f>IF(ISNUMBER(E533),E533,
IFERROR(LEFT(E533,FIND(".",E533)-1),E533))</f>
        <v>45</v>
      </c>
      <c r="I533" s="30">
        <f>IF(COUNTIF(Справочник_ОКВЭД_НР!$A$3:$A$62,H533)&gt;0,Справочник_ОКВЭД_НР!$L$8,
 IF(COUNTIF(Справочник_ОКВЭД_НР!$C$3:$C$62,H533)&gt;0,Справочник_ОКВЭД_НР!$L$9,
  IF(COUNTIF(Справочник_ОКВЭД_НР!$E$3:$E$62,H533)&gt;0,Справочник_ОКВЭД_НР!$L$10,
   IF(COUNTIF(Справочник_ОКВЭД_НР!$G$3:$G$62,H533)&gt;0,Справочник_ОКВЭД_НР!$L$11,50))))</f>
        <v>60</v>
      </c>
      <c r="J533" s="30" cm="1">
        <f t="array" ref="J533">IFERROR(
 (SUMPRODUCT(ISNUMBER(SEARCH(","&amp;Справочник_ОКВЭД_НР!$A$3:$A$62&amp;".",","&amp;SUBSTITUTE(F533," ","")&amp;",")))*Справочник_ОКВЭД_НР!$L$9 +
  SUMPRODUCT(ISNUMBER(SEARCH(","&amp;Справочник_ОКВЭД_НР!$C$3:$C$62&amp;".",","&amp;SUBSTITUTE(F533," ","")&amp;",")))*Справочник_ОКВЭД_НР!$L$10 +
  SUMPRODUCT(ISNUMBER(SEARCH(","&amp;Справочник_ОКВЭД_НР!$E$3:$E$62&amp;".",","&amp;SUBSTITUTE(F533," ","")&amp;",")))*Справочник_ОКВЭД_НР!$L$11 +
  SUMPRODUCT(ISNUMBER(SEARCH(","&amp;Справочник_ОКВЭД_НР!$G$3:$G$62&amp;".",","&amp;SUBSTITUTE(F533," ","")&amp;",")))*Справочник_ОКВЭД_НР!$L$12) /
 (SUMPRODUCT(ISNUMBER(SEARCH(","&amp;Справочник_ОКВЭД_НР!$A$3:$A$62&amp;".",","&amp;SUBSTITUTE(F533," ","")&amp;","))) +
  SUMPRODUCT(ISNUMBER(SEARCH(","&amp;Справочник_ОКВЭД_НР!$C$3:$C$62&amp;".",","&amp;SUBSTITUTE(F533," ","")&amp;","))) +
  SUMPRODUCT(ISNUMBER(SEARCH(","&amp;Справочник_ОКВЭД_НР!$E$3:$E$62&amp;".",","&amp;SUBSTITUTE(F533," ","")&amp;","))) +
  SUMPRODUCT(ISNUMBER(SEARCH(","&amp;Справочник_ОКВЭД_НР!$G$3:$G$62&amp;".",","&amp;SUBSTITUTE(F533," ","")&amp;",")))),
50)</f>
        <v>50</v>
      </c>
      <c r="K533" s="30">
        <f>IFERROR(VLOOKUP(G533,Справочник_ОКВЭД_НР!$O:$P,2,FALSE()),50)</f>
        <v>100</v>
      </c>
      <c r="L533" s="45">
        <f>(I533*Справочник_ОКВЭД_НР!$L$2+J533*Справочник_ОКВЭД_НР!$L$3+K533*Справочник_ОКВЭД_НР!$L$4)*M533</f>
        <v>63.5</v>
      </c>
      <c r="M533" s="47">
        <f>IF(COUNTIF(Справочник_ОКВЭД_НР!$G$3:$G$62,H533)&gt;0,0,1)</f>
        <v>1</v>
      </c>
    </row>
    <row r="534" spans="1:13" x14ac:dyDescent="0.25">
      <c r="A534" s="4">
        <f>ЛИК_дляСкорингаДП!A534</f>
        <v>1117847053576</v>
      </c>
      <c r="B534" s="4">
        <f>ЛИК_дляСкорингаДП!B534</f>
        <v>7801540272</v>
      </c>
      <c r="C534" s="4" t="str">
        <f>ЛИК_дляСкорингаДП!C534</f>
        <v>ООО "ФРОСТО"</v>
      </c>
      <c r="D534" s="5" t="str">
        <f>ЛИК_дляСкорингаДП!M534</f>
        <v>Производство прочего электрического оборудования</v>
      </c>
      <c r="E534" s="4" t="str">
        <f>ЛИК_дляСкорингаДП!L534</f>
        <v>27.90</v>
      </c>
      <c r="F534" t="str">
        <f>ЛИК_дляСкорингаДП!N534</f>
        <v>16.10,16.10.9,16.23,16.24,28.25,28.29,28.93,35.13,35.30,46.6,46.73,46.90,47.9,56.29,71.12,72.19,77.39.1,77.39.2</v>
      </c>
      <c r="G534" s="25" t="str">
        <f>ЛИК_дляСкорингаДП!AG534</f>
        <v>ОСН</v>
      </c>
      <c r="H534" s="55" t="str">
        <f>IF(ISNUMBER(E534),E534,
IFERROR(LEFT(E534,FIND(".",E534)-1),E534))</f>
        <v>27</v>
      </c>
      <c r="I534" s="30">
        <f>IF(COUNTIF(Справочник_ОКВЭД_НР!$A$3:$A$62,H534)&gt;0,Справочник_ОКВЭД_НР!$L$8,
 IF(COUNTIF(Справочник_ОКВЭД_НР!$C$3:$C$62,H534)&gt;0,Справочник_ОКВЭД_НР!$L$9,
  IF(COUNTIF(Справочник_ОКВЭД_НР!$E$3:$E$62,H534)&gt;0,Справочник_ОКВЭД_НР!$L$10,
   IF(COUNTIF(Справочник_ОКВЭД_НР!$G$3:$G$62,H534)&gt;0,Справочник_ОКВЭД_НР!$L$11,50))))</f>
        <v>100</v>
      </c>
      <c r="J534" s="30" cm="1">
        <f t="array" ref="J534">IFERROR(
 (SUMPRODUCT(ISNUMBER(SEARCH(","&amp;Справочник_ОКВЭД_НР!$A$3:$A$62&amp;".",","&amp;SUBSTITUTE(F534," ","")&amp;",")))*Справочник_ОКВЭД_НР!$L$9 +
  SUMPRODUCT(ISNUMBER(SEARCH(","&amp;Справочник_ОКВЭД_НР!$C$3:$C$62&amp;".",","&amp;SUBSTITUTE(F534," ","")&amp;",")))*Справочник_ОКВЭД_НР!$L$10 +
  SUMPRODUCT(ISNUMBER(SEARCH(","&amp;Справочник_ОКВЭД_НР!$E$3:$E$62&amp;".",","&amp;SUBSTITUTE(F534," ","")&amp;",")))*Справочник_ОКВЭД_НР!$L$11 +
  SUMPRODUCT(ISNUMBER(SEARCH(","&amp;Справочник_ОКВЭД_НР!$G$3:$G$62&amp;".",","&amp;SUBSTITUTE(F534," ","")&amp;",")))*Справочник_ОКВЭД_НР!$L$12) /
 (SUMPRODUCT(ISNUMBER(SEARCH(","&amp;Справочник_ОКВЭД_НР!$A$3:$A$62&amp;".",","&amp;SUBSTITUTE(F534," ","")&amp;","))) +
  SUMPRODUCT(ISNUMBER(SEARCH(","&amp;Справочник_ОКВЭД_НР!$C$3:$C$62&amp;".",","&amp;SUBSTITUTE(F534," ","")&amp;","))) +
  SUMPRODUCT(ISNUMBER(SEARCH(","&amp;Справочник_ОКВЭД_НР!$E$3:$E$62&amp;".",","&amp;SUBSTITUTE(F534," ","")&amp;","))) +
  SUMPRODUCT(ISNUMBER(SEARCH(","&amp;Справочник_ОКВЭД_НР!$G$3:$G$62&amp;".",","&amp;SUBSTITUTE(F534," ","")&amp;",")))),
50)</f>
        <v>50</v>
      </c>
      <c r="K534" s="30">
        <f>IFERROR(VLOOKUP(G534,Справочник_ОКВЭД_НР!$O:$P,2,FALSE()),50)</f>
        <v>100</v>
      </c>
      <c r="L534" s="45">
        <f>(I534*Справочник_ОКВЭД_НР!$L$2+J534*Справочник_ОКВЭД_НР!$L$3+K534*Справочник_ОКВЭД_НР!$L$4)*M534</f>
        <v>87.5</v>
      </c>
      <c r="M534" s="47">
        <f>IF(COUNTIF(Справочник_ОКВЭД_НР!$G$3:$G$62,H534)&gt;0,0,1)</f>
        <v>1</v>
      </c>
    </row>
    <row r="535" spans="1:13" x14ac:dyDescent="0.25">
      <c r="A535" s="4">
        <f>ЛИК_дляСкорингаДП!A535</f>
        <v>1122124000283</v>
      </c>
      <c r="B535" s="4">
        <f>ЛИК_дляСкорингаДП!B535</f>
        <v>2124035391</v>
      </c>
      <c r="C535" s="4" t="str">
        <f>ЛИК_дляСкорингаДП!C535</f>
        <v>ООО "ГК "ЭСТЕТ"</v>
      </c>
      <c r="D535" s="5" t="str">
        <f>ЛИК_дляСкорингаДП!M535</f>
        <v>Производство деревянных строительных конструкций и столярных изделий</v>
      </c>
      <c r="E535" s="4" t="str">
        <f>ЛИК_дляСкорингаДП!L535</f>
        <v>16.23.1</v>
      </c>
      <c r="F535" t="str">
        <f>ЛИК_дляСкорингаДП!N535</f>
        <v>23.12,23.19,25.62,31.01,31.02,31.09,43.32,46.73.6,47.5,47.9,68.20,69.10,69.20,70.22,73.11,73.12</v>
      </c>
      <c r="G535" s="25" t="str">
        <f>ЛИК_дляСкорингаДП!AG535</f>
        <v>ОСН</v>
      </c>
      <c r="H535" s="55" t="str">
        <f>IF(ISNUMBER(E535),E535,
IFERROR(LEFT(E535,FIND(".",E535)-1),E535))</f>
        <v>16</v>
      </c>
      <c r="I535" s="30">
        <f>IF(COUNTIF(Справочник_ОКВЭД_НР!$A$3:$A$62,H535)&gt;0,Справочник_ОКВЭД_НР!$L$8,
 IF(COUNTIF(Справочник_ОКВЭД_НР!$C$3:$C$62,H535)&gt;0,Справочник_ОКВЭД_НР!$L$9,
  IF(COUNTIF(Справочник_ОКВЭД_НР!$E$3:$E$62,H535)&gt;0,Справочник_ОКВЭД_НР!$L$10,
   IF(COUNTIF(Справочник_ОКВЭД_НР!$G$3:$G$62,H535)&gt;0,Справочник_ОКВЭД_НР!$L$11,50))))</f>
        <v>60</v>
      </c>
      <c r="J535" s="30" cm="1">
        <f t="array" ref="J535">IFERROR(
 (SUMPRODUCT(ISNUMBER(SEARCH(","&amp;Справочник_ОКВЭД_НР!$A$3:$A$62&amp;".",","&amp;SUBSTITUTE(F535," ","")&amp;",")))*Справочник_ОКВЭД_НР!$L$9 +
  SUMPRODUCT(ISNUMBER(SEARCH(","&amp;Справочник_ОКВЭД_НР!$C$3:$C$62&amp;".",","&amp;SUBSTITUTE(F535," ","")&amp;",")))*Справочник_ОКВЭД_НР!$L$10 +
  SUMPRODUCT(ISNUMBER(SEARCH(","&amp;Справочник_ОКВЭД_НР!$E$3:$E$62&amp;".",","&amp;SUBSTITUTE(F535," ","")&amp;",")))*Справочник_ОКВЭД_НР!$L$11 +
  SUMPRODUCT(ISNUMBER(SEARCH(","&amp;Справочник_ОКВЭД_НР!$G$3:$G$62&amp;".",","&amp;SUBSTITUTE(F535," ","")&amp;",")))*Справочник_ОКВЭД_НР!$L$12) /
 (SUMPRODUCT(ISNUMBER(SEARCH(","&amp;Справочник_ОКВЭД_НР!$A$3:$A$62&amp;".",","&amp;SUBSTITUTE(F535," ","")&amp;","))) +
  SUMPRODUCT(ISNUMBER(SEARCH(","&amp;Справочник_ОКВЭД_НР!$C$3:$C$62&amp;".",","&amp;SUBSTITUTE(F535," ","")&amp;","))) +
  SUMPRODUCT(ISNUMBER(SEARCH(","&amp;Справочник_ОКВЭД_НР!$E$3:$E$62&amp;".",","&amp;SUBSTITUTE(F535," ","")&amp;","))) +
  SUMPRODUCT(ISNUMBER(SEARCH(","&amp;Справочник_ОКВЭД_НР!$G$3:$G$62&amp;".",","&amp;SUBSTITUTE(F535," ","")&amp;",")))),
50)</f>
        <v>50</v>
      </c>
      <c r="K535" s="30">
        <f>IFERROR(VLOOKUP(G535,Справочник_ОКВЭД_НР!$O:$P,2,FALSE()),50)</f>
        <v>100</v>
      </c>
      <c r="L535" s="45">
        <f>(I535*Справочник_ОКВЭД_НР!$L$2+J535*Справочник_ОКВЭД_НР!$L$3+K535*Справочник_ОКВЭД_НР!$L$4)*M535</f>
        <v>63.5</v>
      </c>
      <c r="M535" s="47">
        <f>IF(COUNTIF(Справочник_ОКВЭД_НР!$G$3:$G$62,H535)&gt;0,0,1)</f>
        <v>1</v>
      </c>
    </row>
    <row r="536" spans="1:13" x14ac:dyDescent="0.25">
      <c r="A536" s="4">
        <f>ЛИК_дляСкорингаДП!A536</f>
        <v>1162130061477</v>
      </c>
      <c r="B536" s="4">
        <f>ЛИК_дляСкорингаДП!B536</f>
        <v>2130174989</v>
      </c>
      <c r="C536" s="4" t="str">
        <f>ЛИК_дляСкорингаДП!C536</f>
        <v>ООО "ФК ГРАНД КАПИТАЛ ЧЕБОКСАРЫ"</v>
      </c>
      <c r="D536" s="5" t="str">
        <f>ЛИК_дляСкорингаДП!M536</f>
        <v>Торговля оптовая фармацевтической продукцией</v>
      </c>
      <c r="E536" s="4" t="str">
        <f>ЛИК_дляСкорингаДП!L536</f>
        <v>46.46</v>
      </c>
      <c r="F536" t="str">
        <f>ЛИК_дляСкорингаДП!N536</f>
        <v>21.20.1,46.46.1,46.46.2</v>
      </c>
      <c r="G536" s="25" t="str">
        <f>ЛИК_дляСкорингаДП!AG536</f>
        <v>ОСН</v>
      </c>
      <c r="H536" s="55" t="str">
        <f>IF(ISNUMBER(E536),E536,
IFERROR(LEFT(E536,FIND(".",E536)-1),E536))</f>
        <v>46</v>
      </c>
      <c r="I536" s="30">
        <f>IF(COUNTIF(Справочник_ОКВЭД_НР!$A$3:$A$62,H536)&gt;0,Справочник_ОКВЭД_НР!$L$8,
 IF(COUNTIF(Справочник_ОКВЭД_НР!$C$3:$C$62,H536)&gt;0,Справочник_ОКВЭД_НР!$L$9,
  IF(COUNTIF(Справочник_ОКВЭД_НР!$E$3:$E$62,H536)&gt;0,Справочник_ОКВЭД_НР!$L$10,
   IF(COUNTIF(Справочник_ОКВЭД_НР!$G$3:$G$62,H536)&gt;0,Справочник_ОКВЭД_НР!$L$11,50))))</f>
        <v>60</v>
      </c>
      <c r="J536" s="30" cm="1">
        <f t="array" ref="J536">IFERROR(
 (SUMPRODUCT(ISNUMBER(SEARCH(","&amp;Справочник_ОКВЭД_НР!$A$3:$A$62&amp;".",","&amp;SUBSTITUTE(F536," ","")&amp;",")))*Справочник_ОКВЭД_НР!$L$9 +
  SUMPRODUCT(ISNUMBER(SEARCH(","&amp;Справочник_ОКВЭД_НР!$C$3:$C$62&amp;".",","&amp;SUBSTITUTE(F536," ","")&amp;",")))*Справочник_ОКВЭД_НР!$L$10 +
  SUMPRODUCT(ISNUMBER(SEARCH(","&amp;Справочник_ОКВЭД_НР!$E$3:$E$62&amp;".",","&amp;SUBSTITUTE(F536," ","")&amp;",")))*Справочник_ОКВЭД_НР!$L$11 +
  SUMPRODUCT(ISNUMBER(SEARCH(","&amp;Справочник_ОКВЭД_НР!$G$3:$G$62&amp;".",","&amp;SUBSTITUTE(F536," ","")&amp;",")))*Справочник_ОКВЭД_НР!$L$12) /
 (SUMPRODUCT(ISNUMBER(SEARCH(","&amp;Справочник_ОКВЭД_НР!$A$3:$A$62&amp;".",","&amp;SUBSTITUTE(F536," ","")&amp;","))) +
  SUMPRODUCT(ISNUMBER(SEARCH(","&amp;Справочник_ОКВЭД_НР!$C$3:$C$62&amp;".",","&amp;SUBSTITUTE(F536," ","")&amp;","))) +
  SUMPRODUCT(ISNUMBER(SEARCH(","&amp;Справочник_ОКВЭД_НР!$E$3:$E$62&amp;".",","&amp;SUBSTITUTE(F536," ","")&amp;","))) +
  SUMPRODUCT(ISNUMBER(SEARCH(","&amp;Справочник_ОКВЭД_НР!$G$3:$G$62&amp;".",","&amp;SUBSTITUTE(F536," ","")&amp;",")))),
50)</f>
        <v>50</v>
      </c>
      <c r="K536" s="30">
        <f>IFERROR(VLOOKUP(G536,Справочник_ОКВЭД_НР!$O:$P,2,FALSE()),50)</f>
        <v>100</v>
      </c>
      <c r="L536" s="45">
        <f>(I536*Справочник_ОКВЭД_НР!$L$2+J536*Справочник_ОКВЭД_НР!$L$3+K536*Справочник_ОКВЭД_НР!$L$4)*M536</f>
        <v>63.5</v>
      </c>
      <c r="M536" s="47">
        <f>IF(COUNTIF(Справочник_ОКВЭД_НР!$G$3:$G$62,H536)&gt;0,0,1)</f>
        <v>1</v>
      </c>
    </row>
    <row r="537" spans="1:13" x14ac:dyDescent="0.25">
      <c r="A537" s="4">
        <f>ЛИК_дляСкорингаДП!A537</f>
        <v>1172130013681</v>
      </c>
      <c r="B537" s="4">
        <f>ЛИК_дляСкорингаДП!B537</f>
        <v>2130193156</v>
      </c>
      <c r="C537" s="4" t="str">
        <f>ЛИК_дляСкорингаДП!C537</f>
        <v>ООО "СМАРТ ТРЕЙД ЭМ ПИ ТИ"</v>
      </c>
      <c r="D537" s="5" t="str">
        <f>ЛИК_дляСкорингаДП!M537</f>
        <v>Торговля оптовая чистящими средствами</v>
      </c>
      <c r="E537" s="4" t="str">
        <f>ЛИК_дляСкорингаДП!L537</f>
        <v>46.44.2</v>
      </c>
      <c r="F537" t="str">
        <f>ЛИК_дляСкорингаДП!N537</f>
        <v>46.17.1,46.17.2,46.17.21,46.17.23,46.18.1,46.33.3,46.34.1,46.34.23,46.36.2,46.36.4,46.37,46.38.2,46.38.23,46.45,52.24,73.11</v>
      </c>
      <c r="G537" s="25" t="str">
        <f>ЛИК_дляСкорингаДП!AG537</f>
        <v>ОСН</v>
      </c>
      <c r="H537" s="55" t="str">
        <f>IF(ISNUMBER(E537),E537,
IFERROR(LEFT(E537,FIND(".",E537)-1),E537))</f>
        <v>46</v>
      </c>
      <c r="I537" s="30">
        <f>IF(COUNTIF(Справочник_ОКВЭД_НР!$A$3:$A$62,H537)&gt;0,Справочник_ОКВЭД_НР!$L$8,
 IF(COUNTIF(Справочник_ОКВЭД_НР!$C$3:$C$62,H537)&gt;0,Справочник_ОКВЭД_НР!$L$9,
  IF(COUNTIF(Справочник_ОКВЭД_НР!$E$3:$E$62,H537)&gt;0,Справочник_ОКВЭД_НР!$L$10,
   IF(COUNTIF(Справочник_ОКВЭД_НР!$G$3:$G$62,H537)&gt;0,Справочник_ОКВЭД_НР!$L$11,50))))</f>
        <v>60</v>
      </c>
      <c r="J537" s="30" cm="1">
        <f t="array" ref="J537">IFERROR(
 (SUMPRODUCT(ISNUMBER(SEARCH(","&amp;Справочник_ОКВЭД_НР!$A$3:$A$62&amp;".",","&amp;SUBSTITUTE(F537," ","")&amp;",")))*Справочник_ОКВЭД_НР!$L$9 +
  SUMPRODUCT(ISNUMBER(SEARCH(","&amp;Справочник_ОКВЭД_НР!$C$3:$C$62&amp;".",","&amp;SUBSTITUTE(F537," ","")&amp;",")))*Справочник_ОКВЭД_НР!$L$10 +
  SUMPRODUCT(ISNUMBER(SEARCH(","&amp;Справочник_ОКВЭД_НР!$E$3:$E$62&amp;".",","&amp;SUBSTITUTE(F537," ","")&amp;",")))*Справочник_ОКВЭД_НР!$L$11 +
  SUMPRODUCT(ISNUMBER(SEARCH(","&amp;Справочник_ОКВЭД_НР!$G$3:$G$62&amp;".",","&amp;SUBSTITUTE(F537," ","")&amp;",")))*Справочник_ОКВЭД_НР!$L$12) /
 (SUMPRODUCT(ISNUMBER(SEARCH(","&amp;Справочник_ОКВЭД_НР!$A$3:$A$62&amp;".",","&amp;SUBSTITUTE(F537," ","")&amp;","))) +
  SUMPRODUCT(ISNUMBER(SEARCH(","&amp;Справочник_ОКВЭД_НР!$C$3:$C$62&amp;".",","&amp;SUBSTITUTE(F537," ","")&amp;","))) +
  SUMPRODUCT(ISNUMBER(SEARCH(","&amp;Справочник_ОКВЭД_НР!$E$3:$E$62&amp;".",","&amp;SUBSTITUTE(F537," ","")&amp;","))) +
  SUMPRODUCT(ISNUMBER(SEARCH(","&amp;Справочник_ОКВЭД_НР!$G$3:$G$62&amp;".",","&amp;SUBSTITUTE(F537," ","")&amp;",")))),
50)</f>
        <v>50</v>
      </c>
      <c r="K537" s="30">
        <f>IFERROR(VLOOKUP(G537,Справочник_ОКВЭД_НР!$O:$P,2,FALSE()),50)</f>
        <v>100</v>
      </c>
      <c r="L537" s="45">
        <f>(I537*Справочник_ОКВЭД_НР!$L$2+J537*Справочник_ОКВЭД_НР!$L$3+K537*Справочник_ОКВЭД_НР!$L$4)*M537</f>
        <v>63.5</v>
      </c>
      <c r="M537" s="47">
        <f>IF(COUNTIF(Справочник_ОКВЭД_НР!$G$3:$G$62,H537)&gt;0,0,1)</f>
        <v>1</v>
      </c>
    </row>
    <row r="538" spans="1:13" x14ac:dyDescent="0.25">
      <c r="A538" s="4">
        <f>ЛИК_дляСкорингаДП!A538</f>
        <v>1022101628340</v>
      </c>
      <c r="B538" s="4">
        <f>ЛИК_дляСкорингаДП!B538</f>
        <v>2122000643</v>
      </c>
      <c r="C538" s="4" t="str">
        <f>ЛИК_дляСкорингаДП!C538</f>
        <v>АО "ЗАВОД "ЭЛЕКТРОПРИБОР"</v>
      </c>
      <c r="D538" s="5" t="str">
        <f>ЛИК_дляСкорингаДП!M538</f>
        <v>Производство электрической распределительной и регулирующей аппаратуры</v>
      </c>
      <c r="E538" s="4" t="str">
        <f>ЛИК_дляСкорингаДП!L538</f>
        <v>27.12</v>
      </c>
      <c r="F538" t="str">
        <f>ЛИК_дляСкорингаДП!N538</f>
        <v>10.71.1,10.71.2,10.73.1,25.72,27.90.9,28.25.13,33.14,55.10,56.29.2,68.20.29,71.12.12,10.71,27.12,27.90,33.14,55.10,79.90</v>
      </c>
      <c r="G538" s="25" t="str">
        <f>ЛИК_дляСкорингаДП!AG538</f>
        <v>ОСН</v>
      </c>
      <c r="H538" s="55" t="str">
        <f>IF(ISNUMBER(E538),E538,
IFERROR(LEFT(E538,FIND(".",E538)-1),E538))</f>
        <v>27</v>
      </c>
      <c r="I538" s="30">
        <f>IF(COUNTIF(Справочник_ОКВЭД_НР!$A$3:$A$62,H538)&gt;0,Справочник_ОКВЭД_НР!$L$8,
 IF(COUNTIF(Справочник_ОКВЭД_НР!$C$3:$C$62,H538)&gt;0,Справочник_ОКВЭД_НР!$L$9,
  IF(COUNTIF(Справочник_ОКВЭД_НР!$E$3:$E$62,H538)&gt;0,Справочник_ОКВЭД_НР!$L$10,
   IF(COUNTIF(Справочник_ОКВЭД_НР!$G$3:$G$62,H538)&gt;0,Справочник_ОКВЭД_НР!$L$11,50))))</f>
        <v>100</v>
      </c>
      <c r="J538" s="30" cm="1">
        <f t="array" ref="J538">IFERROR(
 (SUMPRODUCT(ISNUMBER(SEARCH(","&amp;Справочник_ОКВЭД_НР!$A$3:$A$62&amp;".",","&amp;SUBSTITUTE(F538," ","")&amp;",")))*Справочник_ОКВЭД_НР!$L$9 +
  SUMPRODUCT(ISNUMBER(SEARCH(","&amp;Справочник_ОКВЭД_НР!$C$3:$C$62&amp;".",","&amp;SUBSTITUTE(F538," ","")&amp;",")))*Справочник_ОКВЭД_НР!$L$10 +
  SUMPRODUCT(ISNUMBER(SEARCH(","&amp;Справочник_ОКВЭД_НР!$E$3:$E$62&amp;".",","&amp;SUBSTITUTE(F538," ","")&amp;",")))*Справочник_ОКВЭД_НР!$L$11 +
  SUMPRODUCT(ISNUMBER(SEARCH(","&amp;Справочник_ОКВЭД_НР!$G$3:$G$62&amp;".",","&amp;SUBSTITUTE(F538," ","")&amp;",")))*Справочник_ОКВЭД_НР!$L$12) /
 (SUMPRODUCT(ISNUMBER(SEARCH(","&amp;Справочник_ОКВЭД_НР!$A$3:$A$62&amp;".",","&amp;SUBSTITUTE(F538," ","")&amp;","))) +
  SUMPRODUCT(ISNUMBER(SEARCH(","&amp;Справочник_ОКВЭД_НР!$C$3:$C$62&amp;".",","&amp;SUBSTITUTE(F538," ","")&amp;","))) +
  SUMPRODUCT(ISNUMBER(SEARCH(","&amp;Справочник_ОКВЭД_НР!$E$3:$E$62&amp;".",","&amp;SUBSTITUTE(F538," ","")&amp;","))) +
  SUMPRODUCT(ISNUMBER(SEARCH(","&amp;Справочник_ОКВЭД_НР!$G$3:$G$62&amp;".",","&amp;SUBSTITUTE(F538," ","")&amp;",")))),
50)</f>
        <v>50</v>
      </c>
      <c r="K538" s="30">
        <f>IFERROR(VLOOKUP(G538,Справочник_ОКВЭД_НР!$O:$P,2,FALSE()),50)</f>
        <v>100</v>
      </c>
      <c r="L538" s="45">
        <f>(I538*Справочник_ОКВЭД_НР!$L$2+J538*Справочник_ОКВЭД_НР!$L$3+K538*Справочник_ОКВЭД_НР!$L$4)*M538</f>
        <v>87.5</v>
      </c>
      <c r="M538" s="47">
        <f>IF(COUNTIF(Справочник_ОКВЭД_НР!$G$3:$G$62,H538)&gt;0,0,1)</f>
        <v>1</v>
      </c>
    </row>
    <row r="539" spans="1:13" x14ac:dyDescent="0.25">
      <c r="A539" s="4">
        <f>ЛИК_дляСкорингаДП!A539</f>
        <v>1142130001430</v>
      </c>
      <c r="B539" s="4">
        <f>ЛИК_дляСкорингаДП!B539</f>
        <v>2130132322</v>
      </c>
      <c r="C539" s="4" t="str">
        <f>ЛИК_дляСкорингаДП!C539</f>
        <v>ООО "СИТИМАТИК ЧУВАШИЯ"</v>
      </c>
      <c r="D539" s="5" t="str">
        <f>ЛИК_дляСкорингаДП!M539</f>
        <v>Сбор неопасных отходов</v>
      </c>
      <c r="E539" s="4" t="str">
        <f>ЛИК_дляСкорингаДП!L539</f>
        <v>38.11</v>
      </c>
      <c r="F539" t="str">
        <f>ЛИК_дляСкорингаДП!N539</f>
        <v>46.90,77.12,38.11,38.21,46.49.49,46.90,47.7,47.9,49.32,49.4,52.29,81.29.9</v>
      </c>
      <c r="G539" s="25" t="str">
        <f>ЛИК_дляСкорингаДП!AG539</f>
        <v>ОСН</v>
      </c>
      <c r="H539" s="55" t="str">
        <f>IF(ISNUMBER(E539),E539,
IFERROR(LEFT(E539,FIND(".",E539)-1),E539))</f>
        <v>38</v>
      </c>
      <c r="I539" s="30">
        <f>IF(COUNTIF(Справочник_ОКВЭД_НР!$A$3:$A$62,H539)&gt;0,Справочник_ОКВЭД_НР!$L$8,
 IF(COUNTIF(Справочник_ОКВЭД_НР!$C$3:$C$62,H539)&gt;0,Справочник_ОКВЭД_НР!$L$9,
  IF(COUNTIF(Справочник_ОКВЭД_НР!$E$3:$E$62,H539)&gt;0,Справочник_ОКВЭД_НР!$L$10,
   IF(COUNTIF(Справочник_ОКВЭД_НР!$G$3:$G$62,H539)&gt;0,Справочник_ОКВЭД_НР!$L$11,50))))</f>
        <v>30</v>
      </c>
      <c r="J539" s="30" cm="1">
        <f t="array" ref="J539">IFERROR(
 (SUMPRODUCT(ISNUMBER(SEARCH(","&amp;Справочник_ОКВЭД_НР!$A$3:$A$62&amp;".",","&amp;SUBSTITUTE(F539," ","")&amp;",")))*Справочник_ОКВЭД_НР!$L$9 +
  SUMPRODUCT(ISNUMBER(SEARCH(","&amp;Справочник_ОКВЭД_НР!$C$3:$C$62&amp;".",","&amp;SUBSTITUTE(F539," ","")&amp;",")))*Справочник_ОКВЭД_НР!$L$10 +
  SUMPRODUCT(ISNUMBER(SEARCH(","&amp;Справочник_ОКВЭД_НР!$E$3:$E$62&amp;".",","&amp;SUBSTITUTE(F539," ","")&amp;",")))*Справочник_ОКВЭД_НР!$L$11 +
  SUMPRODUCT(ISNUMBER(SEARCH(","&amp;Справочник_ОКВЭД_НР!$G$3:$G$62&amp;".",","&amp;SUBSTITUTE(F539," ","")&amp;",")))*Справочник_ОКВЭД_НР!$L$12) /
 (SUMPRODUCT(ISNUMBER(SEARCH(","&amp;Справочник_ОКВЭД_НР!$A$3:$A$62&amp;".",","&amp;SUBSTITUTE(F539," ","")&amp;","))) +
  SUMPRODUCT(ISNUMBER(SEARCH(","&amp;Справочник_ОКВЭД_НР!$C$3:$C$62&amp;".",","&amp;SUBSTITUTE(F539," ","")&amp;","))) +
  SUMPRODUCT(ISNUMBER(SEARCH(","&amp;Справочник_ОКВЭД_НР!$E$3:$E$62&amp;".",","&amp;SUBSTITUTE(F539," ","")&amp;","))) +
  SUMPRODUCT(ISNUMBER(SEARCH(","&amp;Справочник_ОКВЭД_НР!$G$3:$G$62&amp;".",","&amp;SUBSTITUTE(F539," ","")&amp;",")))),
50)</f>
        <v>50</v>
      </c>
      <c r="K539" s="30">
        <f>IFERROR(VLOOKUP(G539,Справочник_ОКВЭД_НР!$O:$P,2,FALSE()),50)</f>
        <v>100</v>
      </c>
      <c r="L539" s="45">
        <f>(I539*Справочник_ОКВЭД_НР!$L$2+J539*Справочник_ОКВЭД_НР!$L$3+K539*Справочник_ОКВЭД_НР!$L$4)*M539</f>
        <v>45.5</v>
      </c>
      <c r="M539" s="47">
        <f>IF(COUNTIF(Справочник_ОКВЭД_НР!$G$3:$G$62,H539)&gt;0,0,1)</f>
        <v>1</v>
      </c>
    </row>
    <row r="540" spans="1:13" x14ac:dyDescent="0.25">
      <c r="A540" s="4">
        <f>ЛИК_дляСкорингаДП!A540</f>
        <v>1022103028639</v>
      </c>
      <c r="B540" s="4">
        <f>ЛИК_дляСкорингаДП!B540</f>
        <v>2125000458</v>
      </c>
      <c r="C540" s="4" t="str">
        <f>ЛИК_дляСкорингаДП!C540</f>
        <v>АО "ШЗСА"</v>
      </c>
      <c r="D540" s="5" t="str">
        <f>ЛИК_дляСкорингаДП!M540</f>
        <v>Производство автомобилей специального назначения</v>
      </c>
      <c r="E540" s="4" t="str">
        <f>ЛИК_дляСкорингаДП!L540</f>
        <v>29.10.5</v>
      </c>
      <c r="F540" t="str">
        <f>ЛИК_дляСкорингаДП!N540</f>
        <v>29.20.4,29.32.3,56.29.2,68.20.29,29.10,29.10.5,29.2,72.19</v>
      </c>
      <c r="G540" s="25" t="str">
        <f>ЛИК_дляСкорингаДП!AG540</f>
        <v>ОСН</v>
      </c>
      <c r="H540" s="55" t="str">
        <f>IF(ISNUMBER(E540),E540,
IFERROR(LEFT(E540,FIND(".",E540)-1),E540))</f>
        <v>29</v>
      </c>
      <c r="I540" s="30">
        <f>IF(COUNTIF(Справочник_ОКВЭД_НР!$A$3:$A$62,H540)&gt;0,Справочник_ОКВЭД_НР!$L$8,
 IF(COUNTIF(Справочник_ОКВЭД_НР!$C$3:$C$62,H540)&gt;0,Справочник_ОКВЭД_НР!$L$9,
  IF(COUNTIF(Справочник_ОКВЭД_НР!$E$3:$E$62,H540)&gt;0,Справочник_ОКВЭД_НР!$L$10,
   IF(COUNTIF(Справочник_ОКВЭД_НР!$G$3:$G$62,H540)&gt;0,Справочник_ОКВЭД_НР!$L$11,50))))</f>
        <v>60</v>
      </c>
      <c r="J540" s="30" cm="1">
        <f t="array" ref="J540">IFERROR(
 (SUMPRODUCT(ISNUMBER(SEARCH(","&amp;Справочник_ОКВЭД_НР!$A$3:$A$62&amp;".",","&amp;SUBSTITUTE(F540," ","")&amp;",")))*Справочник_ОКВЭД_НР!$L$9 +
  SUMPRODUCT(ISNUMBER(SEARCH(","&amp;Справочник_ОКВЭД_НР!$C$3:$C$62&amp;".",","&amp;SUBSTITUTE(F540," ","")&amp;",")))*Справочник_ОКВЭД_НР!$L$10 +
  SUMPRODUCT(ISNUMBER(SEARCH(","&amp;Справочник_ОКВЭД_НР!$E$3:$E$62&amp;".",","&amp;SUBSTITUTE(F540," ","")&amp;",")))*Справочник_ОКВЭД_НР!$L$11 +
  SUMPRODUCT(ISNUMBER(SEARCH(","&amp;Справочник_ОКВЭД_НР!$G$3:$G$62&amp;".",","&amp;SUBSTITUTE(F540," ","")&amp;",")))*Справочник_ОКВЭД_НР!$L$12) /
 (SUMPRODUCT(ISNUMBER(SEARCH(","&amp;Справочник_ОКВЭД_НР!$A$3:$A$62&amp;".",","&amp;SUBSTITUTE(F540," ","")&amp;","))) +
  SUMPRODUCT(ISNUMBER(SEARCH(","&amp;Справочник_ОКВЭД_НР!$C$3:$C$62&amp;".",","&amp;SUBSTITUTE(F540," ","")&amp;","))) +
  SUMPRODUCT(ISNUMBER(SEARCH(","&amp;Справочник_ОКВЭД_НР!$E$3:$E$62&amp;".",","&amp;SUBSTITUTE(F540," ","")&amp;","))) +
  SUMPRODUCT(ISNUMBER(SEARCH(","&amp;Справочник_ОКВЭД_НР!$G$3:$G$62&amp;".",","&amp;SUBSTITUTE(F540," ","")&amp;",")))),
50)</f>
        <v>50</v>
      </c>
      <c r="K540" s="30">
        <f>IFERROR(VLOOKUP(G540,Справочник_ОКВЭД_НР!$O:$P,2,FALSE()),50)</f>
        <v>100</v>
      </c>
      <c r="L540" s="45">
        <f>(I540*Справочник_ОКВЭД_НР!$L$2+J540*Справочник_ОКВЭД_НР!$L$3+K540*Справочник_ОКВЭД_НР!$L$4)*M540</f>
        <v>63.5</v>
      </c>
      <c r="M540" s="47">
        <f>IF(COUNTIF(Справочник_ОКВЭД_НР!$G$3:$G$62,H540)&gt;0,0,1)</f>
        <v>1</v>
      </c>
    </row>
    <row r="541" spans="1:13" x14ac:dyDescent="0.25">
      <c r="A541" s="4">
        <f>ЛИК_дляСкорингаДП!A541</f>
        <v>1082133000344</v>
      </c>
      <c r="B541" s="4">
        <f>ЛИК_дляСкорингаДП!B541</f>
        <v>2104007660</v>
      </c>
      <c r="C541" s="4" t="str">
        <f>ЛИК_дляСкорингаДП!C541</f>
        <v>ООО "ВУРНАРСКИЙ МЯСОКОМБИНАТ"</v>
      </c>
      <c r="D541" s="5" t="str">
        <f>ЛИК_дляСкорингаДП!M541</f>
        <v>Производство колбасных изделий</v>
      </c>
      <c r="E541" s="4" t="str">
        <f>ЛИК_дляСкорингаДП!L541</f>
        <v>10.13.2</v>
      </c>
      <c r="F541" t="str">
        <f>ЛИК_дляСкорингаДП!N541</f>
        <v>10.11.1,10.11.3,10.11.4,10.11.5,10.13.1,10.13.3,10.13.4,10.13.7,10.71.1,10.73.1,46.90,56.10.1,56.29.2,01.11.2,01.29,01.42,01.61,03.22,10.1,10.11.1,10.11.2,10.11.3,10.11.5,10.13.1,10.13.2,10.13.3,10.13.4,10.13.5,10.13.6,10.13.7,10.71,10.72,10.8,10.85,10.89,10.89.1,10.89.5,10.89.6,10.89.7,10.89.8,10.89.9,46.24,47.22,47.23,47.24,47.25,47.26,47.29,47.73,47.74,47.75,56.10.1</v>
      </c>
      <c r="G541" s="25" t="str">
        <f>ЛИК_дляСкорингаДП!AG541</f>
        <v>ОСН</v>
      </c>
      <c r="H541" s="55" t="str">
        <f>IF(ISNUMBER(E541),E541,
IFERROR(LEFT(E541,FIND(".",E541)-1),E541))</f>
        <v>10</v>
      </c>
      <c r="I541" s="30">
        <f>IF(COUNTIF(Справочник_ОКВЭД_НР!$A$3:$A$62,H541)&gt;0,Справочник_ОКВЭД_НР!$L$8,
 IF(COUNTIF(Справочник_ОКВЭД_НР!$C$3:$C$62,H541)&gt;0,Справочник_ОКВЭД_НР!$L$9,
  IF(COUNTIF(Справочник_ОКВЭД_НР!$E$3:$E$62,H541)&gt;0,Справочник_ОКВЭД_НР!$L$10,
   IF(COUNTIF(Справочник_ОКВЭД_НР!$G$3:$G$62,H541)&gt;0,Справочник_ОКВЭД_НР!$L$11,50))))</f>
        <v>100</v>
      </c>
      <c r="J541" s="30" cm="1">
        <f t="array" ref="J541">IFERROR(
 (SUMPRODUCT(ISNUMBER(SEARCH(","&amp;Справочник_ОКВЭД_НР!$A$3:$A$62&amp;".",","&amp;SUBSTITUTE(F541," ","")&amp;",")))*Справочник_ОКВЭД_НР!$L$9 +
  SUMPRODUCT(ISNUMBER(SEARCH(","&amp;Справочник_ОКВЭД_НР!$C$3:$C$62&amp;".",","&amp;SUBSTITUTE(F541," ","")&amp;",")))*Справочник_ОКВЭД_НР!$L$10 +
  SUMPRODUCT(ISNUMBER(SEARCH(","&amp;Справочник_ОКВЭД_НР!$E$3:$E$62&amp;".",","&amp;SUBSTITUTE(F541," ","")&amp;",")))*Справочник_ОКВЭД_НР!$L$11 +
  SUMPRODUCT(ISNUMBER(SEARCH(","&amp;Справочник_ОКВЭД_НР!$G$3:$G$62&amp;".",","&amp;SUBSTITUTE(F541," ","")&amp;",")))*Справочник_ОКВЭД_НР!$L$12) /
 (SUMPRODUCT(ISNUMBER(SEARCH(","&amp;Справочник_ОКВЭД_НР!$A$3:$A$62&amp;".",","&amp;SUBSTITUTE(F541," ","")&amp;","))) +
  SUMPRODUCT(ISNUMBER(SEARCH(","&amp;Справочник_ОКВЭД_НР!$C$3:$C$62&amp;".",","&amp;SUBSTITUTE(F541," ","")&amp;","))) +
  SUMPRODUCT(ISNUMBER(SEARCH(","&amp;Справочник_ОКВЭД_НР!$E$3:$E$62&amp;".",","&amp;SUBSTITUTE(F541," ","")&amp;","))) +
  SUMPRODUCT(ISNUMBER(SEARCH(","&amp;Справочник_ОКВЭД_НР!$G$3:$G$62&amp;".",","&amp;SUBSTITUTE(F541," ","")&amp;",")))),
50)</f>
        <v>50</v>
      </c>
      <c r="K541" s="30">
        <f>IFERROR(VLOOKUP(G541,Справочник_ОКВЭД_НР!$O:$P,2,FALSE()),50)</f>
        <v>100</v>
      </c>
      <c r="L541" s="45">
        <f>(I541*Справочник_ОКВЭД_НР!$L$2+J541*Справочник_ОКВЭД_НР!$L$3+K541*Справочник_ОКВЭД_НР!$L$4)*M541</f>
        <v>87.5</v>
      </c>
      <c r="M541" s="47">
        <f>IF(COUNTIF(Справочник_ОКВЭД_НР!$G$3:$G$62,H541)&gt;0,0,1)</f>
        <v>1</v>
      </c>
    </row>
    <row r="542" spans="1:13" x14ac:dyDescent="0.25">
      <c r="A542" s="4">
        <f>ЛИК_дляСкорингаДП!A542</f>
        <v>1022101268716</v>
      </c>
      <c r="B542" s="4">
        <f>ЛИК_дляСкорингаДП!B542</f>
        <v>2129042924</v>
      </c>
      <c r="C542" s="4" t="str">
        <f>ЛИК_дляСкорингаДП!C542</f>
        <v>ООО "ЧЭТА"</v>
      </c>
      <c r="D542" s="5" t="str">
        <f>ЛИК_дляСкорингаДП!M542</f>
        <v>Производство электрической распределительной и регулирующей аппаратуры</v>
      </c>
      <c r="E542" s="4" t="str">
        <f>ЛИК_дляСкорингаДП!L542</f>
        <v>27.12</v>
      </c>
      <c r="F542" t="str">
        <f>ЛИК_дляСкорингаДП!N542</f>
        <v>33.20,46.69.5,27.11,27.12,46.14,46.69.5,47.7,66.12.2,68.31,70.10.2,70.22,71.12.1,71.12.12,71.12.45,71.12.8,73.20</v>
      </c>
      <c r="G542" s="25" t="str">
        <f>ЛИК_дляСкорингаДП!AG542</f>
        <v>ОСН</v>
      </c>
      <c r="H542" s="55" t="str">
        <f>IF(ISNUMBER(E542),E542,
IFERROR(LEFT(E542,FIND(".",E542)-1),E542))</f>
        <v>27</v>
      </c>
      <c r="I542" s="30">
        <f>IF(COUNTIF(Справочник_ОКВЭД_НР!$A$3:$A$62,H542)&gt;0,Справочник_ОКВЭД_НР!$L$8,
 IF(COUNTIF(Справочник_ОКВЭД_НР!$C$3:$C$62,H542)&gt;0,Справочник_ОКВЭД_НР!$L$9,
  IF(COUNTIF(Справочник_ОКВЭД_НР!$E$3:$E$62,H542)&gt;0,Справочник_ОКВЭД_НР!$L$10,
   IF(COUNTIF(Справочник_ОКВЭД_НР!$G$3:$G$62,H542)&gt;0,Справочник_ОКВЭД_НР!$L$11,50))))</f>
        <v>100</v>
      </c>
      <c r="J542" s="30" cm="1">
        <f t="array" ref="J542">IFERROR(
 (SUMPRODUCT(ISNUMBER(SEARCH(","&amp;Справочник_ОКВЭД_НР!$A$3:$A$62&amp;".",","&amp;SUBSTITUTE(F542," ","")&amp;",")))*Справочник_ОКВЭД_НР!$L$9 +
  SUMPRODUCT(ISNUMBER(SEARCH(","&amp;Справочник_ОКВЭД_НР!$C$3:$C$62&amp;".",","&amp;SUBSTITUTE(F542," ","")&amp;",")))*Справочник_ОКВЭД_НР!$L$10 +
  SUMPRODUCT(ISNUMBER(SEARCH(","&amp;Справочник_ОКВЭД_НР!$E$3:$E$62&amp;".",","&amp;SUBSTITUTE(F542," ","")&amp;",")))*Справочник_ОКВЭД_НР!$L$11 +
  SUMPRODUCT(ISNUMBER(SEARCH(","&amp;Справочник_ОКВЭД_НР!$G$3:$G$62&amp;".",","&amp;SUBSTITUTE(F542," ","")&amp;",")))*Справочник_ОКВЭД_НР!$L$12) /
 (SUMPRODUCT(ISNUMBER(SEARCH(","&amp;Справочник_ОКВЭД_НР!$A$3:$A$62&amp;".",","&amp;SUBSTITUTE(F542," ","")&amp;","))) +
  SUMPRODUCT(ISNUMBER(SEARCH(","&amp;Справочник_ОКВЭД_НР!$C$3:$C$62&amp;".",","&amp;SUBSTITUTE(F542," ","")&amp;","))) +
  SUMPRODUCT(ISNUMBER(SEARCH(","&amp;Справочник_ОКВЭД_НР!$E$3:$E$62&amp;".",","&amp;SUBSTITUTE(F542," ","")&amp;","))) +
  SUMPRODUCT(ISNUMBER(SEARCH(","&amp;Справочник_ОКВЭД_НР!$G$3:$G$62&amp;".",","&amp;SUBSTITUTE(F542," ","")&amp;",")))),
50)</f>
        <v>50</v>
      </c>
      <c r="K542" s="30">
        <f>IFERROR(VLOOKUP(G542,Справочник_ОКВЭД_НР!$O:$P,2,FALSE()),50)</f>
        <v>100</v>
      </c>
      <c r="L542" s="45">
        <f>(I542*Справочник_ОКВЭД_НР!$L$2+J542*Справочник_ОКВЭД_НР!$L$3+K542*Справочник_ОКВЭД_НР!$L$4)*M542</f>
        <v>87.5</v>
      </c>
      <c r="M542" s="47">
        <f>IF(COUNTIF(Справочник_ОКВЭД_НР!$G$3:$G$62,H542)&gt;0,0,1)</f>
        <v>1</v>
      </c>
    </row>
    <row r="543" spans="1:13" x14ac:dyDescent="0.25">
      <c r="A543" s="4">
        <f>ЛИК_дляСкорингаДП!A543</f>
        <v>1022101276735</v>
      </c>
      <c r="B543" s="4">
        <f>ЛИК_дляСкорингаДП!B543</f>
        <v>2129041046</v>
      </c>
      <c r="C543" s="4" t="str">
        <f>ЛИК_дляСкорингаДП!C543</f>
        <v>ООО "РЕЛЕМАТИКА"</v>
      </c>
      <c r="D543" s="5" t="str">
        <f>ЛИК_дляСкорингаДП!M543</f>
        <v>Производство электрической распределительной и регулирующей аппаратуры</v>
      </c>
      <c r="E543" s="4" t="str">
        <f>ЛИК_дляСкорингаДП!L543</f>
        <v>27.12</v>
      </c>
      <c r="F543" t="str">
        <f>ЛИК_дляСкорингаДП!N543</f>
        <v>26.51,33.14,46.69.5,46.69.9,62.01,62.02,63.11,71.12,72.19,85.21,85.22</v>
      </c>
      <c r="G543" s="25" t="str">
        <f>ЛИК_дляСкорингаДП!AG543</f>
        <v>ОСН</v>
      </c>
      <c r="H543" s="55" t="str">
        <f>IF(ISNUMBER(E543),E543,
IFERROR(LEFT(E543,FIND(".",E543)-1),E543))</f>
        <v>27</v>
      </c>
      <c r="I543" s="30">
        <f>IF(COUNTIF(Справочник_ОКВЭД_НР!$A$3:$A$62,H543)&gt;0,Справочник_ОКВЭД_НР!$L$8,
 IF(COUNTIF(Справочник_ОКВЭД_НР!$C$3:$C$62,H543)&gt;0,Справочник_ОКВЭД_НР!$L$9,
  IF(COUNTIF(Справочник_ОКВЭД_НР!$E$3:$E$62,H543)&gt;0,Справочник_ОКВЭД_НР!$L$10,
   IF(COUNTIF(Справочник_ОКВЭД_НР!$G$3:$G$62,H543)&gt;0,Справочник_ОКВЭД_НР!$L$11,50))))</f>
        <v>100</v>
      </c>
      <c r="J543" s="30" cm="1">
        <f t="array" ref="J543">IFERROR(
 (SUMPRODUCT(ISNUMBER(SEARCH(","&amp;Справочник_ОКВЭД_НР!$A$3:$A$62&amp;".",","&amp;SUBSTITUTE(F543," ","")&amp;",")))*Справочник_ОКВЭД_НР!$L$9 +
  SUMPRODUCT(ISNUMBER(SEARCH(","&amp;Справочник_ОКВЭД_НР!$C$3:$C$62&amp;".",","&amp;SUBSTITUTE(F543," ","")&amp;",")))*Справочник_ОКВЭД_НР!$L$10 +
  SUMPRODUCT(ISNUMBER(SEARCH(","&amp;Справочник_ОКВЭД_НР!$E$3:$E$62&amp;".",","&amp;SUBSTITUTE(F543," ","")&amp;",")))*Справочник_ОКВЭД_НР!$L$11 +
  SUMPRODUCT(ISNUMBER(SEARCH(","&amp;Справочник_ОКВЭД_НР!$G$3:$G$62&amp;".",","&amp;SUBSTITUTE(F543," ","")&amp;",")))*Справочник_ОКВЭД_НР!$L$12) /
 (SUMPRODUCT(ISNUMBER(SEARCH(","&amp;Справочник_ОКВЭД_НР!$A$3:$A$62&amp;".",","&amp;SUBSTITUTE(F543," ","")&amp;","))) +
  SUMPRODUCT(ISNUMBER(SEARCH(","&amp;Справочник_ОКВЭД_НР!$C$3:$C$62&amp;".",","&amp;SUBSTITUTE(F543," ","")&amp;","))) +
  SUMPRODUCT(ISNUMBER(SEARCH(","&amp;Справочник_ОКВЭД_НР!$E$3:$E$62&amp;".",","&amp;SUBSTITUTE(F543," ","")&amp;","))) +
  SUMPRODUCT(ISNUMBER(SEARCH(","&amp;Справочник_ОКВЭД_НР!$G$3:$G$62&amp;".",","&amp;SUBSTITUTE(F543," ","")&amp;",")))),
50)</f>
        <v>50</v>
      </c>
      <c r="K543" s="30">
        <f>IFERROR(VLOOKUP(G543,Справочник_ОКВЭД_НР!$O:$P,2,FALSE()),50)</f>
        <v>100</v>
      </c>
      <c r="L543" s="45">
        <f>(I543*Справочник_ОКВЭД_НР!$L$2+J543*Справочник_ОКВЭД_НР!$L$3+K543*Справочник_ОКВЭД_НР!$L$4)*M543</f>
        <v>87.5</v>
      </c>
      <c r="M543" s="47">
        <f>IF(COUNTIF(Справочник_ОКВЭД_НР!$G$3:$G$62,H543)&gt;0,0,1)</f>
        <v>1</v>
      </c>
    </row>
    <row r="544" spans="1:13" x14ac:dyDescent="0.25">
      <c r="A544" s="4">
        <f>ЛИК_дляСкорингаДП!A544</f>
        <v>1022100967635</v>
      </c>
      <c r="B544" s="4">
        <f>ЛИК_дляСкорингаДП!B544</f>
        <v>2127009135</v>
      </c>
      <c r="C544" s="4" t="str">
        <f>ЛИК_дляСкорингаДП!C544</f>
        <v>АО "ЗАВОД "ЧУВАШКАБЕЛЬ"</v>
      </c>
      <c r="D544" s="5" t="str">
        <f>ЛИК_дляСкорингаДП!M544</f>
        <v>Производство прочих проводов и кабелей для электронного и электрического оборудования</v>
      </c>
      <c r="E544" s="4" t="str">
        <f>ЛИК_дляСкорингаДП!L544</f>
        <v>27.32</v>
      </c>
      <c r="F544" t="str">
        <f>ЛИК_дляСкорингаДП!N544</f>
        <v>18.12,22.29.2,32.12.1,32.12.2,33.14,33.20,35.13,35.30.3,36.00.2,38.1,38.2,49.41.1,49.41.2,56.29,61.10.1,71.20.3,71.20.8,72.19</v>
      </c>
      <c r="G544" s="25" t="str">
        <f>ЛИК_дляСкорингаДП!AG544</f>
        <v>ОСН</v>
      </c>
      <c r="H544" s="55" t="str">
        <f>IF(ISNUMBER(E544),E544,
IFERROR(LEFT(E544,FIND(".",E544)-1),E544))</f>
        <v>27</v>
      </c>
      <c r="I544" s="30">
        <f>IF(COUNTIF(Справочник_ОКВЭД_НР!$A$3:$A$62,H544)&gt;0,Справочник_ОКВЭД_НР!$L$8,
 IF(COUNTIF(Справочник_ОКВЭД_НР!$C$3:$C$62,H544)&gt;0,Справочник_ОКВЭД_НР!$L$9,
  IF(COUNTIF(Справочник_ОКВЭД_НР!$E$3:$E$62,H544)&gt;0,Справочник_ОКВЭД_НР!$L$10,
   IF(COUNTIF(Справочник_ОКВЭД_НР!$G$3:$G$62,H544)&gt;0,Справочник_ОКВЭД_НР!$L$11,50))))</f>
        <v>100</v>
      </c>
      <c r="J544" s="30" cm="1">
        <f t="array" ref="J544">IFERROR(
 (SUMPRODUCT(ISNUMBER(SEARCH(","&amp;Справочник_ОКВЭД_НР!$A$3:$A$62&amp;".",","&amp;SUBSTITUTE(F544," ","")&amp;",")))*Справочник_ОКВЭД_НР!$L$9 +
  SUMPRODUCT(ISNUMBER(SEARCH(","&amp;Справочник_ОКВЭД_НР!$C$3:$C$62&amp;".",","&amp;SUBSTITUTE(F544," ","")&amp;",")))*Справочник_ОКВЭД_НР!$L$10 +
  SUMPRODUCT(ISNUMBER(SEARCH(","&amp;Справочник_ОКВЭД_НР!$E$3:$E$62&amp;".",","&amp;SUBSTITUTE(F544," ","")&amp;",")))*Справочник_ОКВЭД_НР!$L$11 +
  SUMPRODUCT(ISNUMBER(SEARCH(","&amp;Справочник_ОКВЭД_НР!$G$3:$G$62&amp;".",","&amp;SUBSTITUTE(F544," ","")&amp;",")))*Справочник_ОКВЭД_НР!$L$12) /
 (SUMPRODUCT(ISNUMBER(SEARCH(","&amp;Справочник_ОКВЭД_НР!$A$3:$A$62&amp;".",","&amp;SUBSTITUTE(F544," ","")&amp;","))) +
  SUMPRODUCT(ISNUMBER(SEARCH(","&amp;Справочник_ОКВЭД_НР!$C$3:$C$62&amp;".",","&amp;SUBSTITUTE(F544," ","")&amp;","))) +
  SUMPRODUCT(ISNUMBER(SEARCH(","&amp;Справочник_ОКВЭД_НР!$E$3:$E$62&amp;".",","&amp;SUBSTITUTE(F544," ","")&amp;","))) +
  SUMPRODUCT(ISNUMBER(SEARCH(","&amp;Справочник_ОКВЭД_НР!$G$3:$G$62&amp;".",","&amp;SUBSTITUTE(F544," ","")&amp;",")))),
50)</f>
        <v>50</v>
      </c>
      <c r="K544" s="30">
        <f>IFERROR(VLOOKUP(G544,Справочник_ОКВЭД_НР!$O:$P,2,FALSE()),50)</f>
        <v>100</v>
      </c>
      <c r="L544" s="45">
        <f>(I544*Справочник_ОКВЭД_НР!$L$2+J544*Справочник_ОКВЭД_НР!$L$3+K544*Справочник_ОКВЭД_НР!$L$4)*M544</f>
        <v>87.5</v>
      </c>
      <c r="M544" s="47">
        <f>IF(COUNTIF(Справочник_ОКВЭД_НР!$G$3:$G$62,H544)&gt;0,0,1)</f>
        <v>1</v>
      </c>
    </row>
    <row r="545" spans="1:13" x14ac:dyDescent="0.25">
      <c r="A545" s="4">
        <f>ЛИК_дляСкорингаДП!A545</f>
        <v>1112130013270</v>
      </c>
      <c r="B545" s="4">
        <f>ЛИК_дляСкорингаДП!B545</f>
        <v>2130094170</v>
      </c>
      <c r="C545" s="4" t="str">
        <f>ЛИК_дляСкорингаДП!C545</f>
        <v>АО "ВНИИР-ПРОГРЕСС"</v>
      </c>
      <c r="D545" s="5" t="str">
        <f>ЛИК_дляСкорингаДП!M545</f>
        <v>Научные исследования и разработки в области естественных и технических наук прочие</v>
      </c>
      <c r="E545" s="4" t="str">
        <f>ЛИК_дляСкорингаДП!L545</f>
        <v>72.19</v>
      </c>
      <c r="F545" t="str">
        <f>ЛИК_дляСкорингаДП!N545</f>
        <v>22.2,26.1,26.11,26.12,26.20,26.51,26.51.1,26.51.2,26.51.8,27.11,27.12,27.90,28.99,33.13,33.14,71.12.12,71.12.6,71.12.61,71.20,77.33</v>
      </c>
      <c r="G545" s="25" t="str">
        <f>ЛИК_дляСкорингаДП!AG545</f>
        <v>ОСН</v>
      </c>
      <c r="H545" s="55" t="str">
        <f>IF(ISNUMBER(E545),E545,
IFERROR(LEFT(E545,FIND(".",E545)-1),E545))</f>
        <v>72</v>
      </c>
      <c r="I545" s="30">
        <f>IF(COUNTIF(Справочник_ОКВЭД_НР!$A$3:$A$62,H545)&gt;0,Справочник_ОКВЭД_НР!$L$8,
 IF(COUNTIF(Справочник_ОКВЭД_НР!$C$3:$C$62,H545)&gt;0,Справочник_ОКВЭД_НР!$L$9,
  IF(COUNTIF(Справочник_ОКВЭД_НР!$E$3:$E$62,H545)&gt;0,Справочник_ОКВЭД_НР!$L$10,
   IF(COUNTIF(Справочник_ОКВЭД_НР!$G$3:$G$62,H545)&gt;0,Справочник_ОКВЭД_НР!$L$11,50))))</f>
        <v>60</v>
      </c>
      <c r="J545" s="30" cm="1">
        <f t="array" ref="J545">IFERROR(
 (SUMPRODUCT(ISNUMBER(SEARCH(","&amp;Справочник_ОКВЭД_НР!$A$3:$A$62&amp;".",","&amp;SUBSTITUTE(F545," ","")&amp;",")))*Справочник_ОКВЭД_НР!$L$9 +
  SUMPRODUCT(ISNUMBER(SEARCH(","&amp;Справочник_ОКВЭД_НР!$C$3:$C$62&amp;".",","&amp;SUBSTITUTE(F545," ","")&amp;",")))*Справочник_ОКВЭД_НР!$L$10 +
  SUMPRODUCT(ISNUMBER(SEARCH(","&amp;Справочник_ОКВЭД_НР!$E$3:$E$62&amp;".",","&amp;SUBSTITUTE(F545," ","")&amp;",")))*Справочник_ОКВЭД_НР!$L$11 +
  SUMPRODUCT(ISNUMBER(SEARCH(","&amp;Справочник_ОКВЭД_НР!$G$3:$G$62&amp;".",","&amp;SUBSTITUTE(F545," ","")&amp;",")))*Справочник_ОКВЭД_НР!$L$12) /
 (SUMPRODUCT(ISNUMBER(SEARCH(","&amp;Справочник_ОКВЭД_НР!$A$3:$A$62&amp;".",","&amp;SUBSTITUTE(F545," ","")&amp;","))) +
  SUMPRODUCT(ISNUMBER(SEARCH(","&amp;Справочник_ОКВЭД_НР!$C$3:$C$62&amp;".",","&amp;SUBSTITUTE(F545," ","")&amp;","))) +
  SUMPRODUCT(ISNUMBER(SEARCH(","&amp;Справочник_ОКВЭД_НР!$E$3:$E$62&amp;".",","&amp;SUBSTITUTE(F545," ","")&amp;","))) +
  SUMPRODUCT(ISNUMBER(SEARCH(","&amp;Справочник_ОКВЭД_НР!$G$3:$G$62&amp;".",","&amp;SUBSTITUTE(F545," ","")&amp;",")))),
50)</f>
        <v>50</v>
      </c>
      <c r="K545" s="30">
        <f>IFERROR(VLOOKUP(G545,Справочник_ОКВЭД_НР!$O:$P,2,FALSE()),50)</f>
        <v>100</v>
      </c>
      <c r="L545" s="45">
        <f>(I545*Справочник_ОКВЭД_НР!$L$2+J545*Справочник_ОКВЭД_НР!$L$3+K545*Справочник_ОКВЭД_НР!$L$4)*M545</f>
        <v>63.5</v>
      </c>
      <c r="M545" s="47">
        <f>IF(COUNTIF(Справочник_ОКВЭД_НР!$G$3:$G$62,H545)&gt;0,0,1)</f>
        <v>1</v>
      </c>
    </row>
    <row r="546" spans="1:13" x14ac:dyDescent="0.25">
      <c r="A546" s="4">
        <f>ЛИК_дляСкорингаДП!A546</f>
        <v>1022101131051</v>
      </c>
      <c r="B546" s="4">
        <f>ЛИК_дляСкорингаДП!B546</f>
        <v>2128002220</v>
      </c>
      <c r="C546" s="4" t="str">
        <f>ЛИК_дляСкорингаДП!C546</f>
        <v>АО "ЧУВАШТОРГТЕХНИКА"</v>
      </c>
      <c r="D546" s="5" t="str">
        <f>ЛИК_дляСкорингаДП!M546</f>
        <v>Производство прочего электрического оборудования</v>
      </c>
      <c r="E546" s="4" t="str">
        <f>ЛИК_дляСкорингаДП!L546</f>
        <v>27.90</v>
      </c>
      <c r="F546" t="str">
        <f>ЛИК_дляСкорингаДП!N546</f>
        <v>33.12,46.90,47.78.9,49.4,52.29</v>
      </c>
      <c r="G546" s="25" t="str">
        <f>ЛИК_дляСкорингаДП!AG546</f>
        <v>ОСН</v>
      </c>
      <c r="H546" s="55" t="str">
        <f>IF(ISNUMBER(E546),E546,
IFERROR(LEFT(E546,FIND(".",E546)-1),E546))</f>
        <v>27</v>
      </c>
      <c r="I546" s="30">
        <f>IF(COUNTIF(Справочник_ОКВЭД_НР!$A$3:$A$62,H546)&gt;0,Справочник_ОКВЭД_НР!$L$8,
 IF(COUNTIF(Справочник_ОКВЭД_НР!$C$3:$C$62,H546)&gt;0,Справочник_ОКВЭД_НР!$L$9,
  IF(COUNTIF(Справочник_ОКВЭД_НР!$E$3:$E$62,H546)&gt;0,Справочник_ОКВЭД_НР!$L$10,
   IF(COUNTIF(Справочник_ОКВЭД_НР!$G$3:$G$62,H546)&gt;0,Справочник_ОКВЭД_НР!$L$11,50))))</f>
        <v>100</v>
      </c>
      <c r="J546" s="30" cm="1">
        <f t="array" ref="J546">IFERROR(
 (SUMPRODUCT(ISNUMBER(SEARCH(","&amp;Справочник_ОКВЭД_НР!$A$3:$A$62&amp;".",","&amp;SUBSTITUTE(F546," ","")&amp;",")))*Справочник_ОКВЭД_НР!$L$9 +
  SUMPRODUCT(ISNUMBER(SEARCH(","&amp;Справочник_ОКВЭД_НР!$C$3:$C$62&amp;".",","&amp;SUBSTITUTE(F546," ","")&amp;",")))*Справочник_ОКВЭД_НР!$L$10 +
  SUMPRODUCT(ISNUMBER(SEARCH(","&amp;Справочник_ОКВЭД_НР!$E$3:$E$62&amp;".",","&amp;SUBSTITUTE(F546," ","")&amp;",")))*Справочник_ОКВЭД_НР!$L$11 +
  SUMPRODUCT(ISNUMBER(SEARCH(","&amp;Справочник_ОКВЭД_НР!$G$3:$G$62&amp;".",","&amp;SUBSTITUTE(F546," ","")&amp;",")))*Справочник_ОКВЭД_НР!$L$12) /
 (SUMPRODUCT(ISNUMBER(SEARCH(","&amp;Справочник_ОКВЭД_НР!$A$3:$A$62&amp;".",","&amp;SUBSTITUTE(F546," ","")&amp;","))) +
  SUMPRODUCT(ISNUMBER(SEARCH(","&amp;Справочник_ОКВЭД_НР!$C$3:$C$62&amp;".",","&amp;SUBSTITUTE(F546," ","")&amp;","))) +
  SUMPRODUCT(ISNUMBER(SEARCH(","&amp;Справочник_ОКВЭД_НР!$E$3:$E$62&amp;".",","&amp;SUBSTITUTE(F546," ","")&amp;","))) +
  SUMPRODUCT(ISNUMBER(SEARCH(","&amp;Справочник_ОКВЭД_НР!$G$3:$G$62&amp;".",","&amp;SUBSTITUTE(F546," ","")&amp;",")))),
50)</f>
        <v>50</v>
      </c>
      <c r="K546" s="30">
        <f>IFERROR(VLOOKUP(G546,Справочник_ОКВЭД_НР!$O:$P,2,FALSE()),50)</f>
        <v>100</v>
      </c>
      <c r="L546" s="45">
        <f>(I546*Справочник_ОКВЭД_НР!$L$2+J546*Справочник_ОКВЭД_НР!$L$3+K546*Справочник_ОКВЭД_НР!$L$4)*M546</f>
        <v>87.5</v>
      </c>
      <c r="M546" s="47">
        <f>IF(COUNTIF(Справочник_ОКВЭД_НР!$G$3:$G$62,H546)&gt;0,0,1)</f>
        <v>1</v>
      </c>
    </row>
    <row r="547" spans="1:13" x14ac:dyDescent="0.25">
      <c r="A547" s="4">
        <f>ЛИК_дляСкорингаДП!A547</f>
        <v>1022100967217</v>
      </c>
      <c r="B547" s="4">
        <f>ЛИК_дляСкорингаДП!B547</f>
        <v>2126000147</v>
      </c>
      <c r="C547" s="4" t="str">
        <f>ЛИК_дляСкорингаДП!C547</f>
        <v>АО "АККОНД"</v>
      </c>
      <c r="D547" s="5" t="str">
        <f>ЛИК_дляСкорингаДП!M547</f>
        <v>Производство шоколада и сахаристых кондитерских изделий</v>
      </c>
      <c r="E547" s="4" t="str">
        <f>ЛИК_дляСкорингаДП!L547</f>
        <v>10.82.2</v>
      </c>
      <c r="F547" t="str">
        <f>ЛИК_дляСкорингаДП!N547</f>
        <v>10.72.31,10.72.33,10.72.34,10.72.35,46.90,49.41.2,56.29.2,68.20.29,10.71,10.71.1,10.72,10.82,41.20,46.36,46.36.3,47.11,47.24,47.24.2,47.24.21,47.24.22,47.25,47.9,49.4,56.29,64.99.11</v>
      </c>
      <c r="G547" s="25" t="str">
        <f>ЛИК_дляСкорингаДП!AG547</f>
        <v>ОСН</v>
      </c>
      <c r="H547" s="55" t="str">
        <f>IF(ISNUMBER(E547),E547,
IFERROR(LEFT(E547,FIND(".",E547)-1),E547))</f>
        <v>10</v>
      </c>
      <c r="I547" s="30">
        <f>IF(COUNTIF(Справочник_ОКВЭД_НР!$A$3:$A$62,H547)&gt;0,Справочник_ОКВЭД_НР!$L$8,
 IF(COUNTIF(Справочник_ОКВЭД_НР!$C$3:$C$62,H547)&gt;0,Справочник_ОКВЭД_НР!$L$9,
  IF(COUNTIF(Справочник_ОКВЭД_НР!$E$3:$E$62,H547)&gt;0,Справочник_ОКВЭД_НР!$L$10,
   IF(COUNTIF(Справочник_ОКВЭД_НР!$G$3:$G$62,H547)&gt;0,Справочник_ОКВЭД_НР!$L$11,50))))</f>
        <v>100</v>
      </c>
      <c r="J547" s="30" cm="1">
        <f t="array" ref="J547">IFERROR(
 (SUMPRODUCT(ISNUMBER(SEARCH(","&amp;Справочник_ОКВЭД_НР!$A$3:$A$62&amp;".",","&amp;SUBSTITUTE(F547," ","")&amp;",")))*Справочник_ОКВЭД_НР!$L$9 +
  SUMPRODUCT(ISNUMBER(SEARCH(","&amp;Справочник_ОКВЭД_НР!$C$3:$C$62&amp;".",","&amp;SUBSTITUTE(F547," ","")&amp;",")))*Справочник_ОКВЭД_НР!$L$10 +
  SUMPRODUCT(ISNUMBER(SEARCH(","&amp;Справочник_ОКВЭД_НР!$E$3:$E$62&amp;".",","&amp;SUBSTITUTE(F547," ","")&amp;",")))*Справочник_ОКВЭД_НР!$L$11 +
  SUMPRODUCT(ISNUMBER(SEARCH(","&amp;Справочник_ОКВЭД_НР!$G$3:$G$62&amp;".",","&amp;SUBSTITUTE(F547," ","")&amp;",")))*Справочник_ОКВЭД_НР!$L$12) /
 (SUMPRODUCT(ISNUMBER(SEARCH(","&amp;Справочник_ОКВЭД_НР!$A$3:$A$62&amp;".",","&amp;SUBSTITUTE(F547," ","")&amp;","))) +
  SUMPRODUCT(ISNUMBER(SEARCH(","&amp;Справочник_ОКВЭД_НР!$C$3:$C$62&amp;".",","&amp;SUBSTITUTE(F547," ","")&amp;","))) +
  SUMPRODUCT(ISNUMBER(SEARCH(","&amp;Справочник_ОКВЭД_НР!$E$3:$E$62&amp;".",","&amp;SUBSTITUTE(F547," ","")&amp;","))) +
  SUMPRODUCT(ISNUMBER(SEARCH(","&amp;Справочник_ОКВЭД_НР!$G$3:$G$62&amp;".",","&amp;SUBSTITUTE(F547," ","")&amp;",")))),
50)</f>
        <v>50</v>
      </c>
      <c r="K547" s="30">
        <f>IFERROR(VLOOKUP(G547,Справочник_ОКВЭД_НР!$O:$P,2,FALSE()),50)</f>
        <v>100</v>
      </c>
      <c r="L547" s="45">
        <f>(I547*Справочник_ОКВЭД_НР!$L$2+J547*Справочник_ОКВЭД_НР!$L$3+K547*Справочник_ОКВЭД_НР!$L$4)*M547</f>
        <v>87.5</v>
      </c>
      <c r="M547" s="47">
        <f>IF(COUNTIF(Справочник_ОКВЭД_НР!$G$3:$G$62,H547)&gt;0,0,1)</f>
        <v>1</v>
      </c>
    </row>
    <row r="548" spans="1:13" x14ac:dyDescent="0.25">
      <c r="A548" s="4">
        <f>ЛИК_дляСкорингаДП!A548</f>
        <v>1052128139997</v>
      </c>
      <c r="B548" s="4">
        <f>ЛИК_дляСкорингаДП!B548</f>
        <v>2129064075</v>
      </c>
      <c r="C548" s="4" t="str">
        <f>ЛИК_дляСкорингаДП!C548</f>
        <v>ООО "АККОНД-ТОРГ"</v>
      </c>
      <c r="D548" s="5" t="str">
        <f>ЛИК_дляСкорингаДП!M548</f>
        <v>Торговля розничная хлебом и хлебобулочными изделиями и кондитерскими изделиями в специализированных магазинах</v>
      </c>
      <c r="E548" s="4" t="str">
        <f>ЛИК_дляСкорингаДП!L548</f>
        <v>47.24</v>
      </c>
      <c r="F548" t="str">
        <f>ЛИК_дляСкорингаДП!N548</f>
        <v>46.36,46.36.3,46.38,47.11,47.24,47.24.2,47.24.21,47.24.22,47.25,47.26,47.29,47.29.33,47.29.35,49.4,56.10,56.29,68.20</v>
      </c>
      <c r="G548" s="25" t="str">
        <f>ЛИК_дляСкорингаДП!AG548</f>
        <v>ОСН</v>
      </c>
      <c r="H548" s="55" t="str">
        <f>IF(ISNUMBER(E548),E548,
IFERROR(LEFT(E548,FIND(".",E548)-1),E548))</f>
        <v>47</v>
      </c>
      <c r="I548" s="30">
        <f>IF(COUNTIF(Справочник_ОКВЭД_НР!$A$3:$A$62,H548)&gt;0,Справочник_ОКВЭД_НР!$L$8,
 IF(COUNTIF(Справочник_ОКВЭД_НР!$C$3:$C$62,H548)&gt;0,Справочник_ОКВЭД_НР!$L$9,
  IF(COUNTIF(Справочник_ОКВЭД_НР!$E$3:$E$62,H548)&gt;0,Справочник_ОКВЭД_НР!$L$10,
   IF(COUNTIF(Справочник_ОКВЭД_НР!$G$3:$G$62,H548)&gt;0,Справочник_ОКВЭД_НР!$L$11,50))))</f>
        <v>60</v>
      </c>
      <c r="J548" s="30" cm="1">
        <f t="array" ref="J548">IFERROR(
 (SUMPRODUCT(ISNUMBER(SEARCH(","&amp;Справочник_ОКВЭД_НР!$A$3:$A$62&amp;".",","&amp;SUBSTITUTE(F548," ","")&amp;",")))*Справочник_ОКВЭД_НР!$L$9 +
  SUMPRODUCT(ISNUMBER(SEARCH(","&amp;Справочник_ОКВЭД_НР!$C$3:$C$62&amp;".",","&amp;SUBSTITUTE(F548," ","")&amp;",")))*Справочник_ОКВЭД_НР!$L$10 +
  SUMPRODUCT(ISNUMBER(SEARCH(","&amp;Справочник_ОКВЭД_НР!$E$3:$E$62&amp;".",","&amp;SUBSTITUTE(F548," ","")&amp;",")))*Справочник_ОКВЭД_НР!$L$11 +
  SUMPRODUCT(ISNUMBER(SEARCH(","&amp;Справочник_ОКВЭД_НР!$G$3:$G$62&amp;".",","&amp;SUBSTITUTE(F548," ","")&amp;",")))*Справочник_ОКВЭД_НР!$L$12) /
 (SUMPRODUCT(ISNUMBER(SEARCH(","&amp;Справочник_ОКВЭД_НР!$A$3:$A$62&amp;".",","&amp;SUBSTITUTE(F548," ","")&amp;","))) +
  SUMPRODUCT(ISNUMBER(SEARCH(","&amp;Справочник_ОКВЭД_НР!$C$3:$C$62&amp;".",","&amp;SUBSTITUTE(F548," ","")&amp;","))) +
  SUMPRODUCT(ISNUMBER(SEARCH(","&amp;Справочник_ОКВЭД_НР!$E$3:$E$62&amp;".",","&amp;SUBSTITUTE(F548," ","")&amp;","))) +
  SUMPRODUCT(ISNUMBER(SEARCH(","&amp;Справочник_ОКВЭД_НР!$G$3:$G$62&amp;".",","&amp;SUBSTITUTE(F548," ","")&amp;",")))),
50)</f>
        <v>50</v>
      </c>
      <c r="K548" s="30">
        <f>IFERROR(VLOOKUP(G548,Справочник_ОКВЭД_НР!$O:$P,2,FALSE()),50)</f>
        <v>100</v>
      </c>
      <c r="L548" s="45">
        <f>(I548*Справочник_ОКВЭД_НР!$L$2+J548*Справочник_ОКВЭД_НР!$L$3+K548*Справочник_ОКВЭД_НР!$L$4)*M548</f>
        <v>63.5</v>
      </c>
      <c r="M548" s="47">
        <f>IF(COUNTIF(Справочник_ОКВЭД_НР!$G$3:$G$62,H548)&gt;0,0,1)</f>
        <v>1</v>
      </c>
    </row>
    <row r="549" spans="1:13" x14ac:dyDescent="0.25">
      <c r="A549" s="4">
        <f>ЛИК_дляСкорингаДП!A549</f>
        <v>1122130002818</v>
      </c>
      <c r="B549" s="4">
        <f>ЛИК_дляСкорингаДП!B549</f>
        <v>2130100264</v>
      </c>
      <c r="C549" s="4" t="str">
        <f>ЛИК_дляСкорингаДП!C549</f>
        <v>ООО "НИП"</v>
      </c>
      <c r="D549" s="5" t="str">
        <f>ЛИК_дляСкорингаДП!M549</f>
        <v>Строительство коммунальных объектов для обеспечения электроэнергией и телекоммуникациями</v>
      </c>
      <c r="E549" s="4" t="str">
        <f>ЛИК_дляСкорингаДП!L549</f>
        <v>42.22</v>
      </c>
      <c r="F549" t="str">
        <f>ЛИК_дляСкорингаДП!N549</f>
        <v>25.11,26.51.7,27.12,33.14,33.20,35.11,35.12,41.20,42.22.2,43.12,43.2,43.21,43.29,43.3,43.39,43.91,43.99,45.20,46.69.5,46.90,47.52.7,52.10,52.21,52.21.24,52.24,71.1,71.12,71.12.12,71.12.6,74.20,82.92</v>
      </c>
      <c r="G549" s="25" t="str">
        <f>ЛИК_дляСкорингаДП!AG549</f>
        <v>ОСН</v>
      </c>
      <c r="H549" s="55" t="str">
        <f>IF(ISNUMBER(E549),E549,
IFERROR(LEFT(E549,FIND(".",E549)-1),E549))</f>
        <v>42</v>
      </c>
      <c r="I549" s="30">
        <f>IF(COUNTIF(Справочник_ОКВЭД_НР!$A$3:$A$62,H549)&gt;0,Справочник_ОКВЭД_НР!$L$8,
 IF(COUNTIF(Справочник_ОКВЭД_НР!$C$3:$C$62,H549)&gt;0,Справочник_ОКВЭД_НР!$L$9,
  IF(COUNTIF(Справочник_ОКВЭД_НР!$E$3:$E$62,H549)&gt;0,Справочник_ОКВЭД_НР!$L$10,
   IF(COUNTIF(Справочник_ОКВЭД_НР!$G$3:$G$62,H549)&gt;0,Справочник_ОКВЭД_НР!$L$11,50))))</f>
        <v>100</v>
      </c>
      <c r="J549" s="30" cm="1">
        <f t="array" ref="J549">IFERROR(
 (SUMPRODUCT(ISNUMBER(SEARCH(","&amp;Справочник_ОКВЭД_НР!$A$3:$A$62&amp;".",","&amp;SUBSTITUTE(F549," ","")&amp;",")))*Справочник_ОКВЭД_НР!$L$9 +
  SUMPRODUCT(ISNUMBER(SEARCH(","&amp;Справочник_ОКВЭД_НР!$C$3:$C$62&amp;".",","&amp;SUBSTITUTE(F549," ","")&amp;",")))*Справочник_ОКВЭД_НР!$L$10 +
  SUMPRODUCT(ISNUMBER(SEARCH(","&amp;Справочник_ОКВЭД_НР!$E$3:$E$62&amp;".",","&amp;SUBSTITUTE(F549," ","")&amp;",")))*Справочник_ОКВЭД_НР!$L$11 +
  SUMPRODUCT(ISNUMBER(SEARCH(","&amp;Справочник_ОКВЭД_НР!$G$3:$G$62&amp;".",","&amp;SUBSTITUTE(F549," ","")&amp;",")))*Справочник_ОКВЭД_НР!$L$12) /
 (SUMPRODUCT(ISNUMBER(SEARCH(","&amp;Справочник_ОКВЭД_НР!$A$3:$A$62&amp;".",","&amp;SUBSTITUTE(F549," ","")&amp;","))) +
  SUMPRODUCT(ISNUMBER(SEARCH(","&amp;Справочник_ОКВЭД_НР!$C$3:$C$62&amp;".",","&amp;SUBSTITUTE(F549," ","")&amp;","))) +
  SUMPRODUCT(ISNUMBER(SEARCH(","&amp;Справочник_ОКВЭД_НР!$E$3:$E$62&amp;".",","&amp;SUBSTITUTE(F549," ","")&amp;","))) +
  SUMPRODUCT(ISNUMBER(SEARCH(","&amp;Справочник_ОКВЭД_НР!$G$3:$G$62&amp;".",","&amp;SUBSTITUTE(F549," ","")&amp;",")))),
50)</f>
        <v>50</v>
      </c>
      <c r="K549" s="30">
        <f>IFERROR(VLOOKUP(G549,Справочник_ОКВЭД_НР!$O:$P,2,FALSE()),50)</f>
        <v>100</v>
      </c>
      <c r="L549" s="45">
        <f>(I549*Справочник_ОКВЭД_НР!$L$2+J549*Справочник_ОКВЭД_НР!$L$3+K549*Справочник_ОКВЭД_НР!$L$4)*M549</f>
        <v>87.5</v>
      </c>
      <c r="M549" s="47">
        <f>IF(COUNTIF(Справочник_ОКВЭД_НР!$G$3:$G$62,H549)&gt;0,0,1)</f>
        <v>1</v>
      </c>
    </row>
    <row r="550" spans="1:13" x14ac:dyDescent="0.25">
      <c r="A550" s="4">
        <f>ЛИК_дляСкорингаДП!A550</f>
        <v>1152130007710</v>
      </c>
      <c r="B550" s="4">
        <f>ЛИК_дляСкорингаДП!B550</f>
        <v>2130155947</v>
      </c>
      <c r="C550" s="4" t="str">
        <f>ЛИК_дляСкорингаДП!C550</f>
        <v>ООО "ЭЛТЕРА"</v>
      </c>
      <c r="D550" s="5" t="str">
        <f>ЛИК_дляСкорингаДП!M550</f>
        <v>Производство электрической распределительной и регулирующей аппаратуры</v>
      </c>
      <c r="E550" s="4" t="str">
        <f>ЛИК_дляСкорингаДП!L550</f>
        <v>27.12</v>
      </c>
      <c r="F550" t="str">
        <f>ЛИК_дляСкорингаДП!N550</f>
        <v>26.51,27.12,27.90,31.01,41.20,42.91.2,43.11,43.12.3,43.21,43.31,43.33,43.34,43.39,43.91,43.99,43.99.1,46.65,71.11,71.12</v>
      </c>
      <c r="G550" s="25" t="str">
        <f>ЛИК_дляСкорингаДП!AG550</f>
        <v>ОСН</v>
      </c>
      <c r="H550" s="55" t="str">
        <f>IF(ISNUMBER(E550),E550,
IFERROR(LEFT(E550,FIND(".",E550)-1),E550))</f>
        <v>27</v>
      </c>
      <c r="I550" s="30">
        <f>IF(COUNTIF(Справочник_ОКВЭД_НР!$A$3:$A$62,H550)&gt;0,Справочник_ОКВЭД_НР!$L$8,
 IF(COUNTIF(Справочник_ОКВЭД_НР!$C$3:$C$62,H550)&gt;0,Справочник_ОКВЭД_НР!$L$9,
  IF(COUNTIF(Справочник_ОКВЭД_НР!$E$3:$E$62,H550)&gt;0,Справочник_ОКВЭД_НР!$L$10,
   IF(COUNTIF(Справочник_ОКВЭД_НР!$G$3:$G$62,H550)&gt;0,Справочник_ОКВЭД_НР!$L$11,50))))</f>
        <v>100</v>
      </c>
      <c r="J550" s="30" cm="1">
        <f t="array" ref="J550">IFERROR(
 (SUMPRODUCT(ISNUMBER(SEARCH(","&amp;Справочник_ОКВЭД_НР!$A$3:$A$62&amp;".",","&amp;SUBSTITUTE(F550," ","")&amp;",")))*Справочник_ОКВЭД_НР!$L$9 +
  SUMPRODUCT(ISNUMBER(SEARCH(","&amp;Справочник_ОКВЭД_НР!$C$3:$C$62&amp;".",","&amp;SUBSTITUTE(F550," ","")&amp;",")))*Справочник_ОКВЭД_НР!$L$10 +
  SUMPRODUCT(ISNUMBER(SEARCH(","&amp;Справочник_ОКВЭД_НР!$E$3:$E$62&amp;".",","&amp;SUBSTITUTE(F550," ","")&amp;",")))*Справочник_ОКВЭД_НР!$L$11 +
  SUMPRODUCT(ISNUMBER(SEARCH(","&amp;Справочник_ОКВЭД_НР!$G$3:$G$62&amp;".",","&amp;SUBSTITUTE(F550," ","")&amp;",")))*Справочник_ОКВЭД_НР!$L$12) /
 (SUMPRODUCT(ISNUMBER(SEARCH(","&amp;Справочник_ОКВЭД_НР!$A$3:$A$62&amp;".",","&amp;SUBSTITUTE(F550," ","")&amp;","))) +
  SUMPRODUCT(ISNUMBER(SEARCH(","&amp;Справочник_ОКВЭД_НР!$C$3:$C$62&amp;".",","&amp;SUBSTITUTE(F550," ","")&amp;","))) +
  SUMPRODUCT(ISNUMBER(SEARCH(","&amp;Справочник_ОКВЭД_НР!$E$3:$E$62&amp;".",","&amp;SUBSTITUTE(F550," ","")&amp;","))) +
  SUMPRODUCT(ISNUMBER(SEARCH(","&amp;Справочник_ОКВЭД_НР!$G$3:$G$62&amp;".",","&amp;SUBSTITUTE(F550," ","")&amp;",")))),
50)</f>
        <v>50</v>
      </c>
      <c r="K550" s="30">
        <f>IFERROR(VLOOKUP(G550,Справочник_ОКВЭД_НР!$O:$P,2,FALSE()),50)</f>
        <v>100</v>
      </c>
      <c r="L550" s="45">
        <f>(I550*Справочник_ОКВЭД_НР!$L$2+J550*Справочник_ОКВЭД_НР!$L$3+K550*Справочник_ОКВЭД_НР!$L$4)*M550</f>
        <v>87.5</v>
      </c>
      <c r="M550" s="47">
        <f>IF(COUNTIF(Справочник_ОКВЭД_НР!$G$3:$G$62,H550)&gt;0,0,1)</f>
        <v>1</v>
      </c>
    </row>
    <row r="551" spans="1:13" x14ac:dyDescent="0.25">
      <c r="A551" s="4">
        <f>ЛИК_дляСкорингаДП!A551</f>
        <v>1132130001464</v>
      </c>
      <c r="B551" s="4">
        <f>ЛИК_дляСкорингаДП!B551</f>
        <v>2130114764</v>
      </c>
      <c r="C551" s="4" t="str">
        <f>ЛИК_дляСкорингаДП!C551</f>
        <v>ООО "ТД "ДОРИСС-СНАБ"</v>
      </c>
      <c r="D551" s="5" t="str">
        <f>ЛИК_дляСкорингаДП!M551</f>
        <v>Торговля оптовая лесоматериалами, строительными материалами и санитарно-техническим оборудованием</v>
      </c>
      <c r="E551" s="4" t="str">
        <f>ЛИК_дляСкорингаДП!L551</f>
        <v>46.73</v>
      </c>
      <c r="F551" t="str">
        <f>ЛИК_дляСкорингаДП!N551</f>
        <v>33.12,43.99,45.1,45.20,45.3,45.40,46.12,46.13,46.14,46.15,46.16,46.41,46.41.2,46.42,46.43,46.44,46.45,46.46,46.49,46.63,46.69.2,46.69.3,46.69.9,46.71,46.72,46.74,46.75,46.76,46.77,46.90,47.30,49.4,52.21.2,52.24,52.29,69.10,69.20,73.11,77.32,77.39.1,82.99</v>
      </c>
      <c r="G551" s="25" t="str">
        <f>ЛИК_дляСкорингаДП!AG551</f>
        <v>ОСН</v>
      </c>
      <c r="H551" s="55" t="str">
        <f>IF(ISNUMBER(E551),E551,
IFERROR(LEFT(E551,FIND(".",E551)-1),E551))</f>
        <v>46</v>
      </c>
      <c r="I551" s="30">
        <f>IF(COUNTIF(Справочник_ОКВЭД_НР!$A$3:$A$62,H551)&gt;0,Справочник_ОКВЭД_НР!$L$8,
 IF(COUNTIF(Справочник_ОКВЭД_НР!$C$3:$C$62,H551)&gt;0,Справочник_ОКВЭД_НР!$L$9,
  IF(COUNTIF(Справочник_ОКВЭД_НР!$E$3:$E$62,H551)&gt;0,Справочник_ОКВЭД_НР!$L$10,
   IF(COUNTIF(Справочник_ОКВЭД_НР!$G$3:$G$62,H551)&gt;0,Справочник_ОКВЭД_НР!$L$11,50))))</f>
        <v>60</v>
      </c>
      <c r="J551" s="30" cm="1">
        <f t="array" ref="J551">IFERROR(
 (SUMPRODUCT(ISNUMBER(SEARCH(","&amp;Справочник_ОКВЭД_НР!$A$3:$A$62&amp;".",","&amp;SUBSTITUTE(F551," ","")&amp;",")))*Справочник_ОКВЭД_НР!$L$9 +
  SUMPRODUCT(ISNUMBER(SEARCH(","&amp;Справочник_ОКВЭД_НР!$C$3:$C$62&amp;".",","&amp;SUBSTITUTE(F551," ","")&amp;",")))*Справочник_ОКВЭД_НР!$L$10 +
  SUMPRODUCT(ISNUMBER(SEARCH(","&amp;Справочник_ОКВЭД_НР!$E$3:$E$62&amp;".",","&amp;SUBSTITUTE(F551," ","")&amp;",")))*Справочник_ОКВЭД_НР!$L$11 +
  SUMPRODUCT(ISNUMBER(SEARCH(","&amp;Справочник_ОКВЭД_НР!$G$3:$G$62&amp;".",","&amp;SUBSTITUTE(F551," ","")&amp;",")))*Справочник_ОКВЭД_НР!$L$12) /
 (SUMPRODUCT(ISNUMBER(SEARCH(","&amp;Справочник_ОКВЭД_НР!$A$3:$A$62&amp;".",","&amp;SUBSTITUTE(F551," ","")&amp;","))) +
  SUMPRODUCT(ISNUMBER(SEARCH(","&amp;Справочник_ОКВЭД_НР!$C$3:$C$62&amp;".",","&amp;SUBSTITUTE(F551," ","")&amp;","))) +
  SUMPRODUCT(ISNUMBER(SEARCH(","&amp;Справочник_ОКВЭД_НР!$E$3:$E$62&amp;".",","&amp;SUBSTITUTE(F551," ","")&amp;","))) +
  SUMPRODUCT(ISNUMBER(SEARCH(","&amp;Справочник_ОКВЭД_НР!$G$3:$G$62&amp;".",","&amp;SUBSTITUTE(F551," ","")&amp;",")))),
50)</f>
        <v>50</v>
      </c>
      <c r="K551" s="30">
        <f>IFERROR(VLOOKUP(G551,Справочник_ОКВЭД_НР!$O:$P,2,FALSE()),50)</f>
        <v>100</v>
      </c>
      <c r="L551" s="45">
        <f>(I551*Справочник_ОКВЭД_НР!$L$2+J551*Справочник_ОКВЭД_НР!$L$3+K551*Справочник_ОКВЭД_НР!$L$4)*M551</f>
        <v>63.5</v>
      </c>
      <c r="M551" s="47">
        <f>IF(COUNTIF(Справочник_ОКВЭД_НР!$G$3:$G$62,H551)&gt;0,0,1)</f>
        <v>1</v>
      </c>
    </row>
    <row r="552" spans="1:13" x14ac:dyDescent="0.25">
      <c r="A552" s="4">
        <f>ЛИК_дляСкорингаДП!A552</f>
        <v>1142130001936</v>
      </c>
      <c r="B552" s="4">
        <f>ЛИК_дляСкорингаДП!B552</f>
        <v>2130132795</v>
      </c>
      <c r="C552" s="4" t="str">
        <f>ЛИК_дляСкорингаДП!C552</f>
        <v>ООО "ТД "АККОНД"</v>
      </c>
      <c r="D552" s="5" t="str">
        <f>ЛИК_дляСкорингаДП!M552</f>
        <v>Торговля оптовая сахаром, шоколадом и сахаристыми кондитерскими изделиями</v>
      </c>
      <c r="E552" s="4" t="str">
        <f>ЛИК_дляСкорингаДП!L552</f>
        <v>46.36</v>
      </c>
      <c r="F552" t="str">
        <f>ЛИК_дляСкорингаДП!N552</f>
        <v>46.33.1,46.33.3,46.36,46.36.3,46.38.26,47.24,47.24.2,47.24.21,47.24.22,47.29.1,47.29.11,47.29.21,47.29.22,47.29.33</v>
      </c>
      <c r="G552" s="25" t="str">
        <f>ЛИК_дляСкорингаДП!AG552</f>
        <v>ОСН</v>
      </c>
      <c r="H552" s="55" t="str">
        <f>IF(ISNUMBER(E552),E552,
IFERROR(LEFT(E552,FIND(".",E552)-1),E552))</f>
        <v>46</v>
      </c>
      <c r="I552" s="30">
        <f>IF(COUNTIF(Справочник_ОКВЭД_НР!$A$3:$A$62,H552)&gt;0,Справочник_ОКВЭД_НР!$L$8,
 IF(COUNTIF(Справочник_ОКВЭД_НР!$C$3:$C$62,H552)&gt;0,Справочник_ОКВЭД_НР!$L$9,
  IF(COUNTIF(Справочник_ОКВЭД_НР!$E$3:$E$62,H552)&gt;0,Справочник_ОКВЭД_НР!$L$10,
   IF(COUNTIF(Справочник_ОКВЭД_НР!$G$3:$G$62,H552)&gt;0,Справочник_ОКВЭД_НР!$L$11,50))))</f>
        <v>60</v>
      </c>
      <c r="J552" s="30" cm="1">
        <f t="array" ref="J552">IFERROR(
 (SUMPRODUCT(ISNUMBER(SEARCH(","&amp;Справочник_ОКВЭД_НР!$A$3:$A$62&amp;".",","&amp;SUBSTITUTE(F552," ","")&amp;",")))*Справочник_ОКВЭД_НР!$L$9 +
  SUMPRODUCT(ISNUMBER(SEARCH(","&amp;Справочник_ОКВЭД_НР!$C$3:$C$62&amp;".",","&amp;SUBSTITUTE(F552," ","")&amp;",")))*Справочник_ОКВЭД_НР!$L$10 +
  SUMPRODUCT(ISNUMBER(SEARCH(","&amp;Справочник_ОКВЭД_НР!$E$3:$E$62&amp;".",","&amp;SUBSTITUTE(F552," ","")&amp;",")))*Справочник_ОКВЭД_НР!$L$11 +
  SUMPRODUCT(ISNUMBER(SEARCH(","&amp;Справочник_ОКВЭД_НР!$G$3:$G$62&amp;".",","&amp;SUBSTITUTE(F552," ","")&amp;",")))*Справочник_ОКВЭД_НР!$L$12) /
 (SUMPRODUCT(ISNUMBER(SEARCH(","&amp;Справочник_ОКВЭД_НР!$A$3:$A$62&amp;".",","&amp;SUBSTITUTE(F552," ","")&amp;","))) +
  SUMPRODUCT(ISNUMBER(SEARCH(","&amp;Справочник_ОКВЭД_НР!$C$3:$C$62&amp;".",","&amp;SUBSTITUTE(F552," ","")&amp;","))) +
  SUMPRODUCT(ISNUMBER(SEARCH(","&amp;Справочник_ОКВЭД_НР!$E$3:$E$62&amp;".",","&amp;SUBSTITUTE(F552," ","")&amp;","))) +
  SUMPRODUCT(ISNUMBER(SEARCH(","&amp;Справочник_ОКВЭД_НР!$G$3:$G$62&amp;".",","&amp;SUBSTITUTE(F552," ","")&amp;",")))),
50)</f>
        <v>50</v>
      </c>
      <c r="K552" s="30">
        <f>IFERROR(VLOOKUP(G552,Справочник_ОКВЭД_НР!$O:$P,2,FALSE()),50)</f>
        <v>100</v>
      </c>
      <c r="L552" s="45">
        <f>(I552*Справочник_ОКВЭД_НР!$L$2+J552*Справочник_ОКВЭД_НР!$L$3+K552*Справочник_ОКВЭД_НР!$L$4)*M552</f>
        <v>63.5</v>
      </c>
      <c r="M552" s="47">
        <f>IF(COUNTIF(Справочник_ОКВЭД_НР!$G$3:$G$62,H552)&gt;0,0,1)</f>
        <v>1</v>
      </c>
    </row>
    <row r="553" spans="1:13" x14ac:dyDescent="0.25">
      <c r="A553" s="4">
        <f>ЛИК_дляСкорингаДП!A553</f>
        <v>1142130015543</v>
      </c>
      <c r="B553" s="4">
        <f>ЛИК_дляСкорингаДП!B553</f>
        <v>2130146332</v>
      </c>
      <c r="C553" s="4" t="str">
        <f>ЛИК_дляСкорингаДП!C553</f>
        <v>ООО "ЧХЗ №1"</v>
      </c>
      <c r="D553" s="5" t="str">
        <f>ЛИК_дляСкорингаДП!M553</f>
        <v>Производство хлеба и хлебобулочных изделий недлительного хранения</v>
      </c>
      <c r="E553" s="4" t="str">
        <f>ЛИК_дляСкорингаДП!L553</f>
        <v>10.71.1</v>
      </c>
      <c r="F553" t="str">
        <f>ЛИК_дляСкорингаДП!N553</f>
        <v>10.71.2,10.71.3,10.72.1,10.72.31,10.72.32,10.72.35,10.82.2,10.89.9,46.90,47.11,68.20.21,10.61.3,10.71,10.71.1,10.72,10.82.2,10.85,35.30.14,46.33.3,46.36.1,46.38,46.49,47.24.1,47.24.21,47.24.22,47.25.1,47.29,49.41.1,49.41.3,68.20.2,73.11</v>
      </c>
      <c r="G553" s="25" t="str">
        <f>ЛИК_дляСкорингаДП!AG553</f>
        <v>ОСН</v>
      </c>
      <c r="H553" s="55" t="str">
        <f>IF(ISNUMBER(E553),E553,
IFERROR(LEFT(E553,FIND(".",E553)-1),E553))</f>
        <v>10</v>
      </c>
      <c r="I553" s="30">
        <f>IF(COUNTIF(Справочник_ОКВЭД_НР!$A$3:$A$62,H553)&gt;0,Справочник_ОКВЭД_НР!$L$8,
 IF(COUNTIF(Справочник_ОКВЭД_НР!$C$3:$C$62,H553)&gt;0,Справочник_ОКВЭД_НР!$L$9,
  IF(COUNTIF(Справочник_ОКВЭД_НР!$E$3:$E$62,H553)&gt;0,Справочник_ОКВЭД_НР!$L$10,
   IF(COUNTIF(Справочник_ОКВЭД_НР!$G$3:$G$62,H553)&gt;0,Справочник_ОКВЭД_НР!$L$11,50))))</f>
        <v>100</v>
      </c>
      <c r="J553" s="30" cm="1">
        <f t="array" ref="J553">IFERROR(
 (SUMPRODUCT(ISNUMBER(SEARCH(","&amp;Справочник_ОКВЭД_НР!$A$3:$A$62&amp;".",","&amp;SUBSTITUTE(F553," ","")&amp;",")))*Справочник_ОКВЭД_НР!$L$9 +
  SUMPRODUCT(ISNUMBER(SEARCH(","&amp;Справочник_ОКВЭД_НР!$C$3:$C$62&amp;".",","&amp;SUBSTITUTE(F553," ","")&amp;",")))*Справочник_ОКВЭД_НР!$L$10 +
  SUMPRODUCT(ISNUMBER(SEARCH(","&amp;Справочник_ОКВЭД_НР!$E$3:$E$62&amp;".",","&amp;SUBSTITUTE(F553," ","")&amp;",")))*Справочник_ОКВЭД_НР!$L$11 +
  SUMPRODUCT(ISNUMBER(SEARCH(","&amp;Справочник_ОКВЭД_НР!$G$3:$G$62&amp;".",","&amp;SUBSTITUTE(F553," ","")&amp;",")))*Справочник_ОКВЭД_НР!$L$12) /
 (SUMPRODUCT(ISNUMBER(SEARCH(","&amp;Справочник_ОКВЭД_НР!$A$3:$A$62&amp;".",","&amp;SUBSTITUTE(F553," ","")&amp;","))) +
  SUMPRODUCT(ISNUMBER(SEARCH(","&amp;Справочник_ОКВЭД_НР!$C$3:$C$62&amp;".",","&amp;SUBSTITUTE(F553," ","")&amp;","))) +
  SUMPRODUCT(ISNUMBER(SEARCH(","&amp;Справочник_ОКВЭД_НР!$E$3:$E$62&amp;".",","&amp;SUBSTITUTE(F553," ","")&amp;","))) +
  SUMPRODUCT(ISNUMBER(SEARCH(","&amp;Справочник_ОКВЭД_НР!$G$3:$G$62&amp;".",","&amp;SUBSTITUTE(F553," ","")&amp;",")))),
50)</f>
        <v>50</v>
      </c>
      <c r="K553" s="30">
        <f>IFERROR(VLOOKUP(G553,Справочник_ОКВЭД_НР!$O:$P,2,FALSE()),50)</f>
        <v>100</v>
      </c>
      <c r="L553" s="45">
        <f>(I553*Справочник_ОКВЭД_НР!$L$2+J553*Справочник_ОКВЭД_НР!$L$3+K553*Справочник_ОКВЭД_НР!$L$4)*M553</f>
        <v>87.5</v>
      </c>
      <c r="M553" s="47">
        <f>IF(COUNTIF(Справочник_ОКВЭД_НР!$G$3:$G$62,H553)&gt;0,0,1)</f>
        <v>1</v>
      </c>
    </row>
    <row r="554" spans="1:13" x14ac:dyDescent="0.25">
      <c r="A554" s="4">
        <f>ЛИК_дляСкорингаДП!A554</f>
        <v>1172130002582</v>
      </c>
      <c r="B554" s="4">
        <f>ЛИК_дляСкорингаДП!B554</f>
        <v>2130184458</v>
      </c>
      <c r="C554" s="4" t="str">
        <f>ЛИК_дляСкорингаДП!C554</f>
        <v>ООО "АВТОДОР"</v>
      </c>
      <c r="D554" s="5" t="str">
        <f>ЛИК_дляСкорингаДП!M554</f>
        <v>Строительство автомобильных дорог и автомагистралей</v>
      </c>
      <c r="E554" s="4" t="str">
        <f>ЛИК_дляСкорингаДП!L554</f>
        <v>42.11</v>
      </c>
      <c r="F554" t="str">
        <f>ЛИК_дляСкорингаДП!N554</f>
        <v>23.61,23.63,23.64,23.99.2,23.99.3,25.11,33.11,33.12,42.13,42.22,42.91,42.99,46.73,47.52.7,49.41,49.42,71.12,77.12</v>
      </c>
      <c r="G554" s="25" t="str">
        <f>ЛИК_дляСкорингаДП!AG554</f>
        <v>ОСН</v>
      </c>
      <c r="H554" s="55" t="str">
        <f>IF(ISNUMBER(E554),E554,
IFERROR(LEFT(E554,FIND(".",E554)-1),E554))</f>
        <v>42</v>
      </c>
      <c r="I554" s="30">
        <f>IF(COUNTIF(Справочник_ОКВЭД_НР!$A$3:$A$62,H554)&gt;0,Справочник_ОКВЭД_НР!$L$8,
 IF(COUNTIF(Справочник_ОКВЭД_НР!$C$3:$C$62,H554)&gt;0,Справочник_ОКВЭД_НР!$L$9,
  IF(COUNTIF(Справочник_ОКВЭД_НР!$E$3:$E$62,H554)&gt;0,Справочник_ОКВЭД_НР!$L$10,
   IF(COUNTIF(Справочник_ОКВЭД_НР!$G$3:$G$62,H554)&gt;0,Справочник_ОКВЭД_НР!$L$11,50))))</f>
        <v>100</v>
      </c>
      <c r="J554" s="30" cm="1">
        <f t="array" ref="J554">IFERROR(
 (SUMPRODUCT(ISNUMBER(SEARCH(","&amp;Справочник_ОКВЭД_НР!$A$3:$A$62&amp;".",","&amp;SUBSTITUTE(F554," ","")&amp;",")))*Справочник_ОКВЭД_НР!$L$9 +
  SUMPRODUCT(ISNUMBER(SEARCH(","&amp;Справочник_ОКВЭД_НР!$C$3:$C$62&amp;".",","&amp;SUBSTITUTE(F554," ","")&amp;",")))*Справочник_ОКВЭД_НР!$L$10 +
  SUMPRODUCT(ISNUMBER(SEARCH(","&amp;Справочник_ОКВЭД_НР!$E$3:$E$62&amp;".",","&amp;SUBSTITUTE(F554," ","")&amp;",")))*Справочник_ОКВЭД_НР!$L$11 +
  SUMPRODUCT(ISNUMBER(SEARCH(","&amp;Справочник_ОКВЭД_НР!$G$3:$G$62&amp;".",","&amp;SUBSTITUTE(F554," ","")&amp;",")))*Справочник_ОКВЭД_НР!$L$12) /
 (SUMPRODUCT(ISNUMBER(SEARCH(","&amp;Справочник_ОКВЭД_НР!$A$3:$A$62&amp;".",","&amp;SUBSTITUTE(F554," ","")&amp;","))) +
  SUMPRODUCT(ISNUMBER(SEARCH(","&amp;Справочник_ОКВЭД_НР!$C$3:$C$62&amp;".",","&amp;SUBSTITUTE(F554," ","")&amp;","))) +
  SUMPRODUCT(ISNUMBER(SEARCH(","&amp;Справочник_ОКВЭД_НР!$E$3:$E$62&amp;".",","&amp;SUBSTITUTE(F554," ","")&amp;","))) +
  SUMPRODUCT(ISNUMBER(SEARCH(","&amp;Справочник_ОКВЭД_НР!$G$3:$G$62&amp;".",","&amp;SUBSTITUTE(F554," ","")&amp;",")))),
50)</f>
        <v>50</v>
      </c>
      <c r="K554" s="30">
        <f>IFERROR(VLOOKUP(G554,Справочник_ОКВЭД_НР!$O:$P,2,FALSE()),50)</f>
        <v>100</v>
      </c>
      <c r="L554" s="45">
        <f>(I554*Справочник_ОКВЭД_НР!$L$2+J554*Справочник_ОКВЭД_НР!$L$3+K554*Справочник_ОКВЭД_НР!$L$4)*M554</f>
        <v>87.5</v>
      </c>
      <c r="M554" s="47">
        <f>IF(COUNTIF(Справочник_ОКВЭД_НР!$G$3:$G$62,H554)&gt;0,0,1)</f>
        <v>1</v>
      </c>
    </row>
    <row r="555" spans="1:13" x14ac:dyDescent="0.25">
      <c r="A555" s="4">
        <f>ЛИК_дляСкорингаДП!A555</f>
        <v>1022100972442</v>
      </c>
      <c r="B555" s="4">
        <f>ЛИК_дляСкорингаДП!B555</f>
        <v>2127017009</v>
      </c>
      <c r="C555" s="4" t="str">
        <f>ЛИК_дляСкорингаДП!C555</f>
        <v>АО "ЛАМА"</v>
      </c>
      <c r="D555" s="5" t="str">
        <f>ЛИК_дляСкорингаДП!M555</f>
        <v>Производство машин и оборудования для добычи полезных ископаемых и строительства</v>
      </c>
      <c r="E555" s="4" t="str">
        <f>ЛИК_дляСкорингаДП!L555</f>
        <v>28.92</v>
      </c>
      <c r="F555" t="str">
        <f>ЛИК_дляСкорингаДП!N555</f>
        <v>22.19.3,46.69.9,46.71.2,47.30,22.19,22.29,25.50,25.62,25.93,25.94,28.92,33.12,41.20,43.91,45.1,46.61,46.62,46.63,46.71.2,46.72.21,46.90,47.11,47.19,47.22,47.23,47.24,47.25.2,47.26,47.29,47.30,47.61,47.7,47.71,47.73,47.74,47.75,55.10,56.10.1,64.99.12,68.10.23,68.31.11,68.31.12,68.31.21,68.31.22,68.31.31,68.31.32,68.31.41,68.31.42,96.09</v>
      </c>
      <c r="G555" s="25" t="str">
        <f>ЛИК_дляСкорингаДП!AG555</f>
        <v>ОСН</v>
      </c>
      <c r="H555" s="55" t="str">
        <f>IF(ISNUMBER(E555),E555,
IFERROR(LEFT(E555,FIND(".",E555)-1),E555))</f>
        <v>28</v>
      </c>
      <c r="I555" s="30">
        <f>IF(COUNTIF(Справочник_ОКВЭД_НР!$A$3:$A$62,H555)&gt;0,Справочник_ОКВЭД_НР!$L$8,
 IF(COUNTIF(Справочник_ОКВЭД_НР!$C$3:$C$62,H555)&gt;0,Справочник_ОКВЭД_НР!$L$9,
  IF(COUNTIF(Справочник_ОКВЭД_НР!$E$3:$E$62,H555)&gt;0,Справочник_ОКВЭД_НР!$L$10,
   IF(COUNTIF(Справочник_ОКВЭД_НР!$G$3:$G$62,H555)&gt;0,Справочник_ОКВЭД_НР!$L$11,50))))</f>
        <v>60</v>
      </c>
      <c r="J555" s="30" cm="1">
        <f t="array" ref="J555">IFERROR(
 (SUMPRODUCT(ISNUMBER(SEARCH(","&amp;Справочник_ОКВЭД_НР!$A$3:$A$62&amp;".",","&amp;SUBSTITUTE(F555," ","")&amp;",")))*Справочник_ОКВЭД_НР!$L$9 +
  SUMPRODUCT(ISNUMBER(SEARCH(","&amp;Справочник_ОКВЭД_НР!$C$3:$C$62&amp;".",","&amp;SUBSTITUTE(F555," ","")&amp;",")))*Справочник_ОКВЭД_НР!$L$10 +
  SUMPRODUCT(ISNUMBER(SEARCH(","&amp;Справочник_ОКВЭД_НР!$E$3:$E$62&amp;".",","&amp;SUBSTITUTE(F555," ","")&amp;",")))*Справочник_ОКВЭД_НР!$L$11 +
  SUMPRODUCT(ISNUMBER(SEARCH(","&amp;Справочник_ОКВЭД_НР!$G$3:$G$62&amp;".",","&amp;SUBSTITUTE(F555," ","")&amp;",")))*Справочник_ОКВЭД_НР!$L$12) /
 (SUMPRODUCT(ISNUMBER(SEARCH(","&amp;Справочник_ОКВЭД_НР!$A$3:$A$62&amp;".",","&amp;SUBSTITUTE(F555," ","")&amp;","))) +
  SUMPRODUCT(ISNUMBER(SEARCH(","&amp;Справочник_ОКВЭД_НР!$C$3:$C$62&amp;".",","&amp;SUBSTITUTE(F555," ","")&amp;","))) +
  SUMPRODUCT(ISNUMBER(SEARCH(","&amp;Справочник_ОКВЭД_НР!$E$3:$E$62&amp;".",","&amp;SUBSTITUTE(F555," ","")&amp;","))) +
  SUMPRODUCT(ISNUMBER(SEARCH(","&amp;Справочник_ОКВЭД_НР!$G$3:$G$62&amp;".",","&amp;SUBSTITUTE(F555," ","")&amp;",")))),
50)</f>
        <v>50</v>
      </c>
      <c r="K555" s="30">
        <f>IFERROR(VLOOKUP(G555,Справочник_ОКВЭД_НР!$O:$P,2,FALSE()),50)</f>
        <v>100</v>
      </c>
      <c r="L555" s="45">
        <f>(I555*Справочник_ОКВЭД_НР!$L$2+J555*Справочник_ОКВЭД_НР!$L$3+K555*Справочник_ОКВЭД_НР!$L$4)*M555</f>
        <v>63.5</v>
      </c>
      <c r="M555" s="47">
        <f>IF(COUNTIF(Справочник_ОКВЭД_НР!$G$3:$G$62,H555)&gt;0,0,1)</f>
        <v>1</v>
      </c>
    </row>
    <row r="556" spans="1:13" x14ac:dyDescent="0.25">
      <c r="A556" s="4">
        <f>ЛИК_дляСкорингаДП!A556</f>
        <v>1022101131580</v>
      </c>
      <c r="B556" s="4">
        <f>ЛИК_дляСкорингаДП!B556</f>
        <v>2128001516</v>
      </c>
      <c r="C556" s="4" t="str">
        <f>ЛИК_дляСкорингаДП!C556</f>
        <v>АО "ВНИИР"</v>
      </c>
      <c r="D556" s="5" t="str">
        <f>ЛИК_дляСкорингаДП!M556</f>
        <v>Научные исследования и разработки в области естественных и технических наук прочие</v>
      </c>
      <c r="E556" s="4" t="str">
        <f>ЛИК_дляСкорингаДП!L556</f>
        <v>72.19</v>
      </c>
      <c r="F556" t="str">
        <f>ЛИК_дляСкорингаДП!N556</f>
        <v>27.12,27.9,46.52,46.90,68.20,71.12.12,71.2</v>
      </c>
      <c r="G556" s="25" t="str">
        <f>ЛИК_дляСкорингаДП!AG556</f>
        <v>ОСН</v>
      </c>
      <c r="H556" s="55" t="str">
        <f>IF(ISNUMBER(E556),E556,
IFERROR(LEFT(E556,FIND(".",E556)-1),E556))</f>
        <v>72</v>
      </c>
      <c r="I556" s="30">
        <f>IF(COUNTIF(Справочник_ОКВЭД_НР!$A$3:$A$62,H556)&gt;0,Справочник_ОКВЭД_НР!$L$8,
 IF(COUNTIF(Справочник_ОКВЭД_НР!$C$3:$C$62,H556)&gt;0,Справочник_ОКВЭД_НР!$L$9,
  IF(COUNTIF(Справочник_ОКВЭД_НР!$E$3:$E$62,H556)&gt;0,Справочник_ОКВЭД_НР!$L$10,
   IF(COUNTIF(Справочник_ОКВЭД_НР!$G$3:$G$62,H556)&gt;0,Справочник_ОКВЭД_НР!$L$11,50))))</f>
        <v>60</v>
      </c>
      <c r="J556" s="30" cm="1">
        <f t="array" ref="J556">IFERROR(
 (SUMPRODUCT(ISNUMBER(SEARCH(","&amp;Справочник_ОКВЭД_НР!$A$3:$A$62&amp;".",","&amp;SUBSTITUTE(F556," ","")&amp;",")))*Справочник_ОКВЭД_НР!$L$9 +
  SUMPRODUCT(ISNUMBER(SEARCH(","&amp;Справочник_ОКВЭД_НР!$C$3:$C$62&amp;".",","&amp;SUBSTITUTE(F556," ","")&amp;",")))*Справочник_ОКВЭД_НР!$L$10 +
  SUMPRODUCT(ISNUMBER(SEARCH(","&amp;Справочник_ОКВЭД_НР!$E$3:$E$62&amp;".",","&amp;SUBSTITUTE(F556," ","")&amp;",")))*Справочник_ОКВЭД_НР!$L$11 +
  SUMPRODUCT(ISNUMBER(SEARCH(","&amp;Справочник_ОКВЭД_НР!$G$3:$G$62&amp;".",","&amp;SUBSTITUTE(F556," ","")&amp;",")))*Справочник_ОКВЭД_НР!$L$12) /
 (SUMPRODUCT(ISNUMBER(SEARCH(","&amp;Справочник_ОКВЭД_НР!$A$3:$A$62&amp;".",","&amp;SUBSTITUTE(F556," ","")&amp;","))) +
  SUMPRODUCT(ISNUMBER(SEARCH(","&amp;Справочник_ОКВЭД_НР!$C$3:$C$62&amp;".",","&amp;SUBSTITUTE(F556," ","")&amp;","))) +
  SUMPRODUCT(ISNUMBER(SEARCH(","&amp;Справочник_ОКВЭД_НР!$E$3:$E$62&amp;".",","&amp;SUBSTITUTE(F556," ","")&amp;","))) +
  SUMPRODUCT(ISNUMBER(SEARCH(","&amp;Справочник_ОКВЭД_НР!$G$3:$G$62&amp;".",","&amp;SUBSTITUTE(F556," ","")&amp;",")))),
50)</f>
        <v>50</v>
      </c>
      <c r="K556" s="30">
        <f>IFERROR(VLOOKUP(G556,Справочник_ОКВЭД_НР!$O:$P,2,FALSE()),50)</f>
        <v>100</v>
      </c>
      <c r="L556" s="45">
        <f>(I556*Справочник_ОКВЭД_НР!$L$2+J556*Справочник_ОКВЭД_НР!$L$3+K556*Справочник_ОКВЭД_НР!$L$4)*M556</f>
        <v>63.5</v>
      </c>
      <c r="M556" s="47">
        <f>IF(COUNTIF(Справочник_ОКВЭД_НР!$G$3:$G$62,H556)&gt;0,0,1)</f>
        <v>1</v>
      </c>
    </row>
    <row r="557" spans="1:13" x14ac:dyDescent="0.25">
      <c r="A557" s="4">
        <f>ЛИК_дляСкорингаДП!A557</f>
        <v>1022101143239</v>
      </c>
      <c r="B557" s="4">
        <f>ЛИК_дляСкорингаДП!B557</f>
        <v>2128042181</v>
      </c>
      <c r="C557" s="4" t="str">
        <f>ЛИК_дляСкорингаДП!C557</f>
        <v>ООО "СУ - 29"</v>
      </c>
      <c r="D557" s="5" t="str">
        <f>ЛИК_дляСкорингаДП!M557</f>
        <v>Строительство жилых и нежилых зданий</v>
      </c>
      <c r="E557" s="4" t="str">
        <f>ЛИК_дляСкорингаДП!L557</f>
        <v>41.20</v>
      </c>
      <c r="F557" t="str">
        <f>ЛИК_дляСкорингаДП!N557</f>
        <v>23.61,23.63,25.11,25.61,25.62,25.93,25.99.2,42.11,43.11,43.12.3,43.22,43.31,43.32,43.33,43.34,43.39,43.91,43.99,43.99.1,46.90,49.41,68.10,71.12,77.32</v>
      </c>
      <c r="G557" s="25" t="str">
        <f>ЛИК_дляСкорингаДП!AG557</f>
        <v>ОСН</v>
      </c>
      <c r="H557" s="55" t="str">
        <f>IF(ISNUMBER(E557),E557,
IFERROR(LEFT(E557,FIND(".",E557)-1),E557))</f>
        <v>41</v>
      </c>
      <c r="I557" s="30">
        <f>IF(COUNTIF(Справочник_ОКВЭД_НР!$A$3:$A$62,H557)&gt;0,Справочник_ОКВЭД_НР!$L$8,
 IF(COUNTIF(Справочник_ОКВЭД_НР!$C$3:$C$62,H557)&gt;0,Справочник_ОКВЭД_НР!$L$9,
  IF(COUNTIF(Справочник_ОКВЭД_НР!$E$3:$E$62,H557)&gt;0,Справочник_ОКВЭД_НР!$L$10,
   IF(COUNTIF(Справочник_ОКВЭД_НР!$G$3:$G$62,H557)&gt;0,Справочник_ОКВЭД_НР!$L$11,50))))</f>
        <v>100</v>
      </c>
      <c r="J557" s="30" cm="1">
        <f t="array" ref="J557">IFERROR(
 (SUMPRODUCT(ISNUMBER(SEARCH(","&amp;Справочник_ОКВЭД_НР!$A$3:$A$62&amp;".",","&amp;SUBSTITUTE(F557," ","")&amp;",")))*Справочник_ОКВЭД_НР!$L$9 +
  SUMPRODUCT(ISNUMBER(SEARCH(","&amp;Справочник_ОКВЭД_НР!$C$3:$C$62&amp;".",","&amp;SUBSTITUTE(F557," ","")&amp;",")))*Справочник_ОКВЭД_НР!$L$10 +
  SUMPRODUCT(ISNUMBER(SEARCH(","&amp;Справочник_ОКВЭД_НР!$E$3:$E$62&amp;".",","&amp;SUBSTITUTE(F557," ","")&amp;",")))*Справочник_ОКВЭД_НР!$L$11 +
  SUMPRODUCT(ISNUMBER(SEARCH(","&amp;Справочник_ОКВЭД_НР!$G$3:$G$62&amp;".",","&amp;SUBSTITUTE(F557," ","")&amp;",")))*Справочник_ОКВЭД_НР!$L$12) /
 (SUMPRODUCT(ISNUMBER(SEARCH(","&amp;Справочник_ОКВЭД_НР!$A$3:$A$62&amp;".",","&amp;SUBSTITUTE(F557," ","")&amp;","))) +
  SUMPRODUCT(ISNUMBER(SEARCH(","&amp;Справочник_ОКВЭД_НР!$C$3:$C$62&amp;".",","&amp;SUBSTITUTE(F557," ","")&amp;","))) +
  SUMPRODUCT(ISNUMBER(SEARCH(","&amp;Справочник_ОКВЭД_НР!$E$3:$E$62&amp;".",","&amp;SUBSTITUTE(F557," ","")&amp;","))) +
  SUMPRODUCT(ISNUMBER(SEARCH(","&amp;Справочник_ОКВЭД_НР!$G$3:$G$62&amp;".",","&amp;SUBSTITUTE(F557," ","")&amp;",")))),
50)</f>
        <v>50</v>
      </c>
      <c r="K557" s="30">
        <f>IFERROR(VLOOKUP(G557,Справочник_ОКВЭД_НР!$O:$P,2,FALSE()),50)</f>
        <v>100</v>
      </c>
      <c r="L557" s="45">
        <f>(I557*Справочник_ОКВЭД_НР!$L$2+J557*Справочник_ОКВЭД_НР!$L$3+K557*Справочник_ОКВЭД_НР!$L$4)*M557</f>
        <v>87.5</v>
      </c>
      <c r="M557" s="47">
        <f>IF(COUNTIF(Справочник_ОКВЭД_НР!$G$3:$G$62,H557)&gt;0,0,1)</f>
        <v>1</v>
      </c>
    </row>
    <row r="558" spans="1:13" x14ac:dyDescent="0.25">
      <c r="A558" s="4">
        <f>ЛИК_дляСкорингаДП!A558</f>
        <v>1022101136210</v>
      </c>
      <c r="B558" s="4">
        <f>ЛИК_дляСкорингаДП!B558</f>
        <v>2128037311</v>
      </c>
      <c r="C558" s="4" t="str">
        <f>ЛИК_дляСкорингаДП!C558</f>
        <v>ООО "КОСТИНСТРОЙ"</v>
      </c>
      <c r="D558" s="5" t="str">
        <f>ЛИК_дляСкорингаДП!M558</f>
        <v>Торговля оптовая скобяными изделиями, водопроводным и отопительным оборудованием и принадлежностями</v>
      </c>
      <c r="E558" s="4" t="str">
        <f>ЛИК_дляСкорингаДП!L558</f>
        <v>46.74</v>
      </c>
      <c r="F558" t="str">
        <f>ЛИК_дляСкорингаДП!N558</f>
        <v>45.31.1,45.32.1,46.13.1,46.13.2,46.15,46.15.2,46.18.99,46.19,46.61.2,46.63,46.69,46.73.3,46.73.4,46.73.5,46.73.6,46.74.1,46.75,46.76.1,46.90,47.30.1,47.52.1,47.52.6,47.75.3,47.91.2,82.99</v>
      </c>
      <c r="G558" s="25" t="str">
        <f>ЛИК_дляСкорингаДП!AG558</f>
        <v>ОСН</v>
      </c>
      <c r="H558" s="55" t="str">
        <f>IF(ISNUMBER(E558),E558,
IFERROR(LEFT(E558,FIND(".",E558)-1),E558))</f>
        <v>46</v>
      </c>
      <c r="I558" s="30">
        <f>IF(COUNTIF(Справочник_ОКВЭД_НР!$A$3:$A$62,H558)&gt;0,Справочник_ОКВЭД_НР!$L$8,
 IF(COUNTIF(Справочник_ОКВЭД_НР!$C$3:$C$62,H558)&gt;0,Справочник_ОКВЭД_НР!$L$9,
  IF(COUNTIF(Справочник_ОКВЭД_НР!$E$3:$E$62,H558)&gt;0,Справочник_ОКВЭД_НР!$L$10,
   IF(COUNTIF(Справочник_ОКВЭД_НР!$G$3:$G$62,H558)&gt;0,Справочник_ОКВЭД_НР!$L$11,50))))</f>
        <v>60</v>
      </c>
      <c r="J558" s="30" cm="1">
        <f t="array" ref="J558">IFERROR(
 (SUMPRODUCT(ISNUMBER(SEARCH(","&amp;Справочник_ОКВЭД_НР!$A$3:$A$62&amp;".",","&amp;SUBSTITUTE(F558," ","")&amp;",")))*Справочник_ОКВЭД_НР!$L$9 +
  SUMPRODUCT(ISNUMBER(SEARCH(","&amp;Справочник_ОКВЭД_НР!$C$3:$C$62&amp;".",","&amp;SUBSTITUTE(F558," ","")&amp;",")))*Справочник_ОКВЭД_НР!$L$10 +
  SUMPRODUCT(ISNUMBER(SEARCH(","&amp;Справочник_ОКВЭД_НР!$E$3:$E$62&amp;".",","&amp;SUBSTITUTE(F558," ","")&amp;",")))*Справочник_ОКВЭД_НР!$L$11 +
  SUMPRODUCT(ISNUMBER(SEARCH(","&amp;Справочник_ОКВЭД_НР!$G$3:$G$62&amp;".",","&amp;SUBSTITUTE(F558," ","")&amp;",")))*Справочник_ОКВЭД_НР!$L$12) /
 (SUMPRODUCT(ISNUMBER(SEARCH(","&amp;Справочник_ОКВЭД_НР!$A$3:$A$62&amp;".",","&amp;SUBSTITUTE(F558," ","")&amp;","))) +
  SUMPRODUCT(ISNUMBER(SEARCH(","&amp;Справочник_ОКВЭД_НР!$C$3:$C$62&amp;".",","&amp;SUBSTITUTE(F558," ","")&amp;","))) +
  SUMPRODUCT(ISNUMBER(SEARCH(","&amp;Справочник_ОКВЭД_НР!$E$3:$E$62&amp;".",","&amp;SUBSTITUTE(F558," ","")&amp;","))) +
  SUMPRODUCT(ISNUMBER(SEARCH(","&amp;Справочник_ОКВЭД_НР!$G$3:$G$62&amp;".",","&amp;SUBSTITUTE(F558," ","")&amp;",")))),
50)</f>
        <v>50</v>
      </c>
      <c r="K558" s="30">
        <f>IFERROR(VLOOKUP(G558,Справочник_ОКВЭД_НР!$O:$P,2,FALSE()),50)</f>
        <v>100</v>
      </c>
      <c r="L558" s="45">
        <f>(I558*Справочник_ОКВЭД_НР!$L$2+J558*Справочник_ОКВЭД_НР!$L$3+K558*Справочник_ОКВЭД_НР!$L$4)*M558</f>
        <v>63.5</v>
      </c>
      <c r="M558" s="47">
        <f>IF(COUNTIF(Справочник_ОКВЭД_НР!$G$3:$G$62,H558)&gt;0,0,1)</f>
        <v>1</v>
      </c>
    </row>
    <row r="559" spans="1:13" x14ac:dyDescent="0.25">
      <c r="A559" s="4">
        <f>ЛИК_дляСкорингаДП!A559</f>
        <v>1022100967085</v>
      </c>
      <c r="B559" s="4">
        <f>ЛИК_дляСкорингаДП!B559</f>
        <v>2127010300</v>
      </c>
      <c r="C559" s="4" t="str">
        <f>ЛИК_дляСкорингаДП!C559</f>
        <v>АО "ВОЛГА АЙС"</v>
      </c>
      <c r="D559" s="5" t="str">
        <f>ЛИК_дляСкорингаДП!M559</f>
        <v>Производство мороженого</v>
      </c>
      <c r="E559" s="4" t="str">
        <f>ЛИК_дляСкорингаДП!L559</f>
        <v>10.52</v>
      </c>
      <c r="F559" t="str">
        <f>ЛИК_дляСкорингаДП!N559</f>
        <v>46.38,46.90,49.41.2,52.10.1,68.20.1,68.20.29,10.51.3,10.52,43.99,52.10.1,52.10.9,52.29</v>
      </c>
      <c r="G559" s="25" t="str">
        <f>ЛИК_дляСкорингаДП!AG559</f>
        <v>ОСН</v>
      </c>
      <c r="H559" s="55" t="str">
        <f>IF(ISNUMBER(E559),E559,
IFERROR(LEFT(E559,FIND(".",E559)-1),E559))</f>
        <v>10</v>
      </c>
      <c r="I559" s="30">
        <f>IF(COUNTIF(Справочник_ОКВЭД_НР!$A$3:$A$62,H559)&gt;0,Справочник_ОКВЭД_НР!$L$8,
 IF(COUNTIF(Справочник_ОКВЭД_НР!$C$3:$C$62,H559)&gt;0,Справочник_ОКВЭД_НР!$L$9,
  IF(COUNTIF(Справочник_ОКВЭД_НР!$E$3:$E$62,H559)&gt;0,Справочник_ОКВЭД_НР!$L$10,
   IF(COUNTIF(Справочник_ОКВЭД_НР!$G$3:$G$62,H559)&gt;0,Справочник_ОКВЭД_НР!$L$11,50))))</f>
        <v>100</v>
      </c>
      <c r="J559" s="30" cm="1">
        <f t="array" ref="J559">IFERROR(
 (SUMPRODUCT(ISNUMBER(SEARCH(","&amp;Справочник_ОКВЭД_НР!$A$3:$A$62&amp;".",","&amp;SUBSTITUTE(F559," ","")&amp;",")))*Справочник_ОКВЭД_НР!$L$9 +
  SUMPRODUCT(ISNUMBER(SEARCH(","&amp;Справочник_ОКВЭД_НР!$C$3:$C$62&amp;".",","&amp;SUBSTITUTE(F559," ","")&amp;",")))*Справочник_ОКВЭД_НР!$L$10 +
  SUMPRODUCT(ISNUMBER(SEARCH(","&amp;Справочник_ОКВЭД_НР!$E$3:$E$62&amp;".",","&amp;SUBSTITUTE(F559," ","")&amp;",")))*Справочник_ОКВЭД_НР!$L$11 +
  SUMPRODUCT(ISNUMBER(SEARCH(","&amp;Справочник_ОКВЭД_НР!$G$3:$G$62&amp;".",","&amp;SUBSTITUTE(F559," ","")&amp;",")))*Справочник_ОКВЭД_НР!$L$12) /
 (SUMPRODUCT(ISNUMBER(SEARCH(","&amp;Справочник_ОКВЭД_НР!$A$3:$A$62&amp;".",","&amp;SUBSTITUTE(F559," ","")&amp;","))) +
  SUMPRODUCT(ISNUMBER(SEARCH(","&amp;Справочник_ОКВЭД_НР!$C$3:$C$62&amp;".",","&amp;SUBSTITUTE(F559," ","")&amp;","))) +
  SUMPRODUCT(ISNUMBER(SEARCH(","&amp;Справочник_ОКВЭД_НР!$E$3:$E$62&amp;".",","&amp;SUBSTITUTE(F559," ","")&amp;","))) +
  SUMPRODUCT(ISNUMBER(SEARCH(","&amp;Справочник_ОКВЭД_НР!$G$3:$G$62&amp;".",","&amp;SUBSTITUTE(F559," ","")&amp;",")))),
50)</f>
        <v>50</v>
      </c>
      <c r="K559" s="30">
        <f>IFERROR(VLOOKUP(G559,Справочник_ОКВЭД_НР!$O:$P,2,FALSE()),50)</f>
        <v>100</v>
      </c>
      <c r="L559" s="45">
        <f>(I559*Справочник_ОКВЭД_НР!$L$2+J559*Справочник_ОКВЭД_НР!$L$3+K559*Справочник_ОКВЭД_НР!$L$4)*M559</f>
        <v>87.5</v>
      </c>
      <c r="M559" s="47">
        <f>IF(COUNTIF(Справочник_ОКВЭД_НР!$G$3:$G$62,H559)&gt;0,0,1)</f>
        <v>1</v>
      </c>
    </row>
    <row r="560" spans="1:13" x14ac:dyDescent="0.25">
      <c r="A560" s="4">
        <f>ЛИК_дляСкорингаДП!A560</f>
        <v>1022100910017</v>
      </c>
      <c r="B560" s="4">
        <f>ЛИК_дляСкорингаДП!B560</f>
        <v>2124000409</v>
      </c>
      <c r="C560" s="4" t="str">
        <f>ЛИК_дляСкорингаДП!C560</f>
        <v>ООО "СЗ "СФ "ИНВЕСТ-ЛАД"</v>
      </c>
      <c r="D560" s="5" t="str">
        <f>ЛИК_дляСкорингаДП!M560</f>
        <v>Строительство жилых и нежилых зданий</v>
      </c>
      <c r="E560" s="4" t="str">
        <f>ЛИК_дляСкорингаДП!L560</f>
        <v>41.20</v>
      </c>
      <c r="F560" t="str">
        <f>ЛИК_дляСкорингаДП!N560</f>
        <v>16.23,42.21,42.22.2,43.11,43.12.3,43.21,43.22,43.31,43.32,43.33,43.34,43.91,43.99,43.99.7,47.25,71.1,71.12.5,71.12.6</v>
      </c>
      <c r="G560" s="25" t="str">
        <f>ЛИК_дляСкорингаДП!AG560</f>
        <v>ОСН</v>
      </c>
      <c r="H560" s="55" t="str">
        <f>IF(ISNUMBER(E560),E560,
IFERROR(LEFT(E560,FIND(".",E560)-1),E560))</f>
        <v>41</v>
      </c>
      <c r="I560" s="30">
        <f>IF(COUNTIF(Справочник_ОКВЭД_НР!$A$3:$A$62,H560)&gt;0,Справочник_ОКВЭД_НР!$L$8,
 IF(COUNTIF(Справочник_ОКВЭД_НР!$C$3:$C$62,H560)&gt;0,Справочник_ОКВЭД_НР!$L$9,
  IF(COUNTIF(Справочник_ОКВЭД_НР!$E$3:$E$62,H560)&gt;0,Справочник_ОКВЭД_НР!$L$10,
   IF(COUNTIF(Справочник_ОКВЭД_НР!$G$3:$G$62,H560)&gt;0,Справочник_ОКВЭД_НР!$L$11,50))))</f>
        <v>100</v>
      </c>
      <c r="J560" s="30" cm="1">
        <f t="array" ref="J560">IFERROR(
 (SUMPRODUCT(ISNUMBER(SEARCH(","&amp;Справочник_ОКВЭД_НР!$A$3:$A$62&amp;".",","&amp;SUBSTITUTE(F560," ","")&amp;",")))*Справочник_ОКВЭД_НР!$L$9 +
  SUMPRODUCT(ISNUMBER(SEARCH(","&amp;Справочник_ОКВЭД_НР!$C$3:$C$62&amp;".",","&amp;SUBSTITUTE(F560," ","")&amp;",")))*Справочник_ОКВЭД_НР!$L$10 +
  SUMPRODUCT(ISNUMBER(SEARCH(","&amp;Справочник_ОКВЭД_НР!$E$3:$E$62&amp;".",","&amp;SUBSTITUTE(F560," ","")&amp;",")))*Справочник_ОКВЭД_НР!$L$11 +
  SUMPRODUCT(ISNUMBER(SEARCH(","&amp;Справочник_ОКВЭД_НР!$G$3:$G$62&amp;".",","&amp;SUBSTITUTE(F560," ","")&amp;",")))*Справочник_ОКВЭД_НР!$L$12) /
 (SUMPRODUCT(ISNUMBER(SEARCH(","&amp;Справочник_ОКВЭД_НР!$A$3:$A$62&amp;".",","&amp;SUBSTITUTE(F560," ","")&amp;","))) +
  SUMPRODUCT(ISNUMBER(SEARCH(","&amp;Справочник_ОКВЭД_НР!$C$3:$C$62&amp;".",","&amp;SUBSTITUTE(F560," ","")&amp;","))) +
  SUMPRODUCT(ISNUMBER(SEARCH(","&amp;Справочник_ОКВЭД_НР!$E$3:$E$62&amp;".",","&amp;SUBSTITUTE(F560," ","")&amp;","))) +
  SUMPRODUCT(ISNUMBER(SEARCH(","&amp;Справочник_ОКВЭД_НР!$G$3:$G$62&amp;".",","&amp;SUBSTITUTE(F560," ","")&amp;",")))),
50)</f>
        <v>50</v>
      </c>
      <c r="K560" s="30">
        <f>IFERROR(VLOOKUP(G560,Справочник_ОКВЭД_НР!$O:$P,2,FALSE()),50)</f>
        <v>100</v>
      </c>
      <c r="L560" s="45">
        <f>(I560*Справочник_ОКВЭД_НР!$L$2+J560*Справочник_ОКВЭД_НР!$L$3+K560*Справочник_ОКВЭД_НР!$L$4)*M560</f>
        <v>87.5</v>
      </c>
      <c r="M560" s="47">
        <f>IF(COUNTIF(Справочник_ОКВЭД_НР!$G$3:$G$62,H560)&gt;0,0,1)</f>
        <v>1</v>
      </c>
    </row>
    <row r="561" spans="1:13" x14ac:dyDescent="0.25">
      <c r="A561" s="4">
        <f>ЛИК_дляСкорингаДП!A561</f>
        <v>1022101134505</v>
      </c>
      <c r="B561" s="4">
        <f>ЛИК_дляСкорингаДП!B561</f>
        <v>2128000329</v>
      </c>
      <c r="C561" s="4" t="str">
        <f>ЛИК_дляСкорингаДП!C561</f>
        <v>АО "СКБ СПА"</v>
      </c>
      <c r="D561" s="5" t="str">
        <f>ЛИК_дляСкорингаДП!M561</f>
        <v>Производство приборов и аппаратуры для автоматического регулирования или управления</v>
      </c>
      <c r="E561" s="4" t="str">
        <f>ЛИК_дляСкорингаДП!L561</f>
        <v>26.51.7</v>
      </c>
      <c r="F561" t="str">
        <f>ЛИК_дляСкорингаДП!N561</f>
        <v>25.62,28.14,33.12,33.14,35.11,38.21,43.21,46.69.9,72.19,81.29,81.30</v>
      </c>
      <c r="G561" s="25" t="str">
        <f>ЛИК_дляСкорингаДП!AG561</f>
        <v>ОСН</v>
      </c>
      <c r="H561" s="55" t="str">
        <f>IF(ISNUMBER(E561),E561,
IFERROR(LEFT(E561,FIND(".",E561)-1),E561))</f>
        <v>26</v>
      </c>
      <c r="I561" s="30">
        <f>IF(COUNTIF(Справочник_ОКВЭД_НР!$A$3:$A$62,H561)&gt;0,Справочник_ОКВЭД_НР!$L$8,
 IF(COUNTIF(Справочник_ОКВЭД_НР!$C$3:$C$62,H561)&gt;0,Справочник_ОКВЭД_НР!$L$9,
  IF(COUNTIF(Справочник_ОКВЭД_НР!$E$3:$E$62,H561)&gt;0,Справочник_ОКВЭД_НР!$L$10,
   IF(COUNTIF(Справочник_ОКВЭД_НР!$G$3:$G$62,H561)&gt;0,Справочник_ОКВЭД_НР!$L$11,50))))</f>
        <v>60</v>
      </c>
      <c r="J561" s="30" cm="1">
        <f t="array" ref="J561">IFERROR(
 (SUMPRODUCT(ISNUMBER(SEARCH(","&amp;Справочник_ОКВЭД_НР!$A$3:$A$62&amp;".",","&amp;SUBSTITUTE(F561," ","")&amp;",")))*Справочник_ОКВЭД_НР!$L$9 +
  SUMPRODUCT(ISNUMBER(SEARCH(","&amp;Справочник_ОКВЭД_НР!$C$3:$C$62&amp;".",","&amp;SUBSTITUTE(F561," ","")&amp;",")))*Справочник_ОКВЭД_НР!$L$10 +
  SUMPRODUCT(ISNUMBER(SEARCH(","&amp;Справочник_ОКВЭД_НР!$E$3:$E$62&amp;".",","&amp;SUBSTITUTE(F561," ","")&amp;",")))*Справочник_ОКВЭД_НР!$L$11 +
  SUMPRODUCT(ISNUMBER(SEARCH(","&amp;Справочник_ОКВЭД_НР!$G$3:$G$62&amp;".",","&amp;SUBSTITUTE(F561," ","")&amp;",")))*Справочник_ОКВЭД_НР!$L$12) /
 (SUMPRODUCT(ISNUMBER(SEARCH(","&amp;Справочник_ОКВЭД_НР!$A$3:$A$62&amp;".",","&amp;SUBSTITUTE(F561," ","")&amp;","))) +
  SUMPRODUCT(ISNUMBER(SEARCH(","&amp;Справочник_ОКВЭД_НР!$C$3:$C$62&amp;".",","&amp;SUBSTITUTE(F561," ","")&amp;","))) +
  SUMPRODUCT(ISNUMBER(SEARCH(","&amp;Справочник_ОКВЭД_НР!$E$3:$E$62&amp;".",","&amp;SUBSTITUTE(F561," ","")&amp;","))) +
  SUMPRODUCT(ISNUMBER(SEARCH(","&amp;Справочник_ОКВЭД_НР!$G$3:$G$62&amp;".",","&amp;SUBSTITUTE(F561," ","")&amp;",")))),
50)</f>
        <v>50</v>
      </c>
      <c r="K561" s="30">
        <f>IFERROR(VLOOKUP(G561,Справочник_ОКВЭД_НР!$O:$P,2,FALSE()),50)</f>
        <v>100</v>
      </c>
      <c r="L561" s="45">
        <f>(I561*Справочник_ОКВЭД_НР!$L$2+J561*Справочник_ОКВЭД_НР!$L$3+K561*Справочник_ОКВЭД_НР!$L$4)*M561</f>
        <v>63.5</v>
      </c>
      <c r="M561" s="47">
        <f>IF(COUNTIF(Справочник_ОКВЭД_НР!$G$3:$G$62,H561)&gt;0,0,1)</f>
        <v>1</v>
      </c>
    </row>
    <row r="562" spans="1:13" x14ac:dyDescent="0.25">
      <c r="A562" s="4">
        <f>ЛИК_дляСкорингаДП!A562</f>
        <v>1042129004906</v>
      </c>
      <c r="B562" s="4">
        <f>ЛИК_дляСкорингаДП!B562</f>
        <v>2129053901</v>
      </c>
      <c r="C562" s="4" t="str">
        <f>ЛИК_дляСкорингаДП!C562</f>
        <v>ООО "НПП БРЕСЛЕР"</v>
      </c>
      <c r="D562" s="5" t="str">
        <f>ЛИК_дляСкорингаДП!M562</f>
        <v>Производство электрической распределительной и регулирующей аппаратуры</v>
      </c>
      <c r="E562" s="4" t="str">
        <f>ЛИК_дляСкорингаДП!L562</f>
        <v>27.12</v>
      </c>
      <c r="F562" t="str">
        <f>ЛИК_дляСкорингаДП!N562</f>
        <v>26.20,26.51,41.2,46.69.5,46.69.9,62.01,62.02,63.11,68.20.2,71.1,71.12.5,71.12.6,71.2,72.19</v>
      </c>
      <c r="G562" s="25" t="str">
        <f>ЛИК_дляСкорингаДП!AG562</f>
        <v>ОСН</v>
      </c>
      <c r="H562" s="55" t="str">
        <f>IF(ISNUMBER(E562),E562,
IFERROR(LEFT(E562,FIND(".",E562)-1),E562))</f>
        <v>27</v>
      </c>
      <c r="I562" s="30">
        <f>IF(COUNTIF(Справочник_ОКВЭД_НР!$A$3:$A$62,H562)&gt;0,Справочник_ОКВЭД_НР!$L$8,
 IF(COUNTIF(Справочник_ОКВЭД_НР!$C$3:$C$62,H562)&gt;0,Справочник_ОКВЭД_НР!$L$9,
  IF(COUNTIF(Справочник_ОКВЭД_НР!$E$3:$E$62,H562)&gt;0,Справочник_ОКВЭД_НР!$L$10,
   IF(COUNTIF(Справочник_ОКВЭД_НР!$G$3:$G$62,H562)&gt;0,Справочник_ОКВЭД_НР!$L$11,50))))</f>
        <v>100</v>
      </c>
      <c r="J562" s="30" cm="1">
        <f t="array" ref="J562">IFERROR(
 (SUMPRODUCT(ISNUMBER(SEARCH(","&amp;Справочник_ОКВЭД_НР!$A$3:$A$62&amp;".",","&amp;SUBSTITUTE(F562," ","")&amp;",")))*Справочник_ОКВЭД_НР!$L$9 +
  SUMPRODUCT(ISNUMBER(SEARCH(","&amp;Справочник_ОКВЭД_НР!$C$3:$C$62&amp;".",","&amp;SUBSTITUTE(F562," ","")&amp;",")))*Справочник_ОКВЭД_НР!$L$10 +
  SUMPRODUCT(ISNUMBER(SEARCH(","&amp;Справочник_ОКВЭД_НР!$E$3:$E$62&amp;".",","&amp;SUBSTITUTE(F562," ","")&amp;",")))*Справочник_ОКВЭД_НР!$L$11 +
  SUMPRODUCT(ISNUMBER(SEARCH(","&amp;Справочник_ОКВЭД_НР!$G$3:$G$62&amp;".",","&amp;SUBSTITUTE(F562," ","")&amp;",")))*Справочник_ОКВЭД_НР!$L$12) /
 (SUMPRODUCT(ISNUMBER(SEARCH(","&amp;Справочник_ОКВЭД_НР!$A$3:$A$62&amp;".",","&amp;SUBSTITUTE(F562," ","")&amp;","))) +
  SUMPRODUCT(ISNUMBER(SEARCH(","&amp;Справочник_ОКВЭД_НР!$C$3:$C$62&amp;".",","&amp;SUBSTITUTE(F562," ","")&amp;","))) +
  SUMPRODUCT(ISNUMBER(SEARCH(","&amp;Справочник_ОКВЭД_НР!$E$3:$E$62&amp;".",","&amp;SUBSTITUTE(F562," ","")&amp;","))) +
  SUMPRODUCT(ISNUMBER(SEARCH(","&amp;Справочник_ОКВЭД_НР!$G$3:$G$62&amp;".",","&amp;SUBSTITUTE(F562," ","")&amp;",")))),
50)</f>
        <v>50</v>
      </c>
      <c r="K562" s="30">
        <f>IFERROR(VLOOKUP(G562,Справочник_ОКВЭД_НР!$O:$P,2,FALSE()),50)</f>
        <v>100</v>
      </c>
      <c r="L562" s="45">
        <f>(I562*Справочник_ОКВЭД_НР!$L$2+J562*Справочник_ОКВЭД_НР!$L$3+K562*Справочник_ОКВЭД_НР!$L$4)*M562</f>
        <v>87.5</v>
      </c>
      <c r="M562" s="47">
        <f>IF(COUNTIF(Справочник_ОКВЭД_НР!$G$3:$G$62,H562)&gt;0,0,1)</f>
        <v>1</v>
      </c>
    </row>
    <row r="563" spans="1:13" x14ac:dyDescent="0.25">
      <c r="A563" s="4">
        <f>ЛИК_дляСкорингаДП!A563</f>
        <v>1042127013422</v>
      </c>
      <c r="B563" s="4">
        <f>ЛИК_дляСкорингаДП!B563</f>
        <v>2127332219</v>
      </c>
      <c r="C563" s="4" t="str">
        <f>ЛИК_дляСкорингаДП!C563</f>
        <v>ЗАО "ЗИСО"</v>
      </c>
      <c r="D563" s="5" t="str">
        <f>ЛИК_дляСкорингаДП!M563</f>
        <v>Производство спортивных товаров</v>
      </c>
      <c r="E563" s="4" t="str">
        <f>ЛИК_дляСкорингаДП!L563</f>
        <v>32.30</v>
      </c>
      <c r="F563" t="str">
        <f>ЛИК_дляСкорингаДП!N563</f>
        <v>25.11,31.01,31.09,46.49,68.20.29,16.23.1,25.62,25.72,31.0,32.30,32.4,41.20,41.20,42.99,43.39,46.18.99,46.49.43,46.90,47.64,52.29,56.29,64.91,70.22,72.19,93.29</v>
      </c>
      <c r="G563" s="25" t="str">
        <f>ЛИК_дляСкорингаДП!AG563</f>
        <v>ОСН</v>
      </c>
      <c r="H563" s="55" t="str">
        <f>IF(ISNUMBER(E563),E563,
IFERROR(LEFT(E563,FIND(".",E563)-1),E563))</f>
        <v>32</v>
      </c>
      <c r="I563" s="30">
        <f>IF(COUNTIF(Справочник_ОКВЭД_НР!$A$3:$A$62,H563)&gt;0,Справочник_ОКВЭД_НР!$L$8,
 IF(COUNTIF(Справочник_ОКВЭД_НР!$C$3:$C$62,H563)&gt;0,Справочник_ОКВЭД_НР!$L$9,
  IF(COUNTIF(Справочник_ОКВЭД_НР!$E$3:$E$62,H563)&gt;0,Справочник_ОКВЭД_НР!$L$10,
   IF(COUNTIF(Справочник_ОКВЭД_НР!$G$3:$G$62,H563)&gt;0,Справочник_ОКВЭД_НР!$L$11,50))))</f>
        <v>30</v>
      </c>
      <c r="J563" s="30" cm="1">
        <f t="array" ref="J563">IFERROR(
 (SUMPRODUCT(ISNUMBER(SEARCH(","&amp;Справочник_ОКВЭД_НР!$A$3:$A$62&amp;".",","&amp;SUBSTITUTE(F563," ","")&amp;",")))*Справочник_ОКВЭД_НР!$L$9 +
  SUMPRODUCT(ISNUMBER(SEARCH(","&amp;Справочник_ОКВЭД_НР!$C$3:$C$62&amp;".",","&amp;SUBSTITUTE(F563," ","")&amp;",")))*Справочник_ОКВЭД_НР!$L$10 +
  SUMPRODUCT(ISNUMBER(SEARCH(","&amp;Справочник_ОКВЭД_НР!$E$3:$E$62&amp;".",","&amp;SUBSTITUTE(F563," ","")&amp;",")))*Справочник_ОКВЭД_НР!$L$11 +
  SUMPRODUCT(ISNUMBER(SEARCH(","&amp;Справочник_ОКВЭД_НР!$G$3:$G$62&amp;".",","&amp;SUBSTITUTE(F563," ","")&amp;",")))*Справочник_ОКВЭД_НР!$L$12) /
 (SUMPRODUCT(ISNUMBER(SEARCH(","&amp;Справочник_ОКВЭД_НР!$A$3:$A$62&amp;".",","&amp;SUBSTITUTE(F563," ","")&amp;","))) +
  SUMPRODUCT(ISNUMBER(SEARCH(","&amp;Справочник_ОКВЭД_НР!$C$3:$C$62&amp;".",","&amp;SUBSTITUTE(F563," ","")&amp;","))) +
  SUMPRODUCT(ISNUMBER(SEARCH(","&amp;Справочник_ОКВЭД_НР!$E$3:$E$62&amp;".",","&amp;SUBSTITUTE(F563," ","")&amp;","))) +
  SUMPRODUCT(ISNUMBER(SEARCH(","&amp;Справочник_ОКВЭД_НР!$G$3:$G$62&amp;".",","&amp;SUBSTITUTE(F563," ","")&amp;",")))),
50)</f>
        <v>50</v>
      </c>
      <c r="K563" s="30">
        <f>IFERROR(VLOOKUP(G563,Справочник_ОКВЭД_НР!$O:$P,2,FALSE()),50)</f>
        <v>100</v>
      </c>
      <c r="L563" s="45">
        <f>(I563*Справочник_ОКВЭД_НР!$L$2+J563*Справочник_ОКВЭД_НР!$L$3+K563*Справочник_ОКВЭД_НР!$L$4)*M563</f>
        <v>45.5</v>
      </c>
      <c r="M563" s="47">
        <f>IF(COUNTIF(Справочник_ОКВЭД_НР!$G$3:$G$62,H563)&gt;0,0,1)</f>
        <v>1</v>
      </c>
    </row>
    <row r="564" spans="1:13" x14ac:dyDescent="0.25">
      <c r="A564" s="4">
        <f>ЛИК_дляСкорингаДП!A564</f>
        <v>1032127016118</v>
      </c>
      <c r="B564" s="4">
        <f>ЛИК_дляСкорингаДП!B564</f>
        <v>2127328445</v>
      </c>
      <c r="C564" s="4" t="str">
        <f>ЛИК_дляСкорингаДП!C564</f>
        <v>ООО "ФИРМА "ЮНОНА-2"</v>
      </c>
      <c r="D564" s="5" t="str">
        <f>ЛИК_дляСкорингаДП!M564</f>
        <v>Торговля оптовая металлами и металлическими рудами</v>
      </c>
      <c r="E564" s="4" t="str">
        <f>ЛИК_дляСкорингаДП!L564</f>
        <v>46.72</v>
      </c>
      <c r="F564" t="str">
        <f>ЛИК_дляСкорингаДП!N564</f>
        <v>25.11,43.11,43.12.3,46.72.21,46.72.22,47.29,52.10,52.10.9,70.22,73.11,82.99</v>
      </c>
      <c r="G564" s="25" t="str">
        <f>ЛИК_дляСкорингаДП!AG564</f>
        <v>ОСН</v>
      </c>
      <c r="H564" s="55" t="str">
        <f>IF(ISNUMBER(E564),E564,
IFERROR(LEFT(E564,FIND(".",E564)-1),E564))</f>
        <v>46</v>
      </c>
      <c r="I564" s="30">
        <f>IF(COUNTIF(Справочник_ОКВЭД_НР!$A$3:$A$62,H564)&gt;0,Справочник_ОКВЭД_НР!$L$8,
 IF(COUNTIF(Справочник_ОКВЭД_НР!$C$3:$C$62,H564)&gt;0,Справочник_ОКВЭД_НР!$L$9,
  IF(COUNTIF(Справочник_ОКВЭД_НР!$E$3:$E$62,H564)&gt;0,Справочник_ОКВЭД_НР!$L$10,
   IF(COUNTIF(Справочник_ОКВЭД_НР!$G$3:$G$62,H564)&gt;0,Справочник_ОКВЭД_НР!$L$11,50))))</f>
        <v>60</v>
      </c>
      <c r="J564" s="30" cm="1">
        <f t="array" ref="J564">IFERROR(
 (SUMPRODUCT(ISNUMBER(SEARCH(","&amp;Справочник_ОКВЭД_НР!$A$3:$A$62&amp;".",","&amp;SUBSTITUTE(F564," ","")&amp;",")))*Справочник_ОКВЭД_НР!$L$9 +
  SUMPRODUCT(ISNUMBER(SEARCH(","&amp;Справочник_ОКВЭД_НР!$C$3:$C$62&amp;".",","&amp;SUBSTITUTE(F564," ","")&amp;",")))*Справочник_ОКВЭД_НР!$L$10 +
  SUMPRODUCT(ISNUMBER(SEARCH(","&amp;Справочник_ОКВЭД_НР!$E$3:$E$62&amp;".",","&amp;SUBSTITUTE(F564," ","")&amp;",")))*Справочник_ОКВЭД_НР!$L$11 +
  SUMPRODUCT(ISNUMBER(SEARCH(","&amp;Справочник_ОКВЭД_НР!$G$3:$G$62&amp;".",","&amp;SUBSTITUTE(F564," ","")&amp;",")))*Справочник_ОКВЭД_НР!$L$12) /
 (SUMPRODUCT(ISNUMBER(SEARCH(","&amp;Справочник_ОКВЭД_НР!$A$3:$A$62&amp;".",","&amp;SUBSTITUTE(F564," ","")&amp;","))) +
  SUMPRODUCT(ISNUMBER(SEARCH(","&amp;Справочник_ОКВЭД_НР!$C$3:$C$62&amp;".",","&amp;SUBSTITUTE(F564," ","")&amp;","))) +
  SUMPRODUCT(ISNUMBER(SEARCH(","&amp;Справочник_ОКВЭД_НР!$E$3:$E$62&amp;".",","&amp;SUBSTITUTE(F564," ","")&amp;","))) +
  SUMPRODUCT(ISNUMBER(SEARCH(","&amp;Справочник_ОКВЭД_НР!$G$3:$G$62&amp;".",","&amp;SUBSTITUTE(F564," ","")&amp;",")))),
50)</f>
        <v>50</v>
      </c>
      <c r="K564" s="30">
        <f>IFERROR(VLOOKUP(G564,Справочник_ОКВЭД_НР!$O:$P,2,FALSE()),50)</f>
        <v>100</v>
      </c>
      <c r="L564" s="45">
        <f>(I564*Справочник_ОКВЭД_НР!$L$2+J564*Справочник_ОКВЭД_НР!$L$3+K564*Справочник_ОКВЭД_НР!$L$4)*M564</f>
        <v>63.5</v>
      </c>
      <c r="M564" s="47">
        <f>IF(COUNTIF(Справочник_ОКВЭД_НР!$G$3:$G$62,H564)&gt;0,0,1)</f>
        <v>1</v>
      </c>
    </row>
    <row r="565" spans="1:13" x14ac:dyDescent="0.25">
      <c r="A565" s="4">
        <f>ЛИК_дляСкорингаДП!A565</f>
        <v>1032129014653</v>
      </c>
      <c r="B565" s="4">
        <f>ЛИК_дляСкорингаДП!B565</f>
        <v>2129052369</v>
      </c>
      <c r="C565" s="4" t="str">
        <f>ЛИК_дляСкорингаДП!C565</f>
        <v>ООО "КС"</v>
      </c>
      <c r="D565" s="5" t="str">
        <f>ЛИК_дляСкорингаДП!M565</f>
        <v>Разработка компьютерного программного обеспечения</v>
      </c>
      <c r="E565" s="4" t="str">
        <f>ЛИК_дляСкорингаДП!L565</f>
        <v>62.01</v>
      </c>
      <c r="F565" t="str">
        <f>ЛИК_дляСкорингаДП!N565</f>
        <v>58.29,62.02,62.09,63.11,63.11.1,68.20</v>
      </c>
      <c r="G565" s="25" t="str">
        <f>ЛИК_дляСкорингаДП!AG565</f>
        <v>ОСН</v>
      </c>
      <c r="H565" s="55" t="str">
        <f>IF(ISNUMBER(E565),E565,
IFERROR(LEFT(E565,FIND(".",E565)-1),E565))</f>
        <v>62</v>
      </c>
      <c r="I565" s="30">
        <f>IF(COUNTIF(Справочник_ОКВЭД_НР!$A$3:$A$62,H565)&gt;0,Справочник_ОКВЭД_НР!$L$8,
 IF(COUNTIF(Справочник_ОКВЭД_НР!$C$3:$C$62,H565)&gt;0,Справочник_ОКВЭД_НР!$L$9,
  IF(COUNTIF(Справочник_ОКВЭД_НР!$E$3:$E$62,H565)&gt;0,Справочник_ОКВЭД_НР!$L$10,
   IF(COUNTIF(Справочник_ОКВЭД_НР!$G$3:$G$62,H565)&gt;0,Справочник_ОКВЭД_НР!$L$11,50))))</f>
        <v>100</v>
      </c>
      <c r="J565" s="30" cm="1">
        <f t="array" ref="J565">IFERROR(
 (SUMPRODUCT(ISNUMBER(SEARCH(","&amp;Справочник_ОКВЭД_НР!$A$3:$A$62&amp;".",","&amp;SUBSTITUTE(F565," ","")&amp;",")))*Справочник_ОКВЭД_НР!$L$9 +
  SUMPRODUCT(ISNUMBER(SEARCH(","&amp;Справочник_ОКВЭД_НР!$C$3:$C$62&amp;".",","&amp;SUBSTITUTE(F565," ","")&amp;",")))*Справочник_ОКВЭД_НР!$L$10 +
  SUMPRODUCT(ISNUMBER(SEARCH(","&amp;Справочник_ОКВЭД_НР!$E$3:$E$62&amp;".",","&amp;SUBSTITUTE(F565," ","")&amp;",")))*Справочник_ОКВЭД_НР!$L$11 +
  SUMPRODUCT(ISNUMBER(SEARCH(","&amp;Справочник_ОКВЭД_НР!$G$3:$G$62&amp;".",","&amp;SUBSTITUTE(F565," ","")&amp;",")))*Справочник_ОКВЭД_НР!$L$12) /
 (SUMPRODUCT(ISNUMBER(SEARCH(","&amp;Справочник_ОКВЭД_НР!$A$3:$A$62&amp;".",","&amp;SUBSTITUTE(F565," ","")&amp;","))) +
  SUMPRODUCT(ISNUMBER(SEARCH(","&amp;Справочник_ОКВЭД_НР!$C$3:$C$62&amp;".",","&amp;SUBSTITUTE(F565," ","")&amp;","))) +
  SUMPRODUCT(ISNUMBER(SEARCH(","&amp;Справочник_ОКВЭД_НР!$E$3:$E$62&amp;".",","&amp;SUBSTITUTE(F565," ","")&amp;","))) +
  SUMPRODUCT(ISNUMBER(SEARCH(","&amp;Справочник_ОКВЭД_НР!$G$3:$G$62&amp;".",","&amp;SUBSTITUTE(F565," ","")&amp;",")))),
50)</f>
        <v>50</v>
      </c>
      <c r="K565" s="30">
        <f>IFERROR(VLOOKUP(G565,Справочник_ОКВЭД_НР!$O:$P,2,FALSE()),50)</f>
        <v>100</v>
      </c>
      <c r="L565" s="45">
        <f>(I565*Справочник_ОКВЭД_НР!$L$2+J565*Справочник_ОКВЭД_НР!$L$3+K565*Справочник_ОКВЭД_НР!$L$4)*M565</f>
        <v>87.5</v>
      </c>
      <c r="M565" s="47">
        <f>IF(COUNTIF(Справочник_ОКВЭД_НР!$G$3:$G$62,H565)&gt;0,0,1)</f>
        <v>1</v>
      </c>
    </row>
    <row r="566" spans="1:13" x14ac:dyDescent="0.25">
      <c r="A566" s="4">
        <f>ЛИК_дляСкорингаДП!A566</f>
        <v>1032128012267</v>
      </c>
      <c r="B566" s="4">
        <f>ЛИК_дляСкорингаДП!B566</f>
        <v>2128050753</v>
      </c>
      <c r="C566" s="4" t="str">
        <f>ЛИК_дляСкорингаДП!C566</f>
        <v>ООО "КС"</v>
      </c>
      <c r="D566" s="5" t="str">
        <f>ЛИК_дляСкорингаДП!M566</f>
        <v>Разработка компьютерного программного обеспечения</v>
      </c>
      <c r="E566" s="4" t="str">
        <f>ЛИК_дляСкорингаДП!L566</f>
        <v>62.01</v>
      </c>
      <c r="F566" t="str">
        <f>ЛИК_дляСкорингаДП!N566</f>
        <v>68.20.29,58.29,62.01,62.02,62.09,63.11,63.11.1,68.20,68.20.2,72.19,73.11,85.42.9,95.11</v>
      </c>
      <c r="G566" s="25" t="str">
        <f>ЛИК_дляСкорингаДП!AG566</f>
        <v>ОСН</v>
      </c>
      <c r="H566" s="55" t="str">
        <f>IF(ISNUMBER(E566),E566,
IFERROR(LEFT(E566,FIND(".",E566)-1),E566))</f>
        <v>62</v>
      </c>
      <c r="I566" s="30">
        <f>IF(COUNTIF(Справочник_ОКВЭД_НР!$A$3:$A$62,H566)&gt;0,Справочник_ОКВЭД_НР!$L$8,
 IF(COUNTIF(Справочник_ОКВЭД_НР!$C$3:$C$62,H566)&gt;0,Справочник_ОКВЭД_НР!$L$9,
  IF(COUNTIF(Справочник_ОКВЭД_НР!$E$3:$E$62,H566)&gt;0,Справочник_ОКВЭД_НР!$L$10,
   IF(COUNTIF(Справочник_ОКВЭД_НР!$G$3:$G$62,H566)&gt;0,Справочник_ОКВЭД_НР!$L$11,50))))</f>
        <v>100</v>
      </c>
      <c r="J566" s="30" cm="1">
        <f t="array" ref="J566">IFERROR(
 (SUMPRODUCT(ISNUMBER(SEARCH(","&amp;Справочник_ОКВЭД_НР!$A$3:$A$62&amp;".",","&amp;SUBSTITUTE(F566," ","")&amp;",")))*Справочник_ОКВЭД_НР!$L$9 +
  SUMPRODUCT(ISNUMBER(SEARCH(","&amp;Справочник_ОКВЭД_НР!$C$3:$C$62&amp;".",","&amp;SUBSTITUTE(F566," ","")&amp;",")))*Справочник_ОКВЭД_НР!$L$10 +
  SUMPRODUCT(ISNUMBER(SEARCH(","&amp;Справочник_ОКВЭД_НР!$E$3:$E$62&amp;".",","&amp;SUBSTITUTE(F566," ","")&amp;",")))*Справочник_ОКВЭД_НР!$L$11 +
  SUMPRODUCT(ISNUMBER(SEARCH(","&amp;Справочник_ОКВЭД_НР!$G$3:$G$62&amp;".",","&amp;SUBSTITUTE(F566," ","")&amp;",")))*Справочник_ОКВЭД_НР!$L$12) /
 (SUMPRODUCT(ISNUMBER(SEARCH(","&amp;Справочник_ОКВЭД_НР!$A$3:$A$62&amp;".",","&amp;SUBSTITUTE(F566," ","")&amp;","))) +
  SUMPRODUCT(ISNUMBER(SEARCH(","&amp;Справочник_ОКВЭД_НР!$C$3:$C$62&amp;".",","&amp;SUBSTITUTE(F566," ","")&amp;","))) +
  SUMPRODUCT(ISNUMBER(SEARCH(","&amp;Справочник_ОКВЭД_НР!$E$3:$E$62&amp;".",","&amp;SUBSTITUTE(F566," ","")&amp;","))) +
  SUMPRODUCT(ISNUMBER(SEARCH(","&amp;Справочник_ОКВЭД_НР!$G$3:$G$62&amp;".",","&amp;SUBSTITUTE(F566," ","")&amp;",")))),
50)</f>
        <v>50</v>
      </c>
      <c r="K566" s="30">
        <f>IFERROR(VLOOKUP(G566,Справочник_ОКВЭД_НР!$O:$P,2,FALSE()),50)</f>
        <v>100</v>
      </c>
      <c r="L566" s="45">
        <f>(I566*Справочник_ОКВЭД_НР!$L$2+J566*Справочник_ОКВЭД_НР!$L$3+K566*Справочник_ОКВЭД_НР!$L$4)*M566</f>
        <v>87.5</v>
      </c>
      <c r="M566" s="47">
        <f>IF(COUNTIF(Справочник_ОКВЭД_НР!$G$3:$G$62,H566)&gt;0,0,1)</f>
        <v>1</v>
      </c>
    </row>
    <row r="567" spans="1:13" x14ac:dyDescent="0.25">
      <c r="A567" s="4">
        <f>ЛИК_дляСкорингаДП!A567</f>
        <v>1062130009457</v>
      </c>
      <c r="B567" s="4">
        <f>ЛИК_дляСкорингаДП!B567</f>
        <v>2130006582</v>
      </c>
      <c r="C567" s="4" t="str">
        <f>ЛИК_дляСкорингаДП!C567</f>
        <v>ООО "АВТОСНАБ"</v>
      </c>
      <c r="D567" s="5" t="str">
        <f>ЛИК_дляСкорингаДП!M567</f>
        <v>Торговля автомобильными деталями, узлами и принадлежностями</v>
      </c>
      <c r="E567" s="4" t="str">
        <f>ЛИК_дляСкорингаДП!L567</f>
        <v>45.3</v>
      </c>
      <c r="F567" t="str">
        <f>ЛИК_дляСкорингаДП!N567</f>
        <v>45.2,46.4,46.73,46.9,47.7,47.9,49.4,52.10,52.29</v>
      </c>
      <c r="G567" s="25" t="str">
        <f>ЛИК_дляСкорингаДП!AG567</f>
        <v>ОСН</v>
      </c>
      <c r="H567" s="55" t="str">
        <f>IF(ISNUMBER(E567),E567,
IFERROR(LEFT(E567,FIND(".",E567)-1),E567))</f>
        <v>45</v>
      </c>
      <c r="I567" s="30">
        <f>IF(COUNTIF(Справочник_ОКВЭД_НР!$A$3:$A$62,H567)&gt;0,Справочник_ОКВЭД_НР!$L$8,
 IF(COUNTIF(Справочник_ОКВЭД_НР!$C$3:$C$62,H567)&gt;0,Справочник_ОКВЭД_НР!$L$9,
  IF(COUNTIF(Справочник_ОКВЭД_НР!$E$3:$E$62,H567)&gt;0,Справочник_ОКВЭД_НР!$L$10,
   IF(COUNTIF(Справочник_ОКВЭД_НР!$G$3:$G$62,H567)&gt;0,Справочник_ОКВЭД_НР!$L$11,50))))</f>
        <v>60</v>
      </c>
      <c r="J567" s="30" cm="1">
        <f t="array" ref="J567">IFERROR(
 (SUMPRODUCT(ISNUMBER(SEARCH(","&amp;Справочник_ОКВЭД_НР!$A$3:$A$62&amp;".",","&amp;SUBSTITUTE(F567," ","")&amp;",")))*Справочник_ОКВЭД_НР!$L$9 +
  SUMPRODUCT(ISNUMBER(SEARCH(","&amp;Справочник_ОКВЭД_НР!$C$3:$C$62&amp;".",","&amp;SUBSTITUTE(F567," ","")&amp;",")))*Справочник_ОКВЭД_НР!$L$10 +
  SUMPRODUCT(ISNUMBER(SEARCH(","&amp;Справочник_ОКВЭД_НР!$E$3:$E$62&amp;".",","&amp;SUBSTITUTE(F567," ","")&amp;",")))*Справочник_ОКВЭД_НР!$L$11 +
  SUMPRODUCT(ISNUMBER(SEARCH(","&amp;Справочник_ОКВЭД_НР!$G$3:$G$62&amp;".",","&amp;SUBSTITUTE(F567," ","")&amp;",")))*Справочник_ОКВЭД_НР!$L$12) /
 (SUMPRODUCT(ISNUMBER(SEARCH(","&amp;Справочник_ОКВЭД_НР!$A$3:$A$62&amp;".",","&amp;SUBSTITUTE(F567," ","")&amp;","))) +
  SUMPRODUCT(ISNUMBER(SEARCH(","&amp;Справочник_ОКВЭД_НР!$C$3:$C$62&amp;".",","&amp;SUBSTITUTE(F567," ","")&amp;","))) +
  SUMPRODUCT(ISNUMBER(SEARCH(","&amp;Справочник_ОКВЭД_НР!$E$3:$E$62&amp;".",","&amp;SUBSTITUTE(F567," ","")&amp;","))) +
  SUMPRODUCT(ISNUMBER(SEARCH(","&amp;Справочник_ОКВЭД_НР!$G$3:$G$62&amp;".",","&amp;SUBSTITUTE(F567," ","")&amp;",")))),
50)</f>
        <v>50</v>
      </c>
      <c r="K567" s="30">
        <f>IFERROR(VLOOKUP(G567,Справочник_ОКВЭД_НР!$O:$P,2,FALSE()),50)</f>
        <v>100</v>
      </c>
      <c r="L567" s="45">
        <f>(I567*Справочник_ОКВЭД_НР!$L$2+J567*Справочник_ОКВЭД_НР!$L$3+K567*Справочник_ОКВЭД_НР!$L$4)*M567</f>
        <v>63.5</v>
      </c>
      <c r="M567" s="47">
        <f>IF(COUNTIF(Справочник_ОКВЭД_НР!$G$3:$G$62,H567)&gt;0,0,1)</f>
        <v>1</v>
      </c>
    </row>
    <row r="568" spans="1:13" x14ac:dyDescent="0.25">
      <c r="A568" s="4">
        <f>ЛИК_дляСкорингаДП!A568</f>
        <v>1052134004295</v>
      </c>
      <c r="B568" s="4">
        <f>ЛИК_дляСкорингаДП!B568</f>
        <v>2123010429</v>
      </c>
      <c r="C568" s="4" t="str">
        <f>ЛИК_дляСкорингаДП!C568</f>
        <v>ООО "КАНМАШ ДСО"</v>
      </c>
      <c r="D568" s="5" t="str">
        <f>ЛИК_дляСкорингаДП!M568</f>
        <v>Производство машин и оборудования для добычи полезных ископаемых и строительства</v>
      </c>
      <c r="E568" s="4" t="str">
        <f>ЛИК_дляСкорингаДП!L568</f>
        <v>28.92</v>
      </c>
      <c r="F568" t="str">
        <f>ЛИК_дляСкорингаДП!N568</f>
        <v>27.12,28.15.2,33.12,33.14,33.20,43.21,71.12.12</v>
      </c>
      <c r="G568" s="25" t="str">
        <f>ЛИК_дляСкорингаДП!AG568</f>
        <v>ОСН</v>
      </c>
      <c r="H568" s="55" t="str">
        <f>IF(ISNUMBER(E568),E568,
IFERROR(LEFT(E568,FIND(".",E568)-1),E568))</f>
        <v>28</v>
      </c>
      <c r="I568" s="30">
        <f>IF(COUNTIF(Справочник_ОКВЭД_НР!$A$3:$A$62,H568)&gt;0,Справочник_ОКВЭД_НР!$L$8,
 IF(COUNTIF(Справочник_ОКВЭД_НР!$C$3:$C$62,H568)&gt;0,Справочник_ОКВЭД_НР!$L$9,
  IF(COUNTIF(Справочник_ОКВЭД_НР!$E$3:$E$62,H568)&gt;0,Справочник_ОКВЭД_НР!$L$10,
   IF(COUNTIF(Справочник_ОКВЭД_НР!$G$3:$G$62,H568)&gt;0,Справочник_ОКВЭД_НР!$L$11,50))))</f>
        <v>60</v>
      </c>
      <c r="J568" s="30" cm="1">
        <f t="array" ref="J568">IFERROR(
 (SUMPRODUCT(ISNUMBER(SEARCH(","&amp;Справочник_ОКВЭД_НР!$A$3:$A$62&amp;".",","&amp;SUBSTITUTE(F568," ","")&amp;",")))*Справочник_ОКВЭД_НР!$L$9 +
  SUMPRODUCT(ISNUMBER(SEARCH(","&amp;Справочник_ОКВЭД_НР!$C$3:$C$62&amp;".",","&amp;SUBSTITUTE(F568," ","")&amp;",")))*Справочник_ОКВЭД_НР!$L$10 +
  SUMPRODUCT(ISNUMBER(SEARCH(","&amp;Справочник_ОКВЭД_НР!$E$3:$E$62&amp;".",","&amp;SUBSTITUTE(F568," ","")&amp;",")))*Справочник_ОКВЭД_НР!$L$11 +
  SUMPRODUCT(ISNUMBER(SEARCH(","&amp;Справочник_ОКВЭД_НР!$G$3:$G$62&amp;".",","&amp;SUBSTITUTE(F568," ","")&amp;",")))*Справочник_ОКВЭД_НР!$L$12) /
 (SUMPRODUCT(ISNUMBER(SEARCH(","&amp;Справочник_ОКВЭД_НР!$A$3:$A$62&amp;".",","&amp;SUBSTITUTE(F568," ","")&amp;","))) +
  SUMPRODUCT(ISNUMBER(SEARCH(","&amp;Справочник_ОКВЭД_НР!$C$3:$C$62&amp;".",","&amp;SUBSTITUTE(F568," ","")&amp;","))) +
  SUMPRODUCT(ISNUMBER(SEARCH(","&amp;Справочник_ОКВЭД_НР!$E$3:$E$62&amp;".",","&amp;SUBSTITUTE(F568," ","")&amp;","))) +
  SUMPRODUCT(ISNUMBER(SEARCH(","&amp;Справочник_ОКВЭД_НР!$G$3:$G$62&amp;".",","&amp;SUBSTITUTE(F568," ","")&amp;",")))),
50)</f>
        <v>50</v>
      </c>
      <c r="K568" s="30">
        <f>IFERROR(VLOOKUP(G568,Справочник_ОКВЭД_НР!$O:$P,2,FALSE()),50)</f>
        <v>100</v>
      </c>
      <c r="L568" s="45">
        <f>(I568*Справочник_ОКВЭД_НР!$L$2+J568*Справочник_ОКВЭД_НР!$L$3+K568*Справочник_ОКВЭД_НР!$L$4)*M568</f>
        <v>63.5</v>
      </c>
      <c r="M568" s="47">
        <f>IF(COUNTIF(Справочник_ОКВЭД_НР!$G$3:$G$62,H568)&gt;0,0,1)</f>
        <v>1</v>
      </c>
    </row>
    <row r="569" spans="1:13" x14ac:dyDescent="0.25">
      <c r="A569" s="4">
        <f>ЛИК_дляСкорингаДП!A569</f>
        <v>1092130007265</v>
      </c>
      <c r="B569" s="4">
        <f>ЛИК_дляСкорингаДП!B569</f>
        <v>2130059640</v>
      </c>
      <c r="C569" s="4" t="str">
        <f>ЛИК_дляСкорингаДП!C569</f>
        <v>ООО "ВСК"</v>
      </c>
      <c r="D569" s="5" t="str">
        <f>ЛИК_дляСкорингаДП!M569</f>
        <v>Работы по монтажу стальных строительных конструкций</v>
      </c>
      <c r="E569" s="4" t="str">
        <f>ЛИК_дляСкорингаДП!L569</f>
        <v>43.99.5</v>
      </c>
      <c r="F569" t="str">
        <f>ЛИК_дляСкорингаДП!N569</f>
        <v>22.21.9,25.11,25.11,25.12,41.20,42.99,43.99.5,71.1,71.11.1,71.12.45,71.12.5,71.12.6</v>
      </c>
      <c r="G569" s="25" t="str">
        <f>ЛИК_дляСкорингаДП!AG569</f>
        <v>ОСН</v>
      </c>
      <c r="H569" s="55" t="str">
        <f>IF(ISNUMBER(E569),E569,
IFERROR(LEFT(E569,FIND(".",E569)-1),E569))</f>
        <v>43</v>
      </c>
      <c r="I569" s="30">
        <f>IF(COUNTIF(Справочник_ОКВЭД_НР!$A$3:$A$62,H569)&gt;0,Справочник_ОКВЭД_НР!$L$8,
 IF(COUNTIF(Справочник_ОКВЭД_НР!$C$3:$C$62,H569)&gt;0,Справочник_ОКВЭД_НР!$L$9,
  IF(COUNTIF(Справочник_ОКВЭД_НР!$E$3:$E$62,H569)&gt;0,Справочник_ОКВЭД_НР!$L$10,
   IF(COUNTIF(Справочник_ОКВЭД_НР!$G$3:$G$62,H569)&gt;0,Справочник_ОКВЭД_НР!$L$11,50))))</f>
        <v>100</v>
      </c>
      <c r="J569" s="30" cm="1">
        <f t="array" ref="J569">IFERROR(
 (SUMPRODUCT(ISNUMBER(SEARCH(","&amp;Справочник_ОКВЭД_НР!$A$3:$A$62&amp;".",","&amp;SUBSTITUTE(F569," ","")&amp;",")))*Справочник_ОКВЭД_НР!$L$9 +
  SUMPRODUCT(ISNUMBER(SEARCH(","&amp;Справочник_ОКВЭД_НР!$C$3:$C$62&amp;".",","&amp;SUBSTITUTE(F569," ","")&amp;",")))*Справочник_ОКВЭД_НР!$L$10 +
  SUMPRODUCT(ISNUMBER(SEARCH(","&amp;Справочник_ОКВЭД_НР!$E$3:$E$62&amp;".",","&amp;SUBSTITUTE(F569," ","")&amp;",")))*Справочник_ОКВЭД_НР!$L$11 +
  SUMPRODUCT(ISNUMBER(SEARCH(","&amp;Справочник_ОКВЭД_НР!$G$3:$G$62&amp;".",","&amp;SUBSTITUTE(F569," ","")&amp;",")))*Справочник_ОКВЭД_НР!$L$12) /
 (SUMPRODUCT(ISNUMBER(SEARCH(","&amp;Справочник_ОКВЭД_НР!$A$3:$A$62&amp;".",","&amp;SUBSTITUTE(F569," ","")&amp;","))) +
  SUMPRODUCT(ISNUMBER(SEARCH(","&amp;Справочник_ОКВЭД_НР!$C$3:$C$62&amp;".",","&amp;SUBSTITUTE(F569," ","")&amp;","))) +
  SUMPRODUCT(ISNUMBER(SEARCH(","&amp;Справочник_ОКВЭД_НР!$E$3:$E$62&amp;".",","&amp;SUBSTITUTE(F569," ","")&amp;","))) +
  SUMPRODUCT(ISNUMBER(SEARCH(","&amp;Справочник_ОКВЭД_НР!$G$3:$G$62&amp;".",","&amp;SUBSTITUTE(F569," ","")&amp;",")))),
50)</f>
        <v>50</v>
      </c>
      <c r="K569" s="30">
        <f>IFERROR(VLOOKUP(G569,Справочник_ОКВЭД_НР!$O:$P,2,FALSE()),50)</f>
        <v>100</v>
      </c>
      <c r="L569" s="45">
        <f>(I569*Справочник_ОКВЭД_НР!$L$2+J569*Справочник_ОКВЭД_НР!$L$3+K569*Справочник_ОКВЭД_НР!$L$4)*M569</f>
        <v>87.5</v>
      </c>
      <c r="M569" s="47">
        <f>IF(COUNTIF(Справочник_ОКВЭД_НР!$G$3:$G$62,H569)&gt;0,0,1)</f>
        <v>1</v>
      </c>
    </row>
    <row r="570" spans="1:13" x14ac:dyDescent="0.25">
      <c r="A570" s="4">
        <f>ЛИК_дляСкорингаДП!A570</f>
        <v>1132130004269</v>
      </c>
      <c r="B570" s="4">
        <f>ЛИК_дляСкорингаДП!B570</f>
        <v>2130117532</v>
      </c>
      <c r="C570" s="4" t="str">
        <f>ЛИК_дляСкорингаДП!C570</f>
        <v>ООО "ТЕХНОПАРК БРЕСЛЕР"</v>
      </c>
      <c r="D570" s="5" t="str">
        <f>ЛИК_дляСкорингаДП!M570</f>
        <v>Аренда и управление собственным или арендованным нежилым недвижимым имуществом</v>
      </c>
      <c r="E570" s="4" t="str">
        <f>ЛИК_дляСкорингаДП!L570</f>
        <v>68.20.2</v>
      </c>
      <c r="F570" t="str">
        <f>ЛИК_дляСкорингаДП!N570</f>
        <v>33.14,33.19,33.20,43.21,43.29,46.52,46.69.5,46.69.9,56.10.1,56.21,56.29,56.29.2,56.30,68.10,68.31,68.32,69.10,69.20,69.20.3,70.22,72.20,77.11,77.33.1,77.33.2,77.39.29,81.21,81.22,82.11</v>
      </c>
      <c r="G570" s="25" t="str">
        <f>ЛИК_дляСкорингаДП!AG570</f>
        <v>ОСН</v>
      </c>
      <c r="H570" s="55" t="str">
        <f>IF(ISNUMBER(E570),E570,
IFERROR(LEFT(E570,FIND(".",E570)-1),E570))</f>
        <v>68</v>
      </c>
      <c r="I570" s="30">
        <f>IF(COUNTIF(Справочник_ОКВЭД_НР!$A$3:$A$62,H570)&gt;0,Справочник_ОКВЭД_НР!$L$8,
 IF(COUNTIF(Справочник_ОКВЭД_НР!$C$3:$C$62,H570)&gt;0,Справочник_ОКВЭД_НР!$L$9,
  IF(COUNTIF(Справочник_ОКВЭД_НР!$E$3:$E$62,H570)&gt;0,Справочник_ОКВЭД_НР!$L$10,
   IF(COUNTIF(Справочник_ОКВЭД_НР!$G$3:$G$62,H570)&gt;0,Справочник_ОКВЭД_НР!$L$11,50))))</f>
        <v>100</v>
      </c>
      <c r="J570" s="30" cm="1">
        <f t="array" ref="J570">IFERROR(
 (SUMPRODUCT(ISNUMBER(SEARCH(","&amp;Справочник_ОКВЭД_НР!$A$3:$A$62&amp;".",","&amp;SUBSTITUTE(F570," ","")&amp;",")))*Справочник_ОКВЭД_НР!$L$9 +
  SUMPRODUCT(ISNUMBER(SEARCH(","&amp;Справочник_ОКВЭД_НР!$C$3:$C$62&amp;".",","&amp;SUBSTITUTE(F570," ","")&amp;",")))*Справочник_ОКВЭД_НР!$L$10 +
  SUMPRODUCT(ISNUMBER(SEARCH(","&amp;Справочник_ОКВЭД_НР!$E$3:$E$62&amp;".",","&amp;SUBSTITUTE(F570," ","")&amp;",")))*Справочник_ОКВЭД_НР!$L$11 +
  SUMPRODUCT(ISNUMBER(SEARCH(","&amp;Справочник_ОКВЭД_НР!$G$3:$G$62&amp;".",","&amp;SUBSTITUTE(F570," ","")&amp;",")))*Справочник_ОКВЭД_НР!$L$12) /
 (SUMPRODUCT(ISNUMBER(SEARCH(","&amp;Справочник_ОКВЭД_НР!$A$3:$A$62&amp;".",","&amp;SUBSTITUTE(F570," ","")&amp;","))) +
  SUMPRODUCT(ISNUMBER(SEARCH(","&amp;Справочник_ОКВЭД_НР!$C$3:$C$62&amp;".",","&amp;SUBSTITUTE(F570," ","")&amp;","))) +
  SUMPRODUCT(ISNUMBER(SEARCH(","&amp;Справочник_ОКВЭД_НР!$E$3:$E$62&amp;".",","&amp;SUBSTITUTE(F570," ","")&amp;","))) +
  SUMPRODUCT(ISNUMBER(SEARCH(","&amp;Справочник_ОКВЭД_НР!$G$3:$G$62&amp;".",","&amp;SUBSTITUTE(F570," ","")&amp;",")))),
50)</f>
        <v>50</v>
      </c>
      <c r="K570" s="30">
        <f>IFERROR(VLOOKUP(G570,Справочник_ОКВЭД_НР!$O:$P,2,FALSE()),50)</f>
        <v>100</v>
      </c>
      <c r="L570" s="45">
        <f>(I570*Справочник_ОКВЭД_НР!$L$2+J570*Справочник_ОКВЭД_НР!$L$3+K570*Справочник_ОКВЭД_НР!$L$4)*M570</f>
        <v>87.5</v>
      </c>
      <c r="M570" s="47">
        <f>IF(COUNTIF(Справочник_ОКВЭД_НР!$G$3:$G$62,H570)&gt;0,0,1)</f>
        <v>1</v>
      </c>
    </row>
    <row r="571" spans="1:13" x14ac:dyDescent="0.25">
      <c r="A571" s="4">
        <f>ЛИК_дляСкорингаДП!A571</f>
        <v>1182130000590</v>
      </c>
      <c r="B571" s="4">
        <f>ЛИК_дляСкорингаДП!B571</f>
        <v>2130197129</v>
      </c>
      <c r="C571" s="4" t="str">
        <f>ЛИК_дляСкорингаДП!C571</f>
        <v>ООО "ЭН-ФАРМ"</v>
      </c>
      <c r="D571" s="5" t="str">
        <f>ЛИК_дляСкорингаДП!M571</f>
        <v>Торговля оптовая фармацевтической продукцией</v>
      </c>
      <c r="E571" s="4" t="str">
        <f>ЛИК_дляСкорингаДП!L571</f>
        <v>46.46</v>
      </c>
      <c r="F571" t="str">
        <f>ЛИК_дляСкорингаДП!N571</f>
        <v>46.46,69.10,69.20</v>
      </c>
      <c r="G571" s="25" t="str">
        <f>ЛИК_дляСкорингаДП!AG571</f>
        <v>ОСН</v>
      </c>
      <c r="H571" s="55" t="str">
        <f>IF(ISNUMBER(E571),E571,
IFERROR(LEFT(E571,FIND(".",E571)-1),E571))</f>
        <v>46</v>
      </c>
      <c r="I571" s="30">
        <f>IF(COUNTIF(Справочник_ОКВЭД_НР!$A$3:$A$62,H571)&gt;0,Справочник_ОКВЭД_НР!$L$8,
 IF(COUNTIF(Справочник_ОКВЭД_НР!$C$3:$C$62,H571)&gt;0,Справочник_ОКВЭД_НР!$L$9,
  IF(COUNTIF(Справочник_ОКВЭД_НР!$E$3:$E$62,H571)&gt;0,Справочник_ОКВЭД_НР!$L$10,
   IF(COUNTIF(Справочник_ОКВЭД_НР!$G$3:$G$62,H571)&gt;0,Справочник_ОКВЭД_НР!$L$11,50))))</f>
        <v>60</v>
      </c>
      <c r="J571" s="30" cm="1">
        <f t="array" ref="J571">IFERROR(
 (SUMPRODUCT(ISNUMBER(SEARCH(","&amp;Справочник_ОКВЭД_НР!$A$3:$A$62&amp;".",","&amp;SUBSTITUTE(F571," ","")&amp;",")))*Справочник_ОКВЭД_НР!$L$9 +
  SUMPRODUCT(ISNUMBER(SEARCH(","&amp;Справочник_ОКВЭД_НР!$C$3:$C$62&amp;".",","&amp;SUBSTITUTE(F571," ","")&amp;",")))*Справочник_ОКВЭД_НР!$L$10 +
  SUMPRODUCT(ISNUMBER(SEARCH(","&amp;Справочник_ОКВЭД_НР!$E$3:$E$62&amp;".",","&amp;SUBSTITUTE(F571," ","")&amp;",")))*Справочник_ОКВЭД_НР!$L$11 +
  SUMPRODUCT(ISNUMBER(SEARCH(","&amp;Справочник_ОКВЭД_НР!$G$3:$G$62&amp;".",","&amp;SUBSTITUTE(F571," ","")&amp;",")))*Справочник_ОКВЭД_НР!$L$12) /
 (SUMPRODUCT(ISNUMBER(SEARCH(","&amp;Справочник_ОКВЭД_НР!$A$3:$A$62&amp;".",","&amp;SUBSTITUTE(F571," ","")&amp;","))) +
  SUMPRODUCT(ISNUMBER(SEARCH(","&amp;Справочник_ОКВЭД_НР!$C$3:$C$62&amp;".",","&amp;SUBSTITUTE(F571," ","")&amp;","))) +
  SUMPRODUCT(ISNUMBER(SEARCH(","&amp;Справочник_ОКВЭД_НР!$E$3:$E$62&amp;".",","&amp;SUBSTITUTE(F571," ","")&amp;","))) +
  SUMPRODUCT(ISNUMBER(SEARCH(","&amp;Справочник_ОКВЭД_НР!$G$3:$G$62&amp;".",","&amp;SUBSTITUTE(F571," ","")&amp;",")))),
50)</f>
        <v>50</v>
      </c>
      <c r="K571" s="30">
        <f>IFERROR(VLOOKUP(G571,Справочник_ОКВЭД_НР!$O:$P,2,FALSE()),50)</f>
        <v>100</v>
      </c>
      <c r="L571" s="45">
        <f>(I571*Справочник_ОКВЭД_НР!$L$2+J571*Справочник_ОКВЭД_НР!$L$3+K571*Справочник_ОКВЭД_НР!$L$4)*M571</f>
        <v>63.5</v>
      </c>
      <c r="M571" s="47">
        <f>IF(COUNTIF(Справочник_ОКВЭД_НР!$G$3:$G$62,H571)&gt;0,0,1)</f>
        <v>1</v>
      </c>
    </row>
    <row r="572" spans="1:13" x14ac:dyDescent="0.25">
      <c r="A572" s="4">
        <f>ЛИК_дляСкорингаДП!A572</f>
        <v>1172130012944</v>
      </c>
      <c r="B572" s="4">
        <f>ЛИК_дляСкорингаДП!B572</f>
        <v>2123019372</v>
      </c>
      <c r="C572" s="4" t="str">
        <f>ЛИК_дляСкорингаДП!C572</f>
        <v>ООО "СЦ "КАНМАШ"</v>
      </c>
      <c r="D572" s="5" t="str">
        <f>ЛИК_дляСкорингаДП!M572</f>
        <v>Производство машин и оборудования для добычи полезных ископаемых и строительства</v>
      </c>
      <c r="E572" s="4" t="str">
        <f>ЛИК_дляСкорингаДП!L572</f>
        <v>28.92</v>
      </c>
      <c r="F572" t="str">
        <f>ЛИК_дляСкорингаДП!N572</f>
        <v>27.12,28.15.2,28.22,28.30.3,33.12,33.13,33.14,33.19,33.20,43.21,43.22,43.29,43.31,43.32,43.33,43.34,43.91,43.99,46.14.9,46.61,46.63,49.41,49.41.2,49.41.3,49.42,71.12.12</v>
      </c>
      <c r="G572" s="25" t="str">
        <f>ЛИК_дляСкорингаДП!AG572</f>
        <v>ОСН</v>
      </c>
      <c r="H572" s="55" t="str">
        <f>IF(ISNUMBER(E572),E572,
IFERROR(LEFT(E572,FIND(".",E572)-1),E572))</f>
        <v>28</v>
      </c>
      <c r="I572" s="30">
        <f>IF(COUNTIF(Справочник_ОКВЭД_НР!$A$3:$A$62,H572)&gt;0,Справочник_ОКВЭД_НР!$L$8,
 IF(COUNTIF(Справочник_ОКВЭД_НР!$C$3:$C$62,H572)&gt;0,Справочник_ОКВЭД_НР!$L$9,
  IF(COUNTIF(Справочник_ОКВЭД_НР!$E$3:$E$62,H572)&gt;0,Справочник_ОКВЭД_НР!$L$10,
   IF(COUNTIF(Справочник_ОКВЭД_НР!$G$3:$G$62,H572)&gt;0,Справочник_ОКВЭД_НР!$L$11,50))))</f>
        <v>60</v>
      </c>
      <c r="J572" s="30" cm="1">
        <f t="array" ref="J572">IFERROR(
 (SUMPRODUCT(ISNUMBER(SEARCH(","&amp;Справочник_ОКВЭД_НР!$A$3:$A$62&amp;".",","&amp;SUBSTITUTE(F572," ","")&amp;",")))*Справочник_ОКВЭД_НР!$L$9 +
  SUMPRODUCT(ISNUMBER(SEARCH(","&amp;Справочник_ОКВЭД_НР!$C$3:$C$62&amp;".",","&amp;SUBSTITUTE(F572," ","")&amp;",")))*Справочник_ОКВЭД_НР!$L$10 +
  SUMPRODUCT(ISNUMBER(SEARCH(","&amp;Справочник_ОКВЭД_НР!$E$3:$E$62&amp;".",","&amp;SUBSTITUTE(F572," ","")&amp;",")))*Справочник_ОКВЭД_НР!$L$11 +
  SUMPRODUCT(ISNUMBER(SEARCH(","&amp;Справочник_ОКВЭД_НР!$G$3:$G$62&amp;".",","&amp;SUBSTITUTE(F572," ","")&amp;",")))*Справочник_ОКВЭД_НР!$L$12) /
 (SUMPRODUCT(ISNUMBER(SEARCH(","&amp;Справочник_ОКВЭД_НР!$A$3:$A$62&amp;".",","&amp;SUBSTITUTE(F572," ","")&amp;","))) +
  SUMPRODUCT(ISNUMBER(SEARCH(","&amp;Справочник_ОКВЭД_НР!$C$3:$C$62&amp;".",","&amp;SUBSTITUTE(F572," ","")&amp;","))) +
  SUMPRODUCT(ISNUMBER(SEARCH(","&amp;Справочник_ОКВЭД_НР!$E$3:$E$62&amp;".",","&amp;SUBSTITUTE(F572," ","")&amp;","))) +
  SUMPRODUCT(ISNUMBER(SEARCH(","&amp;Справочник_ОКВЭД_НР!$G$3:$G$62&amp;".",","&amp;SUBSTITUTE(F572," ","")&amp;",")))),
50)</f>
        <v>50</v>
      </c>
      <c r="K572" s="30">
        <f>IFERROR(VLOOKUP(G572,Справочник_ОКВЭД_НР!$O:$P,2,FALSE()),50)</f>
        <v>100</v>
      </c>
      <c r="L572" s="45">
        <f>(I572*Справочник_ОКВЭД_НР!$L$2+J572*Справочник_ОКВЭД_НР!$L$3+K572*Справочник_ОКВЭД_НР!$L$4)*M572</f>
        <v>63.5</v>
      </c>
      <c r="M572" s="47">
        <f>IF(COUNTIF(Справочник_ОКВЭД_НР!$G$3:$G$62,H572)&gt;0,0,1)</f>
        <v>1</v>
      </c>
    </row>
    <row r="573" spans="1:13" x14ac:dyDescent="0.25">
      <c r="A573" s="4">
        <f>ЛИК_дляСкорингаДП!A573</f>
        <v>1156451025940</v>
      </c>
      <c r="B573" s="4">
        <f>ЛИК_дляСкорингаДП!B573</f>
        <v>6453143512</v>
      </c>
      <c r="C573" s="4" t="str">
        <f>ЛИК_дляСкорингаДП!C573</f>
        <v>ООО "ФЛОРЕНЦИЯ"</v>
      </c>
      <c r="D573" s="5" t="str">
        <f>ЛИК_дляСкорингаДП!M573</f>
        <v>Прочие виды переработки и консервирования фруктов и овощей</v>
      </c>
      <c r="E573" s="4" t="str">
        <f>ЛИК_дляСкорингаДП!L573</f>
        <v>10.39</v>
      </c>
      <c r="F573" t="str">
        <f>ЛИК_дляСкорингаДП!N573</f>
        <v>01.13.1,01.13.6,01.63,16.23,31.01,41.20,43.32,43.99,46.13,46.17.1,46.17.21,46.18,46.18.9,46.18.91,46.22,46.31,46.31.11,46.31.2,46.36.3,46.36.4,46.38,46.38.2,46.38.29,46.41,46.41.2,46.62,46.76.1,46.90,47.19,47.21,47.24.1,47.24.21,47.51,47.82,47.89,47.91,49.31,49.32,49.41,49.41.1,49.41.2,49.41.3,49.42,52.10,52.10.1,52.10.9,52.21,52.21.2,52.24,52.29,53.20.3,56.29,69.20,69.20.2,70.10.1,70.10.2,70.22,77.32,77.33,77.39.1,77.39.27</v>
      </c>
      <c r="G573" s="25" t="str">
        <f>ЛИК_дляСкорингаДП!AG573</f>
        <v>ОСН</v>
      </c>
      <c r="H573" s="55" t="str">
        <f>IF(ISNUMBER(E573),E573,
IFERROR(LEFT(E573,FIND(".",E573)-1),E573))</f>
        <v>10</v>
      </c>
      <c r="I573" s="30">
        <f>IF(COUNTIF(Справочник_ОКВЭД_НР!$A$3:$A$62,H573)&gt;0,Справочник_ОКВЭД_НР!$L$8,
 IF(COUNTIF(Справочник_ОКВЭД_НР!$C$3:$C$62,H573)&gt;0,Справочник_ОКВЭД_НР!$L$9,
  IF(COUNTIF(Справочник_ОКВЭД_НР!$E$3:$E$62,H573)&gt;0,Справочник_ОКВЭД_НР!$L$10,
   IF(COUNTIF(Справочник_ОКВЭД_НР!$G$3:$G$62,H573)&gt;0,Справочник_ОКВЭД_НР!$L$11,50))))</f>
        <v>100</v>
      </c>
      <c r="J573" s="30" cm="1">
        <f t="array" ref="J573">IFERROR(
 (SUMPRODUCT(ISNUMBER(SEARCH(","&amp;Справочник_ОКВЭД_НР!$A$3:$A$62&amp;".",","&amp;SUBSTITUTE(F573," ","")&amp;",")))*Справочник_ОКВЭД_НР!$L$9 +
  SUMPRODUCT(ISNUMBER(SEARCH(","&amp;Справочник_ОКВЭД_НР!$C$3:$C$62&amp;".",","&amp;SUBSTITUTE(F573," ","")&amp;",")))*Справочник_ОКВЭД_НР!$L$10 +
  SUMPRODUCT(ISNUMBER(SEARCH(","&amp;Справочник_ОКВЭД_НР!$E$3:$E$62&amp;".",","&amp;SUBSTITUTE(F573," ","")&amp;",")))*Справочник_ОКВЭД_НР!$L$11 +
  SUMPRODUCT(ISNUMBER(SEARCH(","&amp;Справочник_ОКВЭД_НР!$G$3:$G$62&amp;".",","&amp;SUBSTITUTE(F573," ","")&amp;",")))*Справочник_ОКВЭД_НР!$L$12) /
 (SUMPRODUCT(ISNUMBER(SEARCH(","&amp;Справочник_ОКВЭД_НР!$A$3:$A$62&amp;".",","&amp;SUBSTITUTE(F573," ","")&amp;","))) +
  SUMPRODUCT(ISNUMBER(SEARCH(","&amp;Справочник_ОКВЭД_НР!$C$3:$C$62&amp;".",","&amp;SUBSTITUTE(F573," ","")&amp;","))) +
  SUMPRODUCT(ISNUMBER(SEARCH(","&amp;Справочник_ОКВЭД_НР!$E$3:$E$62&amp;".",","&amp;SUBSTITUTE(F573," ","")&amp;","))) +
  SUMPRODUCT(ISNUMBER(SEARCH(","&amp;Справочник_ОКВЭД_НР!$G$3:$G$62&amp;".",","&amp;SUBSTITUTE(F573," ","")&amp;",")))),
50)</f>
        <v>50</v>
      </c>
      <c r="K573" s="30">
        <f>IFERROR(VLOOKUP(G573,Справочник_ОКВЭД_НР!$O:$P,2,FALSE()),50)</f>
        <v>100</v>
      </c>
      <c r="L573" s="45">
        <f>(I573*Справочник_ОКВЭД_НР!$L$2+J573*Справочник_ОКВЭД_НР!$L$3+K573*Справочник_ОКВЭД_НР!$L$4)*M573</f>
        <v>87.5</v>
      </c>
      <c r="M573" s="47">
        <f>IF(COUNTIF(Справочник_ОКВЭД_НР!$G$3:$G$62,H573)&gt;0,0,1)</f>
        <v>1</v>
      </c>
    </row>
    <row r="574" spans="1:13" x14ac:dyDescent="0.25">
      <c r="A574" s="4">
        <f>ЛИК_дляСкорингаДП!A574</f>
        <v>1222100001408</v>
      </c>
      <c r="B574" s="4">
        <f>ЛИК_дляСкорингаДП!B574</f>
        <v>2116005040</v>
      </c>
      <c r="C574" s="4" t="str">
        <f>ЛИК_дляСкорингаДП!C574</f>
        <v>ООО "АЛЬЯНС-АВТОКАРС"</v>
      </c>
      <c r="D574" s="5" t="str">
        <f>ЛИК_дляСкорингаДП!M574</f>
        <v>Торговля розничная легковыми автомобилями и легкими автотранспортными средствами в специализированных магазинах</v>
      </c>
      <c r="E574" s="4" t="str">
        <f>ЛИК_дляСкорингаДП!L574</f>
        <v>45.11.2</v>
      </c>
      <c r="F574" t="str">
        <f>ЛИК_дляСкорингаДП!N574</f>
        <v>16.10.1,16.10.2,16.10.3,45.11,45.11.1,45.11.3,45.11.31,45.11.39,45.11.4,45.11.41,45.11.49,45.19,45.19.1,45.19.2,45.19.3,45.19.31,45.19.39,45.19.4,45.19.41,45.19.49,45.20,45.20.1,45.20.2,45.31,45.31.1,45.31.2,45.32,45.32.1,45.32.2,45.32.21,45.32.22,45.32.29</v>
      </c>
      <c r="G574" s="25" t="str">
        <f>ЛИК_дляСкорингаДП!AG574</f>
        <v>ОСН</v>
      </c>
      <c r="H574" s="55" t="str">
        <f>IF(ISNUMBER(E574),E574,
IFERROR(LEFT(E574,FIND(".",E574)-1),E574))</f>
        <v>45</v>
      </c>
      <c r="I574" s="30">
        <f>IF(COUNTIF(Справочник_ОКВЭД_НР!$A$3:$A$62,H574)&gt;0,Справочник_ОКВЭД_НР!$L$8,
 IF(COUNTIF(Справочник_ОКВЭД_НР!$C$3:$C$62,H574)&gt;0,Справочник_ОКВЭД_НР!$L$9,
  IF(COUNTIF(Справочник_ОКВЭД_НР!$E$3:$E$62,H574)&gt;0,Справочник_ОКВЭД_НР!$L$10,
   IF(COUNTIF(Справочник_ОКВЭД_НР!$G$3:$G$62,H574)&gt;0,Справочник_ОКВЭД_НР!$L$11,50))))</f>
        <v>60</v>
      </c>
      <c r="J574" s="30" cm="1">
        <f t="array" ref="J574">IFERROR(
 (SUMPRODUCT(ISNUMBER(SEARCH(","&amp;Справочник_ОКВЭД_НР!$A$3:$A$62&amp;".",","&amp;SUBSTITUTE(F574," ","")&amp;",")))*Справочник_ОКВЭД_НР!$L$9 +
  SUMPRODUCT(ISNUMBER(SEARCH(","&amp;Справочник_ОКВЭД_НР!$C$3:$C$62&amp;".",","&amp;SUBSTITUTE(F574," ","")&amp;",")))*Справочник_ОКВЭД_НР!$L$10 +
  SUMPRODUCT(ISNUMBER(SEARCH(","&amp;Справочник_ОКВЭД_НР!$E$3:$E$62&amp;".",","&amp;SUBSTITUTE(F574," ","")&amp;",")))*Справочник_ОКВЭД_НР!$L$11 +
  SUMPRODUCT(ISNUMBER(SEARCH(","&amp;Справочник_ОКВЭД_НР!$G$3:$G$62&amp;".",","&amp;SUBSTITUTE(F574," ","")&amp;",")))*Справочник_ОКВЭД_НР!$L$12) /
 (SUMPRODUCT(ISNUMBER(SEARCH(","&amp;Справочник_ОКВЭД_НР!$A$3:$A$62&amp;".",","&amp;SUBSTITUTE(F574," ","")&amp;","))) +
  SUMPRODUCT(ISNUMBER(SEARCH(","&amp;Справочник_ОКВЭД_НР!$C$3:$C$62&amp;".",","&amp;SUBSTITUTE(F574," ","")&amp;","))) +
  SUMPRODUCT(ISNUMBER(SEARCH(","&amp;Справочник_ОКВЭД_НР!$E$3:$E$62&amp;".",","&amp;SUBSTITUTE(F574," ","")&amp;","))) +
  SUMPRODUCT(ISNUMBER(SEARCH(","&amp;Справочник_ОКВЭД_НР!$G$3:$G$62&amp;".",","&amp;SUBSTITUTE(F574," ","")&amp;",")))),
50)</f>
        <v>50</v>
      </c>
      <c r="K574" s="30">
        <f>IFERROR(VLOOKUP(G574,Справочник_ОКВЭД_НР!$O:$P,2,FALSE()),50)</f>
        <v>100</v>
      </c>
      <c r="L574" s="45">
        <f>(I574*Справочник_ОКВЭД_НР!$L$2+J574*Справочник_ОКВЭД_НР!$L$3+K574*Справочник_ОКВЭД_НР!$L$4)*M574</f>
        <v>63.5</v>
      </c>
      <c r="M574" s="47">
        <f>IF(COUNTIF(Справочник_ОКВЭД_НР!$G$3:$G$62,H574)&gt;0,0,1)</f>
        <v>1</v>
      </c>
    </row>
    <row r="575" spans="1:13" x14ac:dyDescent="0.25">
      <c r="A575" s="4">
        <f>ЛИК_дляСкорингаДП!A575</f>
        <v>1062130009590</v>
      </c>
      <c r="B575" s="4">
        <f>ЛИК_дляСкорингаДП!B575</f>
        <v>2130006695</v>
      </c>
      <c r="C575" s="4" t="str">
        <f>ЛИК_дляСкорингаДП!C575</f>
        <v>ООО"ПК"ПРОМТРАКТОР"</v>
      </c>
      <c r="D575" s="5" t="str">
        <f>ЛИК_дляСкорингаДП!M575</f>
        <v>Производство машин и оборудования для добычи полезных ископаемых и строительства</v>
      </c>
      <c r="E575" s="4" t="str">
        <f>ЛИК_дляСкорингаДП!L575</f>
        <v>28.92</v>
      </c>
      <c r="F575" t="str">
        <f>ЛИК_дляСкорингаДП!N575</f>
        <v>20.11,25.61,25.62,28.22.41,33.14,35.30.14,35.30.15,46.90,55.20,77.39.29,80.10.9,16.24,25.61,25.62,25.73,28.22,28.22.41,28.30.2,28.30.22,28.92,28.92.21,28.92.25,28.92.5,33.14,46.6,46.69,46.90,55.20,68.20,71.12.12,71.20,77.39.2,77.39.29,80.10,82.11,85.30,85.42</v>
      </c>
      <c r="G575" s="25" t="str">
        <f>ЛИК_дляСкорингаДП!AG575</f>
        <v>ОСН</v>
      </c>
      <c r="H575" s="55" t="str">
        <f>IF(ISNUMBER(E575),E575,
IFERROR(LEFT(E575,FIND(".",E575)-1),E575))</f>
        <v>28</v>
      </c>
      <c r="I575" s="30">
        <f>IF(COUNTIF(Справочник_ОКВЭД_НР!$A$3:$A$62,H575)&gt;0,Справочник_ОКВЭД_НР!$L$8,
 IF(COUNTIF(Справочник_ОКВЭД_НР!$C$3:$C$62,H575)&gt;0,Справочник_ОКВЭД_НР!$L$9,
  IF(COUNTIF(Справочник_ОКВЭД_НР!$E$3:$E$62,H575)&gt;0,Справочник_ОКВЭД_НР!$L$10,
   IF(COUNTIF(Справочник_ОКВЭД_НР!$G$3:$G$62,H575)&gt;0,Справочник_ОКВЭД_НР!$L$11,50))))</f>
        <v>60</v>
      </c>
      <c r="J575" s="30" cm="1">
        <f t="array" ref="J575">IFERROR(
 (SUMPRODUCT(ISNUMBER(SEARCH(","&amp;Справочник_ОКВЭД_НР!$A$3:$A$62&amp;".",","&amp;SUBSTITUTE(F575," ","")&amp;",")))*Справочник_ОКВЭД_НР!$L$9 +
  SUMPRODUCT(ISNUMBER(SEARCH(","&amp;Справочник_ОКВЭД_НР!$C$3:$C$62&amp;".",","&amp;SUBSTITUTE(F575," ","")&amp;",")))*Справочник_ОКВЭД_НР!$L$10 +
  SUMPRODUCT(ISNUMBER(SEARCH(","&amp;Справочник_ОКВЭД_НР!$E$3:$E$62&amp;".",","&amp;SUBSTITUTE(F575," ","")&amp;",")))*Справочник_ОКВЭД_НР!$L$11 +
  SUMPRODUCT(ISNUMBER(SEARCH(","&amp;Справочник_ОКВЭД_НР!$G$3:$G$62&amp;".",","&amp;SUBSTITUTE(F575," ","")&amp;",")))*Справочник_ОКВЭД_НР!$L$12) /
 (SUMPRODUCT(ISNUMBER(SEARCH(","&amp;Справочник_ОКВЭД_НР!$A$3:$A$62&amp;".",","&amp;SUBSTITUTE(F575," ","")&amp;","))) +
  SUMPRODUCT(ISNUMBER(SEARCH(","&amp;Справочник_ОКВЭД_НР!$C$3:$C$62&amp;".",","&amp;SUBSTITUTE(F575," ","")&amp;","))) +
  SUMPRODUCT(ISNUMBER(SEARCH(","&amp;Справочник_ОКВЭД_НР!$E$3:$E$62&amp;".",","&amp;SUBSTITUTE(F575," ","")&amp;","))) +
  SUMPRODUCT(ISNUMBER(SEARCH(","&amp;Справочник_ОКВЭД_НР!$G$3:$G$62&amp;".",","&amp;SUBSTITUTE(F575," ","")&amp;",")))),
50)</f>
        <v>50</v>
      </c>
      <c r="K575" s="30">
        <f>IFERROR(VLOOKUP(G575,Справочник_ОКВЭД_НР!$O:$P,2,FALSE()),50)</f>
        <v>100</v>
      </c>
      <c r="L575" s="45">
        <f>(I575*Справочник_ОКВЭД_НР!$L$2+J575*Справочник_ОКВЭД_НР!$L$3+K575*Справочник_ОКВЭД_НР!$L$4)*M575</f>
        <v>63.5</v>
      </c>
      <c r="M575" s="47">
        <f>IF(COUNTIF(Справочник_ОКВЭД_НР!$G$3:$G$62,H575)&gt;0,0,1)</f>
        <v>1</v>
      </c>
    </row>
    <row r="576" spans="1:13" x14ac:dyDescent="0.25">
      <c r="A576" s="4">
        <f>ЛИК_дляСкорингаДП!A576</f>
        <v>1062130012009</v>
      </c>
      <c r="B576" s="4">
        <f>ЛИК_дляСкорингаДП!B576</f>
        <v>2130007530</v>
      </c>
      <c r="C576" s="4" t="str">
        <f>ЛИК_дляСкорингаДП!C576</f>
        <v>ООО "ЧЕТРА"</v>
      </c>
      <c r="D576" s="5" t="str">
        <f>ЛИК_дляСкорингаДП!M576</f>
        <v>Торговля оптовая прочими машинами, приборами, аппаратурой и оборудованием общепромышленного и специального назначения</v>
      </c>
      <c r="E576" s="4" t="str">
        <f>ЛИК_дляСкорингаДП!L576</f>
        <v>46.69.9</v>
      </c>
      <c r="F576" t="str">
        <f>ЛИК_дляСкорингаДП!N576</f>
        <v>82.30.1,29.31,29.32,33.12,45.11,45.31,46.14,46.18.99,46.3,46.4,46.6,46.61,46.63,46.69,46.7,46.71,46.72,46.73,46.74,46.90,52.29,64.91,68.1,68.20,73.11,77.11,77.33,77.39.11,82.99</v>
      </c>
      <c r="G576" s="25" t="str">
        <f>ЛИК_дляСкорингаДП!AG576</f>
        <v>ОСН</v>
      </c>
      <c r="H576" s="55" t="str">
        <f>IF(ISNUMBER(E576),E576,
IFERROR(LEFT(E576,FIND(".",E576)-1),E576))</f>
        <v>46</v>
      </c>
      <c r="I576" s="30">
        <f>IF(COUNTIF(Справочник_ОКВЭД_НР!$A$3:$A$62,H576)&gt;0,Справочник_ОКВЭД_НР!$L$8,
 IF(COUNTIF(Справочник_ОКВЭД_НР!$C$3:$C$62,H576)&gt;0,Справочник_ОКВЭД_НР!$L$9,
  IF(COUNTIF(Справочник_ОКВЭД_НР!$E$3:$E$62,H576)&gt;0,Справочник_ОКВЭД_НР!$L$10,
   IF(COUNTIF(Справочник_ОКВЭД_НР!$G$3:$G$62,H576)&gt;0,Справочник_ОКВЭД_НР!$L$11,50))))</f>
        <v>60</v>
      </c>
      <c r="J576" s="30" cm="1">
        <f t="array" ref="J576">IFERROR(
 (SUMPRODUCT(ISNUMBER(SEARCH(","&amp;Справочник_ОКВЭД_НР!$A$3:$A$62&amp;".",","&amp;SUBSTITUTE(F576," ","")&amp;",")))*Справочник_ОКВЭД_НР!$L$9 +
  SUMPRODUCT(ISNUMBER(SEARCH(","&amp;Справочник_ОКВЭД_НР!$C$3:$C$62&amp;".",","&amp;SUBSTITUTE(F576," ","")&amp;",")))*Справочник_ОКВЭД_НР!$L$10 +
  SUMPRODUCT(ISNUMBER(SEARCH(","&amp;Справочник_ОКВЭД_НР!$E$3:$E$62&amp;".",","&amp;SUBSTITUTE(F576," ","")&amp;",")))*Справочник_ОКВЭД_НР!$L$11 +
  SUMPRODUCT(ISNUMBER(SEARCH(","&amp;Справочник_ОКВЭД_НР!$G$3:$G$62&amp;".",","&amp;SUBSTITUTE(F576," ","")&amp;",")))*Справочник_ОКВЭД_НР!$L$12) /
 (SUMPRODUCT(ISNUMBER(SEARCH(","&amp;Справочник_ОКВЭД_НР!$A$3:$A$62&amp;".",","&amp;SUBSTITUTE(F576," ","")&amp;","))) +
  SUMPRODUCT(ISNUMBER(SEARCH(","&amp;Справочник_ОКВЭД_НР!$C$3:$C$62&amp;".",","&amp;SUBSTITUTE(F576," ","")&amp;","))) +
  SUMPRODUCT(ISNUMBER(SEARCH(","&amp;Справочник_ОКВЭД_НР!$E$3:$E$62&amp;".",","&amp;SUBSTITUTE(F576," ","")&amp;","))) +
  SUMPRODUCT(ISNUMBER(SEARCH(","&amp;Справочник_ОКВЭД_НР!$G$3:$G$62&amp;".",","&amp;SUBSTITUTE(F576," ","")&amp;",")))),
50)</f>
        <v>50</v>
      </c>
      <c r="K576" s="30">
        <f>IFERROR(VLOOKUP(G576,Справочник_ОКВЭД_НР!$O:$P,2,FALSE()),50)</f>
        <v>100</v>
      </c>
      <c r="L576" s="45">
        <f>(I576*Справочник_ОКВЭД_НР!$L$2+J576*Справочник_ОКВЭД_НР!$L$3+K576*Справочник_ОКВЭД_НР!$L$4)*M576</f>
        <v>63.5</v>
      </c>
      <c r="M576" s="47">
        <f>IF(COUNTIF(Справочник_ОКВЭД_НР!$G$3:$G$62,H576)&gt;0,0,1)</f>
        <v>1</v>
      </c>
    </row>
    <row r="577" spans="1:13" x14ac:dyDescent="0.25">
      <c r="A577" s="4">
        <f>ЛИК_дляСкорингаДП!A577</f>
        <v>1072130016650</v>
      </c>
      <c r="B577" s="4">
        <f>ЛИК_дляСкорингаДП!B577</f>
        <v>2130028755</v>
      </c>
      <c r="C577" s="4" t="str">
        <f>ЛИК_дляСкорингаДП!C577</f>
        <v>ООО "РЕАЛ"</v>
      </c>
      <c r="D577" s="5" t="str">
        <f>ЛИК_дляСкорингаДП!M577</f>
        <v>Торговля оптовая прочими строительными материалами и изделиями</v>
      </c>
      <c r="E577" s="4" t="str">
        <f>ЛИК_дляСкорингаДП!L577</f>
        <v>46.73.6</v>
      </c>
      <c r="F577" t="str">
        <f>ЛИК_дляСкорингаДП!N577</f>
        <v>46.44.1,46.47.2,46.69.5,46.90,47.52.7,47.52.72,47.59.4,49.4,52.29,77.32,77.39</v>
      </c>
      <c r="G577" s="25" t="str">
        <f>ЛИК_дляСкорингаДП!AG577</f>
        <v>ОСН</v>
      </c>
      <c r="H577" s="55" t="str">
        <f>IF(ISNUMBER(E577),E577,
IFERROR(LEFT(E577,FIND(".",E577)-1),E577))</f>
        <v>46</v>
      </c>
      <c r="I577" s="30">
        <f>IF(COUNTIF(Справочник_ОКВЭД_НР!$A$3:$A$62,H577)&gt;0,Справочник_ОКВЭД_НР!$L$8,
 IF(COUNTIF(Справочник_ОКВЭД_НР!$C$3:$C$62,H577)&gt;0,Справочник_ОКВЭД_НР!$L$9,
  IF(COUNTIF(Справочник_ОКВЭД_НР!$E$3:$E$62,H577)&gt;0,Справочник_ОКВЭД_НР!$L$10,
   IF(COUNTIF(Справочник_ОКВЭД_НР!$G$3:$G$62,H577)&gt;0,Справочник_ОКВЭД_НР!$L$11,50))))</f>
        <v>60</v>
      </c>
      <c r="J577" s="30" cm="1">
        <f t="array" ref="J577">IFERROR(
 (SUMPRODUCT(ISNUMBER(SEARCH(","&amp;Справочник_ОКВЭД_НР!$A$3:$A$62&amp;".",","&amp;SUBSTITUTE(F577," ","")&amp;",")))*Справочник_ОКВЭД_НР!$L$9 +
  SUMPRODUCT(ISNUMBER(SEARCH(","&amp;Справочник_ОКВЭД_НР!$C$3:$C$62&amp;".",","&amp;SUBSTITUTE(F577," ","")&amp;",")))*Справочник_ОКВЭД_НР!$L$10 +
  SUMPRODUCT(ISNUMBER(SEARCH(","&amp;Справочник_ОКВЭД_НР!$E$3:$E$62&amp;".",","&amp;SUBSTITUTE(F577," ","")&amp;",")))*Справочник_ОКВЭД_НР!$L$11 +
  SUMPRODUCT(ISNUMBER(SEARCH(","&amp;Справочник_ОКВЭД_НР!$G$3:$G$62&amp;".",","&amp;SUBSTITUTE(F577," ","")&amp;",")))*Справочник_ОКВЭД_НР!$L$12) /
 (SUMPRODUCT(ISNUMBER(SEARCH(","&amp;Справочник_ОКВЭД_НР!$A$3:$A$62&amp;".",","&amp;SUBSTITUTE(F577," ","")&amp;","))) +
  SUMPRODUCT(ISNUMBER(SEARCH(","&amp;Справочник_ОКВЭД_НР!$C$3:$C$62&amp;".",","&amp;SUBSTITUTE(F577," ","")&amp;","))) +
  SUMPRODUCT(ISNUMBER(SEARCH(","&amp;Справочник_ОКВЭД_НР!$E$3:$E$62&amp;".",","&amp;SUBSTITUTE(F577," ","")&amp;","))) +
  SUMPRODUCT(ISNUMBER(SEARCH(","&amp;Справочник_ОКВЭД_НР!$G$3:$G$62&amp;".",","&amp;SUBSTITUTE(F577," ","")&amp;",")))),
50)</f>
        <v>50</v>
      </c>
      <c r="K577" s="30">
        <f>IFERROR(VLOOKUP(G577,Справочник_ОКВЭД_НР!$O:$P,2,FALSE()),50)</f>
        <v>100</v>
      </c>
      <c r="L577" s="45">
        <f>(I577*Справочник_ОКВЭД_НР!$L$2+J577*Справочник_ОКВЭД_НР!$L$3+K577*Справочник_ОКВЭД_НР!$L$4)*M577</f>
        <v>63.5</v>
      </c>
      <c r="M577" s="47">
        <f>IF(COUNTIF(Справочник_ОКВЭД_НР!$G$3:$G$62,H577)&gt;0,0,1)</f>
        <v>1</v>
      </c>
    </row>
    <row r="578" spans="1:13" x14ac:dyDescent="0.25">
      <c r="A578" s="4">
        <f>ЛИК_дляСкорингаДП!A578</f>
        <v>1101650014751</v>
      </c>
      <c r="B578" s="4">
        <f>ЛИК_дляСкорингаДП!B578</f>
        <v>1650216827</v>
      </c>
      <c r="C578" s="4" t="str">
        <f>ЛИК_дляСкорингаДП!C578</f>
        <v>ООО "РИ-ГРУПП"</v>
      </c>
      <c r="D578" s="5" t="str">
        <f>ЛИК_дляСкорингаДП!M578</f>
        <v>Торговля оптовая эксплуатационными материалами и принадлежностями машин</v>
      </c>
      <c r="E578" s="4" t="str">
        <f>ЛИК_дляСкорингаДП!L578</f>
        <v>46.69.2</v>
      </c>
      <c r="F578" t="str">
        <f>ЛИК_дляСкорингаДП!N578</f>
        <v>25.73,25.9,28.2,28.41,28.9,33.11,33.12,33.13,33.14,33.19,33.20,41.20,45.11.1,45.11.2,45.11.3,45.11.4,45.19.1,45.19.2,45.19.3,45.19.4,45.31.1,45.32,46.13,46.3,46.34,46.4,46.42,46.43,46.46,46.46.2,46.49,46.49.49,46.71,46.74,46.75,46.76,47.2,47.78,49.4,49.41.3,68.20.2,70.21.1,77.11,77.3</v>
      </c>
      <c r="G578" s="25" t="str">
        <f>ЛИК_дляСкорингаДП!AG578</f>
        <v>ОСН</v>
      </c>
      <c r="H578" s="55" t="str">
        <f>IF(ISNUMBER(E578),E578,
IFERROR(LEFT(E578,FIND(".",E578)-1),E578))</f>
        <v>46</v>
      </c>
      <c r="I578" s="30">
        <f>IF(COUNTIF(Справочник_ОКВЭД_НР!$A$3:$A$62,H578)&gt;0,Справочник_ОКВЭД_НР!$L$8,
 IF(COUNTIF(Справочник_ОКВЭД_НР!$C$3:$C$62,H578)&gt;0,Справочник_ОКВЭД_НР!$L$9,
  IF(COUNTIF(Справочник_ОКВЭД_НР!$E$3:$E$62,H578)&gt;0,Справочник_ОКВЭД_НР!$L$10,
   IF(COUNTIF(Справочник_ОКВЭД_НР!$G$3:$G$62,H578)&gt;0,Справочник_ОКВЭД_НР!$L$11,50))))</f>
        <v>60</v>
      </c>
      <c r="J578" s="30" cm="1">
        <f t="array" ref="J578">IFERROR(
 (SUMPRODUCT(ISNUMBER(SEARCH(","&amp;Справочник_ОКВЭД_НР!$A$3:$A$62&amp;".",","&amp;SUBSTITUTE(F578," ","")&amp;",")))*Справочник_ОКВЭД_НР!$L$9 +
  SUMPRODUCT(ISNUMBER(SEARCH(","&amp;Справочник_ОКВЭД_НР!$C$3:$C$62&amp;".",","&amp;SUBSTITUTE(F578," ","")&amp;",")))*Справочник_ОКВЭД_НР!$L$10 +
  SUMPRODUCT(ISNUMBER(SEARCH(","&amp;Справочник_ОКВЭД_НР!$E$3:$E$62&amp;".",","&amp;SUBSTITUTE(F578," ","")&amp;",")))*Справочник_ОКВЭД_НР!$L$11 +
  SUMPRODUCT(ISNUMBER(SEARCH(","&amp;Справочник_ОКВЭД_НР!$G$3:$G$62&amp;".",","&amp;SUBSTITUTE(F578," ","")&amp;",")))*Справочник_ОКВЭД_НР!$L$12) /
 (SUMPRODUCT(ISNUMBER(SEARCH(","&amp;Справочник_ОКВЭД_НР!$A$3:$A$62&amp;".",","&amp;SUBSTITUTE(F578," ","")&amp;","))) +
  SUMPRODUCT(ISNUMBER(SEARCH(","&amp;Справочник_ОКВЭД_НР!$C$3:$C$62&amp;".",","&amp;SUBSTITUTE(F578," ","")&amp;","))) +
  SUMPRODUCT(ISNUMBER(SEARCH(","&amp;Справочник_ОКВЭД_НР!$E$3:$E$62&amp;".",","&amp;SUBSTITUTE(F578," ","")&amp;","))) +
  SUMPRODUCT(ISNUMBER(SEARCH(","&amp;Справочник_ОКВЭД_НР!$G$3:$G$62&amp;".",","&amp;SUBSTITUTE(F578," ","")&amp;",")))),
50)</f>
        <v>50</v>
      </c>
      <c r="K578" s="30">
        <f>IFERROR(VLOOKUP(G578,Справочник_ОКВЭД_НР!$O:$P,2,FALSE()),50)</f>
        <v>100</v>
      </c>
      <c r="L578" s="45">
        <f>(I578*Справочник_ОКВЭД_НР!$L$2+J578*Справочник_ОКВЭД_НР!$L$3+K578*Справочник_ОКВЭД_НР!$L$4)*M578</f>
        <v>63.5</v>
      </c>
      <c r="M578" s="47">
        <f>IF(COUNTIF(Справочник_ОКВЭД_НР!$G$3:$G$62,H578)&gt;0,0,1)</f>
        <v>1</v>
      </c>
    </row>
    <row r="579" spans="1:13" x14ac:dyDescent="0.25">
      <c r="A579" s="4">
        <f>ЛИК_дляСкорингаДП!A579</f>
        <v>1022101276724</v>
      </c>
      <c r="B579" s="4">
        <f>ЛИК_дляСкорингаДП!B579</f>
        <v>2129004870</v>
      </c>
      <c r="C579" s="4" t="str">
        <f>ЛИК_дляСкорингаДП!C579</f>
        <v>ООО "НПП "БРЕСЛЕР"</v>
      </c>
      <c r="D579" s="5" t="str">
        <f>ЛИК_дляСкорингаДП!M579</f>
        <v>Производство электрической распределительной и регулирующей аппаратуры</v>
      </c>
      <c r="E579" s="4" t="str">
        <f>ЛИК_дляСкорингаДП!L579</f>
        <v>27.12</v>
      </c>
      <c r="F579" t="str">
        <f>ЛИК_дляСкорингаДП!N579</f>
        <v>26.51,27.11.13,41.20,46.69.5,46.69.9,62.01,62.02,63.11,68.20.2,71.11,71.12,71.20,72.19</v>
      </c>
      <c r="G579" s="25" t="str">
        <f>ЛИК_дляСкорингаДП!AG579</f>
        <v>ОСН</v>
      </c>
      <c r="H579" s="55" t="str">
        <f>IF(ISNUMBER(E579),E579,
IFERROR(LEFT(E579,FIND(".",E579)-1),E579))</f>
        <v>27</v>
      </c>
      <c r="I579" s="30">
        <f>IF(COUNTIF(Справочник_ОКВЭД_НР!$A$3:$A$62,H579)&gt;0,Справочник_ОКВЭД_НР!$L$8,
 IF(COUNTIF(Справочник_ОКВЭД_НР!$C$3:$C$62,H579)&gt;0,Справочник_ОКВЭД_НР!$L$9,
  IF(COUNTIF(Справочник_ОКВЭД_НР!$E$3:$E$62,H579)&gt;0,Справочник_ОКВЭД_НР!$L$10,
   IF(COUNTIF(Справочник_ОКВЭД_НР!$G$3:$G$62,H579)&gt;0,Справочник_ОКВЭД_НР!$L$11,50))))</f>
        <v>100</v>
      </c>
      <c r="J579" s="30" cm="1">
        <f t="array" ref="J579">IFERROR(
 (SUMPRODUCT(ISNUMBER(SEARCH(","&amp;Справочник_ОКВЭД_НР!$A$3:$A$62&amp;".",","&amp;SUBSTITUTE(F579," ","")&amp;",")))*Справочник_ОКВЭД_НР!$L$9 +
  SUMPRODUCT(ISNUMBER(SEARCH(","&amp;Справочник_ОКВЭД_НР!$C$3:$C$62&amp;".",","&amp;SUBSTITUTE(F579," ","")&amp;",")))*Справочник_ОКВЭД_НР!$L$10 +
  SUMPRODUCT(ISNUMBER(SEARCH(","&amp;Справочник_ОКВЭД_НР!$E$3:$E$62&amp;".",","&amp;SUBSTITUTE(F579," ","")&amp;",")))*Справочник_ОКВЭД_НР!$L$11 +
  SUMPRODUCT(ISNUMBER(SEARCH(","&amp;Справочник_ОКВЭД_НР!$G$3:$G$62&amp;".",","&amp;SUBSTITUTE(F579," ","")&amp;",")))*Справочник_ОКВЭД_НР!$L$12) /
 (SUMPRODUCT(ISNUMBER(SEARCH(","&amp;Справочник_ОКВЭД_НР!$A$3:$A$62&amp;".",","&amp;SUBSTITUTE(F579," ","")&amp;","))) +
  SUMPRODUCT(ISNUMBER(SEARCH(","&amp;Справочник_ОКВЭД_НР!$C$3:$C$62&amp;".",","&amp;SUBSTITUTE(F579," ","")&amp;","))) +
  SUMPRODUCT(ISNUMBER(SEARCH(","&amp;Справочник_ОКВЭД_НР!$E$3:$E$62&amp;".",","&amp;SUBSTITUTE(F579," ","")&amp;","))) +
  SUMPRODUCT(ISNUMBER(SEARCH(","&amp;Справочник_ОКВЭД_НР!$G$3:$G$62&amp;".",","&amp;SUBSTITUTE(F579," ","")&amp;",")))),
50)</f>
        <v>50</v>
      </c>
      <c r="K579" s="30">
        <f>IFERROR(VLOOKUP(G579,Справочник_ОКВЭД_НР!$O:$P,2,FALSE()),50)</f>
        <v>100</v>
      </c>
      <c r="L579" s="45">
        <f>(I579*Справочник_ОКВЭД_НР!$L$2+J579*Справочник_ОКВЭД_НР!$L$3+K579*Справочник_ОКВЭД_НР!$L$4)*M579</f>
        <v>87.5</v>
      </c>
      <c r="M579" s="47">
        <f>IF(COUNTIF(Справочник_ОКВЭД_НР!$G$3:$G$62,H579)&gt;0,0,1)</f>
        <v>1</v>
      </c>
    </row>
    <row r="580" spans="1:13" x14ac:dyDescent="0.25">
      <c r="A580" s="4">
        <f>ЛИК_дляСкорингаДП!A580</f>
        <v>1022102834731</v>
      </c>
      <c r="B580" s="4">
        <f>ЛИК_дляСкорингаДП!B580</f>
        <v>2114001330</v>
      </c>
      <c r="C580" s="4" t="str">
        <f>ЛИК_дляСкорингаДП!C580</f>
        <v>ООО "ТРУД"</v>
      </c>
      <c r="D580" s="5" t="str">
        <f>ЛИК_дляСкорингаДП!M580</f>
        <v>Торговля оптовая химическими продуктами</v>
      </c>
      <c r="E580" s="4" t="str">
        <f>ЛИК_дляСкорингаДП!L580</f>
        <v>46.75</v>
      </c>
      <c r="F580" t="str">
        <f>ЛИК_дляСкорингаДП!N580</f>
        <v>20.13,28.99,46.90,52.10,77.39</v>
      </c>
      <c r="G580" s="25" t="str">
        <f>ЛИК_дляСкорингаДП!AG580</f>
        <v>ОСН</v>
      </c>
      <c r="H580" s="55" t="str">
        <f>IF(ISNUMBER(E580),E580,
IFERROR(LEFT(E580,FIND(".",E580)-1),E580))</f>
        <v>46</v>
      </c>
      <c r="I580" s="30">
        <f>IF(COUNTIF(Справочник_ОКВЭД_НР!$A$3:$A$62,H580)&gt;0,Справочник_ОКВЭД_НР!$L$8,
 IF(COUNTIF(Справочник_ОКВЭД_НР!$C$3:$C$62,H580)&gt;0,Справочник_ОКВЭД_НР!$L$9,
  IF(COUNTIF(Справочник_ОКВЭД_НР!$E$3:$E$62,H580)&gt;0,Справочник_ОКВЭД_НР!$L$10,
   IF(COUNTIF(Справочник_ОКВЭД_НР!$G$3:$G$62,H580)&gt;0,Справочник_ОКВЭД_НР!$L$11,50))))</f>
        <v>60</v>
      </c>
      <c r="J580" s="30" cm="1">
        <f t="array" ref="J580">IFERROR(
 (SUMPRODUCT(ISNUMBER(SEARCH(","&amp;Справочник_ОКВЭД_НР!$A$3:$A$62&amp;".",","&amp;SUBSTITUTE(F580," ","")&amp;",")))*Справочник_ОКВЭД_НР!$L$9 +
  SUMPRODUCT(ISNUMBER(SEARCH(","&amp;Справочник_ОКВЭД_НР!$C$3:$C$62&amp;".",","&amp;SUBSTITUTE(F580," ","")&amp;",")))*Справочник_ОКВЭД_НР!$L$10 +
  SUMPRODUCT(ISNUMBER(SEARCH(","&amp;Справочник_ОКВЭД_НР!$E$3:$E$62&amp;".",","&amp;SUBSTITUTE(F580," ","")&amp;",")))*Справочник_ОКВЭД_НР!$L$11 +
  SUMPRODUCT(ISNUMBER(SEARCH(","&amp;Справочник_ОКВЭД_НР!$G$3:$G$62&amp;".",","&amp;SUBSTITUTE(F580," ","")&amp;",")))*Справочник_ОКВЭД_НР!$L$12) /
 (SUMPRODUCT(ISNUMBER(SEARCH(","&amp;Справочник_ОКВЭД_НР!$A$3:$A$62&amp;".",","&amp;SUBSTITUTE(F580," ","")&amp;","))) +
  SUMPRODUCT(ISNUMBER(SEARCH(","&amp;Справочник_ОКВЭД_НР!$C$3:$C$62&amp;".",","&amp;SUBSTITUTE(F580," ","")&amp;","))) +
  SUMPRODUCT(ISNUMBER(SEARCH(","&amp;Справочник_ОКВЭД_НР!$E$3:$E$62&amp;".",","&amp;SUBSTITUTE(F580," ","")&amp;","))) +
  SUMPRODUCT(ISNUMBER(SEARCH(","&amp;Справочник_ОКВЭД_НР!$G$3:$G$62&amp;".",","&amp;SUBSTITUTE(F580," ","")&amp;",")))),
50)</f>
        <v>50</v>
      </c>
      <c r="K580" s="30">
        <f>IFERROR(VLOOKUP(G580,Справочник_ОКВЭД_НР!$O:$P,2,FALSE()),50)</f>
        <v>100</v>
      </c>
      <c r="L580" s="45">
        <f>(I580*Справочник_ОКВЭД_НР!$L$2+J580*Справочник_ОКВЭД_НР!$L$3+K580*Справочник_ОКВЭД_НР!$L$4)*M580</f>
        <v>63.5</v>
      </c>
      <c r="M580" s="47">
        <f>IF(COUNTIF(Справочник_ОКВЭД_НР!$G$3:$G$62,H580)&gt;0,0,1)</f>
        <v>1</v>
      </c>
    </row>
    <row r="581" spans="1:13" x14ac:dyDescent="0.25">
      <c r="A581" s="4">
        <f>ЛИК_дляСкорингаДП!A581</f>
        <v>1042127015040</v>
      </c>
      <c r="B581" s="4">
        <f>ЛИК_дляСкорингаДП!B581</f>
        <v>2127006720</v>
      </c>
      <c r="C581" s="4" t="str">
        <f>ЛИК_дляСкорингаДП!C581</f>
        <v>ООО "АСПЕКТ"</v>
      </c>
      <c r="D581" s="5" t="str">
        <f>ЛИК_дляСкорингаДП!M581</f>
        <v>Торговля оптовая напитками</v>
      </c>
      <c r="E581" s="4" t="str">
        <f>ЛИК_дляСкорингаДП!L581</f>
        <v>46.34</v>
      </c>
      <c r="F581" t="str">
        <f>ЛИК_дляСкорингаДП!N581</f>
        <v>46.71.9,49.41.2,52.10.9,68.20.29,77.11,16.23,31.09,41.20,43.21,43.22,43.29,45.1,45.20,45.3,46.1,46.19,46.34.1,46.34.23,46.39,46.49,46.90,47.19,47.7,56.10,56.10.1,56.10.3,58.19,64.92,68.20,70.22,73.11,73.20,77.3,77.39.27,82.99</v>
      </c>
      <c r="G581" s="25" t="str">
        <f>ЛИК_дляСкорингаДП!AG581</f>
        <v>ОСН</v>
      </c>
      <c r="H581" s="55" t="str">
        <f>IF(ISNUMBER(E581),E581,
IFERROR(LEFT(E581,FIND(".",E581)-1),E581))</f>
        <v>46</v>
      </c>
      <c r="I581" s="30">
        <f>IF(COUNTIF(Справочник_ОКВЭД_НР!$A$3:$A$62,H581)&gt;0,Справочник_ОКВЭД_НР!$L$8,
 IF(COUNTIF(Справочник_ОКВЭД_НР!$C$3:$C$62,H581)&gt;0,Справочник_ОКВЭД_НР!$L$9,
  IF(COUNTIF(Справочник_ОКВЭД_НР!$E$3:$E$62,H581)&gt;0,Справочник_ОКВЭД_НР!$L$10,
   IF(COUNTIF(Справочник_ОКВЭД_НР!$G$3:$G$62,H581)&gt;0,Справочник_ОКВЭД_НР!$L$11,50))))</f>
        <v>60</v>
      </c>
      <c r="J581" s="30" cm="1">
        <f t="array" ref="J581">IFERROR(
 (SUMPRODUCT(ISNUMBER(SEARCH(","&amp;Справочник_ОКВЭД_НР!$A$3:$A$62&amp;".",","&amp;SUBSTITUTE(F581," ","")&amp;",")))*Справочник_ОКВЭД_НР!$L$9 +
  SUMPRODUCT(ISNUMBER(SEARCH(","&amp;Справочник_ОКВЭД_НР!$C$3:$C$62&amp;".",","&amp;SUBSTITUTE(F581," ","")&amp;",")))*Справочник_ОКВЭД_НР!$L$10 +
  SUMPRODUCT(ISNUMBER(SEARCH(","&amp;Справочник_ОКВЭД_НР!$E$3:$E$62&amp;".",","&amp;SUBSTITUTE(F581," ","")&amp;",")))*Справочник_ОКВЭД_НР!$L$11 +
  SUMPRODUCT(ISNUMBER(SEARCH(","&amp;Справочник_ОКВЭД_НР!$G$3:$G$62&amp;".",","&amp;SUBSTITUTE(F581," ","")&amp;",")))*Справочник_ОКВЭД_НР!$L$12) /
 (SUMPRODUCT(ISNUMBER(SEARCH(","&amp;Справочник_ОКВЭД_НР!$A$3:$A$62&amp;".",","&amp;SUBSTITUTE(F581," ","")&amp;","))) +
  SUMPRODUCT(ISNUMBER(SEARCH(","&amp;Справочник_ОКВЭД_НР!$C$3:$C$62&amp;".",","&amp;SUBSTITUTE(F581," ","")&amp;","))) +
  SUMPRODUCT(ISNUMBER(SEARCH(","&amp;Справочник_ОКВЭД_НР!$E$3:$E$62&amp;".",","&amp;SUBSTITUTE(F581," ","")&amp;","))) +
  SUMPRODUCT(ISNUMBER(SEARCH(","&amp;Справочник_ОКВЭД_НР!$G$3:$G$62&amp;".",","&amp;SUBSTITUTE(F581," ","")&amp;",")))),
50)</f>
        <v>50</v>
      </c>
      <c r="K581" s="30">
        <f>IFERROR(VLOOKUP(G581,Справочник_ОКВЭД_НР!$O:$P,2,FALSE()),50)</f>
        <v>100</v>
      </c>
      <c r="L581" s="45">
        <f>(I581*Справочник_ОКВЭД_НР!$L$2+J581*Справочник_ОКВЭД_НР!$L$3+K581*Справочник_ОКВЭД_НР!$L$4)*M581</f>
        <v>63.5</v>
      </c>
      <c r="M581" s="47">
        <f>IF(COUNTIF(Справочник_ОКВЭД_НР!$G$3:$G$62,H581)&gt;0,0,1)</f>
        <v>1</v>
      </c>
    </row>
    <row r="582" spans="1:13" x14ac:dyDescent="0.25">
      <c r="A582" s="4">
        <f>ЛИК_дляСкорингаДП!A582</f>
        <v>1072130002471</v>
      </c>
      <c r="B582" s="4">
        <f>ЛИК_дляСкорингаДП!B582</f>
        <v>2130013942</v>
      </c>
      <c r="C582" s="4" t="str">
        <f>ЛИК_дляСкорингаДП!C582</f>
        <v>ООО "АГРОМАШСНАБ"</v>
      </c>
      <c r="D582" s="5" t="str">
        <f>ЛИК_дляСкорингаДП!M582</f>
        <v>Торговля оптовая машинами, оборудованием и инструментами для сельского хозяйства</v>
      </c>
      <c r="E582" s="4" t="str">
        <f>ЛИК_дляСкорингаДП!L582</f>
        <v>46.61</v>
      </c>
      <c r="F582" t="str">
        <f>ЛИК_дляСкорингаДП!N582</f>
        <v>33.12,33.12,46.61,46.90,47.9</v>
      </c>
      <c r="G582" s="25" t="str">
        <f>ЛИК_дляСкорингаДП!AG582</f>
        <v>ОСН</v>
      </c>
      <c r="H582" s="55" t="str">
        <f>IF(ISNUMBER(E582),E582,
IFERROR(LEFT(E582,FIND(".",E582)-1),E582))</f>
        <v>46</v>
      </c>
      <c r="I582" s="30">
        <f>IF(COUNTIF(Справочник_ОКВЭД_НР!$A$3:$A$62,H582)&gt;0,Справочник_ОКВЭД_НР!$L$8,
 IF(COUNTIF(Справочник_ОКВЭД_НР!$C$3:$C$62,H582)&gt;0,Справочник_ОКВЭД_НР!$L$9,
  IF(COUNTIF(Справочник_ОКВЭД_НР!$E$3:$E$62,H582)&gt;0,Справочник_ОКВЭД_НР!$L$10,
   IF(COUNTIF(Справочник_ОКВЭД_НР!$G$3:$G$62,H582)&gt;0,Справочник_ОКВЭД_НР!$L$11,50))))</f>
        <v>60</v>
      </c>
      <c r="J582" s="30" cm="1">
        <f t="array" ref="J582">IFERROR(
 (SUMPRODUCT(ISNUMBER(SEARCH(","&amp;Справочник_ОКВЭД_НР!$A$3:$A$62&amp;".",","&amp;SUBSTITUTE(F582," ","")&amp;",")))*Справочник_ОКВЭД_НР!$L$9 +
  SUMPRODUCT(ISNUMBER(SEARCH(","&amp;Справочник_ОКВЭД_НР!$C$3:$C$62&amp;".",","&amp;SUBSTITUTE(F582," ","")&amp;",")))*Справочник_ОКВЭД_НР!$L$10 +
  SUMPRODUCT(ISNUMBER(SEARCH(","&amp;Справочник_ОКВЭД_НР!$E$3:$E$62&amp;".",","&amp;SUBSTITUTE(F582," ","")&amp;",")))*Справочник_ОКВЭД_НР!$L$11 +
  SUMPRODUCT(ISNUMBER(SEARCH(","&amp;Справочник_ОКВЭД_НР!$G$3:$G$62&amp;".",","&amp;SUBSTITUTE(F582," ","")&amp;",")))*Справочник_ОКВЭД_НР!$L$12) /
 (SUMPRODUCT(ISNUMBER(SEARCH(","&amp;Справочник_ОКВЭД_НР!$A$3:$A$62&amp;".",","&amp;SUBSTITUTE(F582," ","")&amp;","))) +
  SUMPRODUCT(ISNUMBER(SEARCH(","&amp;Справочник_ОКВЭД_НР!$C$3:$C$62&amp;".",","&amp;SUBSTITUTE(F582," ","")&amp;","))) +
  SUMPRODUCT(ISNUMBER(SEARCH(","&amp;Справочник_ОКВЭД_НР!$E$3:$E$62&amp;".",","&amp;SUBSTITUTE(F582," ","")&amp;","))) +
  SUMPRODUCT(ISNUMBER(SEARCH(","&amp;Справочник_ОКВЭД_НР!$G$3:$G$62&amp;".",","&amp;SUBSTITUTE(F582," ","")&amp;",")))),
50)</f>
        <v>50</v>
      </c>
      <c r="K582" s="30">
        <f>IFERROR(VLOOKUP(G582,Справочник_ОКВЭД_НР!$O:$P,2,FALSE()),50)</f>
        <v>100</v>
      </c>
      <c r="L582" s="45">
        <f>(I582*Справочник_ОКВЭД_НР!$L$2+J582*Справочник_ОКВЭД_НР!$L$3+K582*Справочник_ОКВЭД_НР!$L$4)*M582</f>
        <v>63.5</v>
      </c>
      <c r="M582" s="47">
        <f>IF(COUNTIF(Справочник_ОКВЭД_НР!$G$3:$G$62,H582)&gt;0,0,1)</f>
        <v>1</v>
      </c>
    </row>
    <row r="583" spans="1:13" x14ac:dyDescent="0.25">
      <c r="A583" s="4">
        <f>ЛИК_дляСкорингаДП!A583</f>
        <v>1052128143594</v>
      </c>
      <c r="B583" s="4">
        <f>ЛИК_дляСкорингаДП!B583</f>
        <v>2127026490</v>
      </c>
      <c r="C583" s="4" t="str">
        <f>ЛИК_дляСкорингаДП!C583</f>
        <v>ООО "АЛЬЯНС-МОТОРС"</v>
      </c>
      <c r="D583" s="5" t="str">
        <f>ЛИК_дляСкорингаДП!M583</f>
        <v>Торговля розничная легковыми автомобилями и легкими автотранспортными средствами в специализированных магазинах</v>
      </c>
      <c r="E583" s="4" t="str">
        <f>ЛИК_дляСкорингаДП!L583</f>
        <v>45.11.2</v>
      </c>
      <c r="F583" t="str">
        <f>ЛИК_дляСкорингаДП!N583</f>
        <v>45.20.1,45.32.1,43.3,45.11,45.11.1,45.11.2,45.11.3,45.11.31,45.11.39,45.11.4,45.11.41,45.11.49,45.19,45.19.1,45.19.2,45.19.3,45.19.31,45.19.39,45.19.4,45.19.41,45.19.49,45.2,47.24,47.25.2,47.29,47.91.2,49.3,77.11</v>
      </c>
      <c r="G583" s="25" t="str">
        <f>ЛИК_дляСкорингаДП!AG583</f>
        <v>ОСН</v>
      </c>
      <c r="H583" s="55" t="str">
        <f>IF(ISNUMBER(E583),E583,
IFERROR(LEFT(E583,FIND(".",E583)-1),E583))</f>
        <v>45</v>
      </c>
      <c r="I583" s="30">
        <f>IF(COUNTIF(Справочник_ОКВЭД_НР!$A$3:$A$62,H583)&gt;0,Справочник_ОКВЭД_НР!$L$8,
 IF(COUNTIF(Справочник_ОКВЭД_НР!$C$3:$C$62,H583)&gt;0,Справочник_ОКВЭД_НР!$L$9,
  IF(COUNTIF(Справочник_ОКВЭД_НР!$E$3:$E$62,H583)&gt;0,Справочник_ОКВЭД_НР!$L$10,
   IF(COUNTIF(Справочник_ОКВЭД_НР!$G$3:$G$62,H583)&gt;0,Справочник_ОКВЭД_НР!$L$11,50))))</f>
        <v>60</v>
      </c>
      <c r="J583" s="30" cm="1">
        <f t="array" ref="J583">IFERROR(
 (SUMPRODUCT(ISNUMBER(SEARCH(","&amp;Справочник_ОКВЭД_НР!$A$3:$A$62&amp;".",","&amp;SUBSTITUTE(F583," ","")&amp;",")))*Справочник_ОКВЭД_НР!$L$9 +
  SUMPRODUCT(ISNUMBER(SEARCH(","&amp;Справочник_ОКВЭД_НР!$C$3:$C$62&amp;".",","&amp;SUBSTITUTE(F583," ","")&amp;",")))*Справочник_ОКВЭД_НР!$L$10 +
  SUMPRODUCT(ISNUMBER(SEARCH(","&amp;Справочник_ОКВЭД_НР!$E$3:$E$62&amp;".",","&amp;SUBSTITUTE(F583," ","")&amp;",")))*Справочник_ОКВЭД_НР!$L$11 +
  SUMPRODUCT(ISNUMBER(SEARCH(","&amp;Справочник_ОКВЭД_НР!$G$3:$G$62&amp;".",","&amp;SUBSTITUTE(F583," ","")&amp;",")))*Справочник_ОКВЭД_НР!$L$12) /
 (SUMPRODUCT(ISNUMBER(SEARCH(","&amp;Справочник_ОКВЭД_НР!$A$3:$A$62&amp;".",","&amp;SUBSTITUTE(F583," ","")&amp;","))) +
  SUMPRODUCT(ISNUMBER(SEARCH(","&amp;Справочник_ОКВЭД_НР!$C$3:$C$62&amp;".",","&amp;SUBSTITUTE(F583," ","")&amp;","))) +
  SUMPRODUCT(ISNUMBER(SEARCH(","&amp;Справочник_ОКВЭД_НР!$E$3:$E$62&amp;".",","&amp;SUBSTITUTE(F583," ","")&amp;","))) +
  SUMPRODUCT(ISNUMBER(SEARCH(","&amp;Справочник_ОКВЭД_НР!$G$3:$G$62&amp;".",","&amp;SUBSTITUTE(F583," ","")&amp;",")))),
50)</f>
        <v>50</v>
      </c>
      <c r="K583" s="30">
        <f>IFERROR(VLOOKUP(G583,Справочник_ОКВЭД_НР!$O:$P,2,FALSE()),50)</f>
        <v>100</v>
      </c>
      <c r="L583" s="45">
        <f>(I583*Справочник_ОКВЭД_НР!$L$2+J583*Справочник_ОКВЭД_НР!$L$3+K583*Справочник_ОКВЭД_НР!$L$4)*M583</f>
        <v>63.5</v>
      </c>
      <c r="M583" s="47">
        <f>IF(COUNTIF(Справочник_ОКВЭД_НР!$G$3:$G$62,H583)&gt;0,0,1)</f>
        <v>1</v>
      </c>
    </row>
    <row r="584" spans="1:13" x14ac:dyDescent="0.25">
      <c r="A584" s="4">
        <f>ЛИК_дляСкорингаДП!A584</f>
        <v>1101215006254</v>
      </c>
      <c r="B584" s="4">
        <f>ЛИК_дляСкорингаДП!B584</f>
        <v>1215151837</v>
      </c>
      <c r="C584" s="4" t="str">
        <f>ЛИК_дляСкорингаДП!C584</f>
        <v>ООО "СПД "БИРС"</v>
      </c>
      <c r="D584" s="5" t="str">
        <f>ЛИК_дляСкорингаДП!M584</f>
        <v>Производство арматуры трубопроводной (арматуры)</v>
      </c>
      <c r="E584" s="4" t="str">
        <f>ЛИК_дляСкорингаДП!L584</f>
        <v>28.14</v>
      </c>
      <c r="F584" t="str">
        <f>ЛИК_дляСкорингаДП!N584</f>
        <v>27.90,28.29,28.99,46.69,47.5,49.3,49.31.2,49.32,49.4,49.41.3,52.29,68.2,72.19</v>
      </c>
      <c r="G584" s="25" t="str">
        <f>ЛИК_дляСкорингаДП!AG584</f>
        <v>ОСН</v>
      </c>
      <c r="H584" s="55" t="str">
        <f>IF(ISNUMBER(E584),E584,
IFERROR(LEFT(E584,FIND(".",E584)-1),E584))</f>
        <v>28</v>
      </c>
      <c r="I584" s="30">
        <f>IF(COUNTIF(Справочник_ОКВЭД_НР!$A$3:$A$62,H584)&gt;0,Справочник_ОКВЭД_НР!$L$8,
 IF(COUNTIF(Справочник_ОКВЭД_НР!$C$3:$C$62,H584)&gt;0,Справочник_ОКВЭД_НР!$L$9,
  IF(COUNTIF(Справочник_ОКВЭД_НР!$E$3:$E$62,H584)&gt;0,Справочник_ОКВЭД_НР!$L$10,
   IF(COUNTIF(Справочник_ОКВЭД_НР!$G$3:$G$62,H584)&gt;0,Справочник_ОКВЭД_НР!$L$11,50))))</f>
        <v>60</v>
      </c>
      <c r="J584" s="30" cm="1">
        <f t="array" ref="J584">IFERROR(
 (SUMPRODUCT(ISNUMBER(SEARCH(","&amp;Справочник_ОКВЭД_НР!$A$3:$A$62&amp;".",","&amp;SUBSTITUTE(F584," ","")&amp;",")))*Справочник_ОКВЭД_НР!$L$9 +
  SUMPRODUCT(ISNUMBER(SEARCH(","&amp;Справочник_ОКВЭД_НР!$C$3:$C$62&amp;".",","&amp;SUBSTITUTE(F584," ","")&amp;",")))*Справочник_ОКВЭД_НР!$L$10 +
  SUMPRODUCT(ISNUMBER(SEARCH(","&amp;Справочник_ОКВЭД_НР!$E$3:$E$62&amp;".",","&amp;SUBSTITUTE(F584," ","")&amp;",")))*Справочник_ОКВЭД_НР!$L$11 +
  SUMPRODUCT(ISNUMBER(SEARCH(","&amp;Справочник_ОКВЭД_НР!$G$3:$G$62&amp;".",","&amp;SUBSTITUTE(F584," ","")&amp;",")))*Справочник_ОКВЭД_НР!$L$12) /
 (SUMPRODUCT(ISNUMBER(SEARCH(","&amp;Справочник_ОКВЭД_НР!$A$3:$A$62&amp;".",","&amp;SUBSTITUTE(F584," ","")&amp;","))) +
  SUMPRODUCT(ISNUMBER(SEARCH(","&amp;Справочник_ОКВЭД_НР!$C$3:$C$62&amp;".",","&amp;SUBSTITUTE(F584," ","")&amp;","))) +
  SUMPRODUCT(ISNUMBER(SEARCH(","&amp;Справочник_ОКВЭД_НР!$E$3:$E$62&amp;".",","&amp;SUBSTITUTE(F584," ","")&amp;","))) +
  SUMPRODUCT(ISNUMBER(SEARCH(","&amp;Справочник_ОКВЭД_НР!$G$3:$G$62&amp;".",","&amp;SUBSTITUTE(F584," ","")&amp;",")))),
50)</f>
        <v>50</v>
      </c>
      <c r="K584" s="30">
        <f>IFERROR(VLOOKUP(G584,Справочник_ОКВЭД_НР!$O:$P,2,FALSE()),50)</f>
        <v>100</v>
      </c>
      <c r="L584" s="45">
        <f>(I584*Справочник_ОКВЭД_НР!$L$2+J584*Справочник_ОКВЭД_НР!$L$3+K584*Справочник_ОКВЭД_НР!$L$4)*M584</f>
        <v>63.5</v>
      </c>
      <c r="M584" s="47">
        <f>IF(COUNTIF(Справочник_ОКВЭД_НР!$G$3:$G$62,H584)&gt;0,0,1)</f>
        <v>1</v>
      </c>
    </row>
    <row r="585" spans="1:13" x14ac:dyDescent="0.25">
      <c r="A585" s="4">
        <f>ЛИК_дляСкорингаДП!A585</f>
        <v>1082130017859</v>
      </c>
      <c r="B585" s="4">
        <f>ЛИК_дляСкорингаДП!B585</f>
        <v>2130050888</v>
      </c>
      <c r="C585" s="4" t="str">
        <f>ЛИК_дляСкорингаДП!C585</f>
        <v>ООО "СЕРВИС-ЧЕТРА"</v>
      </c>
      <c r="D585" s="5" t="str">
        <f>ЛИК_дляСкорингаДП!M585</f>
        <v>Торговля оптовая прочими машинами и оборудованием</v>
      </c>
      <c r="E585" s="4" t="str">
        <f>ЛИК_дляСкорингаДП!L585</f>
        <v>46.69</v>
      </c>
      <c r="F585" t="str">
        <f>ЛИК_дляСкорингаДП!N585</f>
        <v>29.32,45.20,45.31,46.61,46.63,46.90,85.42</v>
      </c>
      <c r="G585" s="25" t="str">
        <f>ЛИК_дляСкорингаДП!AG585</f>
        <v>ОСН</v>
      </c>
      <c r="H585" s="55" t="str">
        <f>IF(ISNUMBER(E585),E585,
IFERROR(LEFT(E585,FIND(".",E585)-1),E585))</f>
        <v>46</v>
      </c>
      <c r="I585" s="30">
        <f>IF(COUNTIF(Справочник_ОКВЭД_НР!$A$3:$A$62,H585)&gt;0,Справочник_ОКВЭД_НР!$L$8,
 IF(COUNTIF(Справочник_ОКВЭД_НР!$C$3:$C$62,H585)&gt;0,Справочник_ОКВЭД_НР!$L$9,
  IF(COUNTIF(Справочник_ОКВЭД_НР!$E$3:$E$62,H585)&gt;0,Справочник_ОКВЭД_НР!$L$10,
   IF(COUNTIF(Справочник_ОКВЭД_НР!$G$3:$G$62,H585)&gt;0,Справочник_ОКВЭД_НР!$L$11,50))))</f>
        <v>60</v>
      </c>
      <c r="J585" s="30" cm="1">
        <f t="array" ref="J585">IFERROR(
 (SUMPRODUCT(ISNUMBER(SEARCH(","&amp;Справочник_ОКВЭД_НР!$A$3:$A$62&amp;".",","&amp;SUBSTITUTE(F585," ","")&amp;",")))*Справочник_ОКВЭД_НР!$L$9 +
  SUMPRODUCT(ISNUMBER(SEARCH(","&amp;Справочник_ОКВЭД_НР!$C$3:$C$62&amp;".",","&amp;SUBSTITUTE(F585," ","")&amp;",")))*Справочник_ОКВЭД_НР!$L$10 +
  SUMPRODUCT(ISNUMBER(SEARCH(","&amp;Справочник_ОКВЭД_НР!$E$3:$E$62&amp;".",","&amp;SUBSTITUTE(F585," ","")&amp;",")))*Справочник_ОКВЭД_НР!$L$11 +
  SUMPRODUCT(ISNUMBER(SEARCH(","&amp;Справочник_ОКВЭД_НР!$G$3:$G$62&amp;".",","&amp;SUBSTITUTE(F585," ","")&amp;",")))*Справочник_ОКВЭД_НР!$L$12) /
 (SUMPRODUCT(ISNUMBER(SEARCH(","&amp;Справочник_ОКВЭД_НР!$A$3:$A$62&amp;".",","&amp;SUBSTITUTE(F585," ","")&amp;","))) +
  SUMPRODUCT(ISNUMBER(SEARCH(","&amp;Справочник_ОКВЭД_НР!$C$3:$C$62&amp;".",","&amp;SUBSTITUTE(F585," ","")&amp;","))) +
  SUMPRODUCT(ISNUMBER(SEARCH(","&amp;Справочник_ОКВЭД_НР!$E$3:$E$62&amp;".",","&amp;SUBSTITUTE(F585," ","")&amp;","))) +
  SUMPRODUCT(ISNUMBER(SEARCH(","&amp;Справочник_ОКВЭД_НР!$G$3:$G$62&amp;".",","&amp;SUBSTITUTE(F585," ","")&amp;",")))),
50)</f>
        <v>50</v>
      </c>
      <c r="K585" s="30">
        <f>IFERROR(VLOOKUP(G585,Справочник_ОКВЭД_НР!$O:$P,2,FALSE()),50)</f>
        <v>100</v>
      </c>
      <c r="L585" s="45">
        <f>(I585*Справочник_ОКВЭД_НР!$L$2+J585*Справочник_ОКВЭД_НР!$L$3+K585*Справочник_ОКВЭД_НР!$L$4)*M585</f>
        <v>63.5</v>
      </c>
      <c r="M585" s="47">
        <f>IF(COUNTIF(Справочник_ОКВЭД_НР!$G$3:$G$62,H585)&gt;0,0,1)</f>
        <v>1</v>
      </c>
    </row>
    <row r="586" spans="1:13" x14ac:dyDescent="0.25">
      <c r="A586" s="4">
        <f>ЛИК_дляСкорингаДП!A586</f>
        <v>1102130010619</v>
      </c>
      <c r="B586" s="4">
        <f>ЛИК_дляСкорингаДП!B586</f>
        <v>2130078280</v>
      </c>
      <c r="C586" s="4" t="str">
        <f>ЛИК_дляСкорингаДП!C586</f>
        <v>ООО "РЕМТЕХСЕРВИС"</v>
      </c>
      <c r="D586" s="5" t="str">
        <f>ЛИК_дляСкорингаДП!M586</f>
        <v>Литье чугуна</v>
      </c>
      <c r="E586" s="4" t="str">
        <f>ЛИК_дляСкорингаДП!L586</f>
        <v>24.51</v>
      </c>
      <c r="F586" t="str">
        <f>ЛИК_дляСкорингаДП!N586</f>
        <v>16.23,25.99,28.30.8,38.32.2,38.32.3,38.32.4,46.90,49.4,71.1,71.12.5,71.12.6</v>
      </c>
      <c r="G586" s="25" t="str">
        <f>ЛИК_дляСкорингаДП!AG586</f>
        <v>ОСН</v>
      </c>
      <c r="H586" s="55" t="str">
        <f>IF(ISNUMBER(E586),E586,
IFERROR(LEFT(E586,FIND(".",E586)-1),E586))</f>
        <v>24</v>
      </c>
      <c r="I586" s="30">
        <f>IF(COUNTIF(Справочник_ОКВЭД_НР!$A$3:$A$62,H586)&gt;0,Справочник_ОКВЭД_НР!$L$8,
 IF(COUNTIF(Справочник_ОКВЭД_НР!$C$3:$C$62,H586)&gt;0,Справочник_ОКВЭД_НР!$L$9,
  IF(COUNTIF(Справочник_ОКВЭД_НР!$E$3:$E$62,H586)&gt;0,Справочник_ОКВЭД_НР!$L$10,
   IF(COUNTIF(Справочник_ОКВЭД_НР!$G$3:$G$62,H586)&gt;0,Справочник_ОКВЭД_НР!$L$11,50))))</f>
        <v>60</v>
      </c>
      <c r="J586" s="30" cm="1">
        <f t="array" ref="J586">IFERROR(
 (SUMPRODUCT(ISNUMBER(SEARCH(","&amp;Справочник_ОКВЭД_НР!$A$3:$A$62&amp;".",","&amp;SUBSTITUTE(F586," ","")&amp;",")))*Справочник_ОКВЭД_НР!$L$9 +
  SUMPRODUCT(ISNUMBER(SEARCH(","&amp;Справочник_ОКВЭД_НР!$C$3:$C$62&amp;".",","&amp;SUBSTITUTE(F586," ","")&amp;",")))*Справочник_ОКВЭД_НР!$L$10 +
  SUMPRODUCT(ISNUMBER(SEARCH(","&amp;Справочник_ОКВЭД_НР!$E$3:$E$62&amp;".",","&amp;SUBSTITUTE(F586," ","")&amp;",")))*Справочник_ОКВЭД_НР!$L$11 +
  SUMPRODUCT(ISNUMBER(SEARCH(","&amp;Справочник_ОКВЭД_НР!$G$3:$G$62&amp;".",","&amp;SUBSTITUTE(F586," ","")&amp;",")))*Справочник_ОКВЭД_НР!$L$12) /
 (SUMPRODUCT(ISNUMBER(SEARCH(","&amp;Справочник_ОКВЭД_НР!$A$3:$A$62&amp;".",","&amp;SUBSTITUTE(F586," ","")&amp;","))) +
  SUMPRODUCT(ISNUMBER(SEARCH(","&amp;Справочник_ОКВЭД_НР!$C$3:$C$62&amp;".",","&amp;SUBSTITUTE(F586," ","")&amp;","))) +
  SUMPRODUCT(ISNUMBER(SEARCH(","&amp;Справочник_ОКВЭД_НР!$E$3:$E$62&amp;".",","&amp;SUBSTITUTE(F586," ","")&amp;","))) +
  SUMPRODUCT(ISNUMBER(SEARCH(","&amp;Справочник_ОКВЭД_НР!$G$3:$G$62&amp;".",","&amp;SUBSTITUTE(F586," ","")&amp;",")))),
50)</f>
        <v>50</v>
      </c>
      <c r="K586" s="30">
        <f>IFERROR(VLOOKUP(G586,Справочник_ОКВЭД_НР!$O:$P,2,FALSE()),50)</f>
        <v>100</v>
      </c>
      <c r="L586" s="45">
        <f>(I586*Справочник_ОКВЭД_НР!$L$2+J586*Справочник_ОКВЭД_НР!$L$3+K586*Справочник_ОКВЭД_НР!$L$4)*M586</f>
        <v>63.5</v>
      </c>
      <c r="M586" s="47">
        <f>IF(COUNTIF(Справочник_ОКВЭД_НР!$G$3:$G$62,H586)&gt;0,0,1)</f>
        <v>1</v>
      </c>
    </row>
    <row r="587" spans="1:13" x14ac:dyDescent="0.25">
      <c r="A587" s="4">
        <f>ЛИК_дляСкорингаДП!A587</f>
        <v>1102130002402</v>
      </c>
      <c r="B587" s="4">
        <f>ЛИК_дляСкорингаДП!B587</f>
        <v>2130069617</v>
      </c>
      <c r="C587" s="4" t="str">
        <f>ЛИК_дляСкорингаДП!C587</f>
        <v>ООО "ТД "ЦЕРЕРА-МЕБЕЛЬ"</v>
      </c>
      <c r="D587" s="5" t="str">
        <f>ЛИК_дляСкорингаДП!M587</f>
        <v>Торговля оптовая неспециализированная</v>
      </c>
      <c r="E587" s="4" t="str">
        <f>ЛИК_дляСкорингаДП!L587</f>
        <v>46.90</v>
      </c>
      <c r="F587" t="str">
        <f>ЛИК_дляСкорингаДП!N587</f>
        <v>46.1,46.47.1,46.65,46.90</v>
      </c>
      <c r="G587" s="25" t="str">
        <f>ЛИК_дляСкорингаДП!AG587</f>
        <v>ОСН</v>
      </c>
      <c r="H587" s="55" t="str">
        <f>IF(ISNUMBER(E587),E587,
IFERROR(LEFT(E587,FIND(".",E587)-1),E587))</f>
        <v>46</v>
      </c>
      <c r="I587" s="30">
        <f>IF(COUNTIF(Справочник_ОКВЭД_НР!$A$3:$A$62,H587)&gt;0,Справочник_ОКВЭД_НР!$L$8,
 IF(COUNTIF(Справочник_ОКВЭД_НР!$C$3:$C$62,H587)&gt;0,Справочник_ОКВЭД_НР!$L$9,
  IF(COUNTIF(Справочник_ОКВЭД_НР!$E$3:$E$62,H587)&gt;0,Справочник_ОКВЭД_НР!$L$10,
   IF(COUNTIF(Справочник_ОКВЭД_НР!$G$3:$G$62,H587)&gt;0,Справочник_ОКВЭД_НР!$L$11,50))))</f>
        <v>60</v>
      </c>
      <c r="J587" s="30" cm="1">
        <f t="array" ref="J587">IFERROR(
 (SUMPRODUCT(ISNUMBER(SEARCH(","&amp;Справочник_ОКВЭД_НР!$A$3:$A$62&amp;".",","&amp;SUBSTITUTE(F587," ","")&amp;",")))*Справочник_ОКВЭД_НР!$L$9 +
  SUMPRODUCT(ISNUMBER(SEARCH(","&amp;Справочник_ОКВЭД_НР!$C$3:$C$62&amp;".",","&amp;SUBSTITUTE(F587," ","")&amp;",")))*Справочник_ОКВЭД_НР!$L$10 +
  SUMPRODUCT(ISNUMBER(SEARCH(","&amp;Справочник_ОКВЭД_НР!$E$3:$E$62&amp;".",","&amp;SUBSTITUTE(F587," ","")&amp;",")))*Справочник_ОКВЭД_НР!$L$11 +
  SUMPRODUCT(ISNUMBER(SEARCH(","&amp;Справочник_ОКВЭД_НР!$G$3:$G$62&amp;".",","&amp;SUBSTITUTE(F587," ","")&amp;",")))*Справочник_ОКВЭД_НР!$L$12) /
 (SUMPRODUCT(ISNUMBER(SEARCH(","&amp;Справочник_ОКВЭД_НР!$A$3:$A$62&amp;".",","&amp;SUBSTITUTE(F587," ","")&amp;","))) +
  SUMPRODUCT(ISNUMBER(SEARCH(","&amp;Справочник_ОКВЭД_НР!$C$3:$C$62&amp;".",","&amp;SUBSTITUTE(F587," ","")&amp;","))) +
  SUMPRODUCT(ISNUMBER(SEARCH(","&amp;Справочник_ОКВЭД_НР!$E$3:$E$62&amp;".",","&amp;SUBSTITUTE(F587," ","")&amp;","))) +
  SUMPRODUCT(ISNUMBER(SEARCH(","&amp;Справочник_ОКВЭД_НР!$G$3:$G$62&amp;".",","&amp;SUBSTITUTE(F587," ","")&amp;",")))),
50)</f>
        <v>50</v>
      </c>
      <c r="K587" s="30">
        <f>IFERROR(VLOOKUP(G587,Справочник_ОКВЭД_НР!$O:$P,2,FALSE()),50)</f>
        <v>100</v>
      </c>
      <c r="L587" s="45">
        <f>(I587*Справочник_ОКВЭД_НР!$L$2+J587*Справочник_ОКВЭД_НР!$L$3+K587*Справочник_ОКВЭД_НР!$L$4)*M587</f>
        <v>63.5</v>
      </c>
      <c r="M587" s="47">
        <f>IF(COUNTIF(Справочник_ОКВЭД_НР!$G$3:$G$62,H587)&gt;0,0,1)</f>
        <v>1</v>
      </c>
    </row>
    <row r="588" spans="1:13" x14ac:dyDescent="0.25">
      <c r="A588" s="4">
        <f>ЛИК_дляСкорингаДП!A588</f>
        <v>1092130009454</v>
      </c>
      <c r="B588" s="4">
        <f>ЛИК_дляСкорингаДП!B588</f>
        <v>2130061985</v>
      </c>
      <c r="C588" s="4" t="str">
        <f>ЛИК_дляСкорингаДП!C588</f>
        <v>ООО "СПЕЦВАГОНДЕТАЛЬ"</v>
      </c>
      <c r="D588" s="5" t="str">
        <f>ЛИК_дляСкорингаДП!M588</f>
        <v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</v>
      </c>
      <c r="E588" s="4" t="str">
        <f>ЛИК_дляСкорингаДП!L588</f>
        <v>30.20.4</v>
      </c>
      <c r="F588" t="str">
        <f>ЛИК_дляСкорингаДП!N588</f>
        <v>24.10.1,24.10.9,24.51,24.52,24.53,24.54,25.1,25.12,25.9,38.32.2,38.32.3,38.32.4,46.1,46.12.2,46.12.22,46.90</v>
      </c>
      <c r="G588" s="25" t="str">
        <f>ЛИК_дляСкорингаДП!AG588</f>
        <v>ОСН</v>
      </c>
      <c r="H588" s="55" t="str">
        <f>IF(ISNUMBER(E588),E588,
IFERROR(LEFT(E588,FIND(".",E588)-1),E588))</f>
        <v>30</v>
      </c>
      <c r="I588" s="30">
        <f>IF(COUNTIF(Справочник_ОКВЭД_НР!$A$3:$A$62,H588)&gt;0,Справочник_ОКВЭД_НР!$L$8,
 IF(COUNTIF(Справочник_ОКВЭД_НР!$C$3:$C$62,H588)&gt;0,Справочник_ОКВЭД_НР!$L$9,
  IF(COUNTIF(Справочник_ОКВЭД_НР!$E$3:$E$62,H588)&gt;0,Справочник_ОКВЭД_НР!$L$10,
   IF(COUNTIF(Справочник_ОКВЭД_НР!$G$3:$G$62,H588)&gt;0,Справочник_ОКВЭД_НР!$L$11,50))))</f>
        <v>60</v>
      </c>
      <c r="J588" s="30" cm="1">
        <f t="array" ref="J588">IFERROR(
 (SUMPRODUCT(ISNUMBER(SEARCH(","&amp;Справочник_ОКВЭД_НР!$A$3:$A$62&amp;".",","&amp;SUBSTITUTE(F588," ","")&amp;",")))*Справочник_ОКВЭД_НР!$L$9 +
  SUMPRODUCT(ISNUMBER(SEARCH(","&amp;Справочник_ОКВЭД_НР!$C$3:$C$62&amp;".",","&amp;SUBSTITUTE(F588," ","")&amp;",")))*Справочник_ОКВЭД_НР!$L$10 +
  SUMPRODUCT(ISNUMBER(SEARCH(","&amp;Справочник_ОКВЭД_НР!$E$3:$E$62&amp;".",","&amp;SUBSTITUTE(F588," ","")&amp;",")))*Справочник_ОКВЭД_НР!$L$11 +
  SUMPRODUCT(ISNUMBER(SEARCH(","&amp;Справочник_ОКВЭД_НР!$G$3:$G$62&amp;".",","&amp;SUBSTITUTE(F588," ","")&amp;",")))*Справочник_ОКВЭД_НР!$L$12) /
 (SUMPRODUCT(ISNUMBER(SEARCH(","&amp;Справочник_ОКВЭД_НР!$A$3:$A$62&amp;".",","&amp;SUBSTITUTE(F588," ","")&amp;","))) +
  SUMPRODUCT(ISNUMBER(SEARCH(","&amp;Справочник_ОКВЭД_НР!$C$3:$C$62&amp;".",","&amp;SUBSTITUTE(F588," ","")&amp;","))) +
  SUMPRODUCT(ISNUMBER(SEARCH(","&amp;Справочник_ОКВЭД_НР!$E$3:$E$62&amp;".",","&amp;SUBSTITUTE(F588," ","")&amp;","))) +
  SUMPRODUCT(ISNUMBER(SEARCH(","&amp;Справочник_ОКВЭД_НР!$G$3:$G$62&amp;".",","&amp;SUBSTITUTE(F588," ","")&amp;",")))),
50)</f>
        <v>50</v>
      </c>
      <c r="K588" s="30">
        <f>IFERROR(VLOOKUP(G588,Справочник_ОКВЭД_НР!$O:$P,2,FALSE()),50)</f>
        <v>100</v>
      </c>
      <c r="L588" s="45">
        <f>(I588*Справочник_ОКВЭД_НР!$L$2+J588*Справочник_ОКВЭД_НР!$L$3+K588*Справочник_ОКВЭД_НР!$L$4)*M588</f>
        <v>63.5</v>
      </c>
      <c r="M588" s="47">
        <f>IF(COUNTIF(Справочник_ОКВЭД_НР!$G$3:$G$62,H588)&gt;0,0,1)</f>
        <v>1</v>
      </c>
    </row>
    <row r="589" spans="1:13" x14ac:dyDescent="0.25">
      <c r="A589" s="4">
        <f>ЛИК_дляСкорингаДП!A589</f>
        <v>1112124000669</v>
      </c>
      <c r="B589" s="4">
        <f>ЛИК_дляСкорингаДП!B589</f>
        <v>2124034454</v>
      </c>
      <c r="C589" s="4" t="str">
        <f>ЛИК_дляСкорингаДП!C589</f>
        <v>ООО "ЗВЕЗДА 21"</v>
      </c>
      <c r="D589" s="5" t="str">
        <f>ЛИК_дляСкорингаДП!M589</f>
        <v>Торговля оптовая пивом</v>
      </c>
      <c r="E589" s="4" t="str">
        <f>ЛИК_дляСкорингаДП!L589</f>
        <v>46.34.23</v>
      </c>
      <c r="F589" t="str">
        <f>ЛИК_дляСкорингаДП!N589</f>
        <v>46.1,46.3,46.4,47.11.2,47.19,47.25.1,47.25.12,49.3,49.41,52.10,52.24,52.29,73.11</v>
      </c>
      <c r="G589" s="25" t="str">
        <f>ЛИК_дляСкорингаДП!AG589</f>
        <v>ОСН</v>
      </c>
      <c r="H589" s="55" t="str">
        <f>IF(ISNUMBER(E589),E589,
IFERROR(LEFT(E589,FIND(".",E589)-1),E589))</f>
        <v>46</v>
      </c>
      <c r="I589" s="30">
        <f>IF(COUNTIF(Справочник_ОКВЭД_НР!$A$3:$A$62,H589)&gt;0,Справочник_ОКВЭД_НР!$L$8,
 IF(COUNTIF(Справочник_ОКВЭД_НР!$C$3:$C$62,H589)&gt;0,Справочник_ОКВЭД_НР!$L$9,
  IF(COUNTIF(Справочник_ОКВЭД_НР!$E$3:$E$62,H589)&gt;0,Справочник_ОКВЭД_НР!$L$10,
   IF(COUNTIF(Справочник_ОКВЭД_НР!$G$3:$G$62,H589)&gt;0,Справочник_ОКВЭД_НР!$L$11,50))))</f>
        <v>60</v>
      </c>
      <c r="J589" s="30" cm="1">
        <f t="array" ref="J589">IFERROR(
 (SUMPRODUCT(ISNUMBER(SEARCH(","&amp;Справочник_ОКВЭД_НР!$A$3:$A$62&amp;".",","&amp;SUBSTITUTE(F589," ","")&amp;",")))*Справочник_ОКВЭД_НР!$L$9 +
  SUMPRODUCT(ISNUMBER(SEARCH(","&amp;Справочник_ОКВЭД_НР!$C$3:$C$62&amp;".",","&amp;SUBSTITUTE(F589," ","")&amp;",")))*Справочник_ОКВЭД_НР!$L$10 +
  SUMPRODUCT(ISNUMBER(SEARCH(","&amp;Справочник_ОКВЭД_НР!$E$3:$E$62&amp;".",","&amp;SUBSTITUTE(F589," ","")&amp;",")))*Справочник_ОКВЭД_НР!$L$11 +
  SUMPRODUCT(ISNUMBER(SEARCH(","&amp;Справочник_ОКВЭД_НР!$G$3:$G$62&amp;".",","&amp;SUBSTITUTE(F589," ","")&amp;",")))*Справочник_ОКВЭД_НР!$L$12) /
 (SUMPRODUCT(ISNUMBER(SEARCH(","&amp;Справочник_ОКВЭД_НР!$A$3:$A$62&amp;".",","&amp;SUBSTITUTE(F589," ","")&amp;","))) +
  SUMPRODUCT(ISNUMBER(SEARCH(","&amp;Справочник_ОКВЭД_НР!$C$3:$C$62&amp;".",","&amp;SUBSTITUTE(F589," ","")&amp;","))) +
  SUMPRODUCT(ISNUMBER(SEARCH(","&amp;Справочник_ОКВЭД_НР!$E$3:$E$62&amp;".",","&amp;SUBSTITUTE(F589," ","")&amp;","))) +
  SUMPRODUCT(ISNUMBER(SEARCH(","&amp;Справочник_ОКВЭД_НР!$G$3:$G$62&amp;".",","&amp;SUBSTITUTE(F589," ","")&amp;",")))),
50)</f>
        <v>50</v>
      </c>
      <c r="K589" s="30">
        <f>IFERROR(VLOOKUP(G589,Справочник_ОКВЭД_НР!$O:$P,2,FALSE()),50)</f>
        <v>100</v>
      </c>
      <c r="L589" s="45">
        <f>(I589*Справочник_ОКВЭД_НР!$L$2+J589*Справочник_ОКВЭД_НР!$L$3+K589*Справочник_ОКВЭД_НР!$L$4)*M589</f>
        <v>63.5</v>
      </c>
      <c r="M589" s="47">
        <f>IF(COUNTIF(Справочник_ОКВЭД_НР!$G$3:$G$62,H589)&gt;0,0,1)</f>
        <v>1</v>
      </c>
    </row>
    <row r="590" spans="1:13" x14ac:dyDescent="0.25">
      <c r="A590" s="4">
        <f>ЛИК_дляСкорингаДП!A590</f>
        <v>1132130013355</v>
      </c>
      <c r="B590" s="4">
        <f>ЛИК_дляСкорингаДП!B590</f>
        <v>2130126625</v>
      </c>
      <c r="C590" s="4" t="str">
        <f>ЛИК_дляСкорингаДП!C590</f>
        <v>ООО "РЕЙН МОТОРС"</v>
      </c>
      <c r="D590" s="5" t="str">
        <f>ЛИК_дляСкорингаДП!M590</f>
        <v>Торговля розничная легковыми автомобилями и легкими автотранспортными средствами в специализированных магазинах</v>
      </c>
      <c r="E590" s="4" t="str">
        <f>ЛИК_дляСкорингаДП!L590</f>
        <v>45.11.2</v>
      </c>
      <c r="F590" t="str">
        <f>ЛИК_дляСкорингаДП!N590</f>
        <v>16.10.1,16.10.2,16.10.3,45.11,45.11.1,45.11.3,45.11.31,45.11.39,45.11.4,45.11.41,45.11.49,45.19,45.19.1,45.19.2,45.19.3,45.19.31,45.19.39,45.19.4,45.19.41,45.19.49,45.20,45.20.1,45.20.2,45.3</v>
      </c>
      <c r="G590" s="25" t="str">
        <f>ЛИК_дляСкорингаДП!AG590</f>
        <v>ОСН</v>
      </c>
      <c r="H590" s="55" t="str">
        <f>IF(ISNUMBER(E590),E590,
IFERROR(LEFT(E590,FIND(".",E590)-1),E590))</f>
        <v>45</v>
      </c>
      <c r="I590" s="30">
        <f>IF(COUNTIF(Справочник_ОКВЭД_НР!$A$3:$A$62,H590)&gt;0,Справочник_ОКВЭД_НР!$L$8,
 IF(COUNTIF(Справочник_ОКВЭД_НР!$C$3:$C$62,H590)&gt;0,Справочник_ОКВЭД_НР!$L$9,
  IF(COUNTIF(Справочник_ОКВЭД_НР!$E$3:$E$62,H590)&gt;0,Справочник_ОКВЭД_НР!$L$10,
   IF(COUNTIF(Справочник_ОКВЭД_НР!$G$3:$G$62,H590)&gt;0,Справочник_ОКВЭД_НР!$L$11,50))))</f>
        <v>60</v>
      </c>
      <c r="J590" s="30" cm="1">
        <f t="array" ref="J590">IFERROR(
 (SUMPRODUCT(ISNUMBER(SEARCH(","&amp;Справочник_ОКВЭД_НР!$A$3:$A$62&amp;".",","&amp;SUBSTITUTE(F590," ","")&amp;",")))*Справочник_ОКВЭД_НР!$L$9 +
  SUMPRODUCT(ISNUMBER(SEARCH(","&amp;Справочник_ОКВЭД_НР!$C$3:$C$62&amp;".",","&amp;SUBSTITUTE(F590," ","")&amp;",")))*Справочник_ОКВЭД_НР!$L$10 +
  SUMPRODUCT(ISNUMBER(SEARCH(","&amp;Справочник_ОКВЭД_НР!$E$3:$E$62&amp;".",","&amp;SUBSTITUTE(F590," ","")&amp;",")))*Справочник_ОКВЭД_НР!$L$11 +
  SUMPRODUCT(ISNUMBER(SEARCH(","&amp;Справочник_ОКВЭД_НР!$G$3:$G$62&amp;".",","&amp;SUBSTITUTE(F590," ","")&amp;",")))*Справочник_ОКВЭД_НР!$L$12) /
 (SUMPRODUCT(ISNUMBER(SEARCH(","&amp;Справочник_ОКВЭД_НР!$A$3:$A$62&amp;".",","&amp;SUBSTITUTE(F590," ","")&amp;","))) +
  SUMPRODUCT(ISNUMBER(SEARCH(","&amp;Справочник_ОКВЭД_НР!$C$3:$C$62&amp;".",","&amp;SUBSTITUTE(F590," ","")&amp;","))) +
  SUMPRODUCT(ISNUMBER(SEARCH(","&amp;Справочник_ОКВЭД_НР!$E$3:$E$62&amp;".",","&amp;SUBSTITUTE(F590," ","")&amp;","))) +
  SUMPRODUCT(ISNUMBER(SEARCH(","&amp;Справочник_ОКВЭД_НР!$G$3:$G$62&amp;".",","&amp;SUBSTITUTE(F590," ","")&amp;",")))),
50)</f>
        <v>50</v>
      </c>
      <c r="K590" s="30">
        <f>IFERROR(VLOOKUP(G590,Справочник_ОКВЭД_НР!$O:$P,2,FALSE()),50)</f>
        <v>100</v>
      </c>
      <c r="L590" s="45">
        <f>(I590*Справочник_ОКВЭД_НР!$L$2+J590*Справочник_ОКВЭД_НР!$L$3+K590*Справочник_ОКВЭД_НР!$L$4)*M590</f>
        <v>63.5</v>
      </c>
      <c r="M590" s="47">
        <f>IF(COUNTIF(Справочник_ОКВЭД_НР!$G$3:$G$62,H590)&gt;0,0,1)</f>
        <v>1</v>
      </c>
    </row>
    <row r="591" spans="1:13" x14ac:dyDescent="0.25">
      <c r="A591" s="4">
        <f>ЛИК_дляСкорингаДП!A591</f>
        <v>1152130011912</v>
      </c>
      <c r="B591" s="4">
        <f>ЛИК_дляСкорингаДП!B591</f>
        <v>2130160270</v>
      </c>
      <c r="C591" s="4" t="str">
        <f>ЛИК_дляСкорингаДП!C591</f>
        <v>ООО "РИШЕ"</v>
      </c>
      <c r="D591" s="5" t="str">
        <f>ЛИК_дляСкорингаДП!M591</f>
        <v>Производство парфюмерных и косметических средств</v>
      </c>
      <c r="E591" s="4" t="str">
        <f>ЛИК_дляСкорингаДП!L591</f>
        <v>20.42</v>
      </c>
      <c r="F591" t="str">
        <f>ЛИК_дляСкорингаДП!N591</f>
        <v>46.45,46.45.1,46.45.2,46.90,47.29.35,47.75,47.75.1,47.75.2,47.91,47.91.1,47.91.3,47.91.4,47.99,52.21.24</v>
      </c>
      <c r="G591" s="25" t="str">
        <f>ЛИК_дляСкорингаДП!AG591</f>
        <v>ОСН</v>
      </c>
      <c r="H591" s="55" t="str">
        <f>IF(ISNUMBER(E591),E591,
IFERROR(LEFT(E591,FIND(".",E591)-1),E591))</f>
        <v>20</v>
      </c>
      <c r="I591" s="30">
        <f>IF(COUNTIF(Справочник_ОКВЭД_НР!$A$3:$A$62,H591)&gt;0,Справочник_ОКВЭД_НР!$L$8,
 IF(COUNTIF(Справочник_ОКВЭД_НР!$C$3:$C$62,H591)&gt;0,Справочник_ОКВЭД_НР!$L$9,
  IF(COUNTIF(Справочник_ОКВЭД_НР!$E$3:$E$62,H591)&gt;0,Справочник_ОКВЭД_НР!$L$10,
   IF(COUNTIF(Справочник_ОКВЭД_НР!$G$3:$G$62,H591)&gt;0,Справочник_ОКВЭД_НР!$L$11,50))))</f>
        <v>60</v>
      </c>
      <c r="J591" s="30" cm="1">
        <f t="array" ref="J591">IFERROR(
 (SUMPRODUCT(ISNUMBER(SEARCH(","&amp;Справочник_ОКВЭД_НР!$A$3:$A$62&amp;".",","&amp;SUBSTITUTE(F591," ","")&amp;",")))*Справочник_ОКВЭД_НР!$L$9 +
  SUMPRODUCT(ISNUMBER(SEARCH(","&amp;Справочник_ОКВЭД_НР!$C$3:$C$62&amp;".",","&amp;SUBSTITUTE(F591," ","")&amp;",")))*Справочник_ОКВЭД_НР!$L$10 +
  SUMPRODUCT(ISNUMBER(SEARCH(","&amp;Справочник_ОКВЭД_НР!$E$3:$E$62&amp;".",","&amp;SUBSTITUTE(F591," ","")&amp;",")))*Справочник_ОКВЭД_НР!$L$11 +
  SUMPRODUCT(ISNUMBER(SEARCH(","&amp;Справочник_ОКВЭД_НР!$G$3:$G$62&amp;".",","&amp;SUBSTITUTE(F591," ","")&amp;",")))*Справочник_ОКВЭД_НР!$L$12) /
 (SUMPRODUCT(ISNUMBER(SEARCH(","&amp;Справочник_ОКВЭД_НР!$A$3:$A$62&amp;".",","&amp;SUBSTITUTE(F591," ","")&amp;","))) +
  SUMPRODUCT(ISNUMBER(SEARCH(","&amp;Справочник_ОКВЭД_НР!$C$3:$C$62&amp;".",","&amp;SUBSTITUTE(F591," ","")&amp;","))) +
  SUMPRODUCT(ISNUMBER(SEARCH(","&amp;Справочник_ОКВЭД_НР!$E$3:$E$62&amp;".",","&amp;SUBSTITUTE(F591," ","")&amp;","))) +
  SUMPRODUCT(ISNUMBER(SEARCH(","&amp;Справочник_ОКВЭД_НР!$G$3:$G$62&amp;".",","&amp;SUBSTITUTE(F591," ","")&amp;",")))),
50)</f>
        <v>50</v>
      </c>
      <c r="K591" s="30">
        <f>IFERROR(VLOOKUP(G591,Справочник_ОКВЭД_НР!$O:$P,2,FALSE()),50)</f>
        <v>100</v>
      </c>
      <c r="L591" s="45">
        <f>(I591*Справочник_ОКВЭД_НР!$L$2+J591*Справочник_ОКВЭД_НР!$L$3+K591*Справочник_ОКВЭД_НР!$L$4)*M591</f>
        <v>63.5</v>
      </c>
      <c r="M591" s="47">
        <f>IF(COUNTIF(Справочник_ОКВЭД_НР!$G$3:$G$62,H591)&gt;0,0,1)</f>
        <v>1</v>
      </c>
    </row>
    <row r="592" spans="1:13" x14ac:dyDescent="0.25">
      <c r="A592" s="4">
        <f>ЛИК_дляСкорингаДП!A592</f>
        <v>1152130013397</v>
      </c>
      <c r="B592" s="4">
        <f>ЛИК_дляСкорингаДП!B592</f>
        <v>2130161764</v>
      </c>
      <c r="C592" s="4" t="str">
        <f>ЛИК_дляСкорингаДП!C592</f>
        <v>ООО ТД "СМАРТ - ВТОРМЕТ"</v>
      </c>
      <c r="D592" s="5" t="str">
        <f>ЛИК_дляСкорингаДП!M592</f>
        <v>Торговля оптовая отходами и ломом</v>
      </c>
      <c r="E592" s="4" t="str">
        <f>ЛИК_дляСкорингаДП!L592</f>
        <v>46.77</v>
      </c>
      <c r="F592" t="str">
        <f>ЛИК_дляСкорингаДП!N592</f>
        <v>38.32.3,38.32.4,46.21,46.21.11,46.21.12,46.21.13,46.21.14,46.21.19,46.22,46.23,46.24,49.41,49.41.1,49.41.2,49.41.3,49.42,50.40,50.40.1,50.40.3</v>
      </c>
      <c r="G592" s="25" t="str">
        <f>ЛИК_дляСкорингаДП!AG592</f>
        <v>ОСН</v>
      </c>
      <c r="H592" s="55" t="str">
        <f>IF(ISNUMBER(E592),E592,
IFERROR(LEFT(E592,FIND(".",E592)-1),E592))</f>
        <v>46</v>
      </c>
      <c r="I592" s="30">
        <f>IF(COUNTIF(Справочник_ОКВЭД_НР!$A$3:$A$62,H592)&gt;0,Справочник_ОКВЭД_НР!$L$8,
 IF(COUNTIF(Справочник_ОКВЭД_НР!$C$3:$C$62,H592)&gt;0,Справочник_ОКВЭД_НР!$L$9,
  IF(COUNTIF(Справочник_ОКВЭД_НР!$E$3:$E$62,H592)&gt;0,Справочник_ОКВЭД_НР!$L$10,
   IF(COUNTIF(Справочник_ОКВЭД_НР!$G$3:$G$62,H592)&gt;0,Справочник_ОКВЭД_НР!$L$11,50))))</f>
        <v>60</v>
      </c>
      <c r="J592" s="30" cm="1">
        <f t="array" ref="J592">IFERROR(
 (SUMPRODUCT(ISNUMBER(SEARCH(","&amp;Справочник_ОКВЭД_НР!$A$3:$A$62&amp;".",","&amp;SUBSTITUTE(F592," ","")&amp;",")))*Справочник_ОКВЭД_НР!$L$9 +
  SUMPRODUCT(ISNUMBER(SEARCH(","&amp;Справочник_ОКВЭД_НР!$C$3:$C$62&amp;".",","&amp;SUBSTITUTE(F592," ","")&amp;",")))*Справочник_ОКВЭД_НР!$L$10 +
  SUMPRODUCT(ISNUMBER(SEARCH(","&amp;Справочник_ОКВЭД_НР!$E$3:$E$62&amp;".",","&amp;SUBSTITUTE(F592," ","")&amp;",")))*Справочник_ОКВЭД_НР!$L$11 +
  SUMPRODUCT(ISNUMBER(SEARCH(","&amp;Справочник_ОКВЭД_НР!$G$3:$G$62&amp;".",","&amp;SUBSTITUTE(F592," ","")&amp;",")))*Справочник_ОКВЭД_НР!$L$12) /
 (SUMPRODUCT(ISNUMBER(SEARCH(","&amp;Справочник_ОКВЭД_НР!$A$3:$A$62&amp;".",","&amp;SUBSTITUTE(F592," ","")&amp;","))) +
  SUMPRODUCT(ISNUMBER(SEARCH(","&amp;Справочник_ОКВЭД_НР!$C$3:$C$62&amp;".",","&amp;SUBSTITUTE(F592," ","")&amp;","))) +
  SUMPRODUCT(ISNUMBER(SEARCH(","&amp;Справочник_ОКВЭД_НР!$E$3:$E$62&amp;".",","&amp;SUBSTITUTE(F592," ","")&amp;","))) +
  SUMPRODUCT(ISNUMBER(SEARCH(","&amp;Справочник_ОКВЭД_НР!$G$3:$G$62&amp;".",","&amp;SUBSTITUTE(F592," ","")&amp;",")))),
50)</f>
        <v>50</v>
      </c>
      <c r="K592" s="30">
        <f>IFERROR(VLOOKUP(G592,Справочник_ОКВЭД_НР!$O:$P,2,FALSE()),50)</f>
        <v>100</v>
      </c>
      <c r="L592" s="45">
        <f>(I592*Справочник_ОКВЭД_НР!$L$2+J592*Справочник_ОКВЭД_НР!$L$3+K592*Справочник_ОКВЭД_НР!$L$4)*M592</f>
        <v>63.5</v>
      </c>
      <c r="M592" s="47">
        <f>IF(COUNTIF(Справочник_ОКВЭД_НР!$G$3:$G$62,H592)&gt;0,0,1)</f>
        <v>1</v>
      </c>
    </row>
    <row r="593" spans="1:13" x14ac:dyDescent="0.25">
      <c r="A593" s="4">
        <f>ЛИК_дляСкорингаДП!A593</f>
        <v>1162130069749</v>
      </c>
      <c r="B593" s="4">
        <f>ЛИК_дляСкорингаДП!B593</f>
        <v>2130181577</v>
      </c>
      <c r="C593" s="4" t="str">
        <f>ЛИК_дляСкорингаДП!C593</f>
        <v>ООО "ЧГМЗ"</v>
      </c>
      <c r="D593" s="5" t="str">
        <f>ЛИК_дляСкорингаДП!M593</f>
        <v>Производство питьевого молока и питьевых сливок</v>
      </c>
      <c r="E593" s="4" t="str">
        <f>ЛИК_дляСкорингаДП!L593</f>
        <v>10.51.1</v>
      </c>
      <c r="F593" t="str">
        <f>ЛИК_дляСкорингаДП!N593</f>
        <v>10.51,10.51.2,10.51.3,10.51.9,46.33.1,46.33.3,47.29.1,47.29.21</v>
      </c>
      <c r="G593" s="25" t="str">
        <f>ЛИК_дляСкорингаДП!AG593</f>
        <v>ОСН</v>
      </c>
      <c r="H593" s="55" t="str">
        <f>IF(ISNUMBER(E593),E593,
IFERROR(LEFT(E593,FIND(".",E593)-1),E593))</f>
        <v>10</v>
      </c>
      <c r="I593" s="30">
        <f>IF(COUNTIF(Справочник_ОКВЭД_НР!$A$3:$A$62,H593)&gt;0,Справочник_ОКВЭД_НР!$L$8,
 IF(COUNTIF(Справочник_ОКВЭД_НР!$C$3:$C$62,H593)&gt;0,Справочник_ОКВЭД_НР!$L$9,
  IF(COUNTIF(Справочник_ОКВЭД_НР!$E$3:$E$62,H593)&gt;0,Справочник_ОКВЭД_НР!$L$10,
   IF(COUNTIF(Справочник_ОКВЭД_НР!$G$3:$G$62,H593)&gt;0,Справочник_ОКВЭД_НР!$L$11,50))))</f>
        <v>100</v>
      </c>
      <c r="J593" s="30" cm="1">
        <f t="array" ref="J593">IFERROR(
 (SUMPRODUCT(ISNUMBER(SEARCH(","&amp;Справочник_ОКВЭД_НР!$A$3:$A$62&amp;".",","&amp;SUBSTITUTE(F593," ","")&amp;",")))*Справочник_ОКВЭД_НР!$L$9 +
  SUMPRODUCT(ISNUMBER(SEARCH(","&amp;Справочник_ОКВЭД_НР!$C$3:$C$62&amp;".",","&amp;SUBSTITUTE(F593," ","")&amp;",")))*Справочник_ОКВЭД_НР!$L$10 +
  SUMPRODUCT(ISNUMBER(SEARCH(","&amp;Справочник_ОКВЭД_НР!$E$3:$E$62&amp;".",","&amp;SUBSTITUTE(F593," ","")&amp;",")))*Справочник_ОКВЭД_НР!$L$11 +
  SUMPRODUCT(ISNUMBER(SEARCH(","&amp;Справочник_ОКВЭД_НР!$G$3:$G$62&amp;".",","&amp;SUBSTITUTE(F593," ","")&amp;",")))*Справочник_ОКВЭД_НР!$L$12) /
 (SUMPRODUCT(ISNUMBER(SEARCH(","&amp;Справочник_ОКВЭД_НР!$A$3:$A$62&amp;".",","&amp;SUBSTITUTE(F593," ","")&amp;","))) +
  SUMPRODUCT(ISNUMBER(SEARCH(","&amp;Справочник_ОКВЭД_НР!$C$3:$C$62&amp;".",","&amp;SUBSTITUTE(F593," ","")&amp;","))) +
  SUMPRODUCT(ISNUMBER(SEARCH(","&amp;Справочник_ОКВЭД_НР!$E$3:$E$62&amp;".",","&amp;SUBSTITUTE(F593," ","")&amp;","))) +
  SUMPRODUCT(ISNUMBER(SEARCH(","&amp;Справочник_ОКВЭД_НР!$G$3:$G$62&amp;".",","&amp;SUBSTITUTE(F593," ","")&amp;",")))),
50)</f>
        <v>50</v>
      </c>
      <c r="K593" s="30">
        <f>IFERROR(VLOOKUP(G593,Справочник_ОКВЭД_НР!$O:$P,2,FALSE()),50)</f>
        <v>100</v>
      </c>
      <c r="L593" s="45">
        <f>(I593*Справочник_ОКВЭД_НР!$L$2+J593*Справочник_ОКВЭД_НР!$L$3+K593*Справочник_ОКВЭД_НР!$L$4)*M593</f>
        <v>87.5</v>
      </c>
      <c r="M593" s="47">
        <f>IF(COUNTIF(Справочник_ОКВЭД_НР!$G$3:$G$62,H593)&gt;0,0,1)</f>
        <v>1</v>
      </c>
    </row>
    <row r="594" spans="1:13" x14ac:dyDescent="0.25">
      <c r="A594" s="4">
        <f>ЛИК_дляСкорингаДП!A594</f>
        <v>1132130010429</v>
      </c>
      <c r="B594" s="4">
        <f>ЛИК_дляСкорингаДП!B594</f>
        <v>2130123663</v>
      </c>
      <c r="C594" s="4" t="str">
        <f>ЛИК_дляСкорингаДП!C594</f>
        <v>ООО "МОДУЛЬ"</v>
      </c>
      <c r="D594" s="5" t="str">
        <f>ЛИК_дляСкорингаДП!M594</f>
        <v>Строительство жилых и нежилых зданий</v>
      </c>
      <c r="E594" s="4" t="str">
        <f>ЛИК_дляСкорингаДП!L594</f>
        <v>41.20</v>
      </c>
      <c r="F594" t="str">
        <f>ЛИК_дляСкорингаДП!N594</f>
        <v>42.11,42.91,42.99,43.11,43.12.3,43.13,43.21,43.22,43.29,43.31,43.32,43.33,43.34,43.39,43.91,43.99,43.99.1,46.73,71.1,71.12.5,71.12.6,73.11,73.12,77.11,77.32,77.39.1</v>
      </c>
      <c r="G594" s="25" t="str">
        <f>ЛИК_дляСкорингаДП!AG594</f>
        <v>ОСН</v>
      </c>
      <c r="H594" s="55" t="str">
        <f>IF(ISNUMBER(E594),E594,
IFERROR(LEFT(E594,FIND(".",E594)-1),E594))</f>
        <v>41</v>
      </c>
      <c r="I594" s="30">
        <f>IF(COUNTIF(Справочник_ОКВЭД_НР!$A$3:$A$62,H594)&gt;0,Справочник_ОКВЭД_НР!$L$8,
 IF(COUNTIF(Справочник_ОКВЭД_НР!$C$3:$C$62,H594)&gt;0,Справочник_ОКВЭД_НР!$L$9,
  IF(COUNTIF(Справочник_ОКВЭД_НР!$E$3:$E$62,H594)&gt;0,Справочник_ОКВЭД_НР!$L$10,
   IF(COUNTIF(Справочник_ОКВЭД_НР!$G$3:$G$62,H594)&gt;0,Справочник_ОКВЭД_НР!$L$11,50))))</f>
        <v>100</v>
      </c>
      <c r="J594" s="30" cm="1">
        <f t="array" ref="J594">IFERROR(
 (SUMPRODUCT(ISNUMBER(SEARCH(","&amp;Справочник_ОКВЭД_НР!$A$3:$A$62&amp;".",","&amp;SUBSTITUTE(F594," ","")&amp;",")))*Справочник_ОКВЭД_НР!$L$9 +
  SUMPRODUCT(ISNUMBER(SEARCH(","&amp;Справочник_ОКВЭД_НР!$C$3:$C$62&amp;".",","&amp;SUBSTITUTE(F594," ","")&amp;",")))*Справочник_ОКВЭД_НР!$L$10 +
  SUMPRODUCT(ISNUMBER(SEARCH(","&amp;Справочник_ОКВЭД_НР!$E$3:$E$62&amp;".",","&amp;SUBSTITUTE(F594," ","")&amp;",")))*Справочник_ОКВЭД_НР!$L$11 +
  SUMPRODUCT(ISNUMBER(SEARCH(","&amp;Справочник_ОКВЭД_НР!$G$3:$G$62&amp;".",","&amp;SUBSTITUTE(F594," ","")&amp;",")))*Справочник_ОКВЭД_НР!$L$12) /
 (SUMPRODUCT(ISNUMBER(SEARCH(","&amp;Справочник_ОКВЭД_НР!$A$3:$A$62&amp;".",","&amp;SUBSTITUTE(F594," ","")&amp;","))) +
  SUMPRODUCT(ISNUMBER(SEARCH(","&amp;Справочник_ОКВЭД_НР!$C$3:$C$62&amp;".",","&amp;SUBSTITUTE(F594," ","")&amp;","))) +
  SUMPRODUCT(ISNUMBER(SEARCH(","&amp;Справочник_ОКВЭД_НР!$E$3:$E$62&amp;".",","&amp;SUBSTITUTE(F594," ","")&amp;","))) +
  SUMPRODUCT(ISNUMBER(SEARCH(","&amp;Справочник_ОКВЭД_НР!$G$3:$G$62&amp;".",","&amp;SUBSTITUTE(F594," ","")&amp;",")))),
50)</f>
        <v>50</v>
      </c>
      <c r="K594" s="30">
        <f>IFERROR(VLOOKUP(G594,Справочник_ОКВЭД_НР!$O:$P,2,FALSE()),50)</f>
        <v>100</v>
      </c>
      <c r="L594" s="45">
        <f>(I594*Справочник_ОКВЭД_НР!$L$2+J594*Справочник_ОКВЭД_НР!$L$3+K594*Справочник_ОКВЭД_НР!$L$4)*M594</f>
        <v>87.5</v>
      </c>
      <c r="M594" s="47">
        <f>IF(COUNTIF(Справочник_ОКВЭД_НР!$G$3:$G$62,H594)&gt;0,0,1)</f>
        <v>1</v>
      </c>
    </row>
    <row r="595" spans="1:13" x14ac:dyDescent="0.25">
      <c r="A595" s="4">
        <f>ЛИК_дляСкорингаДП!A595</f>
        <v>1142130002442</v>
      </c>
      <c r="B595" s="4">
        <f>ЛИК_дляСкорингаДП!B595</f>
        <v>2130133291</v>
      </c>
      <c r="C595" s="4" t="str">
        <f>ЛИК_дляСкорингаДП!C595</f>
        <v>ООО "ЭЛЕККОМ ЛОГИСТИК"</v>
      </c>
      <c r="D595" s="5" t="str">
        <f>ЛИК_дляСкорингаДП!M595</f>
        <v>Производство электрической распределительной и регулирующей аппаратуры</v>
      </c>
      <c r="E595" s="4" t="str">
        <f>ЛИК_дляСкорингаДП!L595</f>
        <v>27.12</v>
      </c>
      <c r="F595" t="str">
        <f>ЛИК_дляСкорингаДП!N595</f>
        <v>25.11,46.69.5,25.11,25.50,25.61,25.99.2,27.12,28.99.49,33.12,33.20,46.43,46.69.5,46.90,47.9,52.29,71.12.14,71.20,77.39.11,82.99</v>
      </c>
      <c r="G595" s="25" t="str">
        <f>ЛИК_дляСкорингаДП!AG595</f>
        <v>ОСН</v>
      </c>
      <c r="H595" s="55" t="str">
        <f>IF(ISNUMBER(E595),E595,
IFERROR(LEFT(E595,FIND(".",E595)-1),E595))</f>
        <v>27</v>
      </c>
      <c r="I595" s="30">
        <f>IF(COUNTIF(Справочник_ОКВЭД_НР!$A$3:$A$62,H595)&gt;0,Справочник_ОКВЭД_НР!$L$8,
 IF(COUNTIF(Справочник_ОКВЭД_НР!$C$3:$C$62,H595)&gt;0,Справочник_ОКВЭД_НР!$L$9,
  IF(COUNTIF(Справочник_ОКВЭД_НР!$E$3:$E$62,H595)&gt;0,Справочник_ОКВЭД_НР!$L$10,
   IF(COUNTIF(Справочник_ОКВЭД_НР!$G$3:$G$62,H595)&gt;0,Справочник_ОКВЭД_НР!$L$11,50))))</f>
        <v>100</v>
      </c>
      <c r="J595" s="30" cm="1">
        <f t="array" ref="J595">IFERROR(
 (SUMPRODUCT(ISNUMBER(SEARCH(","&amp;Справочник_ОКВЭД_НР!$A$3:$A$62&amp;".",","&amp;SUBSTITUTE(F595," ","")&amp;",")))*Справочник_ОКВЭД_НР!$L$9 +
  SUMPRODUCT(ISNUMBER(SEARCH(","&amp;Справочник_ОКВЭД_НР!$C$3:$C$62&amp;".",","&amp;SUBSTITUTE(F595," ","")&amp;",")))*Справочник_ОКВЭД_НР!$L$10 +
  SUMPRODUCT(ISNUMBER(SEARCH(","&amp;Справочник_ОКВЭД_НР!$E$3:$E$62&amp;".",","&amp;SUBSTITUTE(F595," ","")&amp;",")))*Справочник_ОКВЭД_НР!$L$11 +
  SUMPRODUCT(ISNUMBER(SEARCH(","&amp;Справочник_ОКВЭД_НР!$G$3:$G$62&amp;".",","&amp;SUBSTITUTE(F595," ","")&amp;",")))*Справочник_ОКВЭД_НР!$L$12) /
 (SUMPRODUCT(ISNUMBER(SEARCH(","&amp;Справочник_ОКВЭД_НР!$A$3:$A$62&amp;".",","&amp;SUBSTITUTE(F595," ","")&amp;","))) +
  SUMPRODUCT(ISNUMBER(SEARCH(","&amp;Справочник_ОКВЭД_НР!$C$3:$C$62&amp;".",","&amp;SUBSTITUTE(F595," ","")&amp;","))) +
  SUMPRODUCT(ISNUMBER(SEARCH(","&amp;Справочник_ОКВЭД_НР!$E$3:$E$62&amp;".",","&amp;SUBSTITUTE(F595," ","")&amp;","))) +
  SUMPRODUCT(ISNUMBER(SEARCH(","&amp;Справочник_ОКВЭД_НР!$G$3:$G$62&amp;".",","&amp;SUBSTITUTE(F595," ","")&amp;",")))),
50)</f>
        <v>50</v>
      </c>
      <c r="K595" s="30">
        <f>IFERROR(VLOOKUP(G595,Справочник_ОКВЭД_НР!$O:$P,2,FALSE()),50)</f>
        <v>100</v>
      </c>
      <c r="L595" s="45">
        <f>(I595*Справочник_ОКВЭД_НР!$L$2+J595*Справочник_ОКВЭД_НР!$L$3+K595*Справочник_ОКВЭД_НР!$L$4)*M595</f>
        <v>87.5</v>
      </c>
      <c r="M595" s="47">
        <f>IF(COUNTIF(Справочник_ОКВЭД_НР!$G$3:$G$62,H595)&gt;0,0,1)</f>
        <v>1</v>
      </c>
    </row>
    <row r="596" spans="1:13" x14ac:dyDescent="0.25">
      <c r="A596" s="4">
        <f>ЛИК_дляСкорингаДП!A596</f>
        <v>1192130005847</v>
      </c>
      <c r="B596" s="4">
        <f>ЛИК_дляСкорингаДП!B596</f>
        <v>2103003737</v>
      </c>
      <c r="C596" s="4" t="str">
        <f>ЛИК_дляСкорингаДП!C596</f>
        <v>ООО "БАТЫРЪ"</v>
      </c>
      <c r="D596" s="5" t="str">
        <f>ЛИК_дляСкорингаДП!M596</f>
        <v>Торговля оптовая мясом и мясными продуктами</v>
      </c>
      <c r="E596" s="4" t="str">
        <f>ЛИК_дляСкорингаДП!L596</f>
        <v>46.32</v>
      </c>
      <c r="F596" t="str">
        <f>ЛИК_дляСкорингаДП!N596</f>
        <v>46.23,46.33,47.22,47.29,47.91,49.41,52.10.1,52.24,68.20</v>
      </c>
      <c r="G596" s="25" t="str">
        <f>ЛИК_дляСкорингаДП!AG596</f>
        <v>ОСН</v>
      </c>
      <c r="H596" s="55" t="str">
        <f>IF(ISNUMBER(E596),E596,
IFERROR(LEFT(E596,FIND(".",E596)-1),E596))</f>
        <v>46</v>
      </c>
      <c r="I596" s="30">
        <f>IF(COUNTIF(Справочник_ОКВЭД_НР!$A$3:$A$62,H596)&gt;0,Справочник_ОКВЭД_НР!$L$8,
 IF(COUNTIF(Справочник_ОКВЭД_НР!$C$3:$C$62,H596)&gt;0,Справочник_ОКВЭД_НР!$L$9,
  IF(COUNTIF(Справочник_ОКВЭД_НР!$E$3:$E$62,H596)&gt;0,Справочник_ОКВЭД_НР!$L$10,
   IF(COUNTIF(Справочник_ОКВЭД_НР!$G$3:$G$62,H596)&gt;0,Справочник_ОКВЭД_НР!$L$11,50))))</f>
        <v>60</v>
      </c>
      <c r="J596" s="30" cm="1">
        <f t="array" ref="J596">IFERROR(
 (SUMPRODUCT(ISNUMBER(SEARCH(","&amp;Справочник_ОКВЭД_НР!$A$3:$A$62&amp;".",","&amp;SUBSTITUTE(F596," ","")&amp;",")))*Справочник_ОКВЭД_НР!$L$9 +
  SUMPRODUCT(ISNUMBER(SEARCH(","&amp;Справочник_ОКВЭД_НР!$C$3:$C$62&amp;".",","&amp;SUBSTITUTE(F596," ","")&amp;",")))*Справочник_ОКВЭД_НР!$L$10 +
  SUMPRODUCT(ISNUMBER(SEARCH(","&amp;Справочник_ОКВЭД_НР!$E$3:$E$62&amp;".",","&amp;SUBSTITUTE(F596," ","")&amp;",")))*Справочник_ОКВЭД_НР!$L$11 +
  SUMPRODUCT(ISNUMBER(SEARCH(","&amp;Справочник_ОКВЭД_НР!$G$3:$G$62&amp;".",","&amp;SUBSTITUTE(F596," ","")&amp;",")))*Справочник_ОКВЭД_НР!$L$12) /
 (SUMPRODUCT(ISNUMBER(SEARCH(","&amp;Справочник_ОКВЭД_НР!$A$3:$A$62&amp;".",","&amp;SUBSTITUTE(F596," ","")&amp;","))) +
  SUMPRODUCT(ISNUMBER(SEARCH(","&amp;Справочник_ОКВЭД_НР!$C$3:$C$62&amp;".",","&amp;SUBSTITUTE(F596," ","")&amp;","))) +
  SUMPRODUCT(ISNUMBER(SEARCH(","&amp;Справочник_ОКВЭД_НР!$E$3:$E$62&amp;".",","&amp;SUBSTITUTE(F596," ","")&amp;","))) +
  SUMPRODUCT(ISNUMBER(SEARCH(","&amp;Справочник_ОКВЭД_НР!$G$3:$G$62&amp;".",","&amp;SUBSTITUTE(F596," ","")&amp;",")))),
50)</f>
        <v>50</v>
      </c>
      <c r="K596" s="30">
        <f>IFERROR(VLOOKUP(G596,Справочник_ОКВЭД_НР!$O:$P,2,FALSE()),50)</f>
        <v>100</v>
      </c>
      <c r="L596" s="45">
        <f>(I596*Справочник_ОКВЭД_НР!$L$2+J596*Справочник_ОКВЭД_НР!$L$3+K596*Справочник_ОКВЭД_НР!$L$4)*M596</f>
        <v>63.5</v>
      </c>
      <c r="M596" s="47">
        <f>IF(COUNTIF(Справочник_ОКВЭД_НР!$G$3:$G$62,H596)&gt;0,0,1)</f>
        <v>1</v>
      </c>
    </row>
    <row r="597" spans="1:13" x14ac:dyDescent="0.25">
      <c r="A597" s="4">
        <f>ЛИК_дляСкорингаДП!A597</f>
        <v>1192130012051</v>
      </c>
      <c r="B597" s="4">
        <f>ЛИК_дляСкорингаДП!B597</f>
        <v>2130215280</v>
      </c>
      <c r="C597" s="4" t="str">
        <f>ЛИК_дляСкорингаДП!C597</f>
        <v>ООО "РАДУГА"</v>
      </c>
      <c r="D597" s="5" t="str">
        <f>ЛИК_дляСкорингаДП!M597</f>
        <v>Торговля оптовая производственным электротехническим оборудованием, машинами, аппаратурой и материалами</v>
      </c>
      <c r="E597" s="4" t="str">
        <f>ЛИК_дляСкорингаДП!L597</f>
        <v>46.69.5</v>
      </c>
      <c r="F597" t="str">
        <f>ЛИК_дляСкорингаДП!N597</f>
        <v>23.20,23.61,41.20,42.11,42.12,42.13,42.21,42.22,42.99,43.11,43.12,43.21,43.22,43.29,43.31,43.32,43.33,43.34,43.39,43.91,43.99,46.52,46.52.2,46.73,46.73.6,46.76.1,46.90,49.41,49.42,52.29,68.31,77.11,77.12,77.32,81.29,81.30,82.99</v>
      </c>
      <c r="G597" s="25" t="str">
        <f>ЛИК_дляСкорингаДП!AG597</f>
        <v>ОСН</v>
      </c>
      <c r="H597" s="55" t="str">
        <f>IF(ISNUMBER(E597),E597,
IFERROR(LEFT(E597,FIND(".",E597)-1),E597))</f>
        <v>46</v>
      </c>
      <c r="I597" s="30">
        <f>IF(COUNTIF(Справочник_ОКВЭД_НР!$A$3:$A$62,H597)&gt;0,Справочник_ОКВЭД_НР!$L$8,
 IF(COUNTIF(Справочник_ОКВЭД_НР!$C$3:$C$62,H597)&gt;0,Справочник_ОКВЭД_НР!$L$9,
  IF(COUNTIF(Справочник_ОКВЭД_НР!$E$3:$E$62,H597)&gt;0,Справочник_ОКВЭД_НР!$L$10,
   IF(COUNTIF(Справочник_ОКВЭД_НР!$G$3:$G$62,H597)&gt;0,Справочник_ОКВЭД_НР!$L$11,50))))</f>
        <v>60</v>
      </c>
      <c r="J597" s="30" cm="1">
        <f t="array" ref="J597">IFERROR(
 (SUMPRODUCT(ISNUMBER(SEARCH(","&amp;Справочник_ОКВЭД_НР!$A$3:$A$62&amp;".",","&amp;SUBSTITUTE(F597," ","")&amp;",")))*Справочник_ОКВЭД_НР!$L$9 +
  SUMPRODUCT(ISNUMBER(SEARCH(","&amp;Справочник_ОКВЭД_НР!$C$3:$C$62&amp;".",","&amp;SUBSTITUTE(F597," ","")&amp;",")))*Справочник_ОКВЭД_НР!$L$10 +
  SUMPRODUCT(ISNUMBER(SEARCH(","&amp;Справочник_ОКВЭД_НР!$E$3:$E$62&amp;".",","&amp;SUBSTITUTE(F597," ","")&amp;",")))*Справочник_ОКВЭД_НР!$L$11 +
  SUMPRODUCT(ISNUMBER(SEARCH(","&amp;Справочник_ОКВЭД_НР!$G$3:$G$62&amp;".",","&amp;SUBSTITUTE(F597," ","")&amp;",")))*Справочник_ОКВЭД_НР!$L$12) /
 (SUMPRODUCT(ISNUMBER(SEARCH(","&amp;Справочник_ОКВЭД_НР!$A$3:$A$62&amp;".",","&amp;SUBSTITUTE(F597," ","")&amp;","))) +
  SUMPRODUCT(ISNUMBER(SEARCH(","&amp;Справочник_ОКВЭД_НР!$C$3:$C$62&amp;".",","&amp;SUBSTITUTE(F597," ","")&amp;","))) +
  SUMPRODUCT(ISNUMBER(SEARCH(","&amp;Справочник_ОКВЭД_НР!$E$3:$E$62&amp;".",","&amp;SUBSTITUTE(F597," ","")&amp;","))) +
  SUMPRODUCT(ISNUMBER(SEARCH(","&amp;Справочник_ОКВЭД_НР!$G$3:$G$62&amp;".",","&amp;SUBSTITUTE(F597," ","")&amp;",")))),
50)</f>
        <v>50</v>
      </c>
      <c r="K597" s="30">
        <f>IFERROR(VLOOKUP(G597,Справочник_ОКВЭД_НР!$O:$P,2,FALSE()),50)</f>
        <v>100</v>
      </c>
      <c r="L597" s="45">
        <f>(I597*Справочник_ОКВЭД_НР!$L$2+J597*Справочник_ОКВЭД_НР!$L$3+K597*Справочник_ОКВЭД_НР!$L$4)*M597</f>
        <v>63.5</v>
      </c>
      <c r="M597" s="47">
        <f>IF(COUNTIF(Справочник_ОКВЭД_НР!$G$3:$G$62,H597)&gt;0,0,1)</f>
        <v>1</v>
      </c>
    </row>
    <row r="598" spans="1:13" x14ac:dyDescent="0.25">
      <c r="A598" s="4">
        <f>ЛИК_дляСкорингаДП!A598</f>
        <v>1152130009503</v>
      </c>
      <c r="B598" s="4">
        <f>ЛИК_дляСкорингаДП!B598</f>
        <v>2130157743</v>
      </c>
      <c r="C598" s="4" t="str">
        <f>ЛИК_дляСкорингаДП!C598</f>
        <v>ООО "ЦЕФЕЙ"</v>
      </c>
      <c r="D598" s="5" t="str">
        <f>ЛИК_дляСкорингаДП!M598</f>
        <v>Торговля розничная лекарственными средствами в специализированных магазинах (аптеках)</v>
      </c>
      <c r="E598" s="4" t="str">
        <f>ЛИК_дляСкорингаДП!L598</f>
        <v>47.73</v>
      </c>
      <c r="F598" t="str">
        <f>ЛИК_дляСкорингаДП!N598</f>
        <v>47.29,47.74,47.75,47.78,70.22,73.11,73.20.1,82.99</v>
      </c>
      <c r="G598" s="25" t="str">
        <f>ЛИК_дляСкорингаДП!AG598</f>
        <v>ОСН</v>
      </c>
      <c r="H598" s="55" t="str">
        <f>IF(ISNUMBER(E598),E598,
IFERROR(LEFT(E598,FIND(".",E598)-1),E598))</f>
        <v>47</v>
      </c>
      <c r="I598" s="30">
        <f>IF(COUNTIF(Справочник_ОКВЭД_НР!$A$3:$A$62,H598)&gt;0,Справочник_ОКВЭД_НР!$L$8,
 IF(COUNTIF(Справочник_ОКВЭД_НР!$C$3:$C$62,H598)&gt;0,Справочник_ОКВЭД_НР!$L$9,
  IF(COUNTIF(Справочник_ОКВЭД_НР!$E$3:$E$62,H598)&gt;0,Справочник_ОКВЭД_НР!$L$10,
   IF(COUNTIF(Справочник_ОКВЭД_НР!$G$3:$G$62,H598)&gt;0,Справочник_ОКВЭД_НР!$L$11,50))))</f>
        <v>60</v>
      </c>
      <c r="J598" s="30" cm="1">
        <f t="array" ref="J598">IFERROR(
 (SUMPRODUCT(ISNUMBER(SEARCH(","&amp;Справочник_ОКВЭД_НР!$A$3:$A$62&amp;".",","&amp;SUBSTITUTE(F598," ","")&amp;",")))*Справочник_ОКВЭД_НР!$L$9 +
  SUMPRODUCT(ISNUMBER(SEARCH(","&amp;Справочник_ОКВЭД_НР!$C$3:$C$62&amp;".",","&amp;SUBSTITUTE(F598," ","")&amp;",")))*Справочник_ОКВЭД_НР!$L$10 +
  SUMPRODUCT(ISNUMBER(SEARCH(","&amp;Справочник_ОКВЭД_НР!$E$3:$E$62&amp;".",","&amp;SUBSTITUTE(F598," ","")&amp;",")))*Справочник_ОКВЭД_НР!$L$11 +
  SUMPRODUCT(ISNUMBER(SEARCH(","&amp;Справочник_ОКВЭД_НР!$G$3:$G$62&amp;".",","&amp;SUBSTITUTE(F598," ","")&amp;",")))*Справочник_ОКВЭД_НР!$L$12) /
 (SUMPRODUCT(ISNUMBER(SEARCH(","&amp;Справочник_ОКВЭД_НР!$A$3:$A$62&amp;".",","&amp;SUBSTITUTE(F598," ","")&amp;","))) +
  SUMPRODUCT(ISNUMBER(SEARCH(","&amp;Справочник_ОКВЭД_НР!$C$3:$C$62&amp;".",","&amp;SUBSTITUTE(F598," ","")&amp;","))) +
  SUMPRODUCT(ISNUMBER(SEARCH(","&amp;Справочник_ОКВЭД_НР!$E$3:$E$62&amp;".",","&amp;SUBSTITUTE(F598," ","")&amp;","))) +
  SUMPRODUCT(ISNUMBER(SEARCH(","&amp;Справочник_ОКВЭД_НР!$G$3:$G$62&amp;".",","&amp;SUBSTITUTE(F598," ","")&amp;",")))),
50)</f>
        <v>50</v>
      </c>
      <c r="K598" s="30">
        <f>IFERROR(VLOOKUP(G598,Справочник_ОКВЭД_НР!$O:$P,2,FALSE()),50)</f>
        <v>100</v>
      </c>
      <c r="L598" s="45">
        <f>(I598*Справочник_ОКВЭД_НР!$L$2+J598*Справочник_ОКВЭД_НР!$L$3+K598*Справочник_ОКВЭД_НР!$L$4)*M598</f>
        <v>63.5</v>
      </c>
      <c r="M598" s="47">
        <f>IF(COUNTIF(Справочник_ОКВЭД_НР!$G$3:$G$62,H598)&gt;0,0,1)</f>
        <v>1</v>
      </c>
    </row>
    <row r="599" spans="1:13" x14ac:dyDescent="0.25">
      <c r="A599" s="4">
        <f>ЛИК_дляСкорингаДП!A599</f>
        <v>1175476101602</v>
      </c>
      <c r="B599" s="4">
        <f>ЛИК_дляСкорингаДП!B599</f>
        <v>5407967263</v>
      </c>
      <c r="C599" s="4" t="str">
        <f>ЛИК_дляСкорингаДП!C599</f>
        <v>ООО "ТД СТРОЙ-СНАБ"</v>
      </c>
      <c r="D599" s="5" t="str">
        <f>ЛИК_дляСкорингаДП!M599</f>
        <v>Торговля оптовая эксплуатационными материалами и принадлежностями машин</v>
      </c>
      <c r="E599" s="4" t="str">
        <f>ЛИК_дляСкорингаДП!L599</f>
        <v>46.69.2</v>
      </c>
      <c r="F599" t="str">
        <f>ЛИК_дляСкорингаДП!N599</f>
        <v>20.16,22.21,25.99,46.49.49,46.62,46.63,46.69,46.73,46.73.6,46.74,46.90,49.41.3,64.99,64.99.4,66.19,68.20,70.22,77.32,77.39</v>
      </c>
      <c r="G599" s="25" t="str">
        <f>ЛИК_дляСкорингаДП!AG599</f>
        <v>ОСН</v>
      </c>
      <c r="H599" s="55" t="str">
        <f>IF(ISNUMBER(E599),E599,
IFERROR(LEFT(E599,FIND(".",E599)-1),E599))</f>
        <v>46</v>
      </c>
      <c r="I599" s="30">
        <f>IF(COUNTIF(Справочник_ОКВЭД_НР!$A$3:$A$62,H599)&gt;0,Справочник_ОКВЭД_НР!$L$8,
 IF(COUNTIF(Справочник_ОКВЭД_НР!$C$3:$C$62,H599)&gt;0,Справочник_ОКВЭД_НР!$L$9,
  IF(COUNTIF(Справочник_ОКВЭД_НР!$E$3:$E$62,H599)&gt;0,Справочник_ОКВЭД_НР!$L$10,
   IF(COUNTIF(Справочник_ОКВЭД_НР!$G$3:$G$62,H599)&gt;0,Справочник_ОКВЭД_НР!$L$11,50))))</f>
        <v>60</v>
      </c>
      <c r="J599" s="30" cm="1">
        <f t="array" ref="J599">IFERROR(
 (SUMPRODUCT(ISNUMBER(SEARCH(","&amp;Справочник_ОКВЭД_НР!$A$3:$A$62&amp;".",","&amp;SUBSTITUTE(F599," ","")&amp;",")))*Справочник_ОКВЭД_НР!$L$9 +
  SUMPRODUCT(ISNUMBER(SEARCH(","&amp;Справочник_ОКВЭД_НР!$C$3:$C$62&amp;".",","&amp;SUBSTITUTE(F599," ","")&amp;",")))*Справочник_ОКВЭД_НР!$L$10 +
  SUMPRODUCT(ISNUMBER(SEARCH(","&amp;Справочник_ОКВЭД_НР!$E$3:$E$62&amp;".",","&amp;SUBSTITUTE(F599," ","")&amp;",")))*Справочник_ОКВЭД_НР!$L$11 +
  SUMPRODUCT(ISNUMBER(SEARCH(","&amp;Справочник_ОКВЭД_НР!$G$3:$G$62&amp;".",","&amp;SUBSTITUTE(F599," ","")&amp;",")))*Справочник_ОКВЭД_НР!$L$12) /
 (SUMPRODUCT(ISNUMBER(SEARCH(","&amp;Справочник_ОКВЭД_НР!$A$3:$A$62&amp;".",","&amp;SUBSTITUTE(F599," ","")&amp;","))) +
  SUMPRODUCT(ISNUMBER(SEARCH(","&amp;Справочник_ОКВЭД_НР!$C$3:$C$62&amp;".",","&amp;SUBSTITUTE(F599," ","")&amp;","))) +
  SUMPRODUCT(ISNUMBER(SEARCH(","&amp;Справочник_ОКВЭД_НР!$E$3:$E$62&amp;".",","&amp;SUBSTITUTE(F599," ","")&amp;","))) +
  SUMPRODUCT(ISNUMBER(SEARCH(","&amp;Справочник_ОКВЭД_НР!$G$3:$G$62&amp;".",","&amp;SUBSTITUTE(F599," ","")&amp;",")))),
50)</f>
        <v>50</v>
      </c>
      <c r="K599" s="30">
        <f>IFERROR(VLOOKUP(G599,Справочник_ОКВЭД_НР!$O:$P,2,FALSE()),50)</f>
        <v>100</v>
      </c>
      <c r="L599" s="45">
        <f>(I599*Справочник_ОКВЭД_НР!$L$2+J599*Справочник_ОКВЭД_НР!$L$3+K599*Справочник_ОКВЭД_НР!$L$4)*M599</f>
        <v>63.5</v>
      </c>
      <c r="M599" s="47">
        <f>IF(COUNTIF(Справочник_ОКВЭД_НР!$G$3:$G$62,H599)&gt;0,0,1)</f>
        <v>1</v>
      </c>
    </row>
    <row r="600" spans="1:13" x14ac:dyDescent="0.25">
      <c r="A600" s="4">
        <f>ЛИК_дляСкорингаДП!A600</f>
        <v>1172130002934</v>
      </c>
      <c r="B600" s="4">
        <f>ЛИК_дляСкорингаДП!B600</f>
        <v>2130184747</v>
      </c>
      <c r="C600" s="4" t="str">
        <f>ЛИК_дляСкорингаДП!C600</f>
        <v>ООО ТК "НОВОЧЕБОКСАРСКИЙ"</v>
      </c>
      <c r="D600" s="5" t="str">
        <f>ЛИК_дляСкорингаДП!M600</f>
        <v>Выращивание овощей</v>
      </c>
      <c r="E600" s="4" t="str">
        <f>ЛИК_дляСкорингаДП!L600</f>
        <v>01.13.1</v>
      </c>
      <c r="F600" t="str">
        <f>ЛИК_дляСкорингаДП!N600</f>
        <v>01.13.12,01.13.9,01.19.21,01.30,01.61,10.39,35.11.1,46.31.1,47.21.1,49.41.1,56.29.2,64.99.11</v>
      </c>
      <c r="G600" s="25" t="str">
        <f>ЛИК_дляСкорингаДП!AG600</f>
        <v>ЕСХН</v>
      </c>
      <c r="H600" s="55" t="str">
        <f>IF(ISNUMBER(E600),E600,
IFERROR(LEFT(E600,FIND(".",E600)-1),E600))</f>
        <v>01</v>
      </c>
      <c r="I600" s="30">
        <f>IF(COUNTIF(Справочник_ОКВЭД_НР!$A$3:$A$62,H600)&gt;0,Справочник_ОКВЭД_НР!$L$8,
 IF(COUNTIF(Справочник_ОКВЭД_НР!$C$3:$C$62,H600)&gt;0,Справочник_ОКВЭД_НР!$L$9,
  IF(COUNTIF(Справочник_ОКВЭД_НР!$E$3:$E$62,H600)&gt;0,Справочник_ОКВЭД_НР!$L$10,
   IF(COUNTIF(Справочник_ОКВЭД_НР!$G$3:$G$62,H600)&gt;0,Справочник_ОКВЭД_НР!$L$11,50))))</f>
        <v>60</v>
      </c>
      <c r="J600" s="30" cm="1">
        <f t="array" ref="J600">IFERROR(
 (SUMPRODUCT(ISNUMBER(SEARCH(","&amp;Справочник_ОКВЭД_НР!$A$3:$A$62&amp;".",","&amp;SUBSTITUTE(F600," ","")&amp;",")))*Справочник_ОКВЭД_НР!$L$9 +
  SUMPRODUCT(ISNUMBER(SEARCH(","&amp;Справочник_ОКВЭД_НР!$C$3:$C$62&amp;".",","&amp;SUBSTITUTE(F600," ","")&amp;",")))*Справочник_ОКВЭД_НР!$L$10 +
  SUMPRODUCT(ISNUMBER(SEARCH(","&amp;Справочник_ОКВЭД_НР!$E$3:$E$62&amp;".",","&amp;SUBSTITUTE(F600," ","")&amp;",")))*Справочник_ОКВЭД_НР!$L$11 +
  SUMPRODUCT(ISNUMBER(SEARCH(","&amp;Справочник_ОКВЭД_НР!$G$3:$G$62&amp;".",","&amp;SUBSTITUTE(F600," ","")&amp;",")))*Справочник_ОКВЭД_НР!$L$12) /
 (SUMPRODUCT(ISNUMBER(SEARCH(","&amp;Справочник_ОКВЭД_НР!$A$3:$A$62&amp;".",","&amp;SUBSTITUTE(F600," ","")&amp;","))) +
  SUMPRODUCT(ISNUMBER(SEARCH(","&amp;Справочник_ОКВЭД_НР!$C$3:$C$62&amp;".",","&amp;SUBSTITUTE(F600," ","")&amp;","))) +
  SUMPRODUCT(ISNUMBER(SEARCH(","&amp;Справочник_ОКВЭД_НР!$E$3:$E$62&amp;".",","&amp;SUBSTITUTE(F600," ","")&amp;","))) +
  SUMPRODUCT(ISNUMBER(SEARCH(","&amp;Справочник_ОКВЭД_НР!$G$3:$G$62&amp;".",","&amp;SUBSTITUTE(F600," ","")&amp;",")))),
50)</f>
        <v>50</v>
      </c>
      <c r="K600" s="30">
        <f>IFERROR(VLOOKUP(G600,Справочник_ОКВЭД_НР!$O:$P,2,FALSE()),50)</f>
        <v>40</v>
      </c>
      <c r="L600" s="45">
        <f>(I600*Справочник_ОКВЭД_НР!$L$2+J600*Справочник_ОКВЭД_НР!$L$3+K600*Справочник_ОКВЭД_НР!$L$4)*M600</f>
        <v>54.5</v>
      </c>
      <c r="M600" s="47">
        <f>IF(COUNTIF(Справочник_ОКВЭД_НР!$G$3:$G$62,H600)&gt;0,0,1)</f>
        <v>1</v>
      </c>
    </row>
    <row r="601" spans="1:13" x14ac:dyDescent="0.25">
      <c r="A601" s="4">
        <f>ЛИК_дляСкорингаДП!A601</f>
        <v>1155024001120</v>
      </c>
      <c r="B601" s="4">
        <f>ЛИК_дляСкорингаДП!B601</f>
        <v>5024151865</v>
      </c>
      <c r="C601" s="4" t="str">
        <f>ЛИК_дляСкорингаДП!C601</f>
        <v>ООО "РХТ"</v>
      </c>
      <c r="D601" s="5" t="str">
        <f>ЛИК_дляСкорингаДП!M601</f>
        <v>Торговля оптовая химическими продуктами</v>
      </c>
      <c r="E601" s="4" t="str">
        <f>ЛИК_дляСкорингаДП!L601</f>
        <v>46.75</v>
      </c>
      <c r="F601" t="str">
        <f>ЛИК_дляСкорингаДП!N601</f>
        <v>46.12.3</v>
      </c>
      <c r="G601" s="25" t="str">
        <f>ЛИК_дляСкорингаДП!AG601</f>
        <v>ОСН</v>
      </c>
      <c r="H601" s="55" t="str">
        <f>IF(ISNUMBER(E601),E601,
IFERROR(LEFT(E601,FIND(".",E601)-1),E601))</f>
        <v>46</v>
      </c>
      <c r="I601" s="30">
        <f>IF(COUNTIF(Справочник_ОКВЭД_НР!$A$3:$A$62,H601)&gt;0,Справочник_ОКВЭД_НР!$L$8,
 IF(COUNTIF(Справочник_ОКВЭД_НР!$C$3:$C$62,H601)&gt;0,Справочник_ОКВЭД_НР!$L$9,
  IF(COUNTIF(Справочник_ОКВЭД_НР!$E$3:$E$62,H601)&gt;0,Справочник_ОКВЭД_НР!$L$10,
   IF(COUNTIF(Справочник_ОКВЭД_НР!$G$3:$G$62,H601)&gt;0,Справочник_ОКВЭД_НР!$L$11,50))))</f>
        <v>60</v>
      </c>
      <c r="J601" s="30" cm="1">
        <f t="array" ref="J601">IFERROR(
 (SUMPRODUCT(ISNUMBER(SEARCH(","&amp;Справочник_ОКВЭД_НР!$A$3:$A$62&amp;".",","&amp;SUBSTITUTE(F601," ","")&amp;",")))*Справочник_ОКВЭД_НР!$L$9 +
  SUMPRODUCT(ISNUMBER(SEARCH(","&amp;Справочник_ОКВЭД_НР!$C$3:$C$62&amp;".",","&amp;SUBSTITUTE(F601," ","")&amp;",")))*Справочник_ОКВЭД_НР!$L$10 +
  SUMPRODUCT(ISNUMBER(SEARCH(","&amp;Справочник_ОКВЭД_НР!$E$3:$E$62&amp;".",","&amp;SUBSTITUTE(F601," ","")&amp;",")))*Справочник_ОКВЭД_НР!$L$11 +
  SUMPRODUCT(ISNUMBER(SEARCH(","&amp;Справочник_ОКВЭД_НР!$G$3:$G$62&amp;".",","&amp;SUBSTITUTE(F601," ","")&amp;",")))*Справочник_ОКВЭД_НР!$L$12) /
 (SUMPRODUCT(ISNUMBER(SEARCH(","&amp;Справочник_ОКВЭД_НР!$A$3:$A$62&amp;".",","&amp;SUBSTITUTE(F601," ","")&amp;","))) +
  SUMPRODUCT(ISNUMBER(SEARCH(","&amp;Справочник_ОКВЭД_НР!$C$3:$C$62&amp;".",","&amp;SUBSTITUTE(F601," ","")&amp;","))) +
  SUMPRODUCT(ISNUMBER(SEARCH(","&amp;Справочник_ОКВЭД_НР!$E$3:$E$62&amp;".",","&amp;SUBSTITUTE(F601," ","")&amp;","))) +
  SUMPRODUCT(ISNUMBER(SEARCH(","&amp;Справочник_ОКВЭД_НР!$G$3:$G$62&amp;".",","&amp;SUBSTITUTE(F601," ","")&amp;",")))),
50)</f>
        <v>50</v>
      </c>
      <c r="K601" s="30">
        <f>IFERROR(VLOOKUP(G601,Справочник_ОКВЭД_НР!$O:$P,2,FALSE()),50)</f>
        <v>100</v>
      </c>
      <c r="L601" s="45">
        <f>(I601*Справочник_ОКВЭД_НР!$L$2+J601*Справочник_ОКВЭД_НР!$L$3+K601*Справочник_ОКВЭД_НР!$L$4)*M601</f>
        <v>63.5</v>
      </c>
      <c r="M601" s="47">
        <f>IF(COUNTIF(Справочник_ОКВЭД_НР!$G$3:$G$62,H601)&gt;0,0,1)</f>
        <v>1</v>
      </c>
    </row>
    <row r="602" spans="1:13" x14ac:dyDescent="0.25">
      <c r="A602" s="4">
        <f>ЛИК_дляСкорингаДП!A602</f>
        <v>1152130000131</v>
      </c>
      <c r="B602" s="4">
        <f>ЛИК_дляСкорингаДП!B602</f>
        <v>2130148474</v>
      </c>
      <c r="C602" s="4" t="str">
        <f>ЛИК_дляСкорингаДП!C602</f>
        <v>ООО "СМУ-115"</v>
      </c>
      <c r="D602" s="5" t="str">
        <f>ЛИК_дляСкорингаДП!M602</f>
        <v>Жилищное строительство</v>
      </c>
      <c r="E602" s="4" t="str">
        <f>ЛИК_дляСкорингаДП!L602</f>
        <v>41.20.1</v>
      </c>
      <c r="F602" t="str">
        <f>ЛИК_дляСкорингаДП!N602</f>
        <v>46.73.6,41.10,41.20,42.11,42.13,42.22.3,42.91,42.99,42.99,43.21,43.22,43.29,43.31,43.33,43.34,43.34.1,43.34.2,43.39,43.91,43.99,43.99,43.99.1,43.99.4,43.99.5,43.99.6,43.99.7,43.99.9,45.1,45.20,45.3,46.63,46.69,46.69.1,46.69.3,46.73.6,46.90,47.11,47.19,47.52.7,47.71,47.79,49.41,49.41.1,49.41.2,49.41.3,49.42,52.21,66.12,66.12.2,68.10,68.10.1,68.10.11,68.10.12,68.10.21,68.10.23,69.10,69.20,70.22,71.1,71.11,71.12,71.12.1,71.12.41,71.12.43,71.12.45,71.12.5,71.12.6,71.12.9,71.20,71.20.3,71.20.62,71.20.9,77.11,77.39.11,77.39.2,78.10</v>
      </c>
      <c r="G602" s="25" t="str">
        <f>ЛИК_дляСкорингаДП!AG602</f>
        <v>ОСН</v>
      </c>
      <c r="H602" s="55" t="str">
        <f>IF(ISNUMBER(E602),E602,
IFERROR(LEFT(E602,FIND(".",E602)-1),E602))</f>
        <v>41</v>
      </c>
      <c r="I602" s="30">
        <f>IF(COUNTIF(Справочник_ОКВЭД_НР!$A$3:$A$62,H602)&gt;0,Справочник_ОКВЭД_НР!$L$8,
 IF(COUNTIF(Справочник_ОКВЭД_НР!$C$3:$C$62,H602)&gt;0,Справочник_ОКВЭД_НР!$L$9,
  IF(COUNTIF(Справочник_ОКВЭД_НР!$E$3:$E$62,H602)&gt;0,Справочник_ОКВЭД_НР!$L$10,
   IF(COUNTIF(Справочник_ОКВЭД_НР!$G$3:$G$62,H602)&gt;0,Справочник_ОКВЭД_НР!$L$11,50))))</f>
        <v>100</v>
      </c>
      <c r="J602" s="30" cm="1">
        <f t="array" ref="J602">IFERROR(
 (SUMPRODUCT(ISNUMBER(SEARCH(","&amp;Справочник_ОКВЭД_НР!$A$3:$A$62&amp;".",","&amp;SUBSTITUTE(F602," ","")&amp;",")))*Справочник_ОКВЭД_НР!$L$9 +
  SUMPRODUCT(ISNUMBER(SEARCH(","&amp;Справочник_ОКВЭД_НР!$C$3:$C$62&amp;".",","&amp;SUBSTITUTE(F602," ","")&amp;",")))*Справочник_ОКВЭД_НР!$L$10 +
  SUMPRODUCT(ISNUMBER(SEARCH(","&amp;Справочник_ОКВЭД_НР!$E$3:$E$62&amp;".",","&amp;SUBSTITUTE(F602," ","")&amp;",")))*Справочник_ОКВЭД_НР!$L$11 +
  SUMPRODUCT(ISNUMBER(SEARCH(","&amp;Справочник_ОКВЭД_НР!$G$3:$G$62&amp;".",","&amp;SUBSTITUTE(F602," ","")&amp;",")))*Справочник_ОКВЭД_НР!$L$12) /
 (SUMPRODUCT(ISNUMBER(SEARCH(","&amp;Справочник_ОКВЭД_НР!$A$3:$A$62&amp;".",","&amp;SUBSTITUTE(F602," ","")&amp;","))) +
  SUMPRODUCT(ISNUMBER(SEARCH(","&amp;Справочник_ОКВЭД_НР!$C$3:$C$62&amp;".",","&amp;SUBSTITUTE(F602," ","")&amp;","))) +
  SUMPRODUCT(ISNUMBER(SEARCH(","&amp;Справочник_ОКВЭД_НР!$E$3:$E$62&amp;".",","&amp;SUBSTITUTE(F602," ","")&amp;","))) +
  SUMPRODUCT(ISNUMBER(SEARCH(","&amp;Справочник_ОКВЭД_НР!$G$3:$G$62&amp;".",","&amp;SUBSTITUTE(F602," ","")&amp;",")))),
50)</f>
        <v>50</v>
      </c>
      <c r="K602" s="30">
        <f>IFERROR(VLOOKUP(G602,Справочник_ОКВЭД_НР!$O:$P,2,FALSE()),50)</f>
        <v>100</v>
      </c>
      <c r="L602" s="45">
        <f>(I602*Справочник_ОКВЭД_НР!$L$2+J602*Справочник_ОКВЭД_НР!$L$3+K602*Справочник_ОКВЭД_НР!$L$4)*M602</f>
        <v>87.5</v>
      </c>
      <c r="M602" s="47">
        <f>IF(COUNTIF(Справочник_ОКВЭД_НР!$G$3:$G$62,H602)&gt;0,0,1)</f>
        <v>1</v>
      </c>
    </row>
    <row r="603" spans="1:13" x14ac:dyDescent="0.25">
      <c r="A603" s="4">
        <f>ЛИК_дляСкорингаДП!A603</f>
        <v>1062130015661</v>
      </c>
      <c r="B603" s="4">
        <f>ЛИК_дляСкорингаДП!B603</f>
        <v>2130010780</v>
      </c>
      <c r="C603" s="4" t="str">
        <f>ЛИК_дляСкорингаДП!C603</f>
        <v>ООО "СУ - ИНКОСТ"</v>
      </c>
      <c r="D603" s="5" t="str">
        <f>ЛИК_дляСкорингаДП!M603</f>
        <v>Жилищное строительство</v>
      </c>
      <c r="E603" s="4" t="str">
        <f>ЛИК_дляСкорингаДП!L603</f>
        <v>41.20.1</v>
      </c>
      <c r="F603" t="str">
        <f>ЛИК_дляСкорингаДП!N603</f>
        <v>16.10.1,16.10.2,16.10.3,16.10.9,16.23.1,16.23.2,41.2,41.20,41.20,42.11,42.12,42.21,42.21,42.21,42.22.1,42.22.2,42.22.3,42.99,42.99,43.11,43.12.1,43.12.3,43.12.4,43.13,43.21,43.22,43.29,43.31,43.32,43.33,43.34.1,43.34.2,43.39,43.91,43.99,43.99.1,43.99.2,43.99.3,43.99.4,43.99.5,43.99.7,71.11.1</v>
      </c>
      <c r="G603" s="25" t="str">
        <f>ЛИК_дляСкорингаДП!AG603</f>
        <v>ОСН</v>
      </c>
      <c r="H603" s="55" t="str">
        <f>IF(ISNUMBER(E603),E603,
IFERROR(LEFT(E603,FIND(".",E603)-1),E603))</f>
        <v>41</v>
      </c>
      <c r="I603" s="30">
        <f>IF(COUNTIF(Справочник_ОКВЭД_НР!$A$3:$A$62,H603)&gt;0,Справочник_ОКВЭД_НР!$L$8,
 IF(COUNTIF(Справочник_ОКВЭД_НР!$C$3:$C$62,H603)&gt;0,Справочник_ОКВЭД_НР!$L$9,
  IF(COUNTIF(Справочник_ОКВЭД_НР!$E$3:$E$62,H603)&gt;0,Справочник_ОКВЭД_НР!$L$10,
   IF(COUNTIF(Справочник_ОКВЭД_НР!$G$3:$G$62,H603)&gt;0,Справочник_ОКВЭД_НР!$L$11,50))))</f>
        <v>100</v>
      </c>
      <c r="J603" s="30" cm="1">
        <f t="array" ref="J603">IFERROR(
 (SUMPRODUCT(ISNUMBER(SEARCH(","&amp;Справочник_ОКВЭД_НР!$A$3:$A$62&amp;".",","&amp;SUBSTITUTE(F603," ","")&amp;",")))*Справочник_ОКВЭД_НР!$L$9 +
  SUMPRODUCT(ISNUMBER(SEARCH(","&amp;Справочник_ОКВЭД_НР!$C$3:$C$62&amp;".",","&amp;SUBSTITUTE(F603," ","")&amp;",")))*Справочник_ОКВЭД_НР!$L$10 +
  SUMPRODUCT(ISNUMBER(SEARCH(","&amp;Справочник_ОКВЭД_НР!$E$3:$E$62&amp;".",","&amp;SUBSTITUTE(F603," ","")&amp;",")))*Справочник_ОКВЭД_НР!$L$11 +
  SUMPRODUCT(ISNUMBER(SEARCH(","&amp;Справочник_ОКВЭД_НР!$G$3:$G$62&amp;".",","&amp;SUBSTITUTE(F603," ","")&amp;",")))*Справочник_ОКВЭД_НР!$L$12) /
 (SUMPRODUCT(ISNUMBER(SEARCH(","&amp;Справочник_ОКВЭД_НР!$A$3:$A$62&amp;".",","&amp;SUBSTITUTE(F603," ","")&amp;","))) +
  SUMPRODUCT(ISNUMBER(SEARCH(","&amp;Справочник_ОКВЭД_НР!$C$3:$C$62&amp;".",","&amp;SUBSTITUTE(F603," ","")&amp;","))) +
  SUMPRODUCT(ISNUMBER(SEARCH(","&amp;Справочник_ОКВЭД_НР!$E$3:$E$62&amp;".",","&amp;SUBSTITUTE(F603," ","")&amp;","))) +
  SUMPRODUCT(ISNUMBER(SEARCH(","&amp;Справочник_ОКВЭД_НР!$G$3:$G$62&amp;".",","&amp;SUBSTITUTE(F603," ","")&amp;",")))),
50)</f>
        <v>50</v>
      </c>
      <c r="K603" s="30">
        <f>IFERROR(VLOOKUP(G603,Справочник_ОКВЭД_НР!$O:$P,2,FALSE()),50)</f>
        <v>100</v>
      </c>
      <c r="L603" s="45">
        <f>(I603*Справочник_ОКВЭД_НР!$L$2+J603*Справочник_ОКВЭД_НР!$L$3+K603*Справочник_ОКВЭД_НР!$L$4)*M603</f>
        <v>87.5</v>
      </c>
      <c r="M603" s="47">
        <f>IF(COUNTIF(Справочник_ОКВЭД_НР!$G$3:$G$62,H603)&gt;0,0,1)</f>
        <v>1</v>
      </c>
    </row>
    <row r="604" spans="1:13" x14ac:dyDescent="0.25">
      <c r="A604" s="4">
        <f>ЛИК_дляСкорингаДП!A604</f>
        <v>1022101136397</v>
      </c>
      <c r="B604" s="4">
        <f>ЛИК_дляСкорингаДП!B604</f>
        <v>2126000034</v>
      </c>
      <c r="C604" s="4" t="str">
        <f>ЛИК_дляСкорингаДП!C604</f>
        <v>ЗАО "ХЛЕБОКОМБИНАТ ПЕТРОВСКИЙ"</v>
      </c>
      <c r="D604" s="5" t="str">
        <f>ЛИК_дляСкорингаДП!M604</f>
        <v>Производство хлеба и хлебобулочных изделий недлительного хранения</v>
      </c>
      <c r="E604" s="4" t="str">
        <f>ЛИК_дляСкорингаДП!L604</f>
        <v>10.71.1</v>
      </c>
      <c r="F604" t="str">
        <f>ЛИК_дляСкорингаДП!N604</f>
        <v>10.71.3,10.72.1,10.71,10.71.1,10.72,11.07.1,11.07.2,46.36.3,46.36.4,46.38.29,47.24,47.29.3,47.81,52.29,56.29</v>
      </c>
      <c r="G604" s="25" t="str">
        <f>ЛИК_дляСкорингаДП!AG604</f>
        <v>ОСН</v>
      </c>
      <c r="H604" s="55" t="str">
        <f>IF(ISNUMBER(E604),E604,
IFERROR(LEFT(E604,FIND(".",E604)-1),E604))</f>
        <v>10</v>
      </c>
      <c r="I604" s="30">
        <f>IF(COUNTIF(Справочник_ОКВЭД_НР!$A$3:$A$62,H604)&gt;0,Справочник_ОКВЭД_НР!$L$8,
 IF(COUNTIF(Справочник_ОКВЭД_НР!$C$3:$C$62,H604)&gt;0,Справочник_ОКВЭД_НР!$L$9,
  IF(COUNTIF(Справочник_ОКВЭД_НР!$E$3:$E$62,H604)&gt;0,Справочник_ОКВЭД_НР!$L$10,
   IF(COUNTIF(Справочник_ОКВЭД_НР!$G$3:$G$62,H604)&gt;0,Справочник_ОКВЭД_НР!$L$11,50))))</f>
        <v>100</v>
      </c>
      <c r="J604" s="30" cm="1">
        <f t="array" ref="J604">IFERROR(
 (SUMPRODUCT(ISNUMBER(SEARCH(","&amp;Справочник_ОКВЭД_НР!$A$3:$A$62&amp;".",","&amp;SUBSTITUTE(F604," ","")&amp;",")))*Справочник_ОКВЭД_НР!$L$9 +
  SUMPRODUCT(ISNUMBER(SEARCH(","&amp;Справочник_ОКВЭД_НР!$C$3:$C$62&amp;".",","&amp;SUBSTITUTE(F604," ","")&amp;",")))*Справочник_ОКВЭД_НР!$L$10 +
  SUMPRODUCT(ISNUMBER(SEARCH(","&amp;Справочник_ОКВЭД_НР!$E$3:$E$62&amp;".",","&amp;SUBSTITUTE(F604," ","")&amp;",")))*Справочник_ОКВЭД_НР!$L$11 +
  SUMPRODUCT(ISNUMBER(SEARCH(","&amp;Справочник_ОКВЭД_НР!$G$3:$G$62&amp;".",","&amp;SUBSTITUTE(F604," ","")&amp;",")))*Справочник_ОКВЭД_НР!$L$12) /
 (SUMPRODUCT(ISNUMBER(SEARCH(","&amp;Справочник_ОКВЭД_НР!$A$3:$A$62&amp;".",","&amp;SUBSTITUTE(F604," ","")&amp;","))) +
  SUMPRODUCT(ISNUMBER(SEARCH(","&amp;Справочник_ОКВЭД_НР!$C$3:$C$62&amp;".",","&amp;SUBSTITUTE(F604," ","")&amp;","))) +
  SUMPRODUCT(ISNUMBER(SEARCH(","&amp;Справочник_ОКВЭД_НР!$E$3:$E$62&amp;".",","&amp;SUBSTITUTE(F604," ","")&amp;","))) +
  SUMPRODUCT(ISNUMBER(SEARCH(","&amp;Справочник_ОКВЭД_НР!$G$3:$G$62&amp;".",","&amp;SUBSTITUTE(F604," ","")&amp;",")))),
50)</f>
        <v>50</v>
      </c>
      <c r="K604" s="30">
        <f>IFERROR(VLOOKUP(G604,Справочник_ОКВЭД_НР!$O:$P,2,FALSE()),50)</f>
        <v>100</v>
      </c>
      <c r="L604" s="45">
        <f>(I604*Справочник_ОКВЭД_НР!$L$2+J604*Справочник_ОКВЭД_НР!$L$3+K604*Справочник_ОКВЭД_НР!$L$4)*M604</f>
        <v>87.5</v>
      </c>
      <c r="M604" s="47">
        <f>IF(COUNTIF(Справочник_ОКВЭД_НР!$G$3:$G$62,H604)&gt;0,0,1)</f>
        <v>1</v>
      </c>
    </row>
    <row r="605" spans="1:13" x14ac:dyDescent="0.25">
      <c r="A605" s="4">
        <f>ЛИК_дляСкорингаДП!A605</f>
        <v>1022101148398</v>
      </c>
      <c r="B605" s="4">
        <f>ЛИК_дляСкорингаДП!B605</f>
        <v>2128031334</v>
      </c>
      <c r="C605" s="4" t="str">
        <f>ЛИК_дляСкорингаДП!C605</f>
        <v>ООО "ТПК "ИНКОМЦЕНТР"</v>
      </c>
      <c r="D605" s="5" t="str">
        <f>ЛИК_дляСкорингаДП!M605</f>
        <v>Торговля оптовая прочими строительными материалами и изделиями</v>
      </c>
      <c r="E605" s="4" t="str">
        <f>ЛИК_дляСкорингаДП!L605</f>
        <v>46.73.6</v>
      </c>
      <c r="F605" t="str">
        <f>ЛИК_дляСкорингаДП!N605</f>
        <v>52.10.9,46.44,46.49,46.73,46.74,47.19,47.52,47.7,49.41,52.10,52.10.9,52.21.19,52.21.29,52.24,52.29,68.20</v>
      </c>
      <c r="G605" s="25" t="str">
        <f>ЛИК_дляСкорингаДП!AG605</f>
        <v>ОСН</v>
      </c>
      <c r="H605" s="55" t="str">
        <f>IF(ISNUMBER(E605),E605,
IFERROR(LEFT(E605,FIND(".",E605)-1),E605))</f>
        <v>46</v>
      </c>
      <c r="I605" s="30">
        <f>IF(COUNTIF(Справочник_ОКВЭД_НР!$A$3:$A$62,H605)&gt;0,Справочник_ОКВЭД_НР!$L$8,
 IF(COUNTIF(Справочник_ОКВЭД_НР!$C$3:$C$62,H605)&gt;0,Справочник_ОКВЭД_НР!$L$9,
  IF(COUNTIF(Справочник_ОКВЭД_НР!$E$3:$E$62,H605)&gt;0,Справочник_ОКВЭД_НР!$L$10,
   IF(COUNTIF(Справочник_ОКВЭД_НР!$G$3:$G$62,H605)&gt;0,Справочник_ОКВЭД_НР!$L$11,50))))</f>
        <v>60</v>
      </c>
      <c r="J605" s="30" cm="1">
        <f t="array" ref="J605">IFERROR(
 (SUMPRODUCT(ISNUMBER(SEARCH(","&amp;Справочник_ОКВЭД_НР!$A$3:$A$62&amp;".",","&amp;SUBSTITUTE(F605," ","")&amp;",")))*Справочник_ОКВЭД_НР!$L$9 +
  SUMPRODUCT(ISNUMBER(SEARCH(","&amp;Справочник_ОКВЭД_НР!$C$3:$C$62&amp;".",","&amp;SUBSTITUTE(F605," ","")&amp;",")))*Справочник_ОКВЭД_НР!$L$10 +
  SUMPRODUCT(ISNUMBER(SEARCH(","&amp;Справочник_ОКВЭД_НР!$E$3:$E$62&amp;".",","&amp;SUBSTITUTE(F605," ","")&amp;",")))*Справочник_ОКВЭД_НР!$L$11 +
  SUMPRODUCT(ISNUMBER(SEARCH(","&amp;Справочник_ОКВЭД_НР!$G$3:$G$62&amp;".",","&amp;SUBSTITUTE(F605," ","")&amp;",")))*Справочник_ОКВЭД_НР!$L$12) /
 (SUMPRODUCT(ISNUMBER(SEARCH(","&amp;Справочник_ОКВЭД_НР!$A$3:$A$62&amp;".",","&amp;SUBSTITUTE(F605," ","")&amp;","))) +
  SUMPRODUCT(ISNUMBER(SEARCH(","&amp;Справочник_ОКВЭД_НР!$C$3:$C$62&amp;".",","&amp;SUBSTITUTE(F605," ","")&amp;","))) +
  SUMPRODUCT(ISNUMBER(SEARCH(","&amp;Справочник_ОКВЭД_НР!$E$3:$E$62&amp;".",","&amp;SUBSTITUTE(F605," ","")&amp;","))) +
  SUMPRODUCT(ISNUMBER(SEARCH(","&amp;Справочник_ОКВЭД_НР!$G$3:$G$62&amp;".",","&amp;SUBSTITUTE(F605," ","")&amp;",")))),
50)</f>
        <v>50</v>
      </c>
      <c r="K605" s="30">
        <f>IFERROR(VLOOKUP(G605,Справочник_ОКВЭД_НР!$O:$P,2,FALSE()),50)</f>
        <v>100</v>
      </c>
      <c r="L605" s="45">
        <f>(I605*Справочник_ОКВЭД_НР!$L$2+J605*Справочник_ОКВЭД_НР!$L$3+K605*Справочник_ОКВЭД_НР!$L$4)*M605</f>
        <v>63.5</v>
      </c>
      <c r="M605" s="47">
        <f>IF(COUNTIF(Справочник_ОКВЭД_НР!$G$3:$G$62,H605)&gt;0,0,1)</f>
        <v>1</v>
      </c>
    </row>
    <row r="606" spans="1:13" x14ac:dyDescent="0.25">
      <c r="A606" s="4">
        <f>ЛИК_дляСкорингаДП!A606</f>
        <v>1022100967184</v>
      </c>
      <c r="B606" s="4">
        <f>ЛИК_дляСкорингаДП!B606</f>
        <v>2127317877</v>
      </c>
      <c r="C606" s="4" t="str">
        <f>ЛИК_дляСкорингаДП!C606</f>
        <v>ООО "ВИКА-ДВИНА"</v>
      </c>
      <c r="D606" s="5" t="str">
        <f>ЛИК_дляСкорингаДП!M606</f>
        <v>Производство мебели для офисов и предприятий торговли</v>
      </c>
      <c r="E606" s="4" t="str">
        <f>ЛИК_дляСкорингаДП!L606</f>
        <v>31.01</v>
      </c>
      <c r="F606" t="str">
        <f>ЛИК_дляСкорингаДП!N606</f>
        <v>25.12,25.99.2,31.01,82.92</v>
      </c>
      <c r="G606" s="25" t="str">
        <f>ЛИК_дляСкорингаДП!AG606</f>
        <v>ОСН</v>
      </c>
      <c r="H606" s="55" t="str">
        <f>IF(ISNUMBER(E606),E606,
IFERROR(LEFT(E606,FIND(".",E606)-1),E606))</f>
        <v>31</v>
      </c>
      <c r="I606" s="30">
        <f>IF(COUNTIF(Справочник_ОКВЭД_НР!$A$3:$A$62,H606)&gt;0,Справочник_ОКВЭД_НР!$L$8,
 IF(COUNTIF(Справочник_ОКВЭД_НР!$C$3:$C$62,H606)&gt;0,Справочник_ОКВЭД_НР!$L$9,
  IF(COUNTIF(Справочник_ОКВЭД_НР!$E$3:$E$62,H606)&gt;0,Справочник_ОКВЭД_НР!$L$10,
   IF(COUNTIF(Справочник_ОКВЭД_НР!$G$3:$G$62,H606)&gt;0,Справочник_ОКВЭД_НР!$L$11,50))))</f>
        <v>30</v>
      </c>
      <c r="J606" s="30" cm="1">
        <f t="array" ref="J606">IFERROR(
 (SUMPRODUCT(ISNUMBER(SEARCH(","&amp;Справочник_ОКВЭД_НР!$A$3:$A$62&amp;".",","&amp;SUBSTITUTE(F606," ","")&amp;",")))*Справочник_ОКВЭД_НР!$L$9 +
  SUMPRODUCT(ISNUMBER(SEARCH(","&amp;Справочник_ОКВЭД_НР!$C$3:$C$62&amp;".",","&amp;SUBSTITUTE(F606," ","")&amp;",")))*Справочник_ОКВЭД_НР!$L$10 +
  SUMPRODUCT(ISNUMBER(SEARCH(","&amp;Справочник_ОКВЭД_НР!$E$3:$E$62&amp;".",","&amp;SUBSTITUTE(F606," ","")&amp;",")))*Справочник_ОКВЭД_НР!$L$11 +
  SUMPRODUCT(ISNUMBER(SEARCH(","&amp;Справочник_ОКВЭД_НР!$G$3:$G$62&amp;".",","&amp;SUBSTITUTE(F606," ","")&amp;",")))*Справочник_ОКВЭД_НР!$L$12) /
 (SUMPRODUCT(ISNUMBER(SEARCH(","&amp;Справочник_ОКВЭД_НР!$A$3:$A$62&amp;".",","&amp;SUBSTITUTE(F606," ","")&amp;","))) +
  SUMPRODUCT(ISNUMBER(SEARCH(","&amp;Справочник_ОКВЭД_НР!$C$3:$C$62&amp;".",","&amp;SUBSTITUTE(F606," ","")&amp;","))) +
  SUMPRODUCT(ISNUMBER(SEARCH(","&amp;Справочник_ОКВЭД_НР!$E$3:$E$62&amp;".",","&amp;SUBSTITUTE(F606," ","")&amp;","))) +
  SUMPRODUCT(ISNUMBER(SEARCH(","&amp;Справочник_ОКВЭД_НР!$G$3:$G$62&amp;".",","&amp;SUBSTITUTE(F606," ","")&amp;",")))),
50)</f>
        <v>50</v>
      </c>
      <c r="K606" s="30">
        <f>IFERROR(VLOOKUP(G606,Справочник_ОКВЭД_НР!$O:$P,2,FALSE()),50)</f>
        <v>100</v>
      </c>
      <c r="L606" s="45">
        <f>(I606*Справочник_ОКВЭД_НР!$L$2+J606*Справочник_ОКВЭД_НР!$L$3+K606*Справочник_ОКВЭД_НР!$L$4)*M606</f>
        <v>45.5</v>
      </c>
      <c r="M606" s="47">
        <f>IF(COUNTIF(Справочник_ОКВЭД_НР!$G$3:$G$62,H606)&gt;0,0,1)</f>
        <v>1</v>
      </c>
    </row>
    <row r="607" spans="1:13" x14ac:dyDescent="0.25">
      <c r="A607" s="4">
        <f>ЛИК_дляСкорингаДП!A607</f>
        <v>1022100968174</v>
      </c>
      <c r="B607" s="4">
        <f>ЛИК_дляСкорингаДП!B607</f>
        <v>2127009390</v>
      </c>
      <c r="C607" s="4" t="str">
        <f>ЛИК_дляСкорингаДП!C607</f>
        <v>ОАО "БУКЕТ ЧУВАШИИ"</v>
      </c>
      <c r="D607" s="5" t="str">
        <f>ЛИК_дляСкорингаДП!M607</f>
        <v>Производство пива</v>
      </c>
      <c r="E607" s="4" t="str">
        <f>ЛИК_дляСкорингаДП!L607</f>
        <v>11.05</v>
      </c>
      <c r="F607" t="str">
        <f>ЛИК_дляСкорингаДП!N607</f>
        <v>11.06,11.07.11,11.07.13,11.07.2,20.11,46.21,46.90,56.29.2,01.11,10.61,11.01.1,11.05,11.06,11.07,41.20,45.3,46.12.1,46.21,46.34,46.61,46.69.2,46.71,46.75.1,47.25,47.29,49.3,49.32,49.4,56.10,56.10.1,56.10.3,56.29,56.29,56.30,66.12.3,70.22,73.20</v>
      </c>
      <c r="G607" s="25" t="str">
        <f>ЛИК_дляСкорингаДП!AG607</f>
        <v>ОСН</v>
      </c>
      <c r="H607" s="55" t="str">
        <f>IF(ISNUMBER(E607),E607,
IFERROR(LEFT(E607,FIND(".",E607)-1),E607))</f>
        <v>11</v>
      </c>
      <c r="I607" s="30">
        <f>IF(COUNTIF(Справочник_ОКВЭД_НР!$A$3:$A$62,H607)&gt;0,Справочник_ОКВЭД_НР!$L$8,
 IF(COUNTIF(Справочник_ОКВЭД_НР!$C$3:$C$62,H607)&gt;0,Справочник_ОКВЭД_НР!$L$9,
  IF(COUNTIF(Справочник_ОКВЭД_НР!$E$3:$E$62,H607)&gt;0,Справочник_ОКВЭД_НР!$L$10,
   IF(COUNTIF(Справочник_ОКВЭД_НР!$G$3:$G$62,H607)&gt;0,Справочник_ОКВЭД_НР!$L$11,50))))</f>
        <v>100</v>
      </c>
      <c r="J607" s="30" cm="1">
        <f t="array" ref="J607">IFERROR(
 (SUMPRODUCT(ISNUMBER(SEARCH(","&amp;Справочник_ОКВЭД_НР!$A$3:$A$62&amp;".",","&amp;SUBSTITUTE(F607," ","")&amp;",")))*Справочник_ОКВЭД_НР!$L$9 +
  SUMPRODUCT(ISNUMBER(SEARCH(","&amp;Справочник_ОКВЭД_НР!$C$3:$C$62&amp;".",","&amp;SUBSTITUTE(F607," ","")&amp;",")))*Справочник_ОКВЭД_НР!$L$10 +
  SUMPRODUCT(ISNUMBER(SEARCH(","&amp;Справочник_ОКВЭД_НР!$E$3:$E$62&amp;".",","&amp;SUBSTITUTE(F607," ","")&amp;",")))*Справочник_ОКВЭД_НР!$L$11 +
  SUMPRODUCT(ISNUMBER(SEARCH(","&amp;Справочник_ОКВЭД_НР!$G$3:$G$62&amp;".",","&amp;SUBSTITUTE(F607," ","")&amp;",")))*Справочник_ОКВЭД_НР!$L$12) /
 (SUMPRODUCT(ISNUMBER(SEARCH(","&amp;Справочник_ОКВЭД_НР!$A$3:$A$62&amp;".",","&amp;SUBSTITUTE(F607," ","")&amp;","))) +
  SUMPRODUCT(ISNUMBER(SEARCH(","&amp;Справочник_ОКВЭД_НР!$C$3:$C$62&amp;".",","&amp;SUBSTITUTE(F607," ","")&amp;","))) +
  SUMPRODUCT(ISNUMBER(SEARCH(","&amp;Справочник_ОКВЭД_НР!$E$3:$E$62&amp;".",","&amp;SUBSTITUTE(F607," ","")&amp;","))) +
  SUMPRODUCT(ISNUMBER(SEARCH(","&amp;Справочник_ОКВЭД_НР!$G$3:$G$62&amp;".",","&amp;SUBSTITUTE(F607," ","")&amp;",")))),
50)</f>
        <v>50</v>
      </c>
      <c r="K607" s="30">
        <f>IFERROR(VLOOKUP(G607,Справочник_ОКВЭД_НР!$O:$P,2,FALSE()),50)</f>
        <v>100</v>
      </c>
      <c r="L607" s="45">
        <f>(I607*Справочник_ОКВЭД_НР!$L$2+J607*Справочник_ОКВЭД_НР!$L$3+K607*Справочник_ОКВЭД_НР!$L$4)*M607</f>
        <v>87.5</v>
      </c>
      <c r="M607" s="47">
        <f>IF(COUNTIF(Справочник_ОКВЭД_НР!$G$3:$G$62,H607)&gt;0,0,1)</f>
        <v>1</v>
      </c>
    </row>
    <row r="608" spans="1:13" x14ac:dyDescent="0.25">
      <c r="A608" s="4">
        <f>ЛИК_дляСкорингаДП!A608</f>
        <v>1022101148101</v>
      </c>
      <c r="B608" s="4">
        <f>ЛИК_дляСкорингаДП!B608</f>
        <v>2128042696</v>
      </c>
      <c r="C608" s="4" t="str">
        <f>ЛИК_дляСкорингаДП!C608</f>
        <v>ООО "СТРОИТЕЛЬНЫЙ ДВОР"</v>
      </c>
      <c r="D608" s="5" t="str">
        <f>ЛИК_дляСкорингаДП!M608</f>
        <v>Торговля оптовая неспециализированная</v>
      </c>
      <c r="E608" s="4" t="str">
        <f>ЛИК_дляСкорингаДП!L608</f>
        <v>46.90</v>
      </c>
      <c r="F608" t="str">
        <f>ЛИК_дляСкорингаДП!N608</f>
        <v>49.41.2,16.10,16.21,16.23,16.29,46.47,46.73,46.73.6,46.74,46.90,47.19,47.52.7,49.41,68.20</v>
      </c>
      <c r="G608" s="25" t="str">
        <f>ЛИК_дляСкорингаДП!AG608</f>
        <v>ОСН</v>
      </c>
      <c r="H608" s="55" t="str">
        <f>IF(ISNUMBER(E608),E608,
IFERROR(LEFT(E608,FIND(".",E608)-1),E608))</f>
        <v>46</v>
      </c>
      <c r="I608" s="30">
        <f>IF(COUNTIF(Справочник_ОКВЭД_НР!$A$3:$A$62,H608)&gt;0,Справочник_ОКВЭД_НР!$L$8,
 IF(COUNTIF(Справочник_ОКВЭД_НР!$C$3:$C$62,H608)&gt;0,Справочник_ОКВЭД_НР!$L$9,
  IF(COUNTIF(Справочник_ОКВЭД_НР!$E$3:$E$62,H608)&gt;0,Справочник_ОКВЭД_НР!$L$10,
   IF(COUNTIF(Справочник_ОКВЭД_НР!$G$3:$G$62,H608)&gt;0,Справочник_ОКВЭД_НР!$L$11,50))))</f>
        <v>60</v>
      </c>
      <c r="J608" s="30" cm="1">
        <f t="array" ref="J608">IFERROR(
 (SUMPRODUCT(ISNUMBER(SEARCH(","&amp;Справочник_ОКВЭД_НР!$A$3:$A$62&amp;".",","&amp;SUBSTITUTE(F608," ","")&amp;",")))*Справочник_ОКВЭД_НР!$L$9 +
  SUMPRODUCT(ISNUMBER(SEARCH(","&amp;Справочник_ОКВЭД_НР!$C$3:$C$62&amp;".",","&amp;SUBSTITUTE(F608," ","")&amp;",")))*Справочник_ОКВЭД_НР!$L$10 +
  SUMPRODUCT(ISNUMBER(SEARCH(","&amp;Справочник_ОКВЭД_НР!$E$3:$E$62&amp;".",","&amp;SUBSTITUTE(F608," ","")&amp;",")))*Справочник_ОКВЭД_НР!$L$11 +
  SUMPRODUCT(ISNUMBER(SEARCH(","&amp;Справочник_ОКВЭД_НР!$G$3:$G$62&amp;".",","&amp;SUBSTITUTE(F608," ","")&amp;",")))*Справочник_ОКВЭД_НР!$L$12) /
 (SUMPRODUCT(ISNUMBER(SEARCH(","&amp;Справочник_ОКВЭД_НР!$A$3:$A$62&amp;".",","&amp;SUBSTITUTE(F608," ","")&amp;","))) +
  SUMPRODUCT(ISNUMBER(SEARCH(","&amp;Справочник_ОКВЭД_НР!$C$3:$C$62&amp;".",","&amp;SUBSTITUTE(F608," ","")&amp;","))) +
  SUMPRODUCT(ISNUMBER(SEARCH(","&amp;Справочник_ОКВЭД_НР!$E$3:$E$62&amp;".",","&amp;SUBSTITUTE(F608," ","")&amp;","))) +
  SUMPRODUCT(ISNUMBER(SEARCH(","&amp;Справочник_ОКВЭД_НР!$G$3:$G$62&amp;".",","&amp;SUBSTITUTE(F608," ","")&amp;",")))),
50)</f>
        <v>50</v>
      </c>
      <c r="K608" s="30">
        <f>IFERROR(VLOOKUP(G608,Справочник_ОКВЭД_НР!$O:$P,2,FALSE()),50)</f>
        <v>100</v>
      </c>
      <c r="L608" s="45">
        <f>(I608*Справочник_ОКВЭД_НР!$L$2+J608*Справочник_ОКВЭД_НР!$L$3+K608*Справочник_ОКВЭД_НР!$L$4)*M608</f>
        <v>63.5</v>
      </c>
      <c r="M608" s="47">
        <f>IF(COUNTIF(Справочник_ОКВЭД_НР!$G$3:$G$62,H608)&gt;0,0,1)</f>
        <v>1</v>
      </c>
    </row>
    <row r="609" spans="1:13" x14ac:dyDescent="0.25">
      <c r="A609" s="4">
        <f>ЛИК_дляСкорингаДП!A609</f>
        <v>1022102628888</v>
      </c>
      <c r="B609" s="4">
        <f>ЛИК_дляСкорингаДП!B609</f>
        <v>2119000026</v>
      </c>
      <c r="C609" s="4" t="str">
        <f>ЛИК_дляСкорингаДП!C609</f>
        <v>ОАО "ЯДРИНМОЛОКО"</v>
      </c>
      <c r="D609" s="5" t="str">
        <f>ЛИК_дляСкорингаДП!M609</f>
        <v>Производство питьевого молока и питьевых сливок</v>
      </c>
      <c r="E609" s="4" t="str">
        <f>ЛИК_дляСкорингаДП!L609</f>
        <v>10.51.1</v>
      </c>
      <c r="F609" t="str">
        <f>ЛИК_дляСкорингаДП!N609</f>
        <v>43.99.9,46.33,46.90,10.42,10.51,43.99,46.21,46.33,46.38,46.90</v>
      </c>
      <c r="G609" s="25" t="str">
        <f>ЛИК_дляСкорингаДП!AG609</f>
        <v>ОСН</v>
      </c>
      <c r="H609" s="55" t="str">
        <f>IF(ISNUMBER(E609),E609,
IFERROR(LEFT(E609,FIND(".",E609)-1),E609))</f>
        <v>10</v>
      </c>
      <c r="I609" s="30">
        <f>IF(COUNTIF(Справочник_ОКВЭД_НР!$A$3:$A$62,H609)&gt;0,Справочник_ОКВЭД_НР!$L$8,
 IF(COUNTIF(Справочник_ОКВЭД_НР!$C$3:$C$62,H609)&gt;0,Справочник_ОКВЭД_НР!$L$9,
  IF(COUNTIF(Справочник_ОКВЭД_НР!$E$3:$E$62,H609)&gt;0,Справочник_ОКВЭД_НР!$L$10,
   IF(COUNTIF(Справочник_ОКВЭД_НР!$G$3:$G$62,H609)&gt;0,Справочник_ОКВЭД_НР!$L$11,50))))</f>
        <v>100</v>
      </c>
      <c r="J609" s="30" cm="1">
        <f t="array" ref="J609">IFERROR(
 (SUMPRODUCT(ISNUMBER(SEARCH(","&amp;Справочник_ОКВЭД_НР!$A$3:$A$62&amp;".",","&amp;SUBSTITUTE(F609," ","")&amp;",")))*Справочник_ОКВЭД_НР!$L$9 +
  SUMPRODUCT(ISNUMBER(SEARCH(","&amp;Справочник_ОКВЭД_НР!$C$3:$C$62&amp;".",","&amp;SUBSTITUTE(F609," ","")&amp;",")))*Справочник_ОКВЭД_НР!$L$10 +
  SUMPRODUCT(ISNUMBER(SEARCH(","&amp;Справочник_ОКВЭД_НР!$E$3:$E$62&amp;".",","&amp;SUBSTITUTE(F609," ","")&amp;",")))*Справочник_ОКВЭД_НР!$L$11 +
  SUMPRODUCT(ISNUMBER(SEARCH(","&amp;Справочник_ОКВЭД_НР!$G$3:$G$62&amp;".",","&amp;SUBSTITUTE(F609," ","")&amp;",")))*Справочник_ОКВЭД_НР!$L$12) /
 (SUMPRODUCT(ISNUMBER(SEARCH(","&amp;Справочник_ОКВЭД_НР!$A$3:$A$62&amp;".",","&amp;SUBSTITUTE(F609," ","")&amp;","))) +
  SUMPRODUCT(ISNUMBER(SEARCH(","&amp;Справочник_ОКВЭД_НР!$C$3:$C$62&amp;".",","&amp;SUBSTITUTE(F609," ","")&amp;","))) +
  SUMPRODUCT(ISNUMBER(SEARCH(","&amp;Справочник_ОКВЭД_НР!$E$3:$E$62&amp;".",","&amp;SUBSTITUTE(F609," ","")&amp;","))) +
  SUMPRODUCT(ISNUMBER(SEARCH(","&amp;Справочник_ОКВЭД_НР!$G$3:$G$62&amp;".",","&amp;SUBSTITUTE(F609," ","")&amp;",")))),
50)</f>
        <v>50</v>
      </c>
      <c r="K609" s="30">
        <f>IFERROR(VLOOKUP(G609,Справочник_ОКВЭД_НР!$O:$P,2,FALSE()),50)</f>
        <v>100</v>
      </c>
      <c r="L609" s="45">
        <f>(I609*Справочник_ОКВЭД_НР!$L$2+J609*Справочник_ОКВЭД_НР!$L$3+K609*Справочник_ОКВЭД_НР!$L$4)*M609</f>
        <v>87.5</v>
      </c>
      <c r="M609" s="47">
        <f>IF(COUNTIF(Справочник_ОКВЭД_НР!$G$3:$G$62,H609)&gt;0,0,1)</f>
        <v>1</v>
      </c>
    </row>
    <row r="610" spans="1:13" x14ac:dyDescent="0.25">
      <c r="A610" s="4">
        <f>ЛИК_дляСкорингаДП!A610</f>
        <v>1022102832146</v>
      </c>
      <c r="B610" s="4">
        <f>ЛИК_дляСкорингаДП!B610</f>
        <v>2115000346</v>
      </c>
      <c r="C610" s="4" t="str">
        <f>ЛИК_дляСкорингаДП!C610</f>
        <v>АО "ПМК-8"</v>
      </c>
      <c r="D610" s="5" t="str">
        <f>ЛИК_дляСкорингаДП!M610</f>
        <v>Прочие виды строительства жилых и нежилых зданий</v>
      </c>
      <c r="E610" s="4" t="str">
        <f>ЛИК_дляСкорингаДП!L610</f>
        <v>41.20.9</v>
      </c>
      <c r="F610" t="str">
        <f>ЛИК_дляСкорингаДП!N610</f>
        <v>36.00.2,46.73.6,22.23,23.61,35.30.1,36.00,41.20,42.11,42.12,42.21,42.21,42.22.1,42.22.2,42.91,42.99,43.11,43.12.3,43.13,43.21,43.22,43.29,43.31,43.32,43.33,43.34,43.39,43.91,43.99,43.99,43.99.1,43.99.7,47.52.7,68.10,68.10.1,71.1,71.12.5,71.12.6,86.90.9</v>
      </c>
      <c r="G610" s="25" t="str">
        <f>ЛИК_дляСкорингаДП!AG610</f>
        <v>ОСН</v>
      </c>
      <c r="H610" s="55" t="str">
        <f>IF(ISNUMBER(E610),E610,
IFERROR(LEFT(E610,FIND(".",E610)-1),E610))</f>
        <v>41</v>
      </c>
      <c r="I610" s="30">
        <f>IF(COUNTIF(Справочник_ОКВЭД_НР!$A$3:$A$62,H610)&gt;0,Справочник_ОКВЭД_НР!$L$8,
 IF(COUNTIF(Справочник_ОКВЭД_НР!$C$3:$C$62,H610)&gt;0,Справочник_ОКВЭД_НР!$L$9,
  IF(COUNTIF(Справочник_ОКВЭД_НР!$E$3:$E$62,H610)&gt;0,Справочник_ОКВЭД_НР!$L$10,
   IF(COUNTIF(Справочник_ОКВЭД_НР!$G$3:$G$62,H610)&gt;0,Справочник_ОКВЭД_НР!$L$11,50))))</f>
        <v>100</v>
      </c>
      <c r="J610" s="30" cm="1">
        <f t="array" ref="J610">IFERROR(
 (SUMPRODUCT(ISNUMBER(SEARCH(","&amp;Справочник_ОКВЭД_НР!$A$3:$A$62&amp;".",","&amp;SUBSTITUTE(F610," ","")&amp;",")))*Справочник_ОКВЭД_НР!$L$9 +
  SUMPRODUCT(ISNUMBER(SEARCH(","&amp;Справочник_ОКВЭД_НР!$C$3:$C$62&amp;".",","&amp;SUBSTITUTE(F610," ","")&amp;",")))*Справочник_ОКВЭД_НР!$L$10 +
  SUMPRODUCT(ISNUMBER(SEARCH(","&amp;Справочник_ОКВЭД_НР!$E$3:$E$62&amp;".",","&amp;SUBSTITUTE(F610," ","")&amp;",")))*Справочник_ОКВЭД_НР!$L$11 +
  SUMPRODUCT(ISNUMBER(SEARCH(","&amp;Справочник_ОКВЭД_НР!$G$3:$G$62&amp;".",","&amp;SUBSTITUTE(F610," ","")&amp;",")))*Справочник_ОКВЭД_НР!$L$12) /
 (SUMPRODUCT(ISNUMBER(SEARCH(","&amp;Справочник_ОКВЭД_НР!$A$3:$A$62&amp;".",","&amp;SUBSTITUTE(F610," ","")&amp;","))) +
  SUMPRODUCT(ISNUMBER(SEARCH(","&amp;Справочник_ОКВЭД_НР!$C$3:$C$62&amp;".",","&amp;SUBSTITUTE(F610," ","")&amp;","))) +
  SUMPRODUCT(ISNUMBER(SEARCH(","&amp;Справочник_ОКВЭД_НР!$E$3:$E$62&amp;".",","&amp;SUBSTITUTE(F610," ","")&amp;","))) +
  SUMPRODUCT(ISNUMBER(SEARCH(","&amp;Справочник_ОКВЭД_НР!$G$3:$G$62&amp;".",","&amp;SUBSTITUTE(F610," ","")&amp;",")))),
50)</f>
        <v>50</v>
      </c>
      <c r="K610" s="30">
        <f>IFERROR(VLOOKUP(G610,Справочник_ОКВЭД_НР!$O:$P,2,FALSE()),50)</f>
        <v>100</v>
      </c>
      <c r="L610" s="45">
        <f>(I610*Справочник_ОКВЭД_НР!$L$2+J610*Справочник_ОКВЭД_НР!$L$3+K610*Справочник_ОКВЭД_НР!$L$4)*M610</f>
        <v>87.5</v>
      </c>
      <c r="M610" s="47">
        <f>IF(COUNTIF(Справочник_ОКВЭД_НР!$G$3:$G$62,H610)&gt;0,0,1)</f>
        <v>1</v>
      </c>
    </row>
    <row r="611" spans="1:13" x14ac:dyDescent="0.25">
      <c r="A611" s="4">
        <f>ЛИК_дляСкорингаДП!A611</f>
        <v>1022102228741</v>
      </c>
      <c r="B611" s="4">
        <f>ЛИК_дляСкорингаДП!B611</f>
        <v>2123000942</v>
      </c>
      <c r="C611" s="4" t="str">
        <f>ЛИК_дляСкорингаДП!C611</f>
        <v>АО "КААЗ"</v>
      </c>
      <c r="D611" s="5" t="str">
        <f>ЛИК_дляСкорингаДП!M611</f>
        <v>Производство частей и принадлежностей для автотранспортных средств, не включенных в другие группировки</v>
      </c>
      <c r="E611" s="4" t="str">
        <f>ЛИК_дляСкорингаДП!L611</f>
        <v>29.32.3</v>
      </c>
      <c r="F611" t="str">
        <f>ЛИК_дляСкорингаДП!N611</f>
        <v>45.32.29,46.77,68.20.29,29.32,35.14,45.3,46.90,47.11,49.39,49.41,55.90,56.29.2,64.99</v>
      </c>
      <c r="G611" s="25" t="str">
        <f>ЛИК_дляСкорингаДП!AG611</f>
        <v>ОСН</v>
      </c>
      <c r="H611" s="55" t="str">
        <f>IF(ISNUMBER(E611),E611,
IFERROR(LEFT(E611,FIND(".",E611)-1),E611))</f>
        <v>29</v>
      </c>
      <c r="I611" s="30">
        <f>IF(COUNTIF(Справочник_ОКВЭД_НР!$A$3:$A$62,H611)&gt;0,Справочник_ОКВЭД_НР!$L$8,
 IF(COUNTIF(Справочник_ОКВЭД_НР!$C$3:$C$62,H611)&gt;0,Справочник_ОКВЭД_НР!$L$9,
  IF(COUNTIF(Справочник_ОКВЭД_НР!$E$3:$E$62,H611)&gt;0,Справочник_ОКВЭД_НР!$L$10,
   IF(COUNTIF(Справочник_ОКВЭД_НР!$G$3:$G$62,H611)&gt;0,Справочник_ОКВЭД_НР!$L$11,50))))</f>
        <v>60</v>
      </c>
      <c r="J611" s="30" cm="1">
        <f t="array" ref="J611">IFERROR(
 (SUMPRODUCT(ISNUMBER(SEARCH(","&amp;Справочник_ОКВЭД_НР!$A$3:$A$62&amp;".",","&amp;SUBSTITUTE(F611," ","")&amp;",")))*Справочник_ОКВЭД_НР!$L$9 +
  SUMPRODUCT(ISNUMBER(SEARCH(","&amp;Справочник_ОКВЭД_НР!$C$3:$C$62&amp;".",","&amp;SUBSTITUTE(F611," ","")&amp;",")))*Справочник_ОКВЭД_НР!$L$10 +
  SUMPRODUCT(ISNUMBER(SEARCH(","&amp;Справочник_ОКВЭД_НР!$E$3:$E$62&amp;".",","&amp;SUBSTITUTE(F611," ","")&amp;",")))*Справочник_ОКВЭД_НР!$L$11 +
  SUMPRODUCT(ISNUMBER(SEARCH(","&amp;Справочник_ОКВЭД_НР!$G$3:$G$62&amp;".",","&amp;SUBSTITUTE(F611," ","")&amp;",")))*Справочник_ОКВЭД_НР!$L$12) /
 (SUMPRODUCT(ISNUMBER(SEARCH(","&amp;Справочник_ОКВЭД_НР!$A$3:$A$62&amp;".",","&amp;SUBSTITUTE(F611," ","")&amp;","))) +
  SUMPRODUCT(ISNUMBER(SEARCH(","&amp;Справочник_ОКВЭД_НР!$C$3:$C$62&amp;".",","&amp;SUBSTITUTE(F611," ","")&amp;","))) +
  SUMPRODUCT(ISNUMBER(SEARCH(","&amp;Справочник_ОКВЭД_НР!$E$3:$E$62&amp;".",","&amp;SUBSTITUTE(F611," ","")&amp;","))) +
  SUMPRODUCT(ISNUMBER(SEARCH(","&amp;Справочник_ОКВЭД_НР!$G$3:$G$62&amp;".",","&amp;SUBSTITUTE(F611," ","")&amp;",")))),
50)</f>
        <v>50</v>
      </c>
      <c r="K611" s="30">
        <f>IFERROR(VLOOKUP(G611,Справочник_ОКВЭД_НР!$O:$P,2,FALSE()),50)</f>
        <v>100</v>
      </c>
      <c r="L611" s="45">
        <f>(I611*Справочник_ОКВЭД_НР!$L$2+J611*Справочник_ОКВЭД_НР!$L$3+K611*Справочник_ОКВЭД_НР!$L$4)*M611</f>
        <v>63.5</v>
      </c>
      <c r="M611" s="47">
        <f>IF(COUNTIF(Справочник_ОКВЭД_НР!$G$3:$G$62,H611)&gt;0,0,1)</f>
        <v>1</v>
      </c>
    </row>
    <row r="612" spans="1:13" x14ac:dyDescent="0.25">
      <c r="A612" s="4">
        <f>ЛИК_дляСкорингаДП!A612</f>
        <v>1022100910226</v>
      </c>
      <c r="B612" s="4">
        <f>ЛИК_дляСкорингаДП!B612</f>
        <v>2124009521</v>
      </c>
      <c r="C612" s="4" t="str">
        <f>ЛИК_дляСкорингаДП!C612</f>
        <v>ПАО "ХИМПРОМ"</v>
      </c>
      <c r="D612" s="5" t="str">
        <f>ЛИК_дляСкорингаДП!M612</f>
        <v>Производство прочих химических органических основных веществ</v>
      </c>
      <c r="E612" s="4" t="str">
        <f>ЛИК_дляСкорингаДП!L612</f>
        <v>20.14.7</v>
      </c>
      <c r="F612" t="str">
        <f>ЛИК_дляСкорингаДП!N612</f>
        <v>20.11,20.13,20.14.1,20.14.2,20.14.3,20.14.4,20.14.5,20.16,20.20,20.30.1,20.41.2,20.59.4,20.59.5,23.52.1,30.20.9,33.12,33.17,35.12,35.22,37.00,38.1,38.2,42.21,46.90,49.20,49.41.1,52.10.9,71.12.61,71.20.1,80.10,81.29.9,85.30,85.41,95.22.1</v>
      </c>
      <c r="G612" s="25" t="str">
        <f>ЛИК_дляСкорингаДП!AG612</f>
        <v>ОСН</v>
      </c>
      <c r="H612" s="55" t="str">
        <f>IF(ISNUMBER(E612),E612,
IFERROR(LEFT(E612,FIND(".",E612)-1),E612))</f>
        <v>20</v>
      </c>
      <c r="I612" s="30">
        <f>IF(COUNTIF(Справочник_ОКВЭД_НР!$A$3:$A$62,H612)&gt;0,Справочник_ОКВЭД_НР!$L$8,
 IF(COUNTIF(Справочник_ОКВЭД_НР!$C$3:$C$62,H612)&gt;0,Справочник_ОКВЭД_НР!$L$9,
  IF(COUNTIF(Справочник_ОКВЭД_НР!$E$3:$E$62,H612)&gt;0,Справочник_ОКВЭД_НР!$L$10,
   IF(COUNTIF(Справочник_ОКВЭД_НР!$G$3:$G$62,H612)&gt;0,Справочник_ОКВЭД_НР!$L$11,50))))</f>
        <v>60</v>
      </c>
      <c r="J612" s="30" cm="1">
        <f t="array" ref="J612">IFERROR(
 (SUMPRODUCT(ISNUMBER(SEARCH(","&amp;Справочник_ОКВЭД_НР!$A$3:$A$62&amp;".",","&amp;SUBSTITUTE(F612," ","")&amp;",")))*Справочник_ОКВЭД_НР!$L$9 +
  SUMPRODUCT(ISNUMBER(SEARCH(","&amp;Справочник_ОКВЭД_НР!$C$3:$C$62&amp;".",","&amp;SUBSTITUTE(F612," ","")&amp;",")))*Справочник_ОКВЭД_НР!$L$10 +
  SUMPRODUCT(ISNUMBER(SEARCH(","&amp;Справочник_ОКВЭД_НР!$E$3:$E$62&amp;".",","&amp;SUBSTITUTE(F612," ","")&amp;",")))*Справочник_ОКВЭД_НР!$L$11 +
  SUMPRODUCT(ISNUMBER(SEARCH(","&amp;Справочник_ОКВЭД_НР!$G$3:$G$62&amp;".",","&amp;SUBSTITUTE(F612," ","")&amp;",")))*Справочник_ОКВЭД_НР!$L$12) /
 (SUMPRODUCT(ISNUMBER(SEARCH(","&amp;Справочник_ОКВЭД_НР!$A$3:$A$62&amp;".",","&amp;SUBSTITUTE(F612," ","")&amp;","))) +
  SUMPRODUCT(ISNUMBER(SEARCH(","&amp;Справочник_ОКВЭД_НР!$C$3:$C$62&amp;".",","&amp;SUBSTITUTE(F612," ","")&amp;","))) +
  SUMPRODUCT(ISNUMBER(SEARCH(","&amp;Справочник_ОКВЭД_НР!$E$3:$E$62&amp;".",","&amp;SUBSTITUTE(F612," ","")&amp;","))) +
  SUMPRODUCT(ISNUMBER(SEARCH(","&amp;Справочник_ОКВЭД_НР!$G$3:$G$62&amp;".",","&amp;SUBSTITUTE(F612," ","")&amp;",")))),
50)</f>
        <v>50</v>
      </c>
      <c r="K612" s="30">
        <f>IFERROR(VLOOKUP(G612,Справочник_ОКВЭД_НР!$O:$P,2,FALSE()),50)</f>
        <v>100</v>
      </c>
      <c r="L612" s="45">
        <f>(I612*Справочник_ОКВЭД_НР!$L$2+J612*Справочник_ОКВЭД_НР!$L$3+K612*Справочник_ОКВЭД_НР!$L$4)*M612</f>
        <v>63.5</v>
      </c>
      <c r="M612" s="47">
        <f>IF(COUNTIF(Справочник_ОКВЭД_НР!$G$3:$G$62,H612)&gt;0,0,1)</f>
        <v>1</v>
      </c>
    </row>
    <row r="613" spans="1:13" x14ac:dyDescent="0.25">
      <c r="A613" s="4">
        <f>ЛИК_дляСкорингаДП!A613</f>
        <v>1192130004560</v>
      </c>
      <c r="B613" s="4">
        <f>ЛИК_дляСкорингаДП!B613</f>
        <v>2103003695</v>
      </c>
      <c r="C613" s="4" t="str">
        <f>ЛИК_дляСкорингаДП!C613</f>
        <v>СППК "БАТЫРЪ"</v>
      </c>
      <c r="D613" s="5" t="str">
        <f>ЛИК_дляСкорингаДП!M613</f>
        <v>Переработка и консервирование мяса</v>
      </c>
      <c r="E613" s="4" t="str">
        <f>ЛИК_дляСкорингаДП!L613</f>
        <v>10.11</v>
      </c>
      <c r="F613" t="str">
        <f>ЛИК_дляСкорингаДП!N613</f>
        <v>01.11,01.13,01.41,01.43,01.45,01.46,01.47,01.50,10.12,10.13,10.51,10.51.3,10.51.9,46.21,46.23,46.31,46.32,46.33,47.29,68.20.2</v>
      </c>
      <c r="G613" s="25" t="str">
        <f>ЛИК_дляСкорингаДП!AG613</f>
        <v>ОСН</v>
      </c>
      <c r="H613" s="55" t="str">
        <f>IF(ISNUMBER(E613),E613,
IFERROR(LEFT(E613,FIND(".",E613)-1),E613))</f>
        <v>10</v>
      </c>
      <c r="I613" s="30">
        <f>IF(COUNTIF(Справочник_ОКВЭД_НР!$A$3:$A$62,H613)&gt;0,Справочник_ОКВЭД_НР!$L$8,
 IF(COUNTIF(Справочник_ОКВЭД_НР!$C$3:$C$62,H613)&gt;0,Справочник_ОКВЭД_НР!$L$9,
  IF(COUNTIF(Справочник_ОКВЭД_НР!$E$3:$E$62,H613)&gt;0,Справочник_ОКВЭД_НР!$L$10,
   IF(COUNTIF(Справочник_ОКВЭД_НР!$G$3:$G$62,H613)&gt;0,Справочник_ОКВЭД_НР!$L$11,50))))</f>
        <v>100</v>
      </c>
      <c r="J613" s="30" cm="1">
        <f t="array" ref="J613">IFERROR(
 (SUMPRODUCT(ISNUMBER(SEARCH(","&amp;Справочник_ОКВЭД_НР!$A$3:$A$62&amp;".",","&amp;SUBSTITUTE(F613," ","")&amp;",")))*Справочник_ОКВЭД_НР!$L$9 +
  SUMPRODUCT(ISNUMBER(SEARCH(","&amp;Справочник_ОКВЭД_НР!$C$3:$C$62&amp;".",","&amp;SUBSTITUTE(F613," ","")&amp;",")))*Справочник_ОКВЭД_НР!$L$10 +
  SUMPRODUCT(ISNUMBER(SEARCH(","&amp;Справочник_ОКВЭД_НР!$E$3:$E$62&amp;".",","&amp;SUBSTITUTE(F613," ","")&amp;",")))*Справочник_ОКВЭД_НР!$L$11 +
  SUMPRODUCT(ISNUMBER(SEARCH(","&amp;Справочник_ОКВЭД_НР!$G$3:$G$62&amp;".",","&amp;SUBSTITUTE(F613," ","")&amp;",")))*Справочник_ОКВЭД_НР!$L$12) /
 (SUMPRODUCT(ISNUMBER(SEARCH(","&amp;Справочник_ОКВЭД_НР!$A$3:$A$62&amp;".",","&amp;SUBSTITUTE(F613," ","")&amp;","))) +
  SUMPRODUCT(ISNUMBER(SEARCH(","&amp;Справочник_ОКВЭД_НР!$C$3:$C$62&amp;".",","&amp;SUBSTITUTE(F613," ","")&amp;","))) +
  SUMPRODUCT(ISNUMBER(SEARCH(","&amp;Справочник_ОКВЭД_НР!$E$3:$E$62&amp;".",","&amp;SUBSTITUTE(F613," ","")&amp;","))) +
  SUMPRODUCT(ISNUMBER(SEARCH(","&amp;Справочник_ОКВЭД_НР!$G$3:$G$62&amp;".",","&amp;SUBSTITUTE(F613," ","")&amp;",")))),
50)</f>
        <v>50</v>
      </c>
      <c r="K613" s="30">
        <f>IFERROR(VLOOKUP(G613,Справочник_ОКВЭД_НР!$O:$P,2,FALSE()),50)</f>
        <v>100</v>
      </c>
      <c r="L613" s="45">
        <f>(I613*Справочник_ОКВЭД_НР!$L$2+J613*Справочник_ОКВЭД_НР!$L$3+K613*Справочник_ОКВЭД_НР!$L$4)*M613</f>
        <v>87.5</v>
      </c>
      <c r="M613" s="47">
        <f>IF(COUNTIF(Справочник_ОКВЭД_НР!$G$3:$G$62,H613)&gt;0,0,1)</f>
        <v>1</v>
      </c>
    </row>
    <row r="614" spans="1:13" x14ac:dyDescent="0.25">
      <c r="A614" s="4">
        <f>ЛИК_дляСкорингаДП!A614</f>
        <v>1022101269123</v>
      </c>
      <c r="B614" s="4">
        <f>ЛИК_дляСкорингаДП!B614</f>
        <v>2129017646</v>
      </c>
      <c r="C614" s="4" t="str">
        <f>ЛИК_дляСкорингаДП!C614</f>
        <v>АО "ЭЛАРА"</v>
      </c>
      <c r="D614" s="5" t="str">
        <f>ЛИК_дляСкорингаДП!M614</f>
        <v>Производство навигационных, метеорологических, геодезических, геофизических и аналогичного типа приборов, аппаратуры и инструментов</v>
      </c>
      <c r="E614" s="4" t="str">
        <f>ЛИК_дляСкорингаДП!L614</f>
        <v>26.51.1</v>
      </c>
      <c r="F614" t="str">
        <f>ЛИК_дляСкорингаДП!N614</f>
        <v>26.11,26.30,26.51.2,27.51,45.1,45.20,49.3,49.4,50.30,50.40,51.21,72.19</v>
      </c>
      <c r="G614" s="25" t="str">
        <f>ЛИК_дляСкорингаДП!AG614</f>
        <v>ОСН</v>
      </c>
      <c r="H614" s="55" t="str">
        <f>IF(ISNUMBER(E614),E614,
IFERROR(LEFT(E614,FIND(".",E614)-1),E614))</f>
        <v>26</v>
      </c>
      <c r="I614" s="30">
        <f>IF(COUNTIF(Справочник_ОКВЭД_НР!$A$3:$A$62,H614)&gt;0,Справочник_ОКВЭД_НР!$L$8,
 IF(COUNTIF(Справочник_ОКВЭД_НР!$C$3:$C$62,H614)&gt;0,Справочник_ОКВЭД_НР!$L$9,
  IF(COUNTIF(Справочник_ОКВЭД_НР!$E$3:$E$62,H614)&gt;0,Справочник_ОКВЭД_НР!$L$10,
   IF(COUNTIF(Справочник_ОКВЭД_НР!$G$3:$G$62,H614)&gt;0,Справочник_ОКВЭД_НР!$L$11,50))))</f>
        <v>60</v>
      </c>
      <c r="J614" s="30" cm="1">
        <f t="array" ref="J614">IFERROR(
 (SUMPRODUCT(ISNUMBER(SEARCH(","&amp;Справочник_ОКВЭД_НР!$A$3:$A$62&amp;".",","&amp;SUBSTITUTE(F614," ","")&amp;",")))*Справочник_ОКВЭД_НР!$L$9 +
  SUMPRODUCT(ISNUMBER(SEARCH(","&amp;Справочник_ОКВЭД_НР!$C$3:$C$62&amp;".",","&amp;SUBSTITUTE(F614," ","")&amp;",")))*Справочник_ОКВЭД_НР!$L$10 +
  SUMPRODUCT(ISNUMBER(SEARCH(","&amp;Справочник_ОКВЭД_НР!$E$3:$E$62&amp;".",","&amp;SUBSTITUTE(F614," ","")&amp;",")))*Справочник_ОКВЭД_НР!$L$11 +
  SUMPRODUCT(ISNUMBER(SEARCH(","&amp;Справочник_ОКВЭД_НР!$G$3:$G$62&amp;".",","&amp;SUBSTITUTE(F614," ","")&amp;",")))*Справочник_ОКВЭД_НР!$L$12) /
 (SUMPRODUCT(ISNUMBER(SEARCH(","&amp;Справочник_ОКВЭД_НР!$A$3:$A$62&amp;".",","&amp;SUBSTITUTE(F614," ","")&amp;","))) +
  SUMPRODUCT(ISNUMBER(SEARCH(","&amp;Справочник_ОКВЭД_НР!$C$3:$C$62&amp;".",","&amp;SUBSTITUTE(F614," ","")&amp;","))) +
  SUMPRODUCT(ISNUMBER(SEARCH(","&amp;Справочник_ОКВЭД_НР!$E$3:$E$62&amp;".",","&amp;SUBSTITUTE(F614," ","")&amp;","))) +
  SUMPRODUCT(ISNUMBER(SEARCH(","&amp;Справочник_ОКВЭД_НР!$G$3:$G$62&amp;".",","&amp;SUBSTITUTE(F614," ","")&amp;",")))),
50)</f>
        <v>50</v>
      </c>
      <c r="K614" s="30">
        <f>IFERROR(VLOOKUP(G614,Справочник_ОКВЭД_НР!$O:$P,2,FALSE()),50)</f>
        <v>100</v>
      </c>
      <c r="L614" s="45">
        <f>(I614*Справочник_ОКВЭД_НР!$L$2+J614*Справочник_ОКВЭД_НР!$L$3+K614*Справочник_ОКВЭД_НР!$L$4)*M614</f>
        <v>63.5</v>
      </c>
      <c r="M614" s="47">
        <f>IF(COUNTIF(Справочник_ОКВЭД_НР!$G$3:$G$62,H614)&gt;0,0,1)</f>
        <v>1</v>
      </c>
    </row>
    <row r="615" spans="1:13" x14ac:dyDescent="0.25">
      <c r="A615" s="4">
        <f>ЛИК_дляСкорингаДП!A615</f>
        <v>1022101272995</v>
      </c>
      <c r="B615" s="4">
        <f>ЛИК_дляСкорингаДП!B615</f>
        <v>2129043580</v>
      </c>
      <c r="C615" s="4" t="str">
        <f>ЛИК_дляСкорингаДП!C615</f>
        <v>ООО "ЖБК № 9"</v>
      </c>
      <c r="D615" s="5" t="str">
        <f>ЛИК_дляСкорингаДП!M615</f>
        <v>Производство сборных строительных конструкций из бетона, цемента и искусственного камня</v>
      </c>
      <c r="E615" s="4" t="str">
        <f>ЛИК_дляСкорингаДП!L615</f>
        <v>23.61.2</v>
      </c>
      <c r="F615" t="str">
        <f>ЛИК_дляСкорингаДП!N615</f>
        <v>23.61.1,23.63,23.64,46.73.6,46.77,49.41.2,68.20.29,23.61,23.63,25.11,46.73.6,49.3,49.4,49.41,52.10,52.24,68.10,68.20,71.20.3,77.32</v>
      </c>
      <c r="G615" s="25" t="str">
        <f>ЛИК_дляСкорингаДП!AG615</f>
        <v>ОСН</v>
      </c>
      <c r="H615" s="55" t="str">
        <f>IF(ISNUMBER(E615),E615,
IFERROR(LEFT(E615,FIND(".",E615)-1),E615))</f>
        <v>23</v>
      </c>
      <c r="I615" s="30">
        <f>IF(COUNTIF(Справочник_ОКВЭД_НР!$A$3:$A$62,H615)&gt;0,Справочник_ОКВЭД_НР!$L$8,
 IF(COUNTIF(Справочник_ОКВЭД_НР!$C$3:$C$62,H615)&gt;0,Справочник_ОКВЭД_НР!$L$9,
  IF(COUNTIF(Справочник_ОКВЭД_НР!$E$3:$E$62,H615)&gt;0,Справочник_ОКВЭД_НР!$L$10,
   IF(COUNTIF(Справочник_ОКВЭД_НР!$G$3:$G$62,H615)&gt;0,Справочник_ОКВЭД_НР!$L$11,50))))</f>
        <v>60</v>
      </c>
      <c r="J615" s="30" cm="1">
        <f t="array" ref="J615">IFERROR(
 (SUMPRODUCT(ISNUMBER(SEARCH(","&amp;Справочник_ОКВЭД_НР!$A$3:$A$62&amp;".",","&amp;SUBSTITUTE(F615," ","")&amp;",")))*Справочник_ОКВЭД_НР!$L$9 +
  SUMPRODUCT(ISNUMBER(SEARCH(","&amp;Справочник_ОКВЭД_НР!$C$3:$C$62&amp;".",","&amp;SUBSTITUTE(F615," ","")&amp;",")))*Справочник_ОКВЭД_НР!$L$10 +
  SUMPRODUCT(ISNUMBER(SEARCH(","&amp;Справочник_ОКВЭД_НР!$E$3:$E$62&amp;".",","&amp;SUBSTITUTE(F615," ","")&amp;",")))*Справочник_ОКВЭД_НР!$L$11 +
  SUMPRODUCT(ISNUMBER(SEARCH(","&amp;Справочник_ОКВЭД_НР!$G$3:$G$62&amp;".",","&amp;SUBSTITUTE(F615," ","")&amp;",")))*Справочник_ОКВЭД_НР!$L$12) /
 (SUMPRODUCT(ISNUMBER(SEARCH(","&amp;Справочник_ОКВЭД_НР!$A$3:$A$62&amp;".",","&amp;SUBSTITUTE(F615," ","")&amp;","))) +
  SUMPRODUCT(ISNUMBER(SEARCH(","&amp;Справочник_ОКВЭД_НР!$C$3:$C$62&amp;".",","&amp;SUBSTITUTE(F615," ","")&amp;","))) +
  SUMPRODUCT(ISNUMBER(SEARCH(","&amp;Справочник_ОКВЭД_НР!$E$3:$E$62&amp;".",","&amp;SUBSTITUTE(F615," ","")&amp;","))) +
  SUMPRODUCT(ISNUMBER(SEARCH(","&amp;Справочник_ОКВЭД_НР!$G$3:$G$62&amp;".",","&amp;SUBSTITUTE(F615," ","")&amp;",")))),
50)</f>
        <v>50</v>
      </c>
      <c r="K615" s="30">
        <f>IFERROR(VLOOKUP(G615,Справочник_ОКВЭД_НР!$O:$P,2,FALSE()),50)</f>
        <v>100</v>
      </c>
      <c r="L615" s="45">
        <f>(I615*Справочник_ОКВЭД_НР!$L$2+J615*Справочник_ОКВЭД_НР!$L$3+K615*Справочник_ОКВЭД_НР!$L$4)*M615</f>
        <v>63.5</v>
      </c>
      <c r="M615" s="47">
        <f>IF(COUNTIF(Справочник_ОКВЭД_НР!$G$3:$G$62,H615)&gt;0,0,1)</f>
        <v>1</v>
      </c>
    </row>
    <row r="616" spans="1:13" x14ac:dyDescent="0.25">
      <c r="A616" s="4">
        <f>ЛИК_дляСкорингаДП!A616</f>
        <v>1022100967866</v>
      </c>
      <c r="B616" s="4">
        <f>ЛИК_дляСкорингаДП!B616</f>
        <v>2127302006</v>
      </c>
      <c r="C616" s="4" t="str">
        <f>ЛИК_дляСкорингаДП!C616</f>
        <v>ЗАО "АГРО-ИНВЕСТ"</v>
      </c>
      <c r="D616" s="5" t="str">
        <f>ЛИК_дляСкорингаДП!M616</f>
        <v>Торговля оптовая машинами, оборудованием и инструментами для сельского хозяйства</v>
      </c>
      <c r="E616" s="4" t="str">
        <f>ЛИК_дляСкорингаДП!L616</f>
        <v>46.61</v>
      </c>
      <c r="F616" t="str">
        <f>ЛИК_дляСкорингаДП!N616</f>
        <v>22.19.3,33.12,52.24.2,68.20.29,77.12,16.23,22.19,33.12,41.20,45.3,46.36,46.61,46.69.2,46.73,46.90,49.4,56.10.1,68.20,69.10,70.22,77.12,77.39.27</v>
      </c>
      <c r="G616" s="25" t="str">
        <f>ЛИК_дляСкорингаДП!AG616</f>
        <v>ОСН</v>
      </c>
      <c r="H616" s="55" t="str">
        <f>IF(ISNUMBER(E616),E616,
IFERROR(LEFT(E616,FIND(".",E616)-1),E616))</f>
        <v>46</v>
      </c>
      <c r="I616" s="30">
        <f>IF(COUNTIF(Справочник_ОКВЭД_НР!$A$3:$A$62,H616)&gt;0,Справочник_ОКВЭД_НР!$L$8,
 IF(COUNTIF(Справочник_ОКВЭД_НР!$C$3:$C$62,H616)&gt;0,Справочник_ОКВЭД_НР!$L$9,
  IF(COUNTIF(Справочник_ОКВЭД_НР!$E$3:$E$62,H616)&gt;0,Справочник_ОКВЭД_НР!$L$10,
   IF(COUNTIF(Справочник_ОКВЭД_НР!$G$3:$G$62,H616)&gt;0,Справочник_ОКВЭД_НР!$L$11,50))))</f>
        <v>60</v>
      </c>
      <c r="J616" s="30" cm="1">
        <f t="array" ref="J616">IFERROR(
 (SUMPRODUCT(ISNUMBER(SEARCH(","&amp;Справочник_ОКВЭД_НР!$A$3:$A$62&amp;".",","&amp;SUBSTITUTE(F616," ","")&amp;",")))*Справочник_ОКВЭД_НР!$L$9 +
  SUMPRODUCT(ISNUMBER(SEARCH(","&amp;Справочник_ОКВЭД_НР!$C$3:$C$62&amp;".",","&amp;SUBSTITUTE(F616," ","")&amp;",")))*Справочник_ОКВЭД_НР!$L$10 +
  SUMPRODUCT(ISNUMBER(SEARCH(","&amp;Справочник_ОКВЭД_НР!$E$3:$E$62&amp;".",","&amp;SUBSTITUTE(F616," ","")&amp;",")))*Справочник_ОКВЭД_НР!$L$11 +
  SUMPRODUCT(ISNUMBER(SEARCH(","&amp;Справочник_ОКВЭД_НР!$G$3:$G$62&amp;".",","&amp;SUBSTITUTE(F616," ","")&amp;",")))*Справочник_ОКВЭД_НР!$L$12) /
 (SUMPRODUCT(ISNUMBER(SEARCH(","&amp;Справочник_ОКВЭД_НР!$A$3:$A$62&amp;".",","&amp;SUBSTITUTE(F616," ","")&amp;","))) +
  SUMPRODUCT(ISNUMBER(SEARCH(","&amp;Справочник_ОКВЭД_НР!$C$3:$C$62&amp;".",","&amp;SUBSTITUTE(F616," ","")&amp;","))) +
  SUMPRODUCT(ISNUMBER(SEARCH(","&amp;Справочник_ОКВЭД_НР!$E$3:$E$62&amp;".",","&amp;SUBSTITUTE(F616," ","")&amp;","))) +
  SUMPRODUCT(ISNUMBER(SEARCH(","&amp;Справочник_ОКВЭД_НР!$G$3:$G$62&amp;".",","&amp;SUBSTITUTE(F616," ","")&amp;",")))),
50)</f>
        <v>50</v>
      </c>
      <c r="K616" s="30">
        <f>IFERROR(VLOOKUP(G616,Справочник_ОКВЭД_НР!$O:$P,2,FALSE()),50)</f>
        <v>100</v>
      </c>
      <c r="L616" s="45">
        <f>(I616*Справочник_ОКВЭД_НР!$L$2+J616*Справочник_ОКВЭД_НР!$L$3+K616*Справочник_ОКВЭД_НР!$L$4)*M616</f>
        <v>63.5</v>
      </c>
      <c r="M616" s="47">
        <f>IF(COUNTIF(Справочник_ОКВЭД_НР!$G$3:$G$62,H616)&gt;0,0,1)</f>
        <v>1</v>
      </c>
    </row>
    <row r="617" spans="1:13" x14ac:dyDescent="0.25">
      <c r="A617" s="4">
        <f>ЛИК_дляСкорингаДП!A617</f>
        <v>1022100970990</v>
      </c>
      <c r="B617" s="4">
        <f>ЛИК_дляСкорингаДП!B617</f>
        <v>2127000767</v>
      </c>
      <c r="C617" s="4" t="str">
        <f>ЛИК_дляСкорингаДП!C617</f>
        <v>ООО "А - МОСТ"</v>
      </c>
      <c r="D617" s="5" t="str">
        <f>ЛИК_дляСкорингаДП!M617</f>
        <v>Строительство мостов и тоннелей</v>
      </c>
      <c r="E617" s="4" t="str">
        <f>ЛИК_дляСкорингаДП!L617</f>
        <v>42.13</v>
      </c>
      <c r="F617" t="str">
        <f>ЛИК_дляСкорингаДП!N617</f>
        <v>46.73.6,16.10,16.10.9,16.23,23.61,23.63,25.11,25.29,41.10,41.20,42.11,42.11,42.11,42.12,42.13,42.21,42.21,42.22,42.22.1,42.22.2,42.91,42.99,43.11,43.12.3,43.21,43.31,43.91,43.99,45.1,45.20,45.3,47.21,47.22,47.30,47.52,52.21.22,52.21.23,71.12</v>
      </c>
      <c r="G617" s="25" t="str">
        <f>ЛИК_дляСкорингаДП!AG617</f>
        <v>ОСН</v>
      </c>
      <c r="H617" s="55" t="str">
        <f>IF(ISNUMBER(E617),E617,
IFERROR(LEFT(E617,FIND(".",E617)-1),E617))</f>
        <v>42</v>
      </c>
      <c r="I617" s="30">
        <f>IF(COUNTIF(Справочник_ОКВЭД_НР!$A$3:$A$62,H617)&gt;0,Справочник_ОКВЭД_НР!$L$8,
 IF(COUNTIF(Справочник_ОКВЭД_НР!$C$3:$C$62,H617)&gt;0,Справочник_ОКВЭД_НР!$L$9,
  IF(COUNTIF(Справочник_ОКВЭД_НР!$E$3:$E$62,H617)&gt;0,Справочник_ОКВЭД_НР!$L$10,
   IF(COUNTIF(Справочник_ОКВЭД_НР!$G$3:$G$62,H617)&gt;0,Справочник_ОКВЭД_НР!$L$11,50))))</f>
        <v>100</v>
      </c>
      <c r="J617" s="30" cm="1">
        <f t="array" ref="J617">IFERROR(
 (SUMPRODUCT(ISNUMBER(SEARCH(","&amp;Справочник_ОКВЭД_НР!$A$3:$A$62&amp;".",","&amp;SUBSTITUTE(F617," ","")&amp;",")))*Справочник_ОКВЭД_НР!$L$9 +
  SUMPRODUCT(ISNUMBER(SEARCH(","&amp;Справочник_ОКВЭД_НР!$C$3:$C$62&amp;".",","&amp;SUBSTITUTE(F617," ","")&amp;",")))*Справочник_ОКВЭД_НР!$L$10 +
  SUMPRODUCT(ISNUMBER(SEARCH(","&amp;Справочник_ОКВЭД_НР!$E$3:$E$62&amp;".",","&amp;SUBSTITUTE(F617," ","")&amp;",")))*Справочник_ОКВЭД_НР!$L$11 +
  SUMPRODUCT(ISNUMBER(SEARCH(","&amp;Справочник_ОКВЭД_НР!$G$3:$G$62&amp;".",","&amp;SUBSTITUTE(F617," ","")&amp;",")))*Справочник_ОКВЭД_НР!$L$12) /
 (SUMPRODUCT(ISNUMBER(SEARCH(","&amp;Справочник_ОКВЭД_НР!$A$3:$A$62&amp;".",","&amp;SUBSTITUTE(F617," ","")&amp;","))) +
  SUMPRODUCT(ISNUMBER(SEARCH(","&amp;Справочник_ОКВЭД_НР!$C$3:$C$62&amp;".",","&amp;SUBSTITUTE(F617," ","")&amp;","))) +
  SUMPRODUCT(ISNUMBER(SEARCH(","&amp;Справочник_ОКВЭД_НР!$E$3:$E$62&amp;".",","&amp;SUBSTITUTE(F617," ","")&amp;","))) +
  SUMPRODUCT(ISNUMBER(SEARCH(","&amp;Справочник_ОКВЭД_НР!$G$3:$G$62&amp;".",","&amp;SUBSTITUTE(F617," ","")&amp;",")))),
50)</f>
        <v>50</v>
      </c>
      <c r="K617" s="30">
        <f>IFERROR(VLOOKUP(G617,Справочник_ОКВЭД_НР!$O:$P,2,FALSE()),50)</f>
        <v>100</v>
      </c>
      <c r="L617" s="45">
        <f>(I617*Справочник_ОКВЭД_НР!$L$2+J617*Справочник_ОКВЭД_НР!$L$3+K617*Справочник_ОКВЭД_НР!$L$4)*M617</f>
        <v>87.5</v>
      </c>
      <c r="M617" s="47">
        <f>IF(COUNTIF(Справочник_ОКВЭД_НР!$G$3:$G$62,H617)&gt;0,0,1)</f>
        <v>1</v>
      </c>
    </row>
    <row r="618" spans="1:13" x14ac:dyDescent="0.25">
      <c r="A618" s="4">
        <f>ЛИК_дляСкорингаДП!A618</f>
        <v>1025004066053</v>
      </c>
      <c r="B618" s="4">
        <f>ЛИК_дляСкорингаДП!B618</f>
        <v>5032050966</v>
      </c>
      <c r="C618" s="4" t="str">
        <f>ЛИК_дляСкорингаДП!C618</f>
        <v>ООО НПО "ИНТЕРКОМП"</v>
      </c>
      <c r="D618" s="5" t="str">
        <f>ЛИК_дляСкорингаДП!M618</f>
        <v>Аренда и управление собственным или арендованным нежилым недвижимым имуществом</v>
      </c>
      <c r="E618" s="4" t="str">
        <f>ЛИК_дляСкорингаДП!L618</f>
        <v>68.20.2</v>
      </c>
      <c r="F618" t="str">
        <f>ЛИК_дляСкорингаДП!N618</f>
        <v>43.99,46.90,47.11,52.29,55.90,56.10,56.10.1,56.10.3,68.31.12,68.31.22,68.31.32,68.31.42,82.99,93.19,93.29.9</v>
      </c>
      <c r="G618" s="25" t="str">
        <f>ЛИК_дляСкорингаДП!AG618</f>
        <v>УСН</v>
      </c>
      <c r="H618" s="55" t="str">
        <f>IF(ISNUMBER(E618),E618,
IFERROR(LEFT(E618,FIND(".",E618)-1),E618))</f>
        <v>68</v>
      </c>
      <c r="I618" s="30">
        <f>IF(COUNTIF(Справочник_ОКВЭД_НР!$A$3:$A$62,H618)&gt;0,Справочник_ОКВЭД_НР!$L$8,
 IF(COUNTIF(Справочник_ОКВЭД_НР!$C$3:$C$62,H618)&gt;0,Справочник_ОКВЭД_НР!$L$9,
  IF(COUNTIF(Справочник_ОКВЭД_НР!$E$3:$E$62,H618)&gt;0,Справочник_ОКВЭД_НР!$L$10,
   IF(COUNTIF(Справочник_ОКВЭД_НР!$G$3:$G$62,H618)&gt;0,Справочник_ОКВЭД_НР!$L$11,50))))</f>
        <v>100</v>
      </c>
      <c r="J618" s="30" cm="1">
        <f t="array" ref="J618">IFERROR(
 (SUMPRODUCT(ISNUMBER(SEARCH(","&amp;Справочник_ОКВЭД_НР!$A$3:$A$62&amp;".",","&amp;SUBSTITUTE(F618," ","")&amp;",")))*Справочник_ОКВЭД_НР!$L$9 +
  SUMPRODUCT(ISNUMBER(SEARCH(","&amp;Справочник_ОКВЭД_НР!$C$3:$C$62&amp;".",","&amp;SUBSTITUTE(F618," ","")&amp;",")))*Справочник_ОКВЭД_НР!$L$10 +
  SUMPRODUCT(ISNUMBER(SEARCH(","&amp;Справочник_ОКВЭД_НР!$E$3:$E$62&amp;".",","&amp;SUBSTITUTE(F618," ","")&amp;",")))*Справочник_ОКВЭД_НР!$L$11 +
  SUMPRODUCT(ISNUMBER(SEARCH(","&amp;Справочник_ОКВЭД_НР!$G$3:$G$62&amp;".",","&amp;SUBSTITUTE(F618," ","")&amp;",")))*Справочник_ОКВЭД_НР!$L$12) /
 (SUMPRODUCT(ISNUMBER(SEARCH(","&amp;Справочник_ОКВЭД_НР!$A$3:$A$62&amp;".",","&amp;SUBSTITUTE(F618," ","")&amp;","))) +
  SUMPRODUCT(ISNUMBER(SEARCH(","&amp;Справочник_ОКВЭД_НР!$C$3:$C$62&amp;".",","&amp;SUBSTITUTE(F618," ","")&amp;","))) +
  SUMPRODUCT(ISNUMBER(SEARCH(","&amp;Справочник_ОКВЭД_НР!$E$3:$E$62&amp;".",","&amp;SUBSTITUTE(F618," ","")&amp;","))) +
  SUMPRODUCT(ISNUMBER(SEARCH(","&amp;Справочник_ОКВЭД_НР!$G$3:$G$62&amp;".",","&amp;SUBSTITUTE(F618," ","")&amp;",")))),
50)</f>
        <v>50</v>
      </c>
      <c r="K618" s="30">
        <f>IFERROR(VLOOKUP(G618,Справочник_ОКВЭД_НР!$O:$P,2,FALSE()),50)</f>
        <v>50</v>
      </c>
      <c r="L618" s="45">
        <f>(I618*Справочник_ОКВЭД_НР!$L$2+J618*Справочник_ОКВЭД_НР!$L$3+K618*Справочник_ОКВЭД_НР!$L$4)*M618</f>
        <v>80</v>
      </c>
      <c r="M618" s="47">
        <f>IF(COUNTIF(Справочник_ОКВЭД_НР!$G$3:$G$62,H618)&gt;0,0,1)</f>
        <v>1</v>
      </c>
    </row>
    <row r="619" spans="1:13" x14ac:dyDescent="0.25">
      <c r="A619" s="4">
        <f>ЛИК_дляСкорингаДП!A619</f>
        <v>1025002594737</v>
      </c>
      <c r="B619" s="4">
        <f>ЛИК_дляСкорингаДП!B619</f>
        <v>5020027560</v>
      </c>
      <c r="C619" s="4" t="str">
        <f>ЛИК_дляСкорингаДП!C619</f>
        <v>ООО "КОМПАНИЯ МИР"</v>
      </c>
      <c r="D619" s="5" t="str">
        <f>ЛИК_дляСкорингаДП!M619</f>
        <v>Аренда и управление собственным или арендованным недвижимым имуществом</v>
      </c>
      <c r="E619" s="4" t="str">
        <f>ЛИК_дляСкорингаДП!L619</f>
        <v>68.20</v>
      </c>
      <c r="F619" t="str">
        <f>ЛИК_дляСкорингаДП!N619</f>
        <v>68.32</v>
      </c>
      <c r="G619" s="25" t="str">
        <f>ЛИК_дляСкорингаДП!AG619</f>
        <v>УСН</v>
      </c>
      <c r="H619" s="55" t="str">
        <f>IF(ISNUMBER(E619),E619,
IFERROR(LEFT(E619,FIND(".",E619)-1),E619))</f>
        <v>68</v>
      </c>
      <c r="I619" s="30">
        <f>IF(COUNTIF(Справочник_ОКВЭД_НР!$A$3:$A$62,H619)&gt;0,Справочник_ОКВЭД_НР!$L$8,
 IF(COUNTIF(Справочник_ОКВЭД_НР!$C$3:$C$62,H619)&gt;0,Справочник_ОКВЭД_НР!$L$9,
  IF(COUNTIF(Справочник_ОКВЭД_НР!$E$3:$E$62,H619)&gt;0,Справочник_ОКВЭД_НР!$L$10,
   IF(COUNTIF(Справочник_ОКВЭД_НР!$G$3:$G$62,H619)&gt;0,Справочник_ОКВЭД_НР!$L$11,50))))</f>
        <v>100</v>
      </c>
      <c r="J619" s="30" cm="1">
        <f t="array" ref="J619">IFERROR(
 (SUMPRODUCT(ISNUMBER(SEARCH(","&amp;Справочник_ОКВЭД_НР!$A$3:$A$62&amp;".",","&amp;SUBSTITUTE(F619," ","")&amp;",")))*Справочник_ОКВЭД_НР!$L$9 +
  SUMPRODUCT(ISNUMBER(SEARCH(","&amp;Справочник_ОКВЭД_НР!$C$3:$C$62&amp;".",","&amp;SUBSTITUTE(F619," ","")&amp;",")))*Справочник_ОКВЭД_НР!$L$10 +
  SUMPRODUCT(ISNUMBER(SEARCH(","&amp;Справочник_ОКВЭД_НР!$E$3:$E$62&amp;".",","&amp;SUBSTITUTE(F619," ","")&amp;",")))*Справочник_ОКВЭД_НР!$L$11 +
  SUMPRODUCT(ISNUMBER(SEARCH(","&amp;Справочник_ОКВЭД_НР!$G$3:$G$62&amp;".",","&amp;SUBSTITUTE(F619," ","")&amp;",")))*Справочник_ОКВЭД_НР!$L$12) /
 (SUMPRODUCT(ISNUMBER(SEARCH(","&amp;Справочник_ОКВЭД_НР!$A$3:$A$62&amp;".",","&amp;SUBSTITUTE(F619," ","")&amp;","))) +
  SUMPRODUCT(ISNUMBER(SEARCH(","&amp;Справочник_ОКВЭД_НР!$C$3:$C$62&amp;".",","&amp;SUBSTITUTE(F619," ","")&amp;","))) +
  SUMPRODUCT(ISNUMBER(SEARCH(","&amp;Справочник_ОКВЭД_НР!$E$3:$E$62&amp;".",","&amp;SUBSTITUTE(F619," ","")&amp;","))) +
  SUMPRODUCT(ISNUMBER(SEARCH(","&amp;Справочник_ОКВЭД_НР!$G$3:$G$62&amp;".",","&amp;SUBSTITUTE(F619," ","")&amp;",")))),
50)</f>
        <v>50</v>
      </c>
      <c r="K619" s="30">
        <f>IFERROR(VLOOKUP(G619,Справочник_ОКВЭД_НР!$O:$P,2,FALSE()),50)</f>
        <v>50</v>
      </c>
      <c r="L619" s="45">
        <f>(I619*Справочник_ОКВЭД_НР!$L$2+J619*Справочник_ОКВЭД_НР!$L$3+K619*Справочник_ОКВЭД_НР!$L$4)*M619</f>
        <v>80</v>
      </c>
      <c r="M619" s="47">
        <f>IF(COUNTIF(Справочник_ОКВЭД_НР!$G$3:$G$62,H619)&gt;0,0,1)</f>
        <v>1</v>
      </c>
    </row>
    <row r="620" spans="1:13" x14ac:dyDescent="0.25">
      <c r="A620" s="4">
        <f>ЛИК_дляСкорингаДП!A620</f>
        <v>1055008501415</v>
      </c>
      <c r="B620" s="4">
        <f>ЛИК_дляСкорингаДП!B620</f>
        <v>5043024894</v>
      </c>
      <c r="C620" s="4" t="str">
        <f>ЛИК_дляСкорингаДП!C620</f>
        <v>ООО "ФАБРИКА-ПРАЧЕЧНАЯ"</v>
      </c>
      <c r="D620" s="5" t="str">
        <f>ЛИК_дляСкорингаДП!M620</f>
        <v>Стирка и химическая чистка текстильных и меховых изделий</v>
      </c>
      <c r="E620" s="4" t="str">
        <f>ЛИК_дляСкорингаДП!L620</f>
        <v>96.01</v>
      </c>
      <c r="F620" t="str">
        <f>ЛИК_дляСкорингаДП!N620</f>
        <v>68.20.2,81.22,95.23,95.29,96.0,96.04</v>
      </c>
      <c r="G620" s="25" t="str">
        <f>ЛИК_дляСкорингаДП!AG620</f>
        <v>УСН</v>
      </c>
      <c r="H620" s="55" t="str">
        <f>IF(ISNUMBER(E620),E620,
IFERROR(LEFT(E620,FIND(".",E620)-1),E620))</f>
        <v>96</v>
      </c>
      <c r="I620" s="30">
        <f>IF(COUNTIF(Справочник_ОКВЭД_НР!$A$3:$A$62,H620)&gt;0,Справочник_ОКВЭД_НР!$L$8,
 IF(COUNTIF(Справочник_ОКВЭД_НР!$C$3:$C$62,H620)&gt;0,Справочник_ОКВЭД_НР!$L$9,
  IF(COUNTIF(Справочник_ОКВЭД_НР!$E$3:$E$62,H620)&gt;0,Справочник_ОКВЭД_НР!$L$10,
   IF(COUNTIF(Справочник_ОКВЭД_НР!$G$3:$G$62,H620)&gt;0,Справочник_ОКВЭД_НР!$L$11,50))))</f>
        <v>30</v>
      </c>
      <c r="J620" s="30" cm="1">
        <f t="array" ref="J620">IFERROR(
 (SUMPRODUCT(ISNUMBER(SEARCH(","&amp;Справочник_ОКВЭД_НР!$A$3:$A$62&amp;".",","&amp;SUBSTITUTE(F620," ","")&amp;",")))*Справочник_ОКВЭД_НР!$L$9 +
  SUMPRODUCT(ISNUMBER(SEARCH(","&amp;Справочник_ОКВЭД_НР!$C$3:$C$62&amp;".",","&amp;SUBSTITUTE(F620," ","")&amp;",")))*Справочник_ОКВЭД_НР!$L$10 +
  SUMPRODUCT(ISNUMBER(SEARCH(","&amp;Справочник_ОКВЭД_НР!$E$3:$E$62&amp;".",","&amp;SUBSTITUTE(F620," ","")&amp;",")))*Справочник_ОКВЭД_НР!$L$11 +
  SUMPRODUCT(ISNUMBER(SEARCH(","&amp;Справочник_ОКВЭД_НР!$G$3:$G$62&amp;".",","&amp;SUBSTITUTE(F620," ","")&amp;",")))*Справочник_ОКВЭД_НР!$L$12) /
 (SUMPRODUCT(ISNUMBER(SEARCH(","&amp;Справочник_ОКВЭД_НР!$A$3:$A$62&amp;".",","&amp;SUBSTITUTE(F620," ","")&amp;","))) +
  SUMPRODUCT(ISNUMBER(SEARCH(","&amp;Справочник_ОКВЭД_НР!$C$3:$C$62&amp;".",","&amp;SUBSTITUTE(F620," ","")&amp;","))) +
  SUMPRODUCT(ISNUMBER(SEARCH(","&amp;Справочник_ОКВЭД_НР!$E$3:$E$62&amp;".",","&amp;SUBSTITUTE(F620," ","")&amp;","))) +
  SUMPRODUCT(ISNUMBER(SEARCH(","&amp;Справочник_ОКВЭД_НР!$G$3:$G$62&amp;".",","&amp;SUBSTITUTE(F620," ","")&amp;",")))),
50)</f>
        <v>50</v>
      </c>
      <c r="K620" s="30">
        <f>IFERROR(VLOOKUP(G620,Справочник_ОКВЭД_НР!$O:$P,2,FALSE()),50)</f>
        <v>50</v>
      </c>
      <c r="L620" s="45">
        <f>(I620*Справочник_ОКВЭД_НР!$L$2+J620*Справочник_ОКВЭД_НР!$L$3+K620*Справочник_ОКВЭД_НР!$L$4)*M620</f>
        <v>38</v>
      </c>
      <c r="M620" s="47">
        <f>IF(COUNTIF(Справочник_ОКВЭД_НР!$G$3:$G$62,H620)&gt;0,0,1)</f>
        <v>1</v>
      </c>
    </row>
    <row r="621" spans="1:13" x14ac:dyDescent="0.25">
      <c r="A621" s="4">
        <f>ЛИК_дляСкорингаДП!A621</f>
        <v>1025002883014</v>
      </c>
      <c r="B621" s="4">
        <f>ЛИК_дляСкорингаДП!B621</f>
        <v>5024033100</v>
      </c>
      <c r="C621" s="4" t="str">
        <f>ЛИК_дляСкорингаДП!C621</f>
        <v>ООО "ЭЙРЕНА"</v>
      </c>
      <c r="D621" s="5" t="str">
        <f>ЛИК_дляСкорингаДП!M621</f>
        <v>Деятельность по оказанию услуг в области бухгалтерского учета, по проведению финансового аудита, по налоговому консультированию</v>
      </c>
      <c r="E621" s="4" t="str">
        <f>ЛИК_дляСкорингаДП!L621</f>
        <v>69.20</v>
      </c>
      <c r="F621" t="str">
        <f>ЛИК_дляСкорингаДП!N621</f>
        <v>46.90,47.19,47.9,55.10,55.90,56.10,56.10.1,56.10.3,56.30,62.02,63.91,68.20.2,68.32,69.10,70.10.1,70.10.2,70.22,73.11,73.20,74.30,78.10,79.11,82.19,84.11,84.11.8,85.13,85.14,85.21,85.23,85.42,87,88,96.02,96.09</v>
      </c>
      <c r="G621" s="25" t="str">
        <f>ЛИК_дляСкорингаДП!AG621</f>
        <v>УСН</v>
      </c>
      <c r="H621" s="55" t="str">
        <f>IF(ISNUMBER(E621),E621,
IFERROR(LEFT(E621,FIND(".",E621)-1),E621))</f>
        <v>69</v>
      </c>
      <c r="I621" s="30">
        <f>IF(COUNTIF(Справочник_ОКВЭД_НР!$A$3:$A$62,H621)&gt;0,Справочник_ОКВЭД_НР!$L$8,
 IF(COUNTIF(Справочник_ОКВЭД_НР!$C$3:$C$62,H621)&gt;0,Справочник_ОКВЭД_НР!$L$9,
  IF(COUNTIF(Справочник_ОКВЭД_НР!$E$3:$E$62,H621)&gt;0,Справочник_ОКВЭД_НР!$L$10,
   IF(COUNTIF(Справочник_ОКВЭД_НР!$G$3:$G$62,H621)&gt;0,Справочник_ОКВЭД_НР!$L$11,50))))</f>
        <v>30</v>
      </c>
      <c r="J621" s="30" cm="1">
        <f t="array" ref="J621">IFERROR(
 (SUMPRODUCT(ISNUMBER(SEARCH(","&amp;Справочник_ОКВЭД_НР!$A$3:$A$62&amp;".",","&amp;SUBSTITUTE(F621," ","")&amp;",")))*Справочник_ОКВЭД_НР!$L$9 +
  SUMPRODUCT(ISNUMBER(SEARCH(","&amp;Справочник_ОКВЭД_НР!$C$3:$C$62&amp;".",","&amp;SUBSTITUTE(F621," ","")&amp;",")))*Справочник_ОКВЭД_НР!$L$10 +
  SUMPRODUCT(ISNUMBER(SEARCH(","&amp;Справочник_ОКВЭД_НР!$E$3:$E$62&amp;".",","&amp;SUBSTITUTE(F621," ","")&amp;",")))*Справочник_ОКВЭД_НР!$L$11 +
  SUMPRODUCT(ISNUMBER(SEARCH(","&amp;Справочник_ОКВЭД_НР!$G$3:$G$62&amp;".",","&amp;SUBSTITUTE(F621," ","")&amp;",")))*Справочник_ОКВЭД_НР!$L$12) /
 (SUMPRODUCT(ISNUMBER(SEARCH(","&amp;Справочник_ОКВЭД_НР!$A$3:$A$62&amp;".",","&amp;SUBSTITUTE(F621," ","")&amp;","))) +
  SUMPRODUCT(ISNUMBER(SEARCH(","&amp;Справочник_ОКВЭД_НР!$C$3:$C$62&amp;".",","&amp;SUBSTITUTE(F621," ","")&amp;","))) +
  SUMPRODUCT(ISNUMBER(SEARCH(","&amp;Справочник_ОКВЭД_НР!$E$3:$E$62&amp;".",","&amp;SUBSTITUTE(F621," ","")&amp;","))) +
  SUMPRODUCT(ISNUMBER(SEARCH(","&amp;Справочник_ОКВЭД_НР!$G$3:$G$62&amp;".",","&amp;SUBSTITUTE(F621," ","")&amp;",")))),
50)</f>
        <v>50</v>
      </c>
      <c r="K621" s="30">
        <f>IFERROR(VLOOKUP(G621,Справочник_ОКВЭД_НР!$O:$P,2,FALSE()),50)</f>
        <v>50</v>
      </c>
      <c r="L621" s="45">
        <f>(I621*Справочник_ОКВЭД_НР!$L$2+J621*Справочник_ОКВЭД_НР!$L$3+K621*Справочник_ОКВЭД_НР!$L$4)*M621</f>
        <v>38</v>
      </c>
      <c r="M621" s="47">
        <f>IF(COUNTIF(Справочник_ОКВЭД_НР!$G$3:$G$62,H621)&gt;0,0,1)</f>
        <v>1</v>
      </c>
    </row>
    <row r="622" spans="1:13" x14ac:dyDescent="0.25">
      <c r="A622" s="4">
        <f>ЛИК_дляСкорингаДП!A622</f>
        <v>1055001003430</v>
      </c>
      <c r="B622" s="4">
        <f>ЛИК_дляСкорингаДП!B622</f>
        <v>5007047600</v>
      </c>
      <c r="C622" s="4" t="str">
        <f>ЛИК_дляСкорингаДП!C622</f>
        <v>ООО "ФЕРМА"</v>
      </c>
      <c r="D622" s="5" t="str">
        <f>ЛИК_дляСкорингаДП!M622</f>
        <v>Деятельность агентов по оптовой торговле живыми животными</v>
      </c>
      <c r="E622" s="4" t="str">
        <f>ЛИК_дляСкорингаДП!L622</f>
        <v>46.11.1</v>
      </c>
      <c r="F622" t="str">
        <f>ЛИК_дляСкорингаДП!N622</f>
        <v>20.13,20.14,20.41,20.42,46.11.3,46.12,46.32.1,46.38.1,46.44.2,46.45,46.75,47.99.1,68.20,69.20</v>
      </c>
      <c r="G622" s="25" t="str">
        <f>ЛИК_дляСкорингаДП!AG622</f>
        <v>УСН</v>
      </c>
      <c r="H622" s="55" t="str">
        <f>IF(ISNUMBER(E622),E622,
IFERROR(LEFT(E622,FIND(".",E622)-1),E622))</f>
        <v>46</v>
      </c>
      <c r="I622" s="30">
        <f>IF(COUNTIF(Справочник_ОКВЭД_НР!$A$3:$A$62,H622)&gt;0,Справочник_ОКВЭД_НР!$L$8,
 IF(COUNTIF(Справочник_ОКВЭД_НР!$C$3:$C$62,H622)&gt;0,Справочник_ОКВЭД_НР!$L$9,
  IF(COUNTIF(Справочник_ОКВЭД_НР!$E$3:$E$62,H622)&gt;0,Справочник_ОКВЭД_НР!$L$10,
   IF(COUNTIF(Справочник_ОКВЭД_НР!$G$3:$G$62,H622)&gt;0,Справочник_ОКВЭД_НР!$L$11,50))))</f>
        <v>60</v>
      </c>
      <c r="J622" s="30" cm="1">
        <f t="array" ref="J622">IFERROR(
 (SUMPRODUCT(ISNUMBER(SEARCH(","&amp;Справочник_ОКВЭД_НР!$A$3:$A$62&amp;".",","&amp;SUBSTITUTE(F622," ","")&amp;",")))*Справочник_ОКВЭД_НР!$L$9 +
  SUMPRODUCT(ISNUMBER(SEARCH(","&amp;Справочник_ОКВЭД_НР!$C$3:$C$62&amp;".",","&amp;SUBSTITUTE(F622," ","")&amp;",")))*Справочник_ОКВЭД_НР!$L$10 +
  SUMPRODUCT(ISNUMBER(SEARCH(","&amp;Справочник_ОКВЭД_НР!$E$3:$E$62&amp;".",","&amp;SUBSTITUTE(F622," ","")&amp;",")))*Справочник_ОКВЭД_НР!$L$11 +
  SUMPRODUCT(ISNUMBER(SEARCH(","&amp;Справочник_ОКВЭД_НР!$G$3:$G$62&amp;".",","&amp;SUBSTITUTE(F622," ","")&amp;",")))*Справочник_ОКВЭД_НР!$L$12) /
 (SUMPRODUCT(ISNUMBER(SEARCH(","&amp;Справочник_ОКВЭД_НР!$A$3:$A$62&amp;".",","&amp;SUBSTITUTE(F622," ","")&amp;","))) +
  SUMPRODUCT(ISNUMBER(SEARCH(","&amp;Справочник_ОКВЭД_НР!$C$3:$C$62&amp;".",","&amp;SUBSTITUTE(F622," ","")&amp;","))) +
  SUMPRODUCT(ISNUMBER(SEARCH(","&amp;Справочник_ОКВЭД_НР!$E$3:$E$62&amp;".",","&amp;SUBSTITUTE(F622," ","")&amp;","))) +
  SUMPRODUCT(ISNUMBER(SEARCH(","&amp;Справочник_ОКВЭД_НР!$G$3:$G$62&amp;".",","&amp;SUBSTITUTE(F622," ","")&amp;",")))),
50)</f>
        <v>50</v>
      </c>
      <c r="K622" s="30">
        <f>IFERROR(VLOOKUP(G622,Справочник_ОКВЭД_НР!$O:$P,2,FALSE()),50)</f>
        <v>50</v>
      </c>
      <c r="L622" s="45">
        <f>(I622*Справочник_ОКВЭД_НР!$L$2+J622*Справочник_ОКВЭД_НР!$L$3+K622*Справочник_ОКВЭД_НР!$L$4)*M622</f>
        <v>56</v>
      </c>
      <c r="M622" s="47">
        <f>IF(COUNTIF(Справочник_ОКВЭД_НР!$G$3:$G$62,H622)&gt;0,0,1)</f>
        <v>1</v>
      </c>
    </row>
    <row r="623" spans="1:13" x14ac:dyDescent="0.25">
      <c r="A623" s="4">
        <f>ЛИК_дляСкорингаДП!A623</f>
        <v>1025003527108</v>
      </c>
      <c r="B623" s="4">
        <f>ЛИК_дляСкорингаДП!B623</f>
        <v>5029010843</v>
      </c>
      <c r="C623" s="4" t="str">
        <f>ЛИК_дляСкорингаДП!C623</f>
        <v>ООО"ДОМ МЕБЕЛИ"</v>
      </c>
      <c r="D623" s="5" t="str">
        <f>ЛИК_дляСкорингаДП!M623</f>
        <v>Торговля розничная мебелью в специализированных магазинах</v>
      </c>
      <c r="E623" s="4" t="str">
        <f>ЛИК_дляСкорингаДП!L623</f>
        <v>47.59.1</v>
      </c>
      <c r="F623" t="str">
        <f>ЛИК_дляСкорингаДП!N623</f>
        <v>01.61,68.10.22,68.20</v>
      </c>
      <c r="G623" s="25" t="str">
        <f>ЛИК_дляСкорингаДП!AG623</f>
        <v>УСН</v>
      </c>
      <c r="H623" s="55" t="str">
        <f>IF(ISNUMBER(E623),E623,
IFERROR(LEFT(E623,FIND(".",E623)-1),E623))</f>
        <v>47</v>
      </c>
      <c r="I623" s="30">
        <f>IF(COUNTIF(Справочник_ОКВЭД_НР!$A$3:$A$62,H623)&gt;0,Справочник_ОКВЭД_НР!$L$8,
 IF(COUNTIF(Справочник_ОКВЭД_НР!$C$3:$C$62,H623)&gt;0,Справочник_ОКВЭД_НР!$L$9,
  IF(COUNTIF(Справочник_ОКВЭД_НР!$E$3:$E$62,H623)&gt;0,Справочник_ОКВЭД_НР!$L$10,
   IF(COUNTIF(Справочник_ОКВЭД_НР!$G$3:$G$62,H623)&gt;0,Справочник_ОКВЭД_НР!$L$11,50))))</f>
        <v>60</v>
      </c>
      <c r="J623" s="30" cm="1">
        <f t="array" ref="J623">IFERROR(
 (SUMPRODUCT(ISNUMBER(SEARCH(","&amp;Справочник_ОКВЭД_НР!$A$3:$A$62&amp;".",","&amp;SUBSTITUTE(F623," ","")&amp;",")))*Справочник_ОКВЭД_НР!$L$9 +
  SUMPRODUCT(ISNUMBER(SEARCH(","&amp;Справочник_ОКВЭД_НР!$C$3:$C$62&amp;".",","&amp;SUBSTITUTE(F623," ","")&amp;",")))*Справочник_ОКВЭД_НР!$L$10 +
  SUMPRODUCT(ISNUMBER(SEARCH(","&amp;Справочник_ОКВЭД_НР!$E$3:$E$62&amp;".",","&amp;SUBSTITUTE(F623," ","")&amp;",")))*Справочник_ОКВЭД_НР!$L$11 +
  SUMPRODUCT(ISNUMBER(SEARCH(","&amp;Справочник_ОКВЭД_НР!$G$3:$G$62&amp;".",","&amp;SUBSTITUTE(F623," ","")&amp;",")))*Справочник_ОКВЭД_НР!$L$12) /
 (SUMPRODUCT(ISNUMBER(SEARCH(","&amp;Справочник_ОКВЭД_НР!$A$3:$A$62&amp;".",","&amp;SUBSTITUTE(F623," ","")&amp;","))) +
  SUMPRODUCT(ISNUMBER(SEARCH(","&amp;Справочник_ОКВЭД_НР!$C$3:$C$62&amp;".",","&amp;SUBSTITUTE(F623," ","")&amp;","))) +
  SUMPRODUCT(ISNUMBER(SEARCH(","&amp;Справочник_ОКВЭД_НР!$E$3:$E$62&amp;".",","&amp;SUBSTITUTE(F623," ","")&amp;","))) +
  SUMPRODUCT(ISNUMBER(SEARCH(","&amp;Справочник_ОКВЭД_НР!$G$3:$G$62&amp;".",","&amp;SUBSTITUTE(F623," ","")&amp;",")))),
50)</f>
        <v>50</v>
      </c>
      <c r="K623" s="30">
        <f>IFERROR(VLOOKUP(G623,Справочник_ОКВЭД_НР!$O:$P,2,FALSE()),50)</f>
        <v>50</v>
      </c>
      <c r="L623" s="45">
        <f>(I623*Справочник_ОКВЭД_НР!$L$2+J623*Справочник_ОКВЭД_НР!$L$3+K623*Справочник_ОКВЭД_НР!$L$4)*M623</f>
        <v>56</v>
      </c>
      <c r="M623" s="47">
        <f>IF(COUNTIF(Справочник_ОКВЭД_НР!$G$3:$G$62,H623)&gt;0,0,1)</f>
        <v>1</v>
      </c>
    </row>
    <row r="624" spans="1:13" x14ac:dyDescent="0.25">
      <c r="A624" s="4">
        <f>ЛИК_дляСкорингаДП!A624</f>
        <v>1025003075790</v>
      </c>
      <c r="B624" s="4">
        <f>ЛИК_дляСкорингаДП!B624</f>
        <v>5025017710</v>
      </c>
      <c r="C624" s="4" t="str">
        <f>ЛИК_дляСкорингаДП!C624</f>
        <v>ООО "ТПК"ЛОБНЯ"</v>
      </c>
      <c r="D624" s="5" t="str">
        <f>ЛИК_дляСкорингаДП!M624</f>
        <v>Аренда и управление собственным или арендованным недвижимым имуществом</v>
      </c>
      <c r="E624" s="4" t="str">
        <f>ЛИК_дляСкорингаДП!L624</f>
        <v>68.20</v>
      </c>
      <c r="F624" t="str">
        <f>ЛИК_дляСкорингаДП!N624</f>
        <v>68.31,68.32</v>
      </c>
      <c r="G624" s="25" t="str">
        <f>ЛИК_дляСкорингаДП!AG624</f>
        <v>УСН</v>
      </c>
      <c r="H624" s="55" t="str">
        <f>IF(ISNUMBER(E624),E624,
IFERROR(LEFT(E624,FIND(".",E624)-1),E624))</f>
        <v>68</v>
      </c>
      <c r="I624" s="30">
        <f>IF(COUNTIF(Справочник_ОКВЭД_НР!$A$3:$A$62,H624)&gt;0,Справочник_ОКВЭД_НР!$L$8,
 IF(COUNTIF(Справочник_ОКВЭД_НР!$C$3:$C$62,H624)&gt;0,Справочник_ОКВЭД_НР!$L$9,
  IF(COUNTIF(Справочник_ОКВЭД_НР!$E$3:$E$62,H624)&gt;0,Справочник_ОКВЭД_НР!$L$10,
   IF(COUNTIF(Справочник_ОКВЭД_НР!$G$3:$G$62,H624)&gt;0,Справочник_ОКВЭД_НР!$L$11,50))))</f>
        <v>100</v>
      </c>
      <c r="J624" s="30" cm="1">
        <f t="array" ref="J624">IFERROR(
 (SUMPRODUCT(ISNUMBER(SEARCH(","&amp;Справочник_ОКВЭД_НР!$A$3:$A$62&amp;".",","&amp;SUBSTITUTE(F624," ","")&amp;",")))*Справочник_ОКВЭД_НР!$L$9 +
  SUMPRODUCT(ISNUMBER(SEARCH(","&amp;Справочник_ОКВЭД_НР!$C$3:$C$62&amp;".",","&amp;SUBSTITUTE(F624," ","")&amp;",")))*Справочник_ОКВЭД_НР!$L$10 +
  SUMPRODUCT(ISNUMBER(SEARCH(","&amp;Справочник_ОКВЭД_НР!$E$3:$E$62&amp;".",","&amp;SUBSTITUTE(F624," ","")&amp;",")))*Справочник_ОКВЭД_НР!$L$11 +
  SUMPRODUCT(ISNUMBER(SEARCH(","&amp;Справочник_ОКВЭД_НР!$G$3:$G$62&amp;".",","&amp;SUBSTITUTE(F624," ","")&amp;",")))*Справочник_ОКВЭД_НР!$L$12) /
 (SUMPRODUCT(ISNUMBER(SEARCH(","&amp;Справочник_ОКВЭД_НР!$A$3:$A$62&amp;".",","&amp;SUBSTITUTE(F624," ","")&amp;","))) +
  SUMPRODUCT(ISNUMBER(SEARCH(","&amp;Справочник_ОКВЭД_НР!$C$3:$C$62&amp;".",","&amp;SUBSTITUTE(F624," ","")&amp;","))) +
  SUMPRODUCT(ISNUMBER(SEARCH(","&amp;Справочник_ОКВЭД_НР!$E$3:$E$62&amp;".",","&amp;SUBSTITUTE(F624," ","")&amp;","))) +
  SUMPRODUCT(ISNUMBER(SEARCH(","&amp;Справочник_ОКВЭД_НР!$G$3:$G$62&amp;".",","&amp;SUBSTITUTE(F624," ","")&amp;",")))),
50)</f>
        <v>50</v>
      </c>
      <c r="K624" s="30">
        <f>IFERROR(VLOOKUP(G624,Справочник_ОКВЭД_НР!$O:$P,2,FALSE()),50)</f>
        <v>50</v>
      </c>
      <c r="L624" s="45">
        <f>(I624*Справочник_ОКВЭД_НР!$L$2+J624*Справочник_ОКВЭД_НР!$L$3+K624*Справочник_ОКВЭД_НР!$L$4)*M624</f>
        <v>80</v>
      </c>
      <c r="M624" s="47">
        <f>IF(COUNTIF(Справочник_ОКВЭД_НР!$G$3:$G$62,H624)&gt;0,0,1)</f>
        <v>1</v>
      </c>
    </row>
    <row r="625" spans="1:13" x14ac:dyDescent="0.25">
      <c r="A625" s="4">
        <f>ЛИК_дляСкорингаДП!A625</f>
        <v>1055007104943</v>
      </c>
      <c r="B625" s="4">
        <f>ЛИК_дляСкорингаДП!B625</f>
        <v>5034020942</v>
      </c>
      <c r="C625" s="4" t="str">
        <f>ЛИК_дляСкорингаДП!C625</f>
        <v>ООО "ТЕЛЕКОМ-УСЛУГИ"</v>
      </c>
      <c r="D625" s="5" t="str">
        <f>ЛИК_дляСкорингаДП!M625</f>
        <v>Деятельность в области связи на базе проводных технологий</v>
      </c>
      <c r="E625" s="4" t="str">
        <f>ЛИК_дляСкорингаДП!L625</f>
        <v>61.10</v>
      </c>
      <c r="F625" t="str">
        <f>ЛИК_дляСкорингаДП!N625</f>
        <v>62.02,62.09,63.11,63.11.1,81.22,81.29.9,82.99,95.11</v>
      </c>
      <c r="G625" s="25" t="str">
        <f>ЛИК_дляСкорингаДП!AG625</f>
        <v>УСН</v>
      </c>
      <c r="H625" s="55" t="str">
        <f>IF(ISNUMBER(E625),E625,
IFERROR(LEFT(E625,FIND(".",E625)-1),E625))</f>
        <v>61</v>
      </c>
      <c r="I625" s="30">
        <f>IF(COUNTIF(Справочник_ОКВЭД_НР!$A$3:$A$62,H625)&gt;0,Справочник_ОКВЭД_НР!$L$8,
 IF(COUNTIF(Справочник_ОКВЭД_НР!$C$3:$C$62,H625)&gt;0,Справочник_ОКВЭД_НР!$L$9,
  IF(COUNTIF(Справочник_ОКВЭД_НР!$E$3:$E$62,H625)&gt;0,Справочник_ОКВЭД_НР!$L$10,
   IF(COUNTIF(Справочник_ОКВЭД_НР!$G$3:$G$62,H625)&gt;0,Справочник_ОКВЭД_НР!$L$11,50))))</f>
        <v>60</v>
      </c>
      <c r="J625" s="30" cm="1">
        <f t="array" ref="J625">IFERROR(
 (SUMPRODUCT(ISNUMBER(SEARCH(","&amp;Справочник_ОКВЭД_НР!$A$3:$A$62&amp;".",","&amp;SUBSTITUTE(F625," ","")&amp;",")))*Справочник_ОКВЭД_НР!$L$9 +
  SUMPRODUCT(ISNUMBER(SEARCH(","&amp;Справочник_ОКВЭД_НР!$C$3:$C$62&amp;".",","&amp;SUBSTITUTE(F625," ","")&amp;",")))*Справочник_ОКВЭД_НР!$L$10 +
  SUMPRODUCT(ISNUMBER(SEARCH(","&amp;Справочник_ОКВЭД_НР!$E$3:$E$62&amp;".",","&amp;SUBSTITUTE(F625," ","")&amp;",")))*Справочник_ОКВЭД_НР!$L$11 +
  SUMPRODUCT(ISNUMBER(SEARCH(","&amp;Справочник_ОКВЭД_НР!$G$3:$G$62&amp;".",","&amp;SUBSTITUTE(F625," ","")&amp;",")))*Справочник_ОКВЭД_НР!$L$12) /
 (SUMPRODUCT(ISNUMBER(SEARCH(","&amp;Справочник_ОКВЭД_НР!$A$3:$A$62&amp;".",","&amp;SUBSTITUTE(F625," ","")&amp;","))) +
  SUMPRODUCT(ISNUMBER(SEARCH(","&amp;Справочник_ОКВЭД_НР!$C$3:$C$62&amp;".",","&amp;SUBSTITUTE(F625," ","")&amp;","))) +
  SUMPRODUCT(ISNUMBER(SEARCH(","&amp;Справочник_ОКВЭД_НР!$E$3:$E$62&amp;".",","&amp;SUBSTITUTE(F625," ","")&amp;","))) +
  SUMPRODUCT(ISNUMBER(SEARCH(","&amp;Справочник_ОКВЭД_НР!$G$3:$G$62&amp;".",","&amp;SUBSTITUTE(F625," ","")&amp;",")))),
50)</f>
        <v>50</v>
      </c>
      <c r="K625" s="30">
        <f>IFERROR(VLOOKUP(G625,Справочник_ОКВЭД_НР!$O:$P,2,FALSE()),50)</f>
        <v>50</v>
      </c>
      <c r="L625" s="45">
        <f>(I625*Справочник_ОКВЭД_НР!$L$2+J625*Справочник_ОКВЭД_НР!$L$3+K625*Справочник_ОКВЭД_НР!$L$4)*M625</f>
        <v>56</v>
      </c>
      <c r="M625" s="47">
        <f>IF(COUNTIF(Справочник_ОКВЭД_НР!$G$3:$G$62,H625)&gt;0,0,1)</f>
        <v>1</v>
      </c>
    </row>
    <row r="626" spans="1:13" x14ac:dyDescent="0.25">
      <c r="A626" s="4">
        <f>ЛИК_дляСкорингаДП!A626</f>
        <v>1167746331235</v>
      </c>
      <c r="B626" s="4">
        <f>ЛИК_дляСкорингаДП!B626</f>
        <v>7726373492</v>
      </c>
      <c r="C626" s="4" t="str">
        <f>ЛИК_дляСкорингаДП!C626</f>
        <v>ООО "МЕДИКАЛСАЙНС"</v>
      </c>
      <c r="D626" s="5" t="str">
        <f>ЛИК_дляСкорингаДП!M626</f>
        <v>Торговля оптовая фармацевтической продукцией</v>
      </c>
      <c r="E626" s="4" t="str">
        <f>ЛИК_дляСкорингаДП!L626</f>
        <v>46.46</v>
      </c>
      <c r="F626" t="str">
        <f>ЛИК_дляСкорингаДП!N626</f>
        <v>21.10,21.20,21.20.1,21.20.2,26.60.1,32.50,33.13,46.18.1,46.46.1,46.46.2,46.90,47.73,47.74,47.75,47.75.1,47.75.2,52.24,71.20.3,71.20.8,71.20.9,72.19</v>
      </c>
      <c r="G626" s="25" t="str">
        <f>ЛИК_дляСкорингаДП!AG626</f>
        <v>УСН</v>
      </c>
      <c r="H626" s="55" t="str">
        <f>IF(ISNUMBER(E626),E626,
IFERROR(LEFT(E626,FIND(".",E626)-1),E626))</f>
        <v>46</v>
      </c>
      <c r="I626" s="30">
        <f>IF(COUNTIF(Справочник_ОКВЭД_НР!$A$3:$A$62,H626)&gt;0,Справочник_ОКВЭД_НР!$L$8,
 IF(COUNTIF(Справочник_ОКВЭД_НР!$C$3:$C$62,H626)&gt;0,Справочник_ОКВЭД_НР!$L$9,
  IF(COUNTIF(Справочник_ОКВЭД_НР!$E$3:$E$62,H626)&gt;0,Справочник_ОКВЭД_НР!$L$10,
   IF(COUNTIF(Справочник_ОКВЭД_НР!$G$3:$G$62,H626)&gt;0,Справочник_ОКВЭД_НР!$L$11,50))))</f>
        <v>60</v>
      </c>
      <c r="J626" s="30" cm="1">
        <f t="array" ref="J626">IFERROR(
 (SUMPRODUCT(ISNUMBER(SEARCH(","&amp;Справочник_ОКВЭД_НР!$A$3:$A$62&amp;".",","&amp;SUBSTITUTE(F626," ","")&amp;",")))*Справочник_ОКВЭД_НР!$L$9 +
  SUMPRODUCT(ISNUMBER(SEARCH(","&amp;Справочник_ОКВЭД_НР!$C$3:$C$62&amp;".",","&amp;SUBSTITUTE(F626," ","")&amp;",")))*Справочник_ОКВЭД_НР!$L$10 +
  SUMPRODUCT(ISNUMBER(SEARCH(","&amp;Справочник_ОКВЭД_НР!$E$3:$E$62&amp;".",","&amp;SUBSTITUTE(F626," ","")&amp;",")))*Справочник_ОКВЭД_НР!$L$11 +
  SUMPRODUCT(ISNUMBER(SEARCH(","&amp;Справочник_ОКВЭД_НР!$G$3:$G$62&amp;".",","&amp;SUBSTITUTE(F626," ","")&amp;",")))*Справочник_ОКВЭД_НР!$L$12) /
 (SUMPRODUCT(ISNUMBER(SEARCH(","&amp;Справочник_ОКВЭД_НР!$A$3:$A$62&amp;".",","&amp;SUBSTITUTE(F626," ","")&amp;","))) +
  SUMPRODUCT(ISNUMBER(SEARCH(","&amp;Справочник_ОКВЭД_НР!$C$3:$C$62&amp;".",","&amp;SUBSTITUTE(F626," ","")&amp;","))) +
  SUMPRODUCT(ISNUMBER(SEARCH(","&amp;Справочник_ОКВЭД_НР!$E$3:$E$62&amp;".",","&amp;SUBSTITUTE(F626," ","")&amp;","))) +
  SUMPRODUCT(ISNUMBER(SEARCH(","&amp;Справочник_ОКВЭД_НР!$G$3:$G$62&amp;".",","&amp;SUBSTITUTE(F626," ","")&amp;",")))),
50)</f>
        <v>50</v>
      </c>
      <c r="K626" s="30">
        <f>IFERROR(VLOOKUP(G626,Справочник_ОКВЭД_НР!$O:$P,2,FALSE()),50)</f>
        <v>50</v>
      </c>
      <c r="L626" s="45">
        <f>(I626*Справочник_ОКВЭД_НР!$L$2+J626*Справочник_ОКВЭД_НР!$L$3+K626*Справочник_ОКВЭД_НР!$L$4)*M626</f>
        <v>56</v>
      </c>
      <c r="M626" s="47">
        <f>IF(COUNTIF(Справочник_ОКВЭД_НР!$G$3:$G$62,H626)&gt;0,0,1)</f>
        <v>1</v>
      </c>
    </row>
    <row r="627" spans="1:13" x14ac:dyDescent="0.25">
      <c r="A627" s="4">
        <f>ЛИК_дляСкорингаДП!A627</f>
        <v>1037705029560</v>
      </c>
      <c r="B627" s="4">
        <f>ЛИК_дляСкорингаДП!B627</f>
        <v>7705495330</v>
      </c>
      <c r="C627" s="4" t="str">
        <f>ЛИК_дляСкорингаДП!C627</f>
        <v>ООО "КОМПАНИЯ "ВЕЛФАР"</v>
      </c>
      <c r="D627" s="5" t="str">
        <f>ЛИК_дляСкорингаДП!M627</f>
        <v>Аренда и управление собственным или арендованным нежилым недвижимым имуществом</v>
      </c>
      <c r="E627" s="4" t="str">
        <f>ЛИК_дляСкорингаДП!L627</f>
        <v>68.20.2</v>
      </c>
      <c r="F627" t="str">
        <f>ЛИК_дляСкорингаДП!N627</f>
        <v>62.01,62.02,62.09,63.11.1,68.10.22,69.10,70.22,77.33.2,77.39.1,77.39.29</v>
      </c>
      <c r="G627" s="25" t="str">
        <f>ЛИК_дляСкорингаДП!AG627</f>
        <v>УСН</v>
      </c>
      <c r="H627" s="55" t="str">
        <f>IF(ISNUMBER(E627),E627,
IFERROR(LEFT(E627,FIND(".",E627)-1),E627))</f>
        <v>68</v>
      </c>
      <c r="I627" s="30">
        <f>IF(COUNTIF(Справочник_ОКВЭД_НР!$A$3:$A$62,H627)&gt;0,Справочник_ОКВЭД_НР!$L$8,
 IF(COUNTIF(Справочник_ОКВЭД_НР!$C$3:$C$62,H627)&gt;0,Справочник_ОКВЭД_НР!$L$9,
  IF(COUNTIF(Справочник_ОКВЭД_НР!$E$3:$E$62,H627)&gt;0,Справочник_ОКВЭД_НР!$L$10,
   IF(COUNTIF(Справочник_ОКВЭД_НР!$G$3:$G$62,H627)&gt;0,Справочник_ОКВЭД_НР!$L$11,50))))</f>
        <v>100</v>
      </c>
      <c r="J627" s="30" cm="1">
        <f t="array" ref="J627">IFERROR(
 (SUMPRODUCT(ISNUMBER(SEARCH(","&amp;Справочник_ОКВЭД_НР!$A$3:$A$62&amp;".",","&amp;SUBSTITUTE(F627," ","")&amp;",")))*Справочник_ОКВЭД_НР!$L$9 +
  SUMPRODUCT(ISNUMBER(SEARCH(","&amp;Справочник_ОКВЭД_НР!$C$3:$C$62&amp;".",","&amp;SUBSTITUTE(F627," ","")&amp;",")))*Справочник_ОКВЭД_НР!$L$10 +
  SUMPRODUCT(ISNUMBER(SEARCH(","&amp;Справочник_ОКВЭД_НР!$E$3:$E$62&amp;".",","&amp;SUBSTITUTE(F627," ","")&amp;",")))*Справочник_ОКВЭД_НР!$L$11 +
  SUMPRODUCT(ISNUMBER(SEARCH(","&amp;Справочник_ОКВЭД_НР!$G$3:$G$62&amp;".",","&amp;SUBSTITUTE(F627," ","")&amp;",")))*Справочник_ОКВЭД_НР!$L$12) /
 (SUMPRODUCT(ISNUMBER(SEARCH(","&amp;Справочник_ОКВЭД_НР!$A$3:$A$62&amp;".",","&amp;SUBSTITUTE(F627," ","")&amp;","))) +
  SUMPRODUCT(ISNUMBER(SEARCH(","&amp;Справочник_ОКВЭД_НР!$C$3:$C$62&amp;".",","&amp;SUBSTITUTE(F627," ","")&amp;","))) +
  SUMPRODUCT(ISNUMBER(SEARCH(","&amp;Справочник_ОКВЭД_НР!$E$3:$E$62&amp;".",","&amp;SUBSTITUTE(F627," ","")&amp;","))) +
  SUMPRODUCT(ISNUMBER(SEARCH(","&amp;Справочник_ОКВЭД_НР!$G$3:$G$62&amp;".",","&amp;SUBSTITUTE(F627," ","")&amp;",")))),
50)</f>
        <v>50</v>
      </c>
      <c r="K627" s="30">
        <f>IFERROR(VLOOKUP(G627,Справочник_ОКВЭД_НР!$O:$P,2,FALSE()),50)</f>
        <v>50</v>
      </c>
      <c r="L627" s="45">
        <f>(I627*Справочник_ОКВЭД_НР!$L$2+J627*Справочник_ОКВЭД_НР!$L$3+K627*Справочник_ОКВЭД_НР!$L$4)*M627</f>
        <v>80</v>
      </c>
      <c r="M627" s="47">
        <f>IF(COUNTIF(Справочник_ОКВЭД_НР!$G$3:$G$62,H627)&gt;0,0,1)</f>
        <v>1</v>
      </c>
    </row>
    <row r="628" spans="1:13" x14ac:dyDescent="0.25">
      <c r="A628" s="4">
        <f>ЛИК_дляСкорингаДП!A628</f>
        <v>1025002873433</v>
      </c>
      <c r="B628" s="4">
        <f>ЛИК_дляСкорингаДП!B628</f>
        <v>5024055008</v>
      </c>
      <c r="C628" s="4" t="str">
        <f>ЛИК_дляСкорингаДП!C628</f>
        <v>ООО "ДОРСЕРВИС"</v>
      </c>
      <c r="D628" s="5" t="str">
        <f>ЛИК_дляСкорингаДП!M628</f>
        <v>Деятельность по чистке и уборке прочая, не включенная в другие группировки</v>
      </c>
      <c r="E628" s="4" t="str">
        <f>ЛИК_дляСкорингаДП!L628</f>
        <v>81.29.9</v>
      </c>
      <c r="F628" t="str">
        <f>ЛИК_дляСкорингаДП!N628</f>
        <v>41.2,41.20,42.11,42.12,42.21,42.99,43.11,43.12.1,43.12.3,43.22,43.29,43.3,43.31,43.32,43.33,43.34.1,43.34.2,43.91,43.99.1,43.99.2,43.99.3,43.99.4,43.99.5,43.99.6,49.4,52.21.22,52.21.24,71.11</v>
      </c>
      <c r="G628" s="25" t="str">
        <f>ЛИК_дляСкорингаДП!AG628</f>
        <v>УСН</v>
      </c>
      <c r="H628" s="55" t="str">
        <f>IF(ISNUMBER(E628),E628,
IFERROR(LEFT(E628,FIND(".",E628)-1),E628))</f>
        <v>81</v>
      </c>
      <c r="I628" s="30">
        <f>IF(COUNTIF(Справочник_ОКВЭД_НР!$A$3:$A$62,H628)&gt;0,Справочник_ОКВЭД_НР!$L$8,
 IF(COUNTIF(Справочник_ОКВЭД_НР!$C$3:$C$62,H628)&gt;0,Справочник_ОКВЭД_НР!$L$9,
  IF(COUNTIF(Справочник_ОКВЭД_НР!$E$3:$E$62,H628)&gt;0,Справочник_ОКВЭД_НР!$L$10,
   IF(COUNTIF(Справочник_ОКВЭД_НР!$G$3:$G$62,H628)&gt;0,Справочник_ОКВЭД_НР!$L$11,50))))</f>
        <v>30</v>
      </c>
      <c r="J628" s="30" cm="1">
        <f t="array" ref="J628">IFERROR(
 (SUMPRODUCT(ISNUMBER(SEARCH(","&amp;Справочник_ОКВЭД_НР!$A$3:$A$62&amp;".",","&amp;SUBSTITUTE(F628," ","")&amp;",")))*Справочник_ОКВЭД_НР!$L$9 +
  SUMPRODUCT(ISNUMBER(SEARCH(","&amp;Справочник_ОКВЭД_НР!$C$3:$C$62&amp;".",","&amp;SUBSTITUTE(F628," ","")&amp;",")))*Справочник_ОКВЭД_НР!$L$10 +
  SUMPRODUCT(ISNUMBER(SEARCH(","&amp;Справочник_ОКВЭД_НР!$E$3:$E$62&amp;".",","&amp;SUBSTITUTE(F628," ","")&amp;",")))*Справочник_ОКВЭД_НР!$L$11 +
  SUMPRODUCT(ISNUMBER(SEARCH(","&amp;Справочник_ОКВЭД_НР!$G$3:$G$62&amp;".",","&amp;SUBSTITUTE(F628," ","")&amp;",")))*Справочник_ОКВЭД_НР!$L$12) /
 (SUMPRODUCT(ISNUMBER(SEARCH(","&amp;Справочник_ОКВЭД_НР!$A$3:$A$62&amp;".",","&amp;SUBSTITUTE(F628," ","")&amp;","))) +
  SUMPRODUCT(ISNUMBER(SEARCH(","&amp;Справочник_ОКВЭД_НР!$C$3:$C$62&amp;".",","&amp;SUBSTITUTE(F628," ","")&amp;","))) +
  SUMPRODUCT(ISNUMBER(SEARCH(","&amp;Справочник_ОКВЭД_НР!$E$3:$E$62&amp;".",","&amp;SUBSTITUTE(F628," ","")&amp;","))) +
  SUMPRODUCT(ISNUMBER(SEARCH(","&amp;Справочник_ОКВЭД_НР!$G$3:$G$62&amp;".",","&amp;SUBSTITUTE(F628," ","")&amp;",")))),
50)</f>
        <v>50</v>
      </c>
      <c r="K628" s="30">
        <f>IFERROR(VLOOKUP(G628,Справочник_ОКВЭД_НР!$O:$P,2,FALSE()),50)</f>
        <v>50</v>
      </c>
      <c r="L628" s="45">
        <f>(I628*Справочник_ОКВЭД_НР!$L$2+J628*Справочник_ОКВЭД_НР!$L$3+K628*Справочник_ОКВЭД_НР!$L$4)*M628</f>
        <v>38</v>
      </c>
      <c r="M628" s="47">
        <f>IF(COUNTIF(Справочник_ОКВЭД_НР!$G$3:$G$62,H628)&gt;0,0,1)</f>
        <v>1</v>
      </c>
    </row>
    <row r="629" spans="1:13" x14ac:dyDescent="0.25">
      <c r="A629" s="4">
        <f>ЛИК_дляСкорингаДП!A629</f>
        <v>1055006328134</v>
      </c>
      <c r="B629" s="4">
        <f>ЛИК_дляСкорингаДП!B629</f>
        <v>5032131333</v>
      </c>
      <c r="C629" s="4" t="str">
        <f>ЛИК_дляСкорингаДП!C629</f>
        <v>ООО "ЭСТДОМ"</v>
      </c>
      <c r="D629" s="5" t="str">
        <f>ЛИК_дляСкорингаДП!M629</f>
        <v>Строительство жилых и нежилых зданий</v>
      </c>
      <c r="E629" s="4" t="str">
        <f>ЛИК_дляСкорингаДП!L629</f>
        <v>41.20</v>
      </c>
      <c r="F629" t="str">
        <f>ЛИК_дляСкорингаДП!N629</f>
        <v>42.99,43.21,43.22,43.29,43.31,43.32,43.33,43.34,43.39,43.91,43.99,43.99.1,46.73,47.52.7,47.59.4</v>
      </c>
      <c r="G629" s="25" t="str">
        <f>ЛИК_дляСкорингаДП!AG629</f>
        <v>УСН</v>
      </c>
      <c r="H629" s="55" t="str">
        <f>IF(ISNUMBER(E629),E629,
IFERROR(LEFT(E629,FIND(".",E629)-1),E629))</f>
        <v>41</v>
      </c>
      <c r="I629" s="30">
        <f>IF(COUNTIF(Справочник_ОКВЭД_НР!$A$3:$A$62,H629)&gt;0,Справочник_ОКВЭД_НР!$L$8,
 IF(COUNTIF(Справочник_ОКВЭД_НР!$C$3:$C$62,H629)&gt;0,Справочник_ОКВЭД_НР!$L$9,
  IF(COUNTIF(Справочник_ОКВЭД_НР!$E$3:$E$62,H629)&gt;0,Справочник_ОКВЭД_НР!$L$10,
   IF(COUNTIF(Справочник_ОКВЭД_НР!$G$3:$G$62,H629)&gt;0,Справочник_ОКВЭД_НР!$L$11,50))))</f>
        <v>100</v>
      </c>
      <c r="J629" s="30" cm="1">
        <f t="array" ref="J629">IFERROR(
 (SUMPRODUCT(ISNUMBER(SEARCH(","&amp;Справочник_ОКВЭД_НР!$A$3:$A$62&amp;".",","&amp;SUBSTITUTE(F629," ","")&amp;",")))*Справочник_ОКВЭД_НР!$L$9 +
  SUMPRODUCT(ISNUMBER(SEARCH(","&amp;Справочник_ОКВЭД_НР!$C$3:$C$62&amp;".",","&amp;SUBSTITUTE(F629," ","")&amp;",")))*Справочник_ОКВЭД_НР!$L$10 +
  SUMPRODUCT(ISNUMBER(SEARCH(","&amp;Справочник_ОКВЭД_НР!$E$3:$E$62&amp;".",","&amp;SUBSTITUTE(F629," ","")&amp;",")))*Справочник_ОКВЭД_НР!$L$11 +
  SUMPRODUCT(ISNUMBER(SEARCH(","&amp;Справочник_ОКВЭД_НР!$G$3:$G$62&amp;".",","&amp;SUBSTITUTE(F629," ","")&amp;",")))*Справочник_ОКВЭД_НР!$L$12) /
 (SUMPRODUCT(ISNUMBER(SEARCH(","&amp;Справочник_ОКВЭД_НР!$A$3:$A$62&amp;".",","&amp;SUBSTITUTE(F629," ","")&amp;","))) +
  SUMPRODUCT(ISNUMBER(SEARCH(","&amp;Справочник_ОКВЭД_НР!$C$3:$C$62&amp;".",","&amp;SUBSTITUTE(F629," ","")&amp;","))) +
  SUMPRODUCT(ISNUMBER(SEARCH(","&amp;Справочник_ОКВЭД_НР!$E$3:$E$62&amp;".",","&amp;SUBSTITUTE(F629," ","")&amp;","))) +
  SUMPRODUCT(ISNUMBER(SEARCH(","&amp;Справочник_ОКВЭД_НР!$G$3:$G$62&amp;".",","&amp;SUBSTITUTE(F629," ","")&amp;",")))),
50)</f>
        <v>50</v>
      </c>
      <c r="K629" s="30">
        <f>IFERROR(VLOOKUP(G629,Справочник_ОКВЭД_НР!$O:$P,2,FALSE()),50)</f>
        <v>50</v>
      </c>
      <c r="L629" s="45">
        <f>(I629*Справочник_ОКВЭД_НР!$L$2+J629*Справочник_ОКВЭД_НР!$L$3+K629*Справочник_ОКВЭД_НР!$L$4)*M629</f>
        <v>80</v>
      </c>
      <c r="M629" s="47">
        <f>IF(COUNTIF(Справочник_ОКВЭД_НР!$G$3:$G$62,H629)&gt;0,0,1)</f>
        <v>1</v>
      </c>
    </row>
    <row r="630" spans="1:13" x14ac:dyDescent="0.25">
      <c r="A630" s="4">
        <f>ЛИК_дляСкорингаДП!A630</f>
        <v>1055001808916</v>
      </c>
      <c r="B630" s="4">
        <f>ЛИК_дляСкорингаДП!B630</f>
        <v>5010032339</v>
      </c>
      <c r="C630" s="4" t="str">
        <f>ЛИК_дляСкорингаДП!C630</f>
        <v>ООО "ВЕБИС ГРУП"</v>
      </c>
      <c r="D630" s="5" t="str">
        <f>ЛИК_дляСкорингаДП!M630</f>
        <v>Разработка компьютерного программного обеспечения, консультационные услуги в данной области и другие сопутствующие услуги</v>
      </c>
      <c r="E630" s="4" t="str">
        <f>ЛИК_дляСкорингаДП!L630</f>
        <v>62.0</v>
      </c>
      <c r="F630" t="str">
        <f>ЛИК_дляСкорингаДП!N630</f>
        <v>46.17.1,46.19,46.37,46.39,46.90,47.29.35,47.91.2,47.91.3,47.91.4,62.09,63.1,68.20,68.20.2,72.19,73.11,73.20,82.99</v>
      </c>
      <c r="G630" s="25" t="str">
        <f>ЛИК_дляСкорингаДП!AG630</f>
        <v>УСН</v>
      </c>
      <c r="H630" s="55" t="str">
        <f>IF(ISNUMBER(E630),E630,
IFERROR(LEFT(E630,FIND(".",E630)-1),E630))</f>
        <v>62</v>
      </c>
      <c r="I630" s="30">
        <f>IF(COUNTIF(Справочник_ОКВЭД_НР!$A$3:$A$62,H630)&gt;0,Справочник_ОКВЭД_НР!$L$8,
 IF(COUNTIF(Справочник_ОКВЭД_НР!$C$3:$C$62,H630)&gt;0,Справочник_ОКВЭД_НР!$L$9,
  IF(COUNTIF(Справочник_ОКВЭД_НР!$E$3:$E$62,H630)&gt;0,Справочник_ОКВЭД_НР!$L$10,
   IF(COUNTIF(Справочник_ОКВЭД_НР!$G$3:$G$62,H630)&gt;0,Справочник_ОКВЭД_НР!$L$11,50))))</f>
        <v>100</v>
      </c>
      <c r="J630" s="30" cm="1">
        <f t="array" ref="J630">IFERROR(
 (SUMPRODUCT(ISNUMBER(SEARCH(","&amp;Справочник_ОКВЭД_НР!$A$3:$A$62&amp;".",","&amp;SUBSTITUTE(F630," ","")&amp;",")))*Справочник_ОКВЭД_НР!$L$9 +
  SUMPRODUCT(ISNUMBER(SEARCH(","&amp;Справочник_ОКВЭД_НР!$C$3:$C$62&amp;".",","&amp;SUBSTITUTE(F630," ","")&amp;",")))*Справочник_ОКВЭД_НР!$L$10 +
  SUMPRODUCT(ISNUMBER(SEARCH(","&amp;Справочник_ОКВЭД_НР!$E$3:$E$62&amp;".",","&amp;SUBSTITUTE(F630," ","")&amp;",")))*Справочник_ОКВЭД_НР!$L$11 +
  SUMPRODUCT(ISNUMBER(SEARCH(","&amp;Справочник_ОКВЭД_НР!$G$3:$G$62&amp;".",","&amp;SUBSTITUTE(F630," ","")&amp;",")))*Справочник_ОКВЭД_НР!$L$12) /
 (SUMPRODUCT(ISNUMBER(SEARCH(","&amp;Справочник_ОКВЭД_НР!$A$3:$A$62&amp;".",","&amp;SUBSTITUTE(F630," ","")&amp;","))) +
  SUMPRODUCT(ISNUMBER(SEARCH(","&amp;Справочник_ОКВЭД_НР!$C$3:$C$62&amp;".",","&amp;SUBSTITUTE(F630," ","")&amp;","))) +
  SUMPRODUCT(ISNUMBER(SEARCH(","&amp;Справочник_ОКВЭД_НР!$E$3:$E$62&amp;".",","&amp;SUBSTITUTE(F630," ","")&amp;","))) +
  SUMPRODUCT(ISNUMBER(SEARCH(","&amp;Справочник_ОКВЭД_НР!$G$3:$G$62&amp;".",","&amp;SUBSTITUTE(F630," ","")&amp;",")))),
50)</f>
        <v>50</v>
      </c>
      <c r="K630" s="30">
        <f>IFERROR(VLOOKUP(G630,Справочник_ОКВЭД_НР!$O:$P,2,FALSE()),50)</f>
        <v>50</v>
      </c>
      <c r="L630" s="45">
        <f>(I630*Справочник_ОКВЭД_НР!$L$2+J630*Справочник_ОКВЭД_НР!$L$3+K630*Справочник_ОКВЭД_НР!$L$4)*M630</f>
        <v>80</v>
      </c>
      <c r="M630" s="47">
        <f>IF(COUNTIF(Справочник_ОКВЭД_НР!$G$3:$G$62,H630)&gt;0,0,1)</f>
        <v>1</v>
      </c>
    </row>
    <row r="631" spans="1:13" x14ac:dyDescent="0.25">
      <c r="A631" s="4">
        <f>ЛИК_дляСкорингаДП!A631</f>
        <v>1155042002246</v>
      </c>
      <c r="B631" s="4">
        <f>ЛИК_дляСкорингаДП!B631</f>
        <v>5042137060</v>
      </c>
      <c r="C631" s="4" t="str">
        <f>ЛИК_дляСкорингаДП!C631</f>
        <v>ООО "КАРТ ЭЛЬ"</v>
      </c>
      <c r="D631" s="5" t="str">
        <f>ЛИК_дляСкорингаДП!M631</f>
        <v>Деятельность ресторанов и услуги по доставке продуктов питания</v>
      </c>
      <c r="E631" s="4" t="str">
        <f>ЛИК_дляСкорингаДП!L631</f>
        <v>56.10</v>
      </c>
      <c r="F631" t="str">
        <f>ЛИК_дляСкорингаДП!N631</f>
        <v>47.11,47.19,47.21,47.22,47.23,47.24,47.25.12,47.25.2,47.26,47.29,47.9,47.99,53.20.3,56.10.1,56.10.3,56.29,56.30</v>
      </c>
      <c r="G631" s="25" t="str">
        <f>ЛИК_дляСкорингаДП!AG631</f>
        <v>УСН</v>
      </c>
      <c r="H631" s="55" t="str">
        <f>IF(ISNUMBER(E631),E631,
IFERROR(LEFT(E631,FIND(".",E631)-1),E631))</f>
        <v>56</v>
      </c>
      <c r="I631" s="30">
        <f>IF(COUNTIF(Справочник_ОКВЭД_НР!$A$3:$A$62,H631)&gt;0,Справочник_ОКВЭД_НР!$L$8,
 IF(COUNTIF(Справочник_ОКВЭД_НР!$C$3:$C$62,H631)&gt;0,Справочник_ОКВЭД_НР!$L$9,
  IF(COUNTIF(Справочник_ОКВЭД_НР!$E$3:$E$62,H631)&gt;0,Справочник_ОКВЭД_НР!$L$10,
   IF(COUNTIF(Справочник_ОКВЭД_НР!$G$3:$G$62,H631)&gt;0,Справочник_ОКВЭД_НР!$L$11,50))))</f>
        <v>30</v>
      </c>
      <c r="J631" s="30" cm="1">
        <f t="array" ref="J631">IFERROR(
 (SUMPRODUCT(ISNUMBER(SEARCH(","&amp;Справочник_ОКВЭД_НР!$A$3:$A$62&amp;".",","&amp;SUBSTITUTE(F631," ","")&amp;",")))*Справочник_ОКВЭД_НР!$L$9 +
  SUMPRODUCT(ISNUMBER(SEARCH(","&amp;Справочник_ОКВЭД_НР!$C$3:$C$62&amp;".",","&amp;SUBSTITUTE(F631," ","")&amp;",")))*Справочник_ОКВЭД_НР!$L$10 +
  SUMPRODUCT(ISNUMBER(SEARCH(","&amp;Справочник_ОКВЭД_НР!$E$3:$E$62&amp;".",","&amp;SUBSTITUTE(F631," ","")&amp;",")))*Справочник_ОКВЭД_НР!$L$11 +
  SUMPRODUCT(ISNUMBER(SEARCH(","&amp;Справочник_ОКВЭД_НР!$G$3:$G$62&amp;".",","&amp;SUBSTITUTE(F631," ","")&amp;",")))*Справочник_ОКВЭД_НР!$L$12) /
 (SUMPRODUCT(ISNUMBER(SEARCH(","&amp;Справочник_ОКВЭД_НР!$A$3:$A$62&amp;".",","&amp;SUBSTITUTE(F631," ","")&amp;","))) +
  SUMPRODUCT(ISNUMBER(SEARCH(","&amp;Справочник_ОКВЭД_НР!$C$3:$C$62&amp;".",","&amp;SUBSTITUTE(F631," ","")&amp;","))) +
  SUMPRODUCT(ISNUMBER(SEARCH(","&amp;Справочник_ОКВЭД_НР!$E$3:$E$62&amp;".",","&amp;SUBSTITUTE(F631," ","")&amp;","))) +
  SUMPRODUCT(ISNUMBER(SEARCH(","&amp;Справочник_ОКВЭД_НР!$G$3:$G$62&amp;".",","&amp;SUBSTITUTE(F631," ","")&amp;",")))),
50)</f>
        <v>50</v>
      </c>
      <c r="K631" s="30">
        <f>IFERROR(VLOOKUP(G631,Справочник_ОКВЭД_НР!$O:$P,2,FALSE()),50)</f>
        <v>50</v>
      </c>
      <c r="L631" s="45">
        <f>(I631*Справочник_ОКВЭД_НР!$L$2+J631*Справочник_ОКВЭД_НР!$L$3+K631*Справочник_ОКВЭД_НР!$L$4)*M631</f>
        <v>38</v>
      </c>
      <c r="M631" s="47">
        <f>IF(COUNTIF(Справочник_ОКВЭД_НР!$G$3:$G$62,H631)&gt;0,0,1)</f>
        <v>1</v>
      </c>
    </row>
    <row r="632" spans="1:13" x14ac:dyDescent="0.25">
      <c r="A632" s="4">
        <f>ЛИК_дляСкорингаДП!A632</f>
        <v>1055002330855</v>
      </c>
      <c r="B632" s="4">
        <f>ЛИК_дляСкорингаДП!B632</f>
        <v>5013051308</v>
      </c>
      <c r="C632" s="4" t="str">
        <f>ЛИК_дляСкорингаДП!C632</f>
        <v>ООО "ЦЕНТР КРАСОТЫ И ЗДОРОВЬЯ "ВЕРСАЛЬ"</v>
      </c>
      <c r="D632" s="5" t="str">
        <f>ЛИК_дляСкорингаДП!M632</f>
        <v>Общая врачебная практика</v>
      </c>
      <c r="E632" s="4" t="str">
        <f>ЛИК_дляСкорингаДП!L632</f>
        <v>86.21</v>
      </c>
      <c r="F632" t="str">
        <f>ЛИК_дляСкорингаДП!N632</f>
        <v>46.45,46.46,47.73,47.74,47.75,52.21.24,68.10,68.20,86.10,86.23,86.90.9,93.11,96.02,96.04,96.09</v>
      </c>
      <c r="G632" s="25" t="str">
        <f>ЛИК_дляСкорингаДП!AG632</f>
        <v>УСН</v>
      </c>
      <c r="H632" s="55" t="str">
        <f>IF(ISNUMBER(E632),E632,
IFERROR(LEFT(E632,FIND(".",E632)-1),E632))</f>
        <v>86</v>
      </c>
      <c r="I632" s="30">
        <f>IF(COUNTIF(Справочник_ОКВЭД_НР!$A$3:$A$62,H632)&gt;0,Справочник_ОКВЭД_НР!$L$8,
 IF(COUNTIF(Справочник_ОКВЭД_НР!$C$3:$C$62,H632)&gt;0,Справочник_ОКВЭД_НР!$L$9,
  IF(COUNTIF(Справочник_ОКВЭД_НР!$E$3:$E$62,H632)&gt;0,Справочник_ОКВЭД_НР!$L$10,
   IF(COUNTIF(Справочник_ОКВЭД_НР!$G$3:$G$62,H632)&gt;0,Справочник_ОКВЭД_НР!$L$11,50))))</f>
        <v>100</v>
      </c>
      <c r="J632" s="30" cm="1">
        <f t="array" ref="J632">IFERROR(
 (SUMPRODUCT(ISNUMBER(SEARCH(","&amp;Справочник_ОКВЭД_НР!$A$3:$A$62&amp;".",","&amp;SUBSTITUTE(F632," ","")&amp;",")))*Справочник_ОКВЭД_НР!$L$9 +
  SUMPRODUCT(ISNUMBER(SEARCH(","&amp;Справочник_ОКВЭД_НР!$C$3:$C$62&amp;".",","&amp;SUBSTITUTE(F632," ","")&amp;",")))*Справочник_ОКВЭД_НР!$L$10 +
  SUMPRODUCT(ISNUMBER(SEARCH(","&amp;Справочник_ОКВЭД_НР!$E$3:$E$62&amp;".",","&amp;SUBSTITUTE(F632," ","")&amp;",")))*Справочник_ОКВЭД_НР!$L$11 +
  SUMPRODUCT(ISNUMBER(SEARCH(","&amp;Справочник_ОКВЭД_НР!$G$3:$G$62&amp;".",","&amp;SUBSTITUTE(F632," ","")&amp;",")))*Справочник_ОКВЭД_НР!$L$12) /
 (SUMPRODUCT(ISNUMBER(SEARCH(","&amp;Справочник_ОКВЭД_НР!$A$3:$A$62&amp;".",","&amp;SUBSTITUTE(F632," ","")&amp;","))) +
  SUMPRODUCT(ISNUMBER(SEARCH(","&amp;Справочник_ОКВЭД_НР!$C$3:$C$62&amp;".",","&amp;SUBSTITUTE(F632," ","")&amp;","))) +
  SUMPRODUCT(ISNUMBER(SEARCH(","&amp;Справочник_ОКВЭД_НР!$E$3:$E$62&amp;".",","&amp;SUBSTITUTE(F632," ","")&amp;","))) +
  SUMPRODUCT(ISNUMBER(SEARCH(","&amp;Справочник_ОКВЭД_НР!$G$3:$G$62&amp;".",","&amp;SUBSTITUTE(F632," ","")&amp;",")))),
50)</f>
        <v>50</v>
      </c>
      <c r="K632" s="30">
        <f>IFERROR(VLOOKUP(G632,Справочник_ОКВЭД_НР!$O:$P,2,FALSE()),50)</f>
        <v>50</v>
      </c>
      <c r="L632" s="45">
        <f>(I632*Справочник_ОКВЭД_НР!$L$2+J632*Справочник_ОКВЭД_НР!$L$3+K632*Справочник_ОКВЭД_НР!$L$4)*M632</f>
        <v>80</v>
      </c>
      <c r="M632" s="47">
        <f>IF(COUNTIF(Справочник_ОКВЭД_НР!$G$3:$G$62,H632)&gt;0,0,1)</f>
        <v>1</v>
      </c>
    </row>
    <row r="633" spans="1:13" x14ac:dyDescent="0.25">
      <c r="A633" s="4">
        <f>ЛИК_дляСкорингаДП!A633</f>
        <v>1027745002559</v>
      </c>
      <c r="B633" s="4">
        <f>ЛИК_дляСкорингаДП!B633</f>
        <v>7704248603</v>
      </c>
      <c r="C633" s="4" t="str">
        <f>ЛИК_дляСкорингаДП!C633</f>
        <v>ООО "СОЗИДАТЕЛЬ - XXI"</v>
      </c>
      <c r="D633" s="5" t="str">
        <f>ЛИК_дляСкорингаДП!M633</f>
        <v>Аренда и управление собственным или арендованным недвижимым имуществом</v>
      </c>
      <c r="E633" s="4" t="str">
        <f>ЛИК_дляСкорингаДП!L633</f>
        <v>68.20</v>
      </c>
      <c r="F633">
        <f>ЛИК_дляСкорингаДП!N633</f>
        <v>0</v>
      </c>
      <c r="G633" s="25" t="str">
        <f>ЛИК_дляСкорингаДП!AG633</f>
        <v>УСН</v>
      </c>
      <c r="H633" s="55" t="str">
        <f>IF(ISNUMBER(E633),E633,
IFERROR(LEFT(E633,FIND(".",E633)-1),E633))</f>
        <v>68</v>
      </c>
      <c r="I633" s="30">
        <f>IF(COUNTIF(Справочник_ОКВЭД_НР!$A$3:$A$62,H633)&gt;0,Справочник_ОКВЭД_НР!$L$8,
 IF(COUNTIF(Справочник_ОКВЭД_НР!$C$3:$C$62,H633)&gt;0,Справочник_ОКВЭД_НР!$L$9,
  IF(COUNTIF(Справочник_ОКВЭД_НР!$E$3:$E$62,H633)&gt;0,Справочник_ОКВЭД_НР!$L$10,
   IF(COUNTIF(Справочник_ОКВЭД_НР!$G$3:$G$62,H633)&gt;0,Справочник_ОКВЭД_НР!$L$11,50))))</f>
        <v>100</v>
      </c>
      <c r="J633" s="30" cm="1">
        <f t="array" ref="J633">IFERROR(
 (SUMPRODUCT(ISNUMBER(SEARCH(","&amp;Справочник_ОКВЭД_НР!$A$3:$A$62&amp;".",","&amp;SUBSTITUTE(F633," ","")&amp;",")))*Справочник_ОКВЭД_НР!$L$9 +
  SUMPRODUCT(ISNUMBER(SEARCH(","&amp;Справочник_ОКВЭД_НР!$C$3:$C$62&amp;".",","&amp;SUBSTITUTE(F633," ","")&amp;",")))*Справочник_ОКВЭД_НР!$L$10 +
  SUMPRODUCT(ISNUMBER(SEARCH(","&amp;Справочник_ОКВЭД_НР!$E$3:$E$62&amp;".",","&amp;SUBSTITUTE(F633," ","")&amp;",")))*Справочник_ОКВЭД_НР!$L$11 +
  SUMPRODUCT(ISNUMBER(SEARCH(","&amp;Справочник_ОКВЭД_НР!$G$3:$G$62&amp;".",","&amp;SUBSTITUTE(F633," ","")&amp;",")))*Справочник_ОКВЭД_НР!$L$12) /
 (SUMPRODUCT(ISNUMBER(SEARCH(","&amp;Справочник_ОКВЭД_НР!$A$3:$A$62&amp;".",","&amp;SUBSTITUTE(F633," ","")&amp;","))) +
  SUMPRODUCT(ISNUMBER(SEARCH(","&amp;Справочник_ОКВЭД_НР!$C$3:$C$62&amp;".",","&amp;SUBSTITUTE(F633," ","")&amp;","))) +
  SUMPRODUCT(ISNUMBER(SEARCH(","&amp;Справочник_ОКВЭД_НР!$E$3:$E$62&amp;".",","&amp;SUBSTITUTE(F633," ","")&amp;","))) +
  SUMPRODUCT(ISNUMBER(SEARCH(","&amp;Справочник_ОКВЭД_НР!$G$3:$G$62&amp;".",","&amp;SUBSTITUTE(F633," ","")&amp;",")))),
50)</f>
        <v>50</v>
      </c>
      <c r="K633" s="30">
        <f>IFERROR(VLOOKUP(G633,Справочник_ОКВЭД_НР!$O:$P,2,FALSE()),50)</f>
        <v>50</v>
      </c>
      <c r="L633" s="45">
        <f>(I633*Справочник_ОКВЭД_НР!$L$2+J633*Справочник_ОКВЭД_НР!$L$3+K633*Справочник_ОКВЭД_НР!$L$4)*M633</f>
        <v>80</v>
      </c>
      <c r="M633" s="47">
        <f>IF(COUNTIF(Справочник_ОКВЭД_НР!$G$3:$G$62,H633)&gt;0,0,1)</f>
        <v>1</v>
      </c>
    </row>
    <row r="634" spans="1:13" x14ac:dyDescent="0.25">
      <c r="A634" s="4">
        <f>ЛИК_дляСкорингаДП!A634</f>
        <v>1025003521905</v>
      </c>
      <c r="B634" s="4">
        <f>ЛИК_дляСкорингаДП!B634</f>
        <v>5029039916</v>
      </c>
      <c r="C634" s="4" t="str">
        <f>ЛИК_дляСкорингаДП!C634</f>
        <v>ООО"МСП-ТРАНЗИТ"</v>
      </c>
      <c r="D634" s="5" t="str">
        <f>ЛИК_дляСкорингаДП!M634</f>
        <v>Аренда и управление собственным или арендованным недвижимым имуществом</v>
      </c>
      <c r="E634" s="4" t="str">
        <f>ЛИК_дляСкорингаДП!L634</f>
        <v>68.20</v>
      </c>
      <c r="F634" t="str">
        <f>ЛИК_дляСкорингаДП!N634</f>
        <v>77.11,77.12</v>
      </c>
      <c r="G634" s="25" t="str">
        <f>ЛИК_дляСкорингаДП!AG634</f>
        <v>УСН</v>
      </c>
      <c r="H634" s="55" t="str">
        <f>IF(ISNUMBER(E634),E634,
IFERROR(LEFT(E634,FIND(".",E634)-1),E634))</f>
        <v>68</v>
      </c>
      <c r="I634" s="30">
        <f>IF(COUNTIF(Справочник_ОКВЭД_НР!$A$3:$A$62,H634)&gt;0,Справочник_ОКВЭД_НР!$L$8,
 IF(COUNTIF(Справочник_ОКВЭД_НР!$C$3:$C$62,H634)&gt;0,Справочник_ОКВЭД_НР!$L$9,
  IF(COUNTIF(Справочник_ОКВЭД_НР!$E$3:$E$62,H634)&gt;0,Справочник_ОКВЭД_НР!$L$10,
   IF(COUNTIF(Справочник_ОКВЭД_НР!$G$3:$G$62,H634)&gt;0,Справочник_ОКВЭД_НР!$L$11,50))))</f>
        <v>100</v>
      </c>
      <c r="J634" s="30" cm="1">
        <f t="array" ref="J634">IFERROR(
 (SUMPRODUCT(ISNUMBER(SEARCH(","&amp;Справочник_ОКВЭД_НР!$A$3:$A$62&amp;".",","&amp;SUBSTITUTE(F634," ","")&amp;",")))*Справочник_ОКВЭД_НР!$L$9 +
  SUMPRODUCT(ISNUMBER(SEARCH(","&amp;Справочник_ОКВЭД_НР!$C$3:$C$62&amp;".",","&amp;SUBSTITUTE(F634," ","")&amp;",")))*Справочник_ОКВЭД_НР!$L$10 +
  SUMPRODUCT(ISNUMBER(SEARCH(","&amp;Справочник_ОКВЭД_НР!$E$3:$E$62&amp;".",","&amp;SUBSTITUTE(F634," ","")&amp;",")))*Справочник_ОКВЭД_НР!$L$11 +
  SUMPRODUCT(ISNUMBER(SEARCH(","&amp;Справочник_ОКВЭД_НР!$G$3:$G$62&amp;".",","&amp;SUBSTITUTE(F634," ","")&amp;",")))*Справочник_ОКВЭД_НР!$L$12) /
 (SUMPRODUCT(ISNUMBER(SEARCH(","&amp;Справочник_ОКВЭД_НР!$A$3:$A$62&amp;".",","&amp;SUBSTITUTE(F634," ","")&amp;","))) +
  SUMPRODUCT(ISNUMBER(SEARCH(","&amp;Справочник_ОКВЭД_НР!$C$3:$C$62&amp;".",","&amp;SUBSTITUTE(F634," ","")&amp;","))) +
  SUMPRODUCT(ISNUMBER(SEARCH(","&amp;Справочник_ОКВЭД_НР!$E$3:$E$62&amp;".",","&amp;SUBSTITUTE(F634," ","")&amp;","))) +
  SUMPRODUCT(ISNUMBER(SEARCH(","&amp;Справочник_ОКВЭД_НР!$G$3:$G$62&amp;".",","&amp;SUBSTITUTE(F634," ","")&amp;",")))),
50)</f>
        <v>50</v>
      </c>
      <c r="K634" s="30">
        <f>IFERROR(VLOOKUP(G634,Справочник_ОКВЭД_НР!$O:$P,2,FALSE()),50)</f>
        <v>50</v>
      </c>
      <c r="L634" s="45">
        <f>(I634*Справочник_ОКВЭД_НР!$L$2+J634*Справочник_ОКВЭД_НР!$L$3+K634*Справочник_ОКВЭД_НР!$L$4)*M634</f>
        <v>80</v>
      </c>
      <c r="M634" s="47">
        <f>IF(COUNTIF(Справочник_ОКВЭД_НР!$G$3:$G$62,H634)&gt;0,0,1)</f>
        <v>1</v>
      </c>
    </row>
    <row r="635" spans="1:13" x14ac:dyDescent="0.25">
      <c r="A635" s="4">
        <f>ЛИК_дляСкорингаДП!A635</f>
        <v>1055003615237</v>
      </c>
      <c r="B635" s="4">
        <f>ЛИК_дляСкорингаДП!B635</f>
        <v>5020043241</v>
      </c>
      <c r="C635" s="4" t="str">
        <f>ЛИК_дляСкорингаДП!C635</f>
        <v>ООО "СТАЛЬ-СТРОЙ"</v>
      </c>
      <c r="D635" s="5" t="str">
        <f>ЛИК_дляСкорингаДП!M635</f>
        <v>Производство металлических дверей и окон</v>
      </c>
      <c r="E635" s="4" t="str">
        <f>ЛИК_дляСкорингаДП!L635</f>
        <v>25.12</v>
      </c>
      <c r="F635" t="str">
        <f>ЛИК_дляСкорингаДП!N635</f>
        <v>23.70,25.11,25.50,25.61,25.99,33.11,33.19,49.41.2,95.29</v>
      </c>
      <c r="G635" s="25" t="str">
        <f>ЛИК_дляСкорингаДП!AG635</f>
        <v>УСН</v>
      </c>
      <c r="H635" s="55" t="str">
        <f>IF(ISNUMBER(E635),E635,
IFERROR(LEFT(E635,FIND(".",E635)-1),E635))</f>
        <v>25</v>
      </c>
      <c r="I635" s="30">
        <f>IF(COUNTIF(Справочник_ОКВЭД_НР!$A$3:$A$62,H635)&gt;0,Справочник_ОКВЭД_НР!$L$8,
 IF(COUNTIF(Справочник_ОКВЭД_НР!$C$3:$C$62,H635)&gt;0,Справочник_ОКВЭД_НР!$L$9,
  IF(COUNTIF(Справочник_ОКВЭД_НР!$E$3:$E$62,H635)&gt;0,Справочник_ОКВЭД_НР!$L$10,
   IF(COUNTIF(Справочник_ОКВЭД_НР!$G$3:$G$62,H635)&gt;0,Справочник_ОКВЭД_НР!$L$11,50))))</f>
        <v>60</v>
      </c>
      <c r="J635" s="30" cm="1">
        <f t="array" ref="J635">IFERROR(
 (SUMPRODUCT(ISNUMBER(SEARCH(","&amp;Справочник_ОКВЭД_НР!$A$3:$A$62&amp;".",","&amp;SUBSTITUTE(F635," ","")&amp;",")))*Справочник_ОКВЭД_НР!$L$9 +
  SUMPRODUCT(ISNUMBER(SEARCH(","&amp;Справочник_ОКВЭД_НР!$C$3:$C$62&amp;".",","&amp;SUBSTITUTE(F635," ","")&amp;",")))*Справочник_ОКВЭД_НР!$L$10 +
  SUMPRODUCT(ISNUMBER(SEARCH(","&amp;Справочник_ОКВЭД_НР!$E$3:$E$62&amp;".",","&amp;SUBSTITUTE(F635," ","")&amp;",")))*Справочник_ОКВЭД_НР!$L$11 +
  SUMPRODUCT(ISNUMBER(SEARCH(","&amp;Справочник_ОКВЭД_НР!$G$3:$G$62&amp;".",","&amp;SUBSTITUTE(F635," ","")&amp;",")))*Справочник_ОКВЭД_НР!$L$12) /
 (SUMPRODUCT(ISNUMBER(SEARCH(","&amp;Справочник_ОКВЭД_НР!$A$3:$A$62&amp;".",","&amp;SUBSTITUTE(F635," ","")&amp;","))) +
  SUMPRODUCT(ISNUMBER(SEARCH(","&amp;Справочник_ОКВЭД_НР!$C$3:$C$62&amp;".",","&amp;SUBSTITUTE(F635," ","")&amp;","))) +
  SUMPRODUCT(ISNUMBER(SEARCH(","&amp;Справочник_ОКВЭД_НР!$E$3:$E$62&amp;".",","&amp;SUBSTITUTE(F635," ","")&amp;","))) +
  SUMPRODUCT(ISNUMBER(SEARCH(","&amp;Справочник_ОКВЭД_НР!$G$3:$G$62&amp;".",","&amp;SUBSTITUTE(F635," ","")&amp;",")))),
50)</f>
        <v>50</v>
      </c>
      <c r="K635" s="30">
        <f>IFERROR(VLOOKUP(G635,Справочник_ОКВЭД_НР!$O:$P,2,FALSE()),50)</f>
        <v>50</v>
      </c>
      <c r="L635" s="45">
        <f>(I635*Справочник_ОКВЭД_НР!$L$2+J635*Справочник_ОКВЭД_НР!$L$3+K635*Справочник_ОКВЭД_НР!$L$4)*M635</f>
        <v>56</v>
      </c>
      <c r="M635" s="47">
        <f>IF(COUNTIF(Справочник_ОКВЭД_НР!$G$3:$G$62,H635)&gt;0,0,1)</f>
        <v>1</v>
      </c>
    </row>
    <row r="636" spans="1:13" x14ac:dyDescent="0.25">
      <c r="A636" s="4">
        <f>ЛИК_дляСкорингаДП!A636</f>
        <v>1037700093892</v>
      </c>
      <c r="B636" s="4">
        <f>ЛИК_дляСкорингаДП!B636</f>
        <v>7725131719</v>
      </c>
      <c r="C636" s="4" t="str">
        <f>ЛИК_дляСкорингаДП!C636</f>
        <v>ООО "ИНТАЙН"</v>
      </c>
      <c r="D636" s="5" t="str">
        <f>ЛИК_дляСкорингаДП!M636</f>
        <v>Аренда и управление собственным или арендованным недвижимым имуществом</v>
      </c>
      <c r="E636" s="4" t="str">
        <f>ЛИК_дляСкорингаДП!L636</f>
        <v>68.20</v>
      </c>
      <c r="F636" t="str">
        <f>ЛИК_дляСкорингаДП!N636</f>
        <v>47.1,47.2,47.5,47.73,47.74,47.75,47.79,47.9,68.20.2,68.3,68.31,68.31.1,68.31.12,68.31.2,68.31.22,68.31.3,68.31.32,68.31.4,68.31.42</v>
      </c>
      <c r="G636" s="25" t="str">
        <f>ЛИК_дляСкорингаДП!AG636</f>
        <v>УСН</v>
      </c>
      <c r="H636" s="55" t="str">
        <f>IF(ISNUMBER(E636),E636,
IFERROR(LEFT(E636,FIND(".",E636)-1),E636))</f>
        <v>68</v>
      </c>
      <c r="I636" s="30">
        <f>IF(COUNTIF(Справочник_ОКВЭД_НР!$A$3:$A$62,H636)&gt;0,Справочник_ОКВЭД_НР!$L$8,
 IF(COUNTIF(Справочник_ОКВЭД_НР!$C$3:$C$62,H636)&gt;0,Справочник_ОКВЭД_НР!$L$9,
  IF(COUNTIF(Справочник_ОКВЭД_НР!$E$3:$E$62,H636)&gt;0,Справочник_ОКВЭД_НР!$L$10,
   IF(COUNTIF(Справочник_ОКВЭД_НР!$G$3:$G$62,H636)&gt;0,Справочник_ОКВЭД_НР!$L$11,50))))</f>
        <v>100</v>
      </c>
      <c r="J636" s="30" cm="1">
        <f t="array" ref="J636">IFERROR(
 (SUMPRODUCT(ISNUMBER(SEARCH(","&amp;Справочник_ОКВЭД_НР!$A$3:$A$62&amp;".",","&amp;SUBSTITUTE(F636," ","")&amp;",")))*Справочник_ОКВЭД_НР!$L$9 +
  SUMPRODUCT(ISNUMBER(SEARCH(","&amp;Справочник_ОКВЭД_НР!$C$3:$C$62&amp;".",","&amp;SUBSTITUTE(F636," ","")&amp;",")))*Справочник_ОКВЭД_НР!$L$10 +
  SUMPRODUCT(ISNUMBER(SEARCH(","&amp;Справочник_ОКВЭД_НР!$E$3:$E$62&amp;".",","&amp;SUBSTITUTE(F636," ","")&amp;",")))*Справочник_ОКВЭД_НР!$L$11 +
  SUMPRODUCT(ISNUMBER(SEARCH(","&amp;Справочник_ОКВЭД_НР!$G$3:$G$62&amp;".",","&amp;SUBSTITUTE(F636," ","")&amp;",")))*Справочник_ОКВЭД_НР!$L$12) /
 (SUMPRODUCT(ISNUMBER(SEARCH(","&amp;Справочник_ОКВЭД_НР!$A$3:$A$62&amp;".",","&amp;SUBSTITUTE(F636," ","")&amp;","))) +
  SUMPRODUCT(ISNUMBER(SEARCH(","&amp;Справочник_ОКВЭД_НР!$C$3:$C$62&amp;".",","&amp;SUBSTITUTE(F636," ","")&amp;","))) +
  SUMPRODUCT(ISNUMBER(SEARCH(","&amp;Справочник_ОКВЭД_НР!$E$3:$E$62&amp;".",","&amp;SUBSTITUTE(F636," ","")&amp;","))) +
  SUMPRODUCT(ISNUMBER(SEARCH(","&amp;Справочник_ОКВЭД_НР!$G$3:$G$62&amp;".",","&amp;SUBSTITUTE(F636," ","")&amp;",")))),
50)</f>
        <v>50</v>
      </c>
      <c r="K636" s="30">
        <f>IFERROR(VLOOKUP(G636,Справочник_ОКВЭД_НР!$O:$P,2,FALSE()),50)</f>
        <v>50</v>
      </c>
      <c r="L636" s="45">
        <f>(I636*Справочник_ОКВЭД_НР!$L$2+J636*Справочник_ОКВЭД_НР!$L$3+K636*Справочник_ОКВЭД_НР!$L$4)*M636</f>
        <v>80</v>
      </c>
      <c r="M636" s="47">
        <f>IF(COUNTIF(Справочник_ОКВЭД_НР!$G$3:$G$62,H636)&gt;0,0,1)</f>
        <v>1</v>
      </c>
    </row>
    <row r="637" spans="1:13" x14ac:dyDescent="0.25">
      <c r="A637" s="4">
        <f>ЛИК_дляСкорингаДП!A637</f>
        <v>1117746069363</v>
      </c>
      <c r="B637" s="4">
        <f>ЛИК_дляСкорингаДП!B637</f>
        <v>7722738135</v>
      </c>
      <c r="C637" s="4" t="str">
        <f>ЛИК_дляСкорингаДП!C637</f>
        <v>ООО "РЕСТ ОЗ"</v>
      </c>
      <c r="D637" s="5" t="str">
        <f>ЛИК_дляСкорингаДП!M637</f>
        <v>Деятельность ресторанов и услуги по доставке продуктов питания</v>
      </c>
      <c r="E637" s="4" t="str">
        <f>ЛИК_дляСкорингаДП!L637</f>
        <v>56.1</v>
      </c>
      <c r="F637" t="str">
        <f>ЛИК_дляСкорингаДП!N637</f>
        <v>46.17,46.34,46.38,46.76,46.90,47.11,47.21,47.24,47.8,47.9,52.10,52.24,56.10,56.10.1,56.10.3,56.29,56.30,73.20.1,82.99</v>
      </c>
      <c r="G637" s="25" t="str">
        <f>ЛИК_дляСкорингаДП!AG637</f>
        <v>УСН</v>
      </c>
      <c r="H637" s="55" t="str">
        <f>IF(ISNUMBER(E637),E637,
IFERROR(LEFT(E637,FIND(".",E637)-1),E637))</f>
        <v>56</v>
      </c>
      <c r="I637" s="30">
        <f>IF(COUNTIF(Справочник_ОКВЭД_НР!$A$3:$A$62,H637)&gt;0,Справочник_ОКВЭД_НР!$L$8,
 IF(COUNTIF(Справочник_ОКВЭД_НР!$C$3:$C$62,H637)&gt;0,Справочник_ОКВЭД_НР!$L$9,
  IF(COUNTIF(Справочник_ОКВЭД_НР!$E$3:$E$62,H637)&gt;0,Справочник_ОКВЭД_НР!$L$10,
   IF(COUNTIF(Справочник_ОКВЭД_НР!$G$3:$G$62,H637)&gt;0,Справочник_ОКВЭД_НР!$L$11,50))))</f>
        <v>30</v>
      </c>
      <c r="J637" s="30" cm="1">
        <f t="array" ref="J637">IFERROR(
 (SUMPRODUCT(ISNUMBER(SEARCH(","&amp;Справочник_ОКВЭД_НР!$A$3:$A$62&amp;".",","&amp;SUBSTITUTE(F637," ","")&amp;",")))*Справочник_ОКВЭД_НР!$L$9 +
  SUMPRODUCT(ISNUMBER(SEARCH(","&amp;Справочник_ОКВЭД_НР!$C$3:$C$62&amp;".",","&amp;SUBSTITUTE(F637," ","")&amp;",")))*Справочник_ОКВЭД_НР!$L$10 +
  SUMPRODUCT(ISNUMBER(SEARCH(","&amp;Справочник_ОКВЭД_НР!$E$3:$E$62&amp;".",","&amp;SUBSTITUTE(F637," ","")&amp;",")))*Справочник_ОКВЭД_НР!$L$11 +
  SUMPRODUCT(ISNUMBER(SEARCH(","&amp;Справочник_ОКВЭД_НР!$G$3:$G$62&amp;".",","&amp;SUBSTITUTE(F637," ","")&amp;",")))*Справочник_ОКВЭД_НР!$L$12) /
 (SUMPRODUCT(ISNUMBER(SEARCH(","&amp;Справочник_ОКВЭД_НР!$A$3:$A$62&amp;".",","&amp;SUBSTITUTE(F637," ","")&amp;","))) +
  SUMPRODUCT(ISNUMBER(SEARCH(","&amp;Справочник_ОКВЭД_НР!$C$3:$C$62&amp;".",","&amp;SUBSTITUTE(F637," ","")&amp;","))) +
  SUMPRODUCT(ISNUMBER(SEARCH(","&amp;Справочник_ОКВЭД_НР!$E$3:$E$62&amp;".",","&amp;SUBSTITUTE(F637," ","")&amp;","))) +
  SUMPRODUCT(ISNUMBER(SEARCH(","&amp;Справочник_ОКВЭД_НР!$G$3:$G$62&amp;".",","&amp;SUBSTITUTE(F637," ","")&amp;",")))),
50)</f>
        <v>50</v>
      </c>
      <c r="K637" s="30">
        <f>IFERROR(VLOOKUP(G637,Справочник_ОКВЭД_НР!$O:$P,2,FALSE()),50)</f>
        <v>50</v>
      </c>
      <c r="L637" s="45">
        <f>(I637*Справочник_ОКВЭД_НР!$L$2+J637*Справочник_ОКВЭД_НР!$L$3+K637*Справочник_ОКВЭД_НР!$L$4)*M637</f>
        <v>38</v>
      </c>
      <c r="M637" s="47">
        <f>IF(COUNTIF(Справочник_ОКВЭД_НР!$G$3:$G$62,H637)&gt;0,0,1)</f>
        <v>1</v>
      </c>
    </row>
    <row r="638" spans="1:13" x14ac:dyDescent="0.25">
      <c r="A638" s="4">
        <f>ЛИК_дляСкорингаДП!A638</f>
        <v>1025003216578</v>
      </c>
      <c r="B638" s="4">
        <f>ЛИК_дляСкорингаДП!B638</f>
        <v>5027080411</v>
      </c>
      <c r="C638" s="4" t="str">
        <f>ЛИК_дляСкорингаДП!C638</f>
        <v>ООО "ЖЕРМИНАЛЬ"</v>
      </c>
      <c r="D638" s="5" t="str">
        <f>ЛИК_дляСкорингаДП!M638</f>
        <v>Производство парфюмерных и косметических средств</v>
      </c>
      <c r="E638" s="4" t="str">
        <f>ЛИК_дляСкорингаДП!L638</f>
        <v>20.42</v>
      </c>
      <c r="F638" t="str">
        <f>ЛИК_дляСкорингаДП!N638</f>
        <v>20.41,20.41.3,22.22,41.20,46.45.1,46.45.2,46.90,47.19,47.72.1,47.72.2,47.91,47.99,49.41,49.41.2,52.10,52.29,68.10,68.20,74.20,74.30,82.92,82.99</v>
      </c>
      <c r="G638" s="25" t="str">
        <f>ЛИК_дляСкорингаДП!AG638</f>
        <v>УСН</v>
      </c>
      <c r="H638" s="55" t="str">
        <f>IF(ISNUMBER(E638),E638,
IFERROR(LEFT(E638,FIND(".",E638)-1),E638))</f>
        <v>20</v>
      </c>
      <c r="I638" s="30">
        <f>IF(COUNTIF(Справочник_ОКВЭД_НР!$A$3:$A$62,H638)&gt;0,Справочник_ОКВЭД_НР!$L$8,
 IF(COUNTIF(Справочник_ОКВЭД_НР!$C$3:$C$62,H638)&gt;0,Справочник_ОКВЭД_НР!$L$9,
  IF(COUNTIF(Справочник_ОКВЭД_НР!$E$3:$E$62,H638)&gt;0,Справочник_ОКВЭД_НР!$L$10,
   IF(COUNTIF(Справочник_ОКВЭД_НР!$G$3:$G$62,H638)&gt;0,Справочник_ОКВЭД_НР!$L$11,50))))</f>
        <v>60</v>
      </c>
      <c r="J638" s="30" cm="1">
        <f t="array" ref="J638">IFERROR(
 (SUMPRODUCT(ISNUMBER(SEARCH(","&amp;Справочник_ОКВЭД_НР!$A$3:$A$62&amp;".",","&amp;SUBSTITUTE(F638," ","")&amp;",")))*Справочник_ОКВЭД_НР!$L$9 +
  SUMPRODUCT(ISNUMBER(SEARCH(","&amp;Справочник_ОКВЭД_НР!$C$3:$C$62&amp;".",","&amp;SUBSTITUTE(F638," ","")&amp;",")))*Справочник_ОКВЭД_НР!$L$10 +
  SUMPRODUCT(ISNUMBER(SEARCH(","&amp;Справочник_ОКВЭД_НР!$E$3:$E$62&amp;".",","&amp;SUBSTITUTE(F638," ","")&amp;",")))*Справочник_ОКВЭД_НР!$L$11 +
  SUMPRODUCT(ISNUMBER(SEARCH(","&amp;Справочник_ОКВЭД_НР!$G$3:$G$62&amp;".",","&amp;SUBSTITUTE(F638," ","")&amp;",")))*Справочник_ОКВЭД_НР!$L$12) /
 (SUMPRODUCT(ISNUMBER(SEARCH(","&amp;Справочник_ОКВЭД_НР!$A$3:$A$62&amp;".",","&amp;SUBSTITUTE(F638," ","")&amp;","))) +
  SUMPRODUCT(ISNUMBER(SEARCH(","&amp;Справочник_ОКВЭД_НР!$C$3:$C$62&amp;".",","&amp;SUBSTITUTE(F638," ","")&amp;","))) +
  SUMPRODUCT(ISNUMBER(SEARCH(","&amp;Справочник_ОКВЭД_НР!$E$3:$E$62&amp;".",","&amp;SUBSTITUTE(F638," ","")&amp;","))) +
  SUMPRODUCT(ISNUMBER(SEARCH(","&amp;Справочник_ОКВЭД_НР!$G$3:$G$62&amp;".",","&amp;SUBSTITUTE(F638," ","")&amp;",")))),
50)</f>
        <v>50</v>
      </c>
      <c r="K638" s="30">
        <f>IFERROR(VLOOKUP(G638,Справочник_ОКВЭД_НР!$O:$P,2,FALSE()),50)</f>
        <v>50</v>
      </c>
      <c r="L638" s="45">
        <f>(I638*Справочник_ОКВЭД_НР!$L$2+J638*Справочник_ОКВЭД_НР!$L$3+K638*Справочник_ОКВЭД_НР!$L$4)*M638</f>
        <v>56</v>
      </c>
      <c r="M638" s="47">
        <f>IF(COUNTIF(Справочник_ОКВЭД_НР!$G$3:$G$62,H638)&gt;0,0,1)</f>
        <v>1</v>
      </c>
    </row>
    <row r="639" spans="1:13" x14ac:dyDescent="0.25">
      <c r="A639" s="4">
        <f>ЛИК_дляСкорингаДП!A639</f>
        <v>1055006316573</v>
      </c>
      <c r="B639" s="4">
        <f>ЛИК_дляСкорингаДП!B639</f>
        <v>5032128443</v>
      </c>
      <c r="C639" s="4" t="str">
        <f>ЛИК_дляСкорингаДП!C639</f>
        <v>ООО "ДЕНТА ПРАЙМ"</v>
      </c>
      <c r="D639" s="5" t="str">
        <f>ЛИК_дляСкорингаДП!M639</f>
        <v>Стоматологическая практика</v>
      </c>
      <c r="E639" s="4" t="str">
        <f>ЛИК_дляСкорингаДП!L639</f>
        <v>86.23</v>
      </c>
      <c r="F639" t="str">
        <f>ЛИК_дляСкорингаДП!N639</f>
        <v>86.21,86.90.9,86.90.9,86.90.9,86.90.9</v>
      </c>
      <c r="G639" s="25" t="str">
        <f>ЛИК_дляСкорингаДП!AG639</f>
        <v>УСН</v>
      </c>
      <c r="H639" s="55" t="str">
        <f>IF(ISNUMBER(E639),E639,
IFERROR(LEFT(E639,FIND(".",E639)-1),E639))</f>
        <v>86</v>
      </c>
      <c r="I639" s="30">
        <f>IF(COUNTIF(Справочник_ОКВЭД_НР!$A$3:$A$62,H639)&gt;0,Справочник_ОКВЭД_НР!$L$8,
 IF(COUNTIF(Справочник_ОКВЭД_НР!$C$3:$C$62,H639)&gt;0,Справочник_ОКВЭД_НР!$L$9,
  IF(COUNTIF(Справочник_ОКВЭД_НР!$E$3:$E$62,H639)&gt;0,Справочник_ОКВЭД_НР!$L$10,
   IF(COUNTIF(Справочник_ОКВЭД_НР!$G$3:$G$62,H639)&gt;0,Справочник_ОКВЭД_НР!$L$11,50))))</f>
        <v>100</v>
      </c>
      <c r="J639" s="30" cm="1">
        <f t="array" ref="J639">IFERROR(
 (SUMPRODUCT(ISNUMBER(SEARCH(","&amp;Справочник_ОКВЭД_НР!$A$3:$A$62&amp;".",","&amp;SUBSTITUTE(F639," ","")&amp;",")))*Справочник_ОКВЭД_НР!$L$9 +
  SUMPRODUCT(ISNUMBER(SEARCH(","&amp;Справочник_ОКВЭД_НР!$C$3:$C$62&amp;".",","&amp;SUBSTITUTE(F639," ","")&amp;",")))*Справочник_ОКВЭД_НР!$L$10 +
  SUMPRODUCT(ISNUMBER(SEARCH(","&amp;Справочник_ОКВЭД_НР!$E$3:$E$62&amp;".",","&amp;SUBSTITUTE(F639," ","")&amp;",")))*Справочник_ОКВЭД_НР!$L$11 +
  SUMPRODUCT(ISNUMBER(SEARCH(","&amp;Справочник_ОКВЭД_НР!$G$3:$G$62&amp;".",","&amp;SUBSTITUTE(F639," ","")&amp;",")))*Справочник_ОКВЭД_НР!$L$12) /
 (SUMPRODUCT(ISNUMBER(SEARCH(","&amp;Справочник_ОКВЭД_НР!$A$3:$A$62&amp;".",","&amp;SUBSTITUTE(F639," ","")&amp;","))) +
  SUMPRODUCT(ISNUMBER(SEARCH(","&amp;Справочник_ОКВЭД_НР!$C$3:$C$62&amp;".",","&amp;SUBSTITUTE(F639," ","")&amp;","))) +
  SUMPRODUCT(ISNUMBER(SEARCH(","&amp;Справочник_ОКВЭД_НР!$E$3:$E$62&amp;".",","&amp;SUBSTITUTE(F639," ","")&amp;","))) +
  SUMPRODUCT(ISNUMBER(SEARCH(","&amp;Справочник_ОКВЭД_НР!$G$3:$G$62&amp;".",","&amp;SUBSTITUTE(F639," ","")&amp;",")))),
50)</f>
        <v>50</v>
      </c>
      <c r="K639" s="30">
        <f>IFERROR(VLOOKUP(G639,Справочник_ОКВЭД_НР!$O:$P,2,FALSE()),50)</f>
        <v>50</v>
      </c>
      <c r="L639" s="45">
        <f>(I639*Справочник_ОКВЭД_НР!$L$2+J639*Справочник_ОКВЭД_НР!$L$3+K639*Справочник_ОКВЭД_НР!$L$4)*M639</f>
        <v>80</v>
      </c>
      <c r="M639" s="47">
        <f>IF(COUNTIF(Справочник_ОКВЭД_НР!$G$3:$G$62,H639)&gt;0,0,1)</f>
        <v>1</v>
      </c>
    </row>
    <row r="640" spans="1:13" x14ac:dyDescent="0.25">
      <c r="A640" s="4">
        <f>ЛИК_дляСкорингаДП!A640</f>
        <v>1075047005395</v>
      </c>
      <c r="B640" s="4">
        <f>ЛИК_дляСкорингаДП!B640</f>
        <v>5008043630</v>
      </c>
      <c r="C640" s="4" t="str">
        <f>ЛИК_дляСкорингаДП!C640</f>
        <v>ООО "ФАРТ"</v>
      </c>
      <c r="D640" s="5" t="str">
        <f>ЛИК_дляСкорингаДП!M640</f>
        <v>Деятельность ресторанов и услуги по доставке продуктов питания</v>
      </c>
      <c r="E640" s="4" t="str">
        <f>ЛИК_дляСкорингаДП!L640</f>
        <v>56.10</v>
      </c>
      <c r="F640" t="str">
        <f>ЛИК_дляСкорингаДП!N640</f>
        <v>47.11,47.19,47.21,47.22,47.23,47.24,47.25,47.26,47.29,56.29,56.30</v>
      </c>
      <c r="G640" s="25" t="str">
        <f>ЛИК_дляСкорингаДП!AG640</f>
        <v>УСН</v>
      </c>
      <c r="H640" s="55" t="str">
        <f>IF(ISNUMBER(E640),E640,
IFERROR(LEFT(E640,FIND(".",E640)-1),E640))</f>
        <v>56</v>
      </c>
      <c r="I640" s="30">
        <f>IF(COUNTIF(Справочник_ОКВЭД_НР!$A$3:$A$62,H640)&gt;0,Справочник_ОКВЭД_НР!$L$8,
 IF(COUNTIF(Справочник_ОКВЭД_НР!$C$3:$C$62,H640)&gt;0,Справочник_ОКВЭД_НР!$L$9,
  IF(COUNTIF(Справочник_ОКВЭД_НР!$E$3:$E$62,H640)&gt;0,Справочник_ОКВЭД_НР!$L$10,
   IF(COUNTIF(Справочник_ОКВЭД_НР!$G$3:$G$62,H640)&gt;0,Справочник_ОКВЭД_НР!$L$11,50))))</f>
        <v>30</v>
      </c>
      <c r="J640" s="30" cm="1">
        <f t="array" ref="J640">IFERROR(
 (SUMPRODUCT(ISNUMBER(SEARCH(","&amp;Справочник_ОКВЭД_НР!$A$3:$A$62&amp;".",","&amp;SUBSTITUTE(F640," ","")&amp;",")))*Справочник_ОКВЭД_НР!$L$9 +
  SUMPRODUCT(ISNUMBER(SEARCH(","&amp;Справочник_ОКВЭД_НР!$C$3:$C$62&amp;".",","&amp;SUBSTITUTE(F640," ","")&amp;",")))*Справочник_ОКВЭД_НР!$L$10 +
  SUMPRODUCT(ISNUMBER(SEARCH(","&amp;Справочник_ОКВЭД_НР!$E$3:$E$62&amp;".",","&amp;SUBSTITUTE(F640," ","")&amp;",")))*Справочник_ОКВЭД_НР!$L$11 +
  SUMPRODUCT(ISNUMBER(SEARCH(","&amp;Справочник_ОКВЭД_НР!$G$3:$G$62&amp;".",","&amp;SUBSTITUTE(F640," ","")&amp;",")))*Справочник_ОКВЭД_НР!$L$12) /
 (SUMPRODUCT(ISNUMBER(SEARCH(","&amp;Справочник_ОКВЭД_НР!$A$3:$A$62&amp;".",","&amp;SUBSTITUTE(F640," ","")&amp;","))) +
  SUMPRODUCT(ISNUMBER(SEARCH(","&amp;Справочник_ОКВЭД_НР!$C$3:$C$62&amp;".",","&amp;SUBSTITUTE(F640," ","")&amp;","))) +
  SUMPRODUCT(ISNUMBER(SEARCH(","&amp;Справочник_ОКВЭД_НР!$E$3:$E$62&amp;".",","&amp;SUBSTITUTE(F640," ","")&amp;","))) +
  SUMPRODUCT(ISNUMBER(SEARCH(","&amp;Справочник_ОКВЭД_НР!$G$3:$G$62&amp;".",","&amp;SUBSTITUTE(F640," ","")&amp;",")))),
50)</f>
        <v>50</v>
      </c>
      <c r="K640" s="30">
        <f>IFERROR(VLOOKUP(G640,Справочник_ОКВЭД_НР!$O:$P,2,FALSE()),50)</f>
        <v>50</v>
      </c>
      <c r="L640" s="45">
        <f>(I640*Справочник_ОКВЭД_НР!$L$2+J640*Справочник_ОКВЭД_НР!$L$3+K640*Справочник_ОКВЭД_НР!$L$4)*M640</f>
        <v>38</v>
      </c>
      <c r="M640" s="47">
        <f>IF(COUNTIF(Справочник_ОКВЭД_НР!$G$3:$G$62,H640)&gt;0,0,1)</f>
        <v>1</v>
      </c>
    </row>
    <row r="641" spans="1:13" x14ac:dyDescent="0.25">
      <c r="A641" s="4">
        <f>ЛИК_дляСкорингаДП!A641</f>
        <v>1117746483139</v>
      </c>
      <c r="B641" s="4">
        <f>ЛИК_дляСкорингаДП!B641</f>
        <v>7703746420</v>
      </c>
      <c r="C641" s="4" t="str">
        <f>ЛИК_дляСкорингаДП!C641</f>
        <v>ООО "ДАНТИСТ24"</v>
      </c>
      <c r="D641" s="5" t="str">
        <f>ЛИК_дляСкорингаДП!M641</f>
        <v>Стоматологическая практика</v>
      </c>
      <c r="E641" s="4" t="str">
        <f>ЛИК_дляСкорингаДП!L641</f>
        <v>86.23</v>
      </c>
      <c r="F641" t="str">
        <f>ЛИК_дляСкорингаДП!N641</f>
        <v>20.5,26.60.1,47.73,47.74,86.90.9</v>
      </c>
      <c r="G641" s="25" t="str">
        <f>ЛИК_дляСкорингаДП!AG641</f>
        <v>УСН</v>
      </c>
      <c r="H641" s="55" t="str">
        <f>IF(ISNUMBER(E641),E641,
IFERROR(LEFT(E641,FIND(".",E641)-1),E641))</f>
        <v>86</v>
      </c>
      <c r="I641" s="30">
        <f>IF(COUNTIF(Справочник_ОКВЭД_НР!$A$3:$A$62,H641)&gt;0,Справочник_ОКВЭД_НР!$L$8,
 IF(COUNTIF(Справочник_ОКВЭД_НР!$C$3:$C$62,H641)&gt;0,Справочник_ОКВЭД_НР!$L$9,
  IF(COUNTIF(Справочник_ОКВЭД_НР!$E$3:$E$62,H641)&gt;0,Справочник_ОКВЭД_НР!$L$10,
   IF(COUNTIF(Справочник_ОКВЭД_НР!$G$3:$G$62,H641)&gt;0,Справочник_ОКВЭД_НР!$L$11,50))))</f>
        <v>100</v>
      </c>
      <c r="J641" s="30" cm="1">
        <f t="array" ref="J641">IFERROR(
 (SUMPRODUCT(ISNUMBER(SEARCH(","&amp;Справочник_ОКВЭД_НР!$A$3:$A$62&amp;".",","&amp;SUBSTITUTE(F641," ","")&amp;",")))*Справочник_ОКВЭД_НР!$L$9 +
  SUMPRODUCT(ISNUMBER(SEARCH(","&amp;Справочник_ОКВЭД_НР!$C$3:$C$62&amp;".",","&amp;SUBSTITUTE(F641," ","")&amp;",")))*Справочник_ОКВЭД_НР!$L$10 +
  SUMPRODUCT(ISNUMBER(SEARCH(","&amp;Справочник_ОКВЭД_НР!$E$3:$E$62&amp;".",","&amp;SUBSTITUTE(F641," ","")&amp;",")))*Справочник_ОКВЭД_НР!$L$11 +
  SUMPRODUCT(ISNUMBER(SEARCH(","&amp;Справочник_ОКВЭД_НР!$G$3:$G$62&amp;".",","&amp;SUBSTITUTE(F641," ","")&amp;",")))*Справочник_ОКВЭД_НР!$L$12) /
 (SUMPRODUCT(ISNUMBER(SEARCH(","&amp;Справочник_ОКВЭД_НР!$A$3:$A$62&amp;".",","&amp;SUBSTITUTE(F641," ","")&amp;","))) +
  SUMPRODUCT(ISNUMBER(SEARCH(","&amp;Справочник_ОКВЭД_НР!$C$3:$C$62&amp;".",","&amp;SUBSTITUTE(F641," ","")&amp;","))) +
  SUMPRODUCT(ISNUMBER(SEARCH(","&amp;Справочник_ОКВЭД_НР!$E$3:$E$62&amp;".",","&amp;SUBSTITUTE(F641," ","")&amp;","))) +
  SUMPRODUCT(ISNUMBER(SEARCH(","&amp;Справочник_ОКВЭД_НР!$G$3:$G$62&amp;".",","&amp;SUBSTITUTE(F641," ","")&amp;",")))),
50)</f>
        <v>50</v>
      </c>
      <c r="K641" s="30">
        <f>IFERROR(VLOOKUP(G641,Справочник_ОКВЭД_НР!$O:$P,2,FALSE()),50)</f>
        <v>50</v>
      </c>
      <c r="L641" s="45">
        <f>(I641*Справочник_ОКВЭД_НР!$L$2+J641*Справочник_ОКВЭД_НР!$L$3+K641*Справочник_ОКВЭД_НР!$L$4)*M641</f>
        <v>80</v>
      </c>
      <c r="M641" s="47">
        <f>IF(COUNTIF(Справочник_ОКВЭД_НР!$G$3:$G$62,H641)&gt;0,0,1)</f>
        <v>1</v>
      </c>
    </row>
    <row r="642" spans="1:13" x14ac:dyDescent="0.25">
      <c r="A642" s="4">
        <f>ЛИК_дляСкорингаДП!A642</f>
        <v>1055007503088</v>
      </c>
      <c r="B642" s="4">
        <f>ЛИК_дляСкорингаДП!B642</f>
        <v>5040064715</v>
      </c>
      <c r="C642" s="4" t="str">
        <f>ЛИК_дляСкорингаДП!C642</f>
        <v>ООО "ЭВЕРЕСТ"</v>
      </c>
      <c r="D642" s="5" t="str">
        <f>ЛИК_дляСкорингаДП!M642</f>
        <v>Разборка и снос зданий</v>
      </c>
      <c r="E642" s="4" t="str">
        <f>ЛИК_дляСкорингаДП!L642</f>
        <v>43.11</v>
      </c>
      <c r="F642" t="str">
        <f>ЛИК_дляСкорингаДП!N642</f>
        <v>01.61,41.20,42.11,42.12,42.99,43.12.3,43.39,43.91,43.99.7,47.1,47.19,47.29,47.29.3,47.5,47.52.7,47.65,47.7,47.71,47.71.1,47.71.5,47.72,47.72.1,47.75,47.75.1,47.75.2,47.76.1,47.78.3,47.78.4,47.78.9,47.79,47.8,47.9,47.99,68.3,69,70.22,71.11</v>
      </c>
      <c r="G642" s="25" t="str">
        <f>ЛИК_дляСкорингаДП!AG642</f>
        <v>УСН</v>
      </c>
      <c r="H642" s="55" t="str">
        <f>IF(ISNUMBER(E642),E642,
IFERROR(LEFT(E642,FIND(".",E642)-1),E642))</f>
        <v>43</v>
      </c>
      <c r="I642" s="30">
        <f>IF(COUNTIF(Справочник_ОКВЭД_НР!$A$3:$A$62,H642)&gt;0,Справочник_ОКВЭД_НР!$L$8,
 IF(COUNTIF(Справочник_ОКВЭД_НР!$C$3:$C$62,H642)&gt;0,Справочник_ОКВЭД_НР!$L$9,
  IF(COUNTIF(Справочник_ОКВЭД_НР!$E$3:$E$62,H642)&gt;0,Справочник_ОКВЭД_НР!$L$10,
   IF(COUNTIF(Справочник_ОКВЭД_НР!$G$3:$G$62,H642)&gt;0,Справочник_ОКВЭД_НР!$L$11,50))))</f>
        <v>100</v>
      </c>
      <c r="J642" s="30" cm="1">
        <f t="array" ref="J642">IFERROR(
 (SUMPRODUCT(ISNUMBER(SEARCH(","&amp;Справочник_ОКВЭД_НР!$A$3:$A$62&amp;".",","&amp;SUBSTITUTE(F642," ","")&amp;",")))*Справочник_ОКВЭД_НР!$L$9 +
  SUMPRODUCT(ISNUMBER(SEARCH(","&amp;Справочник_ОКВЭД_НР!$C$3:$C$62&amp;".",","&amp;SUBSTITUTE(F642," ","")&amp;",")))*Справочник_ОКВЭД_НР!$L$10 +
  SUMPRODUCT(ISNUMBER(SEARCH(","&amp;Справочник_ОКВЭД_НР!$E$3:$E$62&amp;".",","&amp;SUBSTITUTE(F642," ","")&amp;",")))*Справочник_ОКВЭД_НР!$L$11 +
  SUMPRODUCT(ISNUMBER(SEARCH(","&amp;Справочник_ОКВЭД_НР!$G$3:$G$62&amp;".",","&amp;SUBSTITUTE(F642," ","")&amp;",")))*Справочник_ОКВЭД_НР!$L$12) /
 (SUMPRODUCT(ISNUMBER(SEARCH(","&amp;Справочник_ОКВЭД_НР!$A$3:$A$62&amp;".",","&amp;SUBSTITUTE(F642," ","")&amp;","))) +
  SUMPRODUCT(ISNUMBER(SEARCH(","&amp;Справочник_ОКВЭД_НР!$C$3:$C$62&amp;".",","&amp;SUBSTITUTE(F642," ","")&amp;","))) +
  SUMPRODUCT(ISNUMBER(SEARCH(","&amp;Справочник_ОКВЭД_НР!$E$3:$E$62&amp;".",","&amp;SUBSTITUTE(F642," ","")&amp;","))) +
  SUMPRODUCT(ISNUMBER(SEARCH(","&amp;Справочник_ОКВЭД_НР!$G$3:$G$62&amp;".",","&amp;SUBSTITUTE(F642," ","")&amp;",")))),
50)</f>
        <v>50</v>
      </c>
      <c r="K642" s="30">
        <f>IFERROR(VLOOKUP(G642,Справочник_ОКВЭД_НР!$O:$P,2,FALSE()),50)</f>
        <v>50</v>
      </c>
      <c r="L642" s="45">
        <f>(I642*Справочник_ОКВЭД_НР!$L$2+J642*Справочник_ОКВЭД_НР!$L$3+K642*Справочник_ОКВЭД_НР!$L$4)*M642</f>
        <v>80</v>
      </c>
      <c r="M642" s="47">
        <f>IF(COUNTIF(Справочник_ОКВЭД_НР!$G$3:$G$62,H642)&gt;0,0,1)</f>
        <v>1</v>
      </c>
    </row>
    <row r="643" spans="1:13" x14ac:dyDescent="0.25">
      <c r="A643" s="4">
        <f>ЛИК_дляСкорингаДП!A643</f>
        <v>1175022006642</v>
      </c>
      <c r="B643" s="4">
        <f>ЛИК_дляСкорингаДП!B643</f>
        <v>5022054023</v>
      </c>
      <c r="C643" s="4" t="str">
        <f>ЛИК_дляСкорингаДП!C643</f>
        <v>ООО "КВИКХЕНДС"</v>
      </c>
      <c r="D643" s="5" t="str">
        <f>ЛИК_дляСкорингаДП!M643</f>
        <v>Деятельность центров обработки телефонных вызовов</v>
      </c>
      <c r="E643" s="4" t="str">
        <f>ЛИК_дляСкорингаДП!L643</f>
        <v>82.20</v>
      </c>
      <c r="F643" t="str">
        <f>ЛИК_дляСкорингаДП!N643</f>
        <v>52.10,52.10.9,63.99.1,82.92,82.99</v>
      </c>
      <c r="G643" s="25" t="str">
        <f>ЛИК_дляСкорингаДП!AG643</f>
        <v>УСН</v>
      </c>
      <c r="H643" s="55" t="str">
        <f>IF(ISNUMBER(E643),E643,
IFERROR(LEFT(E643,FIND(".",E643)-1),E643))</f>
        <v>82</v>
      </c>
      <c r="I643" s="30">
        <f>IF(COUNTIF(Справочник_ОКВЭД_НР!$A$3:$A$62,H643)&gt;0,Справочник_ОКВЭД_НР!$L$8,
 IF(COUNTIF(Справочник_ОКВЭД_НР!$C$3:$C$62,H643)&gt;0,Справочник_ОКВЭД_НР!$L$9,
  IF(COUNTIF(Справочник_ОКВЭД_НР!$E$3:$E$62,H643)&gt;0,Справочник_ОКВЭД_НР!$L$10,
   IF(COUNTIF(Справочник_ОКВЭД_НР!$G$3:$G$62,H643)&gt;0,Справочник_ОКВЭД_НР!$L$11,50))))</f>
        <v>30</v>
      </c>
      <c r="J643" s="30" cm="1">
        <f t="array" ref="J643">IFERROR(
 (SUMPRODUCT(ISNUMBER(SEARCH(","&amp;Справочник_ОКВЭД_НР!$A$3:$A$62&amp;".",","&amp;SUBSTITUTE(F643," ","")&amp;",")))*Справочник_ОКВЭД_НР!$L$9 +
  SUMPRODUCT(ISNUMBER(SEARCH(","&amp;Справочник_ОКВЭД_НР!$C$3:$C$62&amp;".",","&amp;SUBSTITUTE(F643," ","")&amp;",")))*Справочник_ОКВЭД_НР!$L$10 +
  SUMPRODUCT(ISNUMBER(SEARCH(","&amp;Справочник_ОКВЭД_НР!$E$3:$E$62&amp;".",","&amp;SUBSTITUTE(F643," ","")&amp;",")))*Справочник_ОКВЭД_НР!$L$11 +
  SUMPRODUCT(ISNUMBER(SEARCH(","&amp;Справочник_ОКВЭД_НР!$G$3:$G$62&amp;".",","&amp;SUBSTITUTE(F643," ","")&amp;",")))*Справочник_ОКВЭД_НР!$L$12) /
 (SUMPRODUCT(ISNUMBER(SEARCH(","&amp;Справочник_ОКВЭД_НР!$A$3:$A$62&amp;".",","&amp;SUBSTITUTE(F643," ","")&amp;","))) +
  SUMPRODUCT(ISNUMBER(SEARCH(","&amp;Справочник_ОКВЭД_НР!$C$3:$C$62&amp;".",","&amp;SUBSTITUTE(F643," ","")&amp;","))) +
  SUMPRODUCT(ISNUMBER(SEARCH(","&amp;Справочник_ОКВЭД_НР!$E$3:$E$62&amp;".",","&amp;SUBSTITUTE(F643," ","")&amp;","))) +
  SUMPRODUCT(ISNUMBER(SEARCH(","&amp;Справочник_ОКВЭД_НР!$G$3:$G$62&amp;".",","&amp;SUBSTITUTE(F643," ","")&amp;",")))),
50)</f>
        <v>50</v>
      </c>
      <c r="K643" s="30">
        <f>IFERROR(VLOOKUP(G643,Справочник_ОКВЭД_НР!$O:$P,2,FALSE()),50)</f>
        <v>50</v>
      </c>
      <c r="L643" s="45">
        <f>(I643*Справочник_ОКВЭД_НР!$L$2+J643*Справочник_ОКВЭД_НР!$L$3+K643*Справочник_ОКВЭД_НР!$L$4)*M643</f>
        <v>38</v>
      </c>
      <c r="M643" s="47">
        <f>IF(COUNTIF(Справочник_ОКВЭД_НР!$G$3:$G$62,H643)&gt;0,0,1)</f>
        <v>1</v>
      </c>
    </row>
    <row r="644" spans="1:13" x14ac:dyDescent="0.25">
      <c r="A644" s="4">
        <f>ЛИК_дляСкорингаДП!A644</f>
        <v>1055007504925</v>
      </c>
      <c r="B644" s="4">
        <f>ЛИК_дляСкорингаДП!B644</f>
        <v>5040064987</v>
      </c>
      <c r="C644" s="4" t="str">
        <f>ЛИК_дляСкорингаДП!C644</f>
        <v>ООО "ВИКТОРИЯ+"</v>
      </c>
      <c r="D644" s="5" t="str">
        <f>ЛИК_дляСкорингаДП!M644</f>
        <v>Аренда и управление собственным или арендованным нежилым недвижимым имуществом</v>
      </c>
      <c r="E644" s="4" t="str">
        <f>ЛИК_дляСкорингаДП!L644</f>
        <v>68.20.2</v>
      </c>
      <c r="F644" t="str">
        <f>ЛИК_дляСкорингаДП!N644</f>
        <v>41.20,45.20,45.3,46.16,47.51,52.29</v>
      </c>
      <c r="G644" s="25" t="str">
        <f>ЛИК_дляСкорингаДП!AG644</f>
        <v>УСН</v>
      </c>
      <c r="H644" s="55" t="str">
        <f>IF(ISNUMBER(E644),E644,
IFERROR(LEFT(E644,FIND(".",E644)-1),E644))</f>
        <v>68</v>
      </c>
      <c r="I644" s="30">
        <f>IF(COUNTIF(Справочник_ОКВЭД_НР!$A$3:$A$62,H644)&gt;0,Справочник_ОКВЭД_НР!$L$8,
 IF(COUNTIF(Справочник_ОКВЭД_НР!$C$3:$C$62,H644)&gt;0,Справочник_ОКВЭД_НР!$L$9,
  IF(COUNTIF(Справочник_ОКВЭД_НР!$E$3:$E$62,H644)&gt;0,Справочник_ОКВЭД_НР!$L$10,
   IF(COUNTIF(Справочник_ОКВЭД_НР!$G$3:$G$62,H644)&gt;0,Справочник_ОКВЭД_НР!$L$11,50))))</f>
        <v>100</v>
      </c>
      <c r="J644" s="30" cm="1">
        <f t="array" ref="J644">IFERROR(
 (SUMPRODUCT(ISNUMBER(SEARCH(","&amp;Справочник_ОКВЭД_НР!$A$3:$A$62&amp;".",","&amp;SUBSTITUTE(F644," ","")&amp;",")))*Справочник_ОКВЭД_НР!$L$9 +
  SUMPRODUCT(ISNUMBER(SEARCH(","&amp;Справочник_ОКВЭД_НР!$C$3:$C$62&amp;".",","&amp;SUBSTITUTE(F644," ","")&amp;",")))*Справочник_ОКВЭД_НР!$L$10 +
  SUMPRODUCT(ISNUMBER(SEARCH(","&amp;Справочник_ОКВЭД_НР!$E$3:$E$62&amp;".",","&amp;SUBSTITUTE(F644," ","")&amp;",")))*Справочник_ОКВЭД_НР!$L$11 +
  SUMPRODUCT(ISNUMBER(SEARCH(","&amp;Справочник_ОКВЭД_НР!$G$3:$G$62&amp;".",","&amp;SUBSTITUTE(F644," ","")&amp;",")))*Справочник_ОКВЭД_НР!$L$12) /
 (SUMPRODUCT(ISNUMBER(SEARCH(","&amp;Справочник_ОКВЭД_НР!$A$3:$A$62&amp;".",","&amp;SUBSTITUTE(F644," ","")&amp;","))) +
  SUMPRODUCT(ISNUMBER(SEARCH(","&amp;Справочник_ОКВЭД_НР!$C$3:$C$62&amp;".",","&amp;SUBSTITUTE(F644," ","")&amp;","))) +
  SUMPRODUCT(ISNUMBER(SEARCH(","&amp;Справочник_ОКВЭД_НР!$E$3:$E$62&amp;".",","&amp;SUBSTITUTE(F644," ","")&amp;","))) +
  SUMPRODUCT(ISNUMBER(SEARCH(","&amp;Справочник_ОКВЭД_НР!$G$3:$G$62&amp;".",","&amp;SUBSTITUTE(F644," ","")&amp;",")))),
50)</f>
        <v>50</v>
      </c>
      <c r="K644" s="30">
        <f>IFERROR(VLOOKUP(G644,Справочник_ОКВЭД_НР!$O:$P,2,FALSE()),50)</f>
        <v>50</v>
      </c>
      <c r="L644" s="45">
        <f>(I644*Справочник_ОКВЭД_НР!$L$2+J644*Справочник_ОКВЭД_НР!$L$3+K644*Справочник_ОКВЭД_НР!$L$4)*M644</f>
        <v>80</v>
      </c>
      <c r="M644" s="47">
        <f>IF(COUNTIF(Справочник_ОКВЭД_НР!$G$3:$G$62,H644)&gt;0,0,1)</f>
        <v>1</v>
      </c>
    </row>
    <row r="645" spans="1:13" x14ac:dyDescent="0.25">
      <c r="A645" s="4">
        <f>ЛИК_дляСкорингаДП!A645</f>
        <v>1055000531310</v>
      </c>
      <c r="B645" s="4">
        <f>ЛИК_дляСкорингаДП!B645</f>
        <v>5001054664</v>
      </c>
      <c r="C645" s="4" t="str">
        <f>ЛИК_дляСкорингаДП!C645</f>
        <v>ООО "ЗАРЯ - МЕБЕЛЬ"</v>
      </c>
      <c r="D645" s="5" t="str">
        <f>ЛИК_дляСкорингаДП!M645</f>
        <v>Производство мебели</v>
      </c>
      <c r="E645" s="4" t="str">
        <f>ЛИК_дляСкорингаДП!L645</f>
        <v>31.0</v>
      </c>
      <c r="F645" t="str">
        <f>ЛИК_дляСкорингаДП!N645</f>
        <v>16.10,16.10.3,16.10.9,16.21,16.21.22,16.23,16.23.2,16.24,31.01,31.01,31.02,31.09,46.47.1,46.65,47.59,47.59.1,47.59.1,47.59.4,47.99,49.41.1,49.41.2,49.41.3,52.21.2,52.24.2</v>
      </c>
      <c r="G645" s="25" t="str">
        <f>ЛИК_дляСкорингаДП!AG645</f>
        <v>УСН</v>
      </c>
      <c r="H645" s="55" t="str">
        <f>IF(ISNUMBER(E645),E645,
IFERROR(LEFT(E645,FIND(".",E645)-1),E645))</f>
        <v>31</v>
      </c>
      <c r="I645" s="30">
        <f>IF(COUNTIF(Справочник_ОКВЭД_НР!$A$3:$A$62,H645)&gt;0,Справочник_ОКВЭД_НР!$L$8,
 IF(COUNTIF(Справочник_ОКВЭД_НР!$C$3:$C$62,H645)&gt;0,Справочник_ОКВЭД_НР!$L$9,
  IF(COUNTIF(Справочник_ОКВЭД_НР!$E$3:$E$62,H645)&gt;0,Справочник_ОКВЭД_НР!$L$10,
   IF(COUNTIF(Справочник_ОКВЭД_НР!$G$3:$G$62,H645)&gt;0,Справочник_ОКВЭД_НР!$L$11,50))))</f>
        <v>30</v>
      </c>
      <c r="J645" s="30" cm="1">
        <f t="array" ref="J645">IFERROR(
 (SUMPRODUCT(ISNUMBER(SEARCH(","&amp;Справочник_ОКВЭД_НР!$A$3:$A$62&amp;".",","&amp;SUBSTITUTE(F645," ","")&amp;",")))*Справочник_ОКВЭД_НР!$L$9 +
  SUMPRODUCT(ISNUMBER(SEARCH(","&amp;Справочник_ОКВЭД_НР!$C$3:$C$62&amp;".",","&amp;SUBSTITUTE(F645," ","")&amp;",")))*Справочник_ОКВЭД_НР!$L$10 +
  SUMPRODUCT(ISNUMBER(SEARCH(","&amp;Справочник_ОКВЭД_НР!$E$3:$E$62&amp;".",","&amp;SUBSTITUTE(F645," ","")&amp;",")))*Справочник_ОКВЭД_НР!$L$11 +
  SUMPRODUCT(ISNUMBER(SEARCH(","&amp;Справочник_ОКВЭД_НР!$G$3:$G$62&amp;".",","&amp;SUBSTITUTE(F645," ","")&amp;",")))*Справочник_ОКВЭД_НР!$L$12) /
 (SUMPRODUCT(ISNUMBER(SEARCH(","&amp;Справочник_ОКВЭД_НР!$A$3:$A$62&amp;".",","&amp;SUBSTITUTE(F645," ","")&amp;","))) +
  SUMPRODUCT(ISNUMBER(SEARCH(","&amp;Справочник_ОКВЭД_НР!$C$3:$C$62&amp;".",","&amp;SUBSTITUTE(F645," ","")&amp;","))) +
  SUMPRODUCT(ISNUMBER(SEARCH(","&amp;Справочник_ОКВЭД_НР!$E$3:$E$62&amp;".",","&amp;SUBSTITUTE(F645," ","")&amp;","))) +
  SUMPRODUCT(ISNUMBER(SEARCH(","&amp;Справочник_ОКВЭД_НР!$G$3:$G$62&amp;".",","&amp;SUBSTITUTE(F645," ","")&amp;",")))),
50)</f>
        <v>50</v>
      </c>
      <c r="K645" s="30">
        <f>IFERROR(VLOOKUP(G645,Справочник_ОКВЭД_НР!$O:$P,2,FALSE()),50)</f>
        <v>50</v>
      </c>
      <c r="L645" s="45">
        <f>(I645*Справочник_ОКВЭД_НР!$L$2+J645*Справочник_ОКВЭД_НР!$L$3+K645*Справочник_ОКВЭД_НР!$L$4)*M645</f>
        <v>38</v>
      </c>
      <c r="M645" s="47">
        <f>IF(COUNTIF(Справочник_ОКВЭД_НР!$G$3:$G$62,H645)&gt;0,0,1)</f>
        <v>1</v>
      </c>
    </row>
    <row r="646" spans="1:13" x14ac:dyDescent="0.25">
      <c r="A646" s="4">
        <f>ЛИК_дляСкорингаДП!A646</f>
        <v>1025003523621</v>
      </c>
      <c r="B646" s="4">
        <f>ЛИК_дляСкорингаДП!B646</f>
        <v>7707113361</v>
      </c>
      <c r="C646" s="4" t="str">
        <f>ЛИК_дляСкорингаДП!C646</f>
        <v>ООО "САВАР"</v>
      </c>
      <c r="D646" s="5" t="str">
        <f>ЛИК_дляСкорингаДП!M646</f>
        <v>Аренда и управление собственным или арендованным недвижимым имуществом</v>
      </c>
      <c r="E646" s="4" t="str">
        <f>ЛИК_дляСкорингаДП!L646</f>
        <v>68.20</v>
      </c>
      <c r="F646" t="str">
        <f>ЛИК_дляСкорингаДП!N646</f>
        <v>46.16,47.19,47.51,47.71.4,47.72,52.29,68.10,69.20</v>
      </c>
      <c r="G646" s="25" t="str">
        <f>ЛИК_дляСкорингаДП!AG646</f>
        <v>УСН</v>
      </c>
      <c r="H646" s="55" t="str">
        <f>IF(ISNUMBER(E646),E646,
IFERROR(LEFT(E646,FIND(".",E646)-1),E646))</f>
        <v>68</v>
      </c>
      <c r="I646" s="30">
        <f>IF(COUNTIF(Справочник_ОКВЭД_НР!$A$3:$A$62,H646)&gt;0,Справочник_ОКВЭД_НР!$L$8,
 IF(COUNTIF(Справочник_ОКВЭД_НР!$C$3:$C$62,H646)&gt;0,Справочник_ОКВЭД_НР!$L$9,
  IF(COUNTIF(Справочник_ОКВЭД_НР!$E$3:$E$62,H646)&gt;0,Справочник_ОКВЭД_НР!$L$10,
   IF(COUNTIF(Справочник_ОКВЭД_НР!$G$3:$G$62,H646)&gt;0,Справочник_ОКВЭД_НР!$L$11,50))))</f>
        <v>100</v>
      </c>
      <c r="J646" s="30" cm="1">
        <f t="array" ref="J646">IFERROR(
 (SUMPRODUCT(ISNUMBER(SEARCH(","&amp;Справочник_ОКВЭД_НР!$A$3:$A$62&amp;".",","&amp;SUBSTITUTE(F646," ","")&amp;",")))*Справочник_ОКВЭД_НР!$L$9 +
  SUMPRODUCT(ISNUMBER(SEARCH(","&amp;Справочник_ОКВЭД_НР!$C$3:$C$62&amp;".",","&amp;SUBSTITUTE(F646," ","")&amp;",")))*Справочник_ОКВЭД_НР!$L$10 +
  SUMPRODUCT(ISNUMBER(SEARCH(","&amp;Справочник_ОКВЭД_НР!$E$3:$E$62&amp;".",","&amp;SUBSTITUTE(F646," ","")&amp;",")))*Справочник_ОКВЭД_НР!$L$11 +
  SUMPRODUCT(ISNUMBER(SEARCH(","&amp;Справочник_ОКВЭД_НР!$G$3:$G$62&amp;".",","&amp;SUBSTITUTE(F646," ","")&amp;",")))*Справочник_ОКВЭД_НР!$L$12) /
 (SUMPRODUCT(ISNUMBER(SEARCH(","&amp;Справочник_ОКВЭД_НР!$A$3:$A$62&amp;".",","&amp;SUBSTITUTE(F646," ","")&amp;","))) +
  SUMPRODUCT(ISNUMBER(SEARCH(","&amp;Справочник_ОКВЭД_НР!$C$3:$C$62&amp;".",","&amp;SUBSTITUTE(F646," ","")&amp;","))) +
  SUMPRODUCT(ISNUMBER(SEARCH(","&amp;Справочник_ОКВЭД_НР!$E$3:$E$62&amp;".",","&amp;SUBSTITUTE(F646," ","")&amp;","))) +
  SUMPRODUCT(ISNUMBER(SEARCH(","&amp;Справочник_ОКВЭД_НР!$G$3:$G$62&amp;".",","&amp;SUBSTITUTE(F646," ","")&amp;",")))),
50)</f>
        <v>50</v>
      </c>
      <c r="K646" s="30">
        <f>IFERROR(VLOOKUP(G646,Справочник_ОКВЭД_НР!$O:$P,2,FALSE()),50)</f>
        <v>50</v>
      </c>
      <c r="L646" s="45">
        <f>(I646*Справочник_ОКВЭД_НР!$L$2+J646*Справочник_ОКВЭД_НР!$L$3+K646*Справочник_ОКВЭД_НР!$L$4)*M646</f>
        <v>80</v>
      </c>
      <c r="M646" s="47">
        <f>IF(COUNTIF(Справочник_ОКВЭД_НР!$G$3:$G$62,H646)&gt;0,0,1)</f>
        <v>1</v>
      </c>
    </row>
    <row r="647" spans="1:13" x14ac:dyDescent="0.25">
      <c r="A647" s="4">
        <f>ЛИК_дляСкорингаДП!A647</f>
        <v>1055007105691</v>
      </c>
      <c r="B647" s="4">
        <f>ЛИК_дляСкорингаДП!B647</f>
        <v>5034021079</v>
      </c>
      <c r="C647" s="4" t="str">
        <f>ЛИК_дляСкорингаДП!C647</f>
        <v>ООО "АВТОБУССЕРВИС"</v>
      </c>
      <c r="D647" s="5" t="str">
        <f>ЛИК_дляСкорингаДП!M647</f>
        <v>Техническое обслуживание и ремонт автотранспортных средств</v>
      </c>
      <c r="E647" s="4" t="str">
        <f>ЛИК_дляСкорингаДП!L647</f>
        <v>45.20</v>
      </c>
      <c r="F647" t="str">
        <f>ЛИК_дляСкорингаДП!N647</f>
        <v>25.62,45.31.1,45.31.2,45.32,46.90,70.22,82.99</v>
      </c>
      <c r="G647" s="25" t="str">
        <f>ЛИК_дляСкорингаДП!AG647</f>
        <v>УСН</v>
      </c>
      <c r="H647" s="55" t="str">
        <f>IF(ISNUMBER(E647),E647,
IFERROR(LEFT(E647,FIND(".",E647)-1),E647))</f>
        <v>45</v>
      </c>
      <c r="I647" s="30">
        <f>IF(COUNTIF(Справочник_ОКВЭД_НР!$A$3:$A$62,H647)&gt;0,Справочник_ОКВЭД_НР!$L$8,
 IF(COUNTIF(Справочник_ОКВЭД_НР!$C$3:$C$62,H647)&gt;0,Справочник_ОКВЭД_НР!$L$9,
  IF(COUNTIF(Справочник_ОКВЭД_НР!$E$3:$E$62,H647)&gt;0,Справочник_ОКВЭД_НР!$L$10,
   IF(COUNTIF(Справочник_ОКВЭД_НР!$G$3:$G$62,H647)&gt;0,Справочник_ОКВЭД_НР!$L$11,50))))</f>
        <v>60</v>
      </c>
      <c r="J647" s="30" cm="1">
        <f t="array" ref="J647">IFERROR(
 (SUMPRODUCT(ISNUMBER(SEARCH(","&amp;Справочник_ОКВЭД_НР!$A$3:$A$62&amp;".",","&amp;SUBSTITUTE(F647," ","")&amp;",")))*Справочник_ОКВЭД_НР!$L$9 +
  SUMPRODUCT(ISNUMBER(SEARCH(","&amp;Справочник_ОКВЭД_НР!$C$3:$C$62&amp;".",","&amp;SUBSTITUTE(F647," ","")&amp;",")))*Справочник_ОКВЭД_НР!$L$10 +
  SUMPRODUCT(ISNUMBER(SEARCH(","&amp;Справочник_ОКВЭД_НР!$E$3:$E$62&amp;".",","&amp;SUBSTITUTE(F647," ","")&amp;",")))*Справочник_ОКВЭД_НР!$L$11 +
  SUMPRODUCT(ISNUMBER(SEARCH(","&amp;Справочник_ОКВЭД_НР!$G$3:$G$62&amp;".",","&amp;SUBSTITUTE(F647," ","")&amp;",")))*Справочник_ОКВЭД_НР!$L$12) /
 (SUMPRODUCT(ISNUMBER(SEARCH(","&amp;Справочник_ОКВЭД_НР!$A$3:$A$62&amp;".",","&amp;SUBSTITUTE(F647," ","")&amp;","))) +
  SUMPRODUCT(ISNUMBER(SEARCH(","&amp;Справочник_ОКВЭД_НР!$C$3:$C$62&amp;".",","&amp;SUBSTITUTE(F647," ","")&amp;","))) +
  SUMPRODUCT(ISNUMBER(SEARCH(","&amp;Справочник_ОКВЭД_НР!$E$3:$E$62&amp;".",","&amp;SUBSTITUTE(F647," ","")&amp;","))) +
  SUMPRODUCT(ISNUMBER(SEARCH(","&amp;Справочник_ОКВЭД_НР!$G$3:$G$62&amp;".",","&amp;SUBSTITUTE(F647," ","")&amp;",")))),
50)</f>
        <v>50</v>
      </c>
      <c r="K647" s="30">
        <f>IFERROR(VLOOKUP(G647,Справочник_ОКВЭД_НР!$O:$P,2,FALSE()),50)</f>
        <v>50</v>
      </c>
      <c r="L647" s="45">
        <f>(I647*Справочник_ОКВЭД_НР!$L$2+J647*Справочник_ОКВЭД_НР!$L$3+K647*Справочник_ОКВЭД_НР!$L$4)*M647</f>
        <v>56</v>
      </c>
      <c r="M647" s="47">
        <f>IF(COUNTIF(Справочник_ОКВЭД_НР!$G$3:$G$62,H647)&gt;0,0,1)</f>
        <v>1</v>
      </c>
    </row>
    <row r="648" spans="1:13" x14ac:dyDescent="0.25">
      <c r="A648" s="4">
        <f>ЛИК_дляСкорингаДП!A648</f>
        <v>1025003532773</v>
      </c>
      <c r="B648" s="4">
        <f>ЛИК_дляСкорингаДП!B648</f>
        <v>5029050282</v>
      </c>
      <c r="C648" s="4" t="str">
        <f>ЛИК_дляСкорингаДП!C648</f>
        <v>ООО "ВАЙД-КАМПАНИ"</v>
      </c>
      <c r="D648" s="5" t="str">
        <f>ЛИК_дляСкорингаДП!M648</f>
        <v>Аренда и управление собственным или арендованным недвижимым имуществом</v>
      </c>
      <c r="E648" s="4" t="str">
        <f>ЛИК_дляСкорингаДП!L648</f>
        <v>68.20</v>
      </c>
      <c r="F648" t="str">
        <f>ЛИК_дляСкорингаДП!N648</f>
        <v>46.18,46.18.1,46.18.9,46.46,46.46.2,46.49.4,68.20.2,73.20.1,82.99</v>
      </c>
      <c r="G648" s="25" t="str">
        <f>ЛИК_дляСкорингаДП!AG648</f>
        <v>УСН</v>
      </c>
      <c r="H648" s="55" t="str">
        <f>IF(ISNUMBER(E648),E648,
IFERROR(LEFT(E648,FIND(".",E648)-1),E648))</f>
        <v>68</v>
      </c>
      <c r="I648" s="30">
        <f>IF(COUNTIF(Справочник_ОКВЭД_НР!$A$3:$A$62,H648)&gt;0,Справочник_ОКВЭД_НР!$L$8,
 IF(COUNTIF(Справочник_ОКВЭД_НР!$C$3:$C$62,H648)&gt;0,Справочник_ОКВЭД_НР!$L$9,
  IF(COUNTIF(Справочник_ОКВЭД_НР!$E$3:$E$62,H648)&gt;0,Справочник_ОКВЭД_НР!$L$10,
   IF(COUNTIF(Справочник_ОКВЭД_НР!$G$3:$G$62,H648)&gt;0,Справочник_ОКВЭД_НР!$L$11,50))))</f>
        <v>100</v>
      </c>
      <c r="J648" s="30" cm="1">
        <f t="array" ref="J648">IFERROR(
 (SUMPRODUCT(ISNUMBER(SEARCH(","&amp;Справочник_ОКВЭД_НР!$A$3:$A$62&amp;".",","&amp;SUBSTITUTE(F648," ","")&amp;",")))*Справочник_ОКВЭД_НР!$L$9 +
  SUMPRODUCT(ISNUMBER(SEARCH(","&amp;Справочник_ОКВЭД_НР!$C$3:$C$62&amp;".",","&amp;SUBSTITUTE(F648," ","")&amp;",")))*Справочник_ОКВЭД_НР!$L$10 +
  SUMPRODUCT(ISNUMBER(SEARCH(","&amp;Справочник_ОКВЭД_НР!$E$3:$E$62&amp;".",","&amp;SUBSTITUTE(F648," ","")&amp;",")))*Справочник_ОКВЭД_НР!$L$11 +
  SUMPRODUCT(ISNUMBER(SEARCH(","&amp;Справочник_ОКВЭД_НР!$G$3:$G$62&amp;".",","&amp;SUBSTITUTE(F648," ","")&amp;",")))*Справочник_ОКВЭД_НР!$L$12) /
 (SUMPRODUCT(ISNUMBER(SEARCH(","&amp;Справочник_ОКВЭД_НР!$A$3:$A$62&amp;".",","&amp;SUBSTITUTE(F648," ","")&amp;","))) +
  SUMPRODUCT(ISNUMBER(SEARCH(","&amp;Справочник_ОКВЭД_НР!$C$3:$C$62&amp;".",","&amp;SUBSTITUTE(F648," ","")&amp;","))) +
  SUMPRODUCT(ISNUMBER(SEARCH(","&amp;Справочник_ОКВЭД_НР!$E$3:$E$62&amp;".",","&amp;SUBSTITUTE(F648," ","")&amp;","))) +
  SUMPRODUCT(ISNUMBER(SEARCH(","&amp;Справочник_ОКВЭД_НР!$G$3:$G$62&amp;".",","&amp;SUBSTITUTE(F648," ","")&amp;",")))),
50)</f>
        <v>50</v>
      </c>
      <c r="K648" s="30">
        <f>IFERROR(VLOOKUP(G648,Справочник_ОКВЭД_НР!$O:$P,2,FALSE()),50)</f>
        <v>50</v>
      </c>
      <c r="L648" s="45">
        <f>(I648*Справочник_ОКВЭД_НР!$L$2+J648*Справочник_ОКВЭД_НР!$L$3+K648*Справочник_ОКВЭД_НР!$L$4)*M648</f>
        <v>80</v>
      </c>
      <c r="M648" s="47">
        <f>IF(COUNTIF(Справочник_ОКВЭД_НР!$G$3:$G$62,H648)&gt;0,0,1)</f>
        <v>1</v>
      </c>
    </row>
    <row r="649" spans="1:13" x14ac:dyDescent="0.25">
      <c r="A649" s="4">
        <f>ЛИК_дляСкорингаДП!A649</f>
        <v>1105543030780</v>
      </c>
      <c r="B649" s="4">
        <f>ЛИК_дляСкорингаДП!B649</f>
        <v>5506214750</v>
      </c>
      <c r="C649" s="4" t="str">
        <f>ЛИК_дляСкорингаДП!C649</f>
        <v>ООО "ФАКТ"</v>
      </c>
      <c r="D649" s="5" t="str">
        <f>ЛИК_дляСкорингаДП!M649</f>
        <v>Деятельность информационных агентств</v>
      </c>
      <c r="E649" s="4" t="str">
        <f>ЛИК_дляСкорингаДП!L649</f>
        <v>63.91</v>
      </c>
      <c r="F649" t="str">
        <f>ЛИК_дляСкорингаДП!N649</f>
        <v>46.18.2,58.13,58.14,58.19,62.09,73.11,73.20.2,82.99</v>
      </c>
      <c r="G649" s="25" t="str">
        <f>ЛИК_дляСкорингаДП!AG649</f>
        <v>УСН</v>
      </c>
      <c r="H649" s="55" t="str">
        <f>IF(ISNUMBER(E649),E649,
IFERROR(LEFT(E649,FIND(".",E649)-1),E649))</f>
        <v>63</v>
      </c>
      <c r="I649" s="30">
        <f>IF(COUNTIF(Справочник_ОКВЭД_НР!$A$3:$A$62,H649)&gt;0,Справочник_ОКВЭД_НР!$L$8,
 IF(COUNTIF(Справочник_ОКВЭД_НР!$C$3:$C$62,H649)&gt;0,Справочник_ОКВЭД_НР!$L$9,
  IF(COUNTIF(Справочник_ОКВЭД_НР!$E$3:$E$62,H649)&gt;0,Справочник_ОКВЭД_НР!$L$10,
   IF(COUNTIF(Справочник_ОКВЭД_НР!$G$3:$G$62,H649)&gt;0,Справочник_ОКВЭД_НР!$L$11,50))))</f>
        <v>100</v>
      </c>
      <c r="J649" s="30" cm="1">
        <f t="array" ref="J649">IFERROR(
 (SUMPRODUCT(ISNUMBER(SEARCH(","&amp;Справочник_ОКВЭД_НР!$A$3:$A$62&amp;".",","&amp;SUBSTITUTE(F649," ","")&amp;",")))*Справочник_ОКВЭД_НР!$L$9 +
  SUMPRODUCT(ISNUMBER(SEARCH(","&amp;Справочник_ОКВЭД_НР!$C$3:$C$62&amp;".",","&amp;SUBSTITUTE(F649," ","")&amp;",")))*Справочник_ОКВЭД_НР!$L$10 +
  SUMPRODUCT(ISNUMBER(SEARCH(","&amp;Справочник_ОКВЭД_НР!$E$3:$E$62&amp;".",","&amp;SUBSTITUTE(F649," ","")&amp;",")))*Справочник_ОКВЭД_НР!$L$11 +
  SUMPRODUCT(ISNUMBER(SEARCH(","&amp;Справочник_ОКВЭД_НР!$G$3:$G$62&amp;".",","&amp;SUBSTITUTE(F649," ","")&amp;",")))*Справочник_ОКВЭД_НР!$L$12) /
 (SUMPRODUCT(ISNUMBER(SEARCH(","&amp;Справочник_ОКВЭД_НР!$A$3:$A$62&amp;".",","&amp;SUBSTITUTE(F649," ","")&amp;","))) +
  SUMPRODUCT(ISNUMBER(SEARCH(","&amp;Справочник_ОКВЭД_НР!$C$3:$C$62&amp;".",","&amp;SUBSTITUTE(F649," ","")&amp;","))) +
  SUMPRODUCT(ISNUMBER(SEARCH(","&amp;Справочник_ОКВЭД_НР!$E$3:$E$62&amp;".",","&amp;SUBSTITUTE(F649," ","")&amp;","))) +
  SUMPRODUCT(ISNUMBER(SEARCH(","&amp;Справочник_ОКВЭД_НР!$G$3:$G$62&amp;".",","&amp;SUBSTITUTE(F649," ","")&amp;",")))),
50)</f>
        <v>50</v>
      </c>
      <c r="K649" s="30">
        <f>IFERROR(VLOOKUP(G649,Справочник_ОКВЭД_НР!$O:$P,2,FALSE()),50)</f>
        <v>50</v>
      </c>
      <c r="L649" s="45">
        <f>(I649*Справочник_ОКВЭД_НР!$L$2+J649*Справочник_ОКВЭД_НР!$L$3+K649*Справочник_ОКВЭД_НР!$L$4)*M649</f>
        <v>80</v>
      </c>
      <c r="M649" s="47">
        <f>IF(COUNTIF(Справочник_ОКВЭД_НР!$G$3:$G$62,H649)&gt;0,0,1)</f>
        <v>1</v>
      </c>
    </row>
    <row r="650" spans="1:13" x14ac:dyDescent="0.25">
      <c r="A650" s="4">
        <f>ЛИК_дляСкорингаДП!A650</f>
        <v>1097746047431</v>
      </c>
      <c r="B650" s="4">
        <f>ЛИК_дляСкорингаДП!B650</f>
        <v>7733691802</v>
      </c>
      <c r="C650" s="4" t="str">
        <f>ЛИК_дляСкорингаДП!C650</f>
        <v>ООО "ЛАБОРАТОРИЯ КОНСТАНТА"</v>
      </c>
      <c r="D650" s="5" t="str">
        <f>ЛИК_дляСкорингаДП!M650</f>
        <v>Производство фармацевтических субстанций</v>
      </c>
      <c r="E650" s="4" t="str">
        <f>ЛИК_дляСкорингаДП!L650</f>
        <v>21.1</v>
      </c>
      <c r="F650" t="str">
        <f>ЛИК_дляСкорингаДП!N650</f>
        <v>20.5,46.46,46.75,47.73,47.74,47.75,47.78,71.2,72.1,86</v>
      </c>
      <c r="G650" s="25" t="str">
        <f>ЛИК_дляСкорингаДП!AG650</f>
        <v>УСН</v>
      </c>
      <c r="H650" s="55" t="str">
        <f>IF(ISNUMBER(E650),E650,
IFERROR(LEFT(E650,FIND(".",E650)-1),E650))</f>
        <v>21</v>
      </c>
      <c r="I650" s="30">
        <f>IF(COUNTIF(Справочник_ОКВЭД_НР!$A$3:$A$62,H650)&gt;0,Справочник_ОКВЭД_НР!$L$8,
 IF(COUNTIF(Справочник_ОКВЭД_НР!$C$3:$C$62,H650)&gt;0,Справочник_ОКВЭД_НР!$L$9,
  IF(COUNTIF(Справочник_ОКВЭД_НР!$E$3:$E$62,H650)&gt;0,Справочник_ОКВЭД_НР!$L$10,
   IF(COUNTIF(Справочник_ОКВЭД_НР!$G$3:$G$62,H650)&gt;0,Справочник_ОКВЭД_НР!$L$11,50))))</f>
        <v>60</v>
      </c>
      <c r="J650" s="30" cm="1">
        <f t="array" ref="J650">IFERROR(
 (SUMPRODUCT(ISNUMBER(SEARCH(","&amp;Справочник_ОКВЭД_НР!$A$3:$A$62&amp;".",","&amp;SUBSTITUTE(F650," ","")&amp;",")))*Справочник_ОКВЭД_НР!$L$9 +
  SUMPRODUCT(ISNUMBER(SEARCH(","&amp;Справочник_ОКВЭД_НР!$C$3:$C$62&amp;".",","&amp;SUBSTITUTE(F650," ","")&amp;",")))*Справочник_ОКВЭД_НР!$L$10 +
  SUMPRODUCT(ISNUMBER(SEARCH(","&amp;Справочник_ОКВЭД_НР!$E$3:$E$62&amp;".",","&amp;SUBSTITUTE(F650," ","")&amp;",")))*Справочник_ОКВЭД_НР!$L$11 +
  SUMPRODUCT(ISNUMBER(SEARCH(","&amp;Справочник_ОКВЭД_НР!$G$3:$G$62&amp;".",","&amp;SUBSTITUTE(F650," ","")&amp;",")))*Справочник_ОКВЭД_НР!$L$12) /
 (SUMPRODUCT(ISNUMBER(SEARCH(","&amp;Справочник_ОКВЭД_НР!$A$3:$A$62&amp;".",","&amp;SUBSTITUTE(F650," ","")&amp;","))) +
  SUMPRODUCT(ISNUMBER(SEARCH(","&amp;Справочник_ОКВЭД_НР!$C$3:$C$62&amp;".",","&amp;SUBSTITUTE(F650," ","")&amp;","))) +
  SUMPRODUCT(ISNUMBER(SEARCH(","&amp;Справочник_ОКВЭД_НР!$E$3:$E$62&amp;".",","&amp;SUBSTITUTE(F650," ","")&amp;","))) +
  SUMPRODUCT(ISNUMBER(SEARCH(","&amp;Справочник_ОКВЭД_НР!$G$3:$G$62&amp;".",","&amp;SUBSTITUTE(F650," ","")&amp;",")))),
50)</f>
        <v>50</v>
      </c>
      <c r="K650" s="30">
        <f>IFERROR(VLOOKUP(G650,Справочник_ОКВЭД_НР!$O:$P,2,FALSE()),50)</f>
        <v>50</v>
      </c>
      <c r="L650" s="45">
        <f>(I650*Справочник_ОКВЭД_НР!$L$2+J650*Справочник_ОКВЭД_НР!$L$3+K650*Справочник_ОКВЭД_НР!$L$4)*M650</f>
        <v>56</v>
      </c>
      <c r="M650" s="47">
        <f>IF(COUNTIF(Справочник_ОКВЭД_НР!$G$3:$G$62,H650)&gt;0,0,1)</f>
        <v>1</v>
      </c>
    </row>
    <row r="651" spans="1:13" x14ac:dyDescent="0.25">
      <c r="A651" s="4">
        <f>ЛИК_дляСкорингаДП!A651</f>
        <v>1025002862488</v>
      </c>
      <c r="B651" s="4">
        <f>ЛИК_дляСкорингаДП!B651</f>
        <v>5024039969</v>
      </c>
      <c r="C651" s="4" t="str">
        <f>ЛИК_дляСкорингаДП!C651</f>
        <v>ООО "РУСПАК"</v>
      </c>
      <c r="D651" s="5" t="str">
        <f>ЛИК_дляСкорингаДП!M651</f>
        <v>Аренда и управление собственным или арендованным нежилым недвижимым имуществом</v>
      </c>
      <c r="E651" s="4" t="str">
        <f>ЛИК_дляСкорингаДП!L651</f>
        <v>68.20.2</v>
      </c>
      <c r="F651">
        <f>ЛИК_дляСкорингаДП!N651</f>
        <v>0</v>
      </c>
      <c r="G651" s="25" t="str">
        <f>ЛИК_дляСкорингаДП!AG651</f>
        <v>УСН</v>
      </c>
      <c r="H651" s="55" t="str">
        <f>IF(ISNUMBER(E651),E651,
IFERROR(LEFT(E651,FIND(".",E651)-1),E651))</f>
        <v>68</v>
      </c>
      <c r="I651" s="30">
        <f>IF(COUNTIF(Справочник_ОКВЭД_НР!$A$3:$A$62,H651)&gt;0,Справочник_ОКВЭД_НР!$L$8,
 IF(COUNTIF(Справочник_ОКВЭД_НР!$C$3:$C$62,H651)&gt;0,Справочник_ОКВЭД_НР!$L$9,
  IF(COUNTIF(Справочник_ОКВЭД_НР!$E$3:$E$62,H651)&gt;0,Справочник_ОКВЭД_НР!$L$10,
   IF(COUNTIF(Справочник_ОКВЭД_НР!$G$3:$G$62,H651)&gt;0,Справочник_ОКВЭД_НР!$L$11,50))))</f>
        <v>100</v>
      </c>
      <c r="J651" s="30" cm="1">
        <f t="array" ref="J651">IFERROR(
 (SUMPRODUCT(ISNUMBER(SEARCH(","&amp;Справочник_ОКВЭД_НР!$A$3:$A$62&amp;".",","&amp;SUBSTITUTE(F651," ","")&amp;",")))*Справочник_ОКВЭД_НР!$L$9 +
  SUMPRODUCT(ISNUMBER(SEARCH(","&amp;Справочник_ОКВЭД_НР!$C$3:$C$62&amp;".",","&amp;SUBSTITUTE(F651," ","")&amp;",")))*Справочник_ОКВЭД_НР!$L$10 +
  SUMPRODUCT(ISNUMBER(SEARCH(","&amp;Справочник_ОКВЭД_НР!$E$3:$E$62&amp;".",","&amp;SUBSTITUTE(F651," ","")&amp;",")))*Справочник_ОКВЭД_НР!$L$11 +
  SUMPRODUCT(ISNUMBER(SEARCH(","&amp;Справочник_ОКВЭД_НР!$G$3:$G$62&amp;".",","&amp;SUBSTITUTE(F651," ","")&amp;",")))*Справочник_ОКВЭД_НР!$L$12) /
 (SUMPRODUCT(ISNUMBER(SEARCH(","&amp;Справочник_ОКВЭД_НР!$A$3:$A$62&amp;".",","&amp;SUBSTITUTE(F651," ","")&amp;","))) +
  SUMPRODUCT(ISNUMBER(SEARCH(","&amp;Справочник_ОКВЭД_НР!$C$3:$C$62&amp;".",","&amp;SUBSTITUTE(F651," ","")&amp;","))) +
  SUMPRODUCT(ISNUMBER(SEARCH(","&amp;Справочник_ОКВЭД_НР!$E$3:$E$62&amp;".",","&amp;SUBSTITUTE(F651," ","")&amp;","))) +
  SUMPRODUCT(ISNUMBER(SEARCH(","&amp;Справочник_ОКВЭД_НР!$G$3:$G$62&amp;".",","&amp;SUBSTITUTE(F651," ","")&amp;",")))),
50)</f>
        <v>50</v>
      </c>
      <c r="K651" s="30">
        <f>IFERROR(VLOOKUP(G651,Справочник_ОКВЭД_НР!$O:$P,2,FALSE()),50)</f>
        <v>50</v>
      </c>
      <c r="L651" s="45">
        <f>(I651*Справочник_ОКВЭД_НР!$L$2+J651*Справочник_ОКВЭД_НР!$L$3+K651*Справочник_ОКВЭД_НР!$L$4)*M651</f>
        <v>80</v>
      </c>
      <c r="M651" s="47">
        <f>IF(COUNTIF(Справочник_ОКВЭД_НР!$G$3:$G$62,H651)&gt;0,0,1)</f>
        <v>1</v>
      </c>
    </row>
    <row r="652" spans="1:13" x14ac:dyDescent="0.25">
      <c r="A652" s="4">
        <f>ЛИК_дляСкорингаДП!A652</f>
        <v>1025003911239</v>
      </c>
      <c r="B652" s="4">
        <f>ЛИК_дляСкорингаДП!B652</f>
        <v>5031002092</v>
      </c>
      <c r="C652" s="4" t="str">
        <f>ЛИК_дляСкорингаДП!C652</f>
        <v>ООО "МАГАЗИН "МАЛЬВИНА"</v>
      </c>
      <c r="D652" s="5" t="str">
        <f>ЛИК_дляСкорингаДП!M652</f>
        <v>Торговля розничная прочая в неспециализированных магазинах</v>
      </c>
      <c r="E652" s="4" t="str">
        <f>ЛИК_дляСкорингаДП!L652</f>
        <v>47.19</v>
      </c>
      <c r="F652" t="str">
        <f>ЛИК_дляСкорингаДП!N652</f>
        <v>46.90,56.10,56.10.1,56.10.21,56.21,56.29,56.30,68.20,93.29</v>
      </c>
      <c r="G652" s="25" t="str">
        <f>ЛИК_дляСкорингаДП!AG652</f>
        <v>УСН</v>
      </c>
      <c r="H652" s="55" t="str">
        <f>IF(ISNUMBER(E652),E652,
IFERROR(LEFT(E652,FIND(".",E652)-1),E652))</f>
        <v>47</v>
      </c>
      <c r="I652" s="30">
        <f>IF(COUNTIF(Справочник_ОКВЭД_НР!$A$3:$A$62,H652)&gt;0,Справочник_ОКВЭД_НР!$L$8,
 IF(COUNTIF(Справочник_ОКВЭД_НР!$C$3:$C$62,H652)&gt;0,Справочник_ОКВЭД_НР!$L$9,
  IF(COUNTIF(Справочник_ОКВЭД_НР!$E$3:$E$62,H652)&gt;0,Справочник_ОКВЭД_НР!$L$10,
   IF(COUNTIF(Справочник_ОКВЭД_НР!$G$3:$G$62,H652)&gt;0,Справочник_ОКВЭД_НР!$L$11,50))))</f>
        <v>60</v>
      </c>
      <c r="J652" s="30" cm="1">
        <f t="array" ref="J652">IFERROR(
 (SUMPRODUCT(ISNUMBER(SEARCH(","&amp;Справочник_ОКВЭД_НР!$A$3:$A$62&amp;".",","&amp;SUBSTITUTE(F652," ","")&amp;",")))*Справочник_ОКВЭД_НР!$L$9 +
  SUMPRODUCT(ISNUMBER(SEARCH(","&amp;Справочник_ОКВЭД_НР!$C$3:$C$62&amp;".",","&amp;SUBSTITUTE(F652," ","")&amp;",")))*Справочник_ОКВЭД_НР!$L$10 +
  SUMPRODUCT(ISNUMBER(SEARCH(","&amp;Справочник_ОКВЭД_НР!$E$3:$E$62&amp;".",","&amp;SUBSTITUTE(F652," ","")&amp;",")))*Справочник_ОКВЭД_НР!$L$11 +
  SUMPRODUCT(ISNUMBER(SEARCH(","&amp;Справочник_ОКВЭД_НР!$G$3:$G$62&amp;".",","&amp;SUBSTITUTE(F652," ","")&amp;",")))*Справочник_ОКВЭД_НР!$L$12) /
 (SUMPRODUCT(ISNUMBER(SEARCH(","&amp;Справочник_ОКВЭД_НР!$A$3:$A$62&amp;".",","&amp;SUBSTITUTE(F652," ","")&amp;","))) +
  SUMPRODUCT(ISNUMBER(SEARCH(","&amp;Справочник_ОКВЭД_НР!$C$3:$C$62&amp;".",","&amp;SUBSTITUTE(F652," ","")&amp;","))) +
  SUMPRODUCT(ISNUMBER(SEARCH(","&amp;Справочник_ОКВЭД_НР!$E$3:$E$62&amp;".",","&amp;SUBSTITUTE(F652," ","")&amp;","))) +
  SUMPRODUCT(ISNUMBER(SEARCH(","&amp;Справочник_ОКВЭД_НР!$G$3:$G$62&amp;".",","&amp;SUBSTITUTE(F652," ","")&amp;",")))),
50)</f>
        <v>50</v>
      </c>
      <c r="K652" s="30">
        <f>IFERROR(VLOOKUP(G652,Справочник_ОКВЭД_НР!$O:$P,2,FALSE()),50)</f>
        <v>50</v>
      </c>
      <c r="L652" s="45">
        <f>(I652*Справочник_ОКВЭД_НР!$L$2+J652*Справочник_ОКВЭД_НР!$L$3+K652*Справочник_ОКВЭД_НР!$L$4)*M652</f>
        <v>56</v>
      </c>
      <c r="M652" s="47">
        <f>IF(COUNTIF(Справочник_ОКВЭД_НР!$G$3:$G$62,H652)&gt;0,0,1)</f>
        <v>1</v>
      </c>
    </row>
    <row r="653" spans="1:13" x14ac:dyDescent="0.25">
      <c r="A653" s="4">
        <f>ЛИК_дляСкорингаДП!A653</f>
        <v>1055002332043</v>
      </c>
      <c r="B653" s="4">
        <f>ЛИК_дляСкорингаДП!B653</f>
        <v>5013051530</v>
      </c>
      <c r="C653" s="4" t="str">
        <f>ЛИК_дляСкорингаДП!C653</f>
        <v>ООО "ДЭМА"</v>
      </c>
      <c r="D653" s="5" t="str">
        <f>ЛИК_дляСкорингаДП!M653</f>
        <v>Деятельность в области медицины прочая</v>
      </c>
      <c r="E653" s="4" t="str">
        <f>ЛИК_дляСкорингаДП!L653</f>
        <v>86.90</v>
      </c>
      <c r="F653" t="str">
        <f>ЛИК_дляСкорингаДП!N653</f>
        <v>32.30,47.64,47.73,47.74,47.75,49.3,49.4,77.21,77.29.9,77.39.26,79.11,79.90.1,79.90.2,86.21,86.23,86.90.9,96.04</v>
      </c>
      <c r="G653" s="25" t="str">
        <f>ЛИК_дляСкорингаДП!AG653</f>
        <v>УСН</v>
      </c>
      <c r="H653" s="55" t="str">
        <f>IF(ISNUMBER(E653),E653,
IFERROR(LEFT(E653,FIND(".",E653)-1),E653))</f>
        <v>86</v>
      </c>
      <c r="I653" s="30">
        <f>IF(COUNTIF(Справочник_ОКВЭД_НР!$A$3:$A$62,H653)&gt;0,Справочник_ОКВЭД_НР!$L$8,
 IF(COUNTIF(Справочник_ОКВЭД_НР!$C$3:$C$62,H653)&gt;0,Справочник_ОКВЭД_НР!$L$9,
  IF(COUNTIF(Справочник_ОКВЭД_НР!$E$3:$E$62,H653)&gt;0,Справочник_ОКВЭД_НР!$L$10,
   IF(COUNTIF(Справочник_ОКВЭД_НР!$G$3:$G$62,H653)&gt;0,Справочник_ОКВЭД_НР!$L$11,50))))</f>
        <v>100</v>
      </c>
      <c r="J653" s="30" cm="1">
        <f t="array" ref="J653">IFERROR(
 (SUMPRODUCT(ISNUMBER(SEARCH(","&amp;Справочник_ОКВЭД_НР!$A$3:$A$62&amp;".",","&amp;SUBSTITUTE(F653," ","")&amp;",")))*Справочник_ОКВЭД_НР!$L$9 +
  SUMPRODUCT(ISNUMBER(SEARCH(","&amp;Справочник_ОКВЭД_НР!$C$3:$C$62&amp;".",","&amp;SUBSTITUTE(F653," ","")&amp;",")))*Справочник_ОКВЭД_НР!$L$10 +
  SUMPRODUCT(ISNUMBER(SEARCH(","&amp;Справочник_ОКВЭД_НР!$E$3:$E$62&amp;".",","&amp;SUBSTITUTE(F653," ","")&amp;",")))*Справочник_ОКВЭД_НР!$L$11 +
  SUMPRODUCT(ISNUMBER(SEARCH(","&amp;Справочник_ОКВЭД_НР!$G$3:$G$62&amp;".",","&amp;SUBSTITUTE(F653," ","")&amp;",")))*Справочник_ОКВЭД_НР!$L$12) /
 (SUMPRODUCT(ISNUMBER(SEARCH(","&amp;Справочник_ОКВЭД_НР!$A$3:$A$62&amp;".",","&amp;SUBSTITUTE(F653," ","")&amp;","))) +
  SUMPRODUCT(ISNUMBER(SEARCH(","&amp;Справочник_ОКВЭД_НР!$C$3:$C$62&amp;".",","&amp;SUBSTITUTE(F653," ","")&amp;","))) +
  SUMPRODUCT(ISNUMBER(SEARCH(","&amp;Справочник_ОКВЭД_НР!$E$3:$E$62&amp;".",","&amp;SUBSTITUTE(F653," ","")&amp;","))) +
  SUMPRODUCT(ISNUMBER(SEARCH(","&amp;Справочник_ОКВЭД_НР!$G$3:$G$62&amp;".",","&amp;SUBSTITUTE(F653," ","")&amp;",")))),
50)</f>
        <v>50</v>
      </c>
      <c r="K653" s="30">
        <f>IFERROR(VLOOKUP(G653,Справочник_ОКВЭД_НР!$O:$P,2,FALSE()),50)</f>
        <v>50</v>
      </c>
      <c r="L653" s="45">
        <f>(I653*Справочник_ОКВЭД_НР!$L$2+J653*Справочник_ОКВЭД_НР!$L$3+K653*Справочник_ОКВЭД_НР!$L$4)*M653</f>
        <v>80</v>
      </c>
      <c r="M653" s="47">
        <f>IF(COUNTIF(Справочник_ОКВЭД_НР!$G$3:$G$62,H653)&gt;0,0,1)</f>
        <v>1</v>
      </c>
    </row>
    <row r="654" spans="1:13" x14ac:dyDescent="0.25">
      <c r="A654" s="4">
        <f>ЛИК_дляСкорингаДП!A654</f>
        <v>1025002872168</v>
      </c>
      <c r="B654" s="4">
        <f>ЛИК_дляСкорингаДП!B654</f>
        <v>7733096553</v>
      </c>
      <c r="C654" s="4" t="str">
        <f>ЛИК_дляСкорингаДП!C654</f>
        <v>ООО  "ЛОДЕС"</v>
      </c>
      <c r="D654" s="5" t="str">
        <f>ЛИК_дляСкорингаДП!M654</f>
        <v>Аренда и управление собственным или арендованным недвижимым имуществом</v>
      </c>
      <c r="E654" s="4" t="str">
        <f>ЛИК_дляСкорингаДП!L654</f>
        <v>68.20</v>
      </c>
      <c r="F654">
        <f>ЛИК_дляСкорингаДП!N654</f>
        <v>0</v>
      </c>
      <c r="G654" s="25" t="str">
        <f>ЛИК_дляСкорингаДП!AG654</f>
        <v>УСН</v>
      </c>
      <c r="H654" s="55" t="str">
        <f>IF(ISNUMBER(E654),E654,
IFERROR(LEFT(E654,FIND(".",E654)-1),E654))</f>
        <v>68</v>
      </c>
      <c r="I654" s="30">
        <f>IF(COUNTIF(Справочник_ОКВЭД_НР!$A$3:$A$62,H654)&gt;0,Справочник_ОКВЭД_НР!$L$8,
 IF(COUNTIF(Справочник_ОКВЭД_НР!$C$3:$C$62,H654)&gt;0,Справочник_ОКВЭД_НР!$L$9,
  IF(COUNTIF(Справочник_ОКВЭД_НР!$E$3:$E$62,H654)&gt;0,Справочник_ОКВЭД_НР!$L$10,
   IF(COUNTIF(Справочник_ОКВЭД_НР!$G$3:$G$62,H654)&gt;0,Справочник_ОКВЭД_НР!$L$11,50))))</f>
        <v>100</v>
      </c>
      <c r="J654" s="30" cm="1">
        <f t="array" ref="J654">IFERROR(
 (SUMPRODUCT(ISNUMBER(SEARCH(","&amp;Справочник_ОКВЭД_НР!$A$3:$A$62&amp;".",","&amp;SUBSTITUTE(F654," ","")&amp;",")))*Справочник_ОКВЭД_НР!$L$9 +
  SUMPRODUCT(ISNUMBER(SEARCH(","&amp;Справочник_ОКВЭД_НР!$C$3:$C$62&amp;".",","&amp;SUBSTITUTE(F654," ","")&amp;",")))*Справочник_ОКВЭД_НР!$L$10 +
  SUMPRODUCT(ISNUMBER(SEARCH(","&amp;Справочник_ОКВЭД_НР!$E$3:$E$62&amp;".",","&amp;SUBSTITUTE(F654," ","")&amp;",")))*Справочник_ОКВЭД_НР!$L$11 +
  SUMPRODUCT(ISNUMBER(SEARCH(","&amp;Справочник_ОКВЭД_НР!$G$3:$G$62&amp;".",","&amp;SUBSTITUTE(F654," ","")&amp;",")))*Справочник_ОКВЭД_НР!$L$12) /
 (SUMPRODUCT(ISNUMBER(SEARCH(","&amp;Справочник_ОКВЭД_НР!$A$3:$A$62&amp;".",","&amp;SUBSTITUTE(F654," ","")&amp;","))) +
  SUMPRODUCT(ISNUMBER(SEARCH(","&amp;Справочник_ОКВЭД_НР!$C$3:$C$62&amp;".",","&amp;SUBSTITUTE(F654," ","")&amp;","))) +
  SUMPRODUCT(ISNUMBER(SEARCH(","&amp;Справочник_ОКВЭД_НР!$E$3:$E$62&amp;".",","&amp;SUBSTITUTE(F654," ","")&amp;","))) +
  SUMPRODUCT(ISNUMBER(SEARCH(","&amp;Справочник_ОКВЭД_НР!$G$3:$G$62&amp;".",","&amp;SUBSTITUTE(F654," ","")&amp;",")))),
50)</f>
        <v>50</v>
      </c>
      <c r="K654" s="30">
        <f>IFERROR(VLOOKUP(G654,Справочник_ОКВЭД_НР!$O:$P,2,FALSE()),50)</f>
        <v>50</v>
      </c>
      <c r="L654" s="45">
        <f>(I654*Справочник_ОКВЭД_НР!$L$2+J654*Справочник_ОКВЭД_НР!$L$3+K654*Справочник_ОКВЭД_НР!$L$4)*M654</f>
        <v>80</v>
      </c>
      <c r="M654" s="47">
        <f>IF(COUNTIF(Справочник_ОКВЭД_НР!$G$3:$G$62,H654)&gt;0,0,1)</f>
        <v>1</v>
      </c>
    </row>
    <row r="655" spans="1:13" x14ac:dyDescent="0.25">
      <c r="A655" s="4">
        <f>ЛИК_дляСкорингаДП!A655</f>
        <v>1055001014430</v>
      </c>
      <c r="B655" s="4">
        <f>ЛИК_дляСкорингаДП!B655</f>
        <v>5007049276</v>
      </c>
      <c r="C655" s="4" t="str">
        <f>ЛИК_дляСкорингаДП!C655</f>
        <v>ООО "ВЕЧЕРНИЙ ДМИТРОВ"</v>
      </c>
      <c r="D655" s="5" t="str">
        <f>ЛИК_дляСкорингаДП!M655</f>
        <v>Деятельность по трансляции телерадиоканалов по сетям кабельного телерадиовещания</v>
      </c>
      <c r="E655" s="4" t="str">
        <f>ЛИК_дляСкорингаДП!L655</f>
        <v>61.10.5</v>
      </c>
      <c r="F655" t="str">
        <f>ЛИК_дляСкорингаДП!N655</f>
        <v>42.21,42.22.2,43.21,59.11,60.10,60.20,61.20.4,73.11,95.12</v>
      </c>
      <c r="G655" s="25" t="str">
        <f>ЛИК_дляСкорингаДП!AG655</f>
        <v>УСН</v>
      </c>
      <c r="H655" s="55" t="str">
        <f>IF(ISNUMBER(E655),E655,
IFERROR(LEFT(E655,FIND(".",E655)-1),E655))</f>
        <v>61</v>
      </c>
      <c r="I655" s="30">
        <f>IF(COUNTIF(Справочник_ОКВЭД_НР!$A$3:$A$62,H655)&gt;0,Справочник_ОКВЭД_НР!$L$8,
 IF(COUNTIF(Справочник_ОКВЭД_НР!$C$3:$C$62,H655)&gt;0,Справочник_ОКВЭД_НР!$L$9,
  IF(COUNTIF(Справочник_ОКВЭД_НР!$E$3:$E$62,H655)&gt;0,Справочник_ОКВЭД_НР!$L$10,
   IF(COUNTIF(Справочник_ОКВЭД_НР!$G$3:$G$62,H655)&gt;0,Справочник_ОКВЭД_НР!$L$11,50))))</f>
        <v>60</v>
      </c>
      <c r="J655" s="30" cm="1">
        <f t="array" ref="J655">IFERROR(
 (SUMPRODUCT(ISNUMBER(SEARCH(","&amp;Справочник_ОКВЭД_НР!$A$3:$A$62&amp;".",","&amp;SUBSTITUTE(F655," ","")&amp;",")))*Справочник_ОКВЭД_НР!$L$9 +
  SUMPRODUCT(ISNUMBER(SEARCH(","&amp;Справочник_ОКВЭД_НР!$C$3:$C$62&amp;".",","&amp;SUBSTITUTE(F655," ","")&amp;",")))*Справочник_ОКВЭД_НР!$L$10 +
  SUMPRODUCT(ISNUMBER(SEARCH(","&amp;Справочник_ОКВЭД_НР!$E$3:$E$62&amp;".",","&amp;SUBSTITUTE(F655," ","")&amp;",")))*Справочник_ОКВЭД_НР!$L$11 +
  SUMPRODUCT(ISNUMBER(SEARCH(","&amp;Справочник_ОКВЭД_НР!$G$3:$G$62&amp;".",","&amp;SUBSTITUTE(F655," ","")&amp;",")))*Справочник_ОКВЭД_НР!$L$12) /
 (SUMPRODUCT(ISNUMBER(SEARCH(","&amp;Справочник_ОКВЭД_НР!$A$3:$A$62&amp;".",","&amp;SUBSTITUTE(F655," ","")&amp;","))) +
  SUMPRODUCT(ISNUMBER(SEARCH(","&amp;Справочник_ОКВЭД_НР!$C$3:$C$62&amp;".",","&amp;SUBSTITUTE(F655," ","")&amp;","))) +
  SUMPRODUCT(ISNUMBER(SEARCH(","&amp;Справочник_ОКВЭД_НР!$E$3:$E$62&amp;".",","&amp;SUBSTITUTE(F655," ","")&amp;","))) +
  SUMPRODUCT(ISNUMBER(SEARCH(","&amp;Справочник_ОКВЭД_НР!$G$3:$G$62&amp;".",","&amp;SUBSTITUTE(F655," ","")&amp;",")))),
50)</f>
        <v>50</v>
      </c>
      <c r="K655" s="30">
        <f>IFERROR(VLOOKUP(G655,Справочник_ОКВЭД_НР!$O:$P,2,FALSE()),50)</f>
        <v>50</v>
      </c>
      <c r="L655" s="45">
        <f>(I655*Справочник_ОКВЭД_НР!$L$2+J655*Справочник_ОКВЭД_НР!$L$3+K655*Справочник_ОКВЭД_НР!$L$4)*M655</f>
        <v>56</v>
      </c>
      <c r="M655" s="47">
        <f>IF(COUNTIF(Справочник_ОКВЭД_НР!$G$3:$G$62,H655)&gt;0,0,1)</f>
        <v>1</v>
      </c>
    </row>
    <row r="656" spans="1:13" x14ac:dyDescent="0.25">
      <c r="A656" s="4">
        <f>ЛИК_дляСкорингаДП!A656</f>
        <v>1097746041898</v>
      </c>
      <c r="B656" s="4">
        <f>ЛИК_дляСкорингаДП!B656</f>
        <v>7733691665</v>
      </c>
      <c r="C656" s="4" t="str">
        <f>ЛИК_дляСкорингаДП!C656</f>
        <v>ООО  "ИНФОФОРУМ.РФ"</v>
      </c>
      <c r="D656" s="5" t="str">
        <f>ЛИК_дляСкорингаДП!M656</f>
        <v>Деятельность по организации конференций и выставок</v>
      </c>
      <c r="E656" s="4" t="str">
        <f>ЛИК_дляСкорингаДП!L656</f>
        <v>82.30</v>
      </c>
      <c r="F656" t="str">
        <f>ЛИК_дляСкорингаДП!N656</f>
        <v>18.1,58,60.10,60.20,62.0,62.02,62.09,63.1,63.11.1,69,71.2,72.1,72.2,73.1,82.99,85.22,85.42</v>
      </c>
      <c r="G656" s="25" t="str">
        <f>ЛИК_дляСкорингаДП!AG656</f>
        <v>УСН</v>
      </c>
      <c r="H656" s="55" t="str">
        <f>IF(ISNUMBER(E656),E656,
IFERROR(LEFT(E656,FIND(".",E656)-1),E656))</f>
        <v>82</v>
      </c>
      <c r="I656" s="30">
        <f>IF(COUNTIF(Справочник_ОКВЭД_НР!$A$3:$A$62,H656)&gt;0,Справочник_ОКВЭД_НР!$L$8,
 IF(COUNTIF(Справочник_ОКВЭД_НР!$C$3:$C$62,H656)&gt;0,Справочник_ОКВЭД_НР!$L$9,
  IF(COUNTIF(Справочник_ОКВЭД_НР!$E$3:$E$62,H656)&gt;0,Справочник_ОКВЭД_НР!$L$10,
   IF(COUNTIF(Справочник_ОКВЭД_НР!$G$3:$G$62,H656)&gt;0,Справочник_ОКВЭД_НР!$L$11,50))))</f>
        <v>30</v>
      </c>
      <c r="J656" s="30" cm="1">
        <f t="array" ref="J656">IFERROR(
 (SUMPRODUCT(ISNUMBER(SEARCH(","&amp;Справочник_ОКВЭД_НР!$A$3:$A$62&amp;".",","&amp;SUBSTITUTE(F656," ","")&amp;",")))*Справочник_ОКВЭД_НР!$L$9 +
  SUMPRODUCT(ISNUMBER(SEARCH(","&amp;Справочник_ОКВЭД_НР!$C$3:$C$62&amp;".",","&amp;SUBSTITUTE(F656," ","")&amp;",")))*Справочник_ОКВЭД_НР!$L$10 +
  SUMPRODUCT(ISNUMBER(SEARCH(","&amp;Справочник_ОКВЭД_НР!$E$3:$E$62&amp;".",","&amp;SUBSTITUTE(F656," ","")&amp;",")))*Справочник_ОКВЭД_НР!$L$11 +
  SUMPRODUCT(ISNUMBER(SEARCH(","&amp;Справочник_ОКВЭД_НР!$G$3:$G$62&amp;".",","&amp;SUBSTITUTE(F656," ","")&amp;",")))*Справочник_ОКВЭД_НР!$L$12) /
 (SUMPRODUCT(ISNUMBER(SEARCH(","&amp;Справочник_ОКВЭД_НР!$A$3:$A$62&amp;".",","&amp;SUBSTITUTE(F656," ","")&amp;","))) +
  SUMPRODUCT(ISNUMBER(SEARCH(","&amp;Справочник_ОКВЭД_НР!$C$3:$C$62&amp;".",","&amp;SUBSTITUTE(F656," ","")&amp;","))) +
  SUMPRODUCT(ISNUMBER(SEARCH(","&amp;Справочник_ОКВЭД_НР!$E$3:$E$62&amp;".",","&amp;SUBSTITUTE(F656," ","")&amp;","))) +
  SUMPRODUCT(ISNUMBER(SEARCH(","&amp;Справочник_ОКВЭД_НР!$G$3:$G$62&amp;".",","&amp;SUBSTITUTE(F656," ","")&amp;",")))),
50)</f>
        <v>50</v>
      </c>
      <c r="K656" s="30">
        <f>IFERROR(VLOOKUP(G656,Справочник_ОКВЭД_НР!$O:$P,2,FALSE()),50)</f>
        <v>50</v>
      </c>
      <c r="L656" s="45">
        <f>(I656*Справочник_ОКВЭД_НР!$L$2+J656*Справочник_ОКВЭД_НР!$L$3+K656*Справочник_ОКВЭД_НР!$L$4)*M656</f>
        <v>38</v>
      </c>
      <c r="M656" s="47">
        <f>IF(COUNTIF(Справочник_ОКВЭД_НР!$G$3:$G$62,H656)&gt;0,0,1)</f>
        <v>1</v>
      </c>
    </row>
    <row r="657" spans="1:13" x14ac:dyDescent="0.25">
      <c r="A657" s="4">
        <f>ЛИК_дляСкорингаДП!A657</f>
        <v>1025003208702</v>
      </c>
      <c r="B657" s="4">
        <f>ЛИК_дляСкорингаДП!B657</f>
        <v>5027088964</v>
      </c>
      <c r="C657" s="4" t="str">
        <f>ЛИК_дляСкорингаДП!C657</f>
        <v>ООО "ВИЗАВИ"</v>
      </c>
      <c r="D657" s="5" t="str">
        <f>ЛИК_дляСкорингаДП!M657</f>
        <v>Стоматологическая практика</v>
      </c>
      <c r="E657" s="4" t="str">
        <f>ЛИК_дляСкорингаДП!L657</f>
        <v>86.23</v>
      </c>
      <c r="F657" t="str">
        <f>ЛИК_дляСкорингаДП!N657</f>
        <v>46.46,46.49,47.75,47.78.9,74.20,74.30,79.1,82.19,82.92,82.99</v>
      </c>
      <c r="G657" s="25" t="str">
        <f>ЛИК_дляСкорингаДП!AG657</f>
        <v>УСН</v>
      </c>
      <c r="H657" s="55" t="str">
        <f>IF(ISNUMBER(E657),E657,
IFERROR(LEFT(E657,FIND(".",E657)-1),E657))</f>
        <v>86</v>
      </c>
      <c r="I657" s="30">
        <f>IF(COUNTIF(Справочник_ОКВЭД_НР!$A$3:$A$62,H657)&gt;0,Справочник_ОКВЭД_НР!$L$8,
 IF(COUNTIF(Справочник_ОКВЭД_НР!$C$3:$C$62,H657)&gt;0,Справочник_ОКВЭД_НР!$L$9,
  IF(COUNTIF(Справочник_ОКВЭД_НР!$E$3:$E$62,H657)&gt;0,Справочник_ОКВЭД_НР!$L$10,
   IF(COUNTIF(Справочник_ОКВЭД_НР!$G$3:$G$62,H657)&gt;0,Справочник_ОКВЭД_НР!$L$11,50))))</f>
        <v>100</v>
      </c>
      <c r="J657" s="30" cm="1">
        <f t="array" ref="J657">IFERROR(
 (SUMPRODUCT(ISNUMBER(SEARCH(","&amp;Справочник_ОКВЭД_НР!$A$3:$A$62&amp;".",","&amp;SUBSTITUTE(F657," ","")&amp;",")))*Справочник_ОКВЭД_НР!$L$9 +
  SUMPRODUCT(ISNUMBER(SEARCH(","&amp;Справочник_ОКВЭД_НР!$C$3:$C$62&amp;".",","&amp;SUBSTITUTE(F657," ","")&amp;",")))*Справочник_ОКВЭД_НР!$L$10 +
  SUMPRODUCT(ISNUMBER(SEARCH(","&amp;Справочник_ОКВЭД_НР!$E$3:$E$62&amp;".",","&amp;SUBSTITUTE(F657," ","")&amp;",")))*Справочник_ОКВЭД_НР!$L$11 +
  SUMPRODUCT(ISNUMBER(SEARCH(","&amp;Справочник_ОКВЭД_НР!$G$3:$G$62&amp;".",","&amp;SUBSTITUTE(F657," ","")&amp;",")))*Справочник_ОКВЭД_НР!$L$12) /
 (SUMPRODUCT(ISNUMBER(SEARCH(","&amp;Справочник_ОКВЭД_НР!$A$3:$A$62&amp;".",","&amp;SUBSTITUTE(F657," ","")&amp;","))) +
  SUMPRODUCT(ISNUMBER(SEARCH(","&amp;Справочник_ОКВЭД_НР!$C$3:$C$62&amp;".",","&amp;SUBSTITUTE(F657," ","")&amp;","))) +
  SUMPRODUCT(ISNUMBER(SEARCH(","&amp;Справочник_ОКВЭД_НР!$E$3:$E$62&amp;".",","&amp;SUBSTITUTE(F657," ","")&amp;","))) +
  SUMPRODUCT(ISNUMBER(SEARCH(","&amp;Справочник_ОКВЭД_НР!$G$3:$G$62&amp;".",","&amp;SUBSTITUTE(F657," ","")&amp;",")))),
50)</f>
        <v>50</v>
      </c>
      <c r="K657" s="30">
        <f>IFERROR(VLOOKUP(G657,Справочник_ОКВЭД_НР!$O:$P,2,FALSE()),50)</f>
        <v>50</v>
      </c>
      <c r="L657" s="45">
        <f>(I657*Справочник_ОКВЭД_НР!$L$2+J657*Справочник_ОКВЭД_НР!$L$3+K657*Справочник_ОКВЭД_НР!$L$4)*M657</f>
        <v>80</v>
      </c>
      <c r="M657" s="47">
        <f>IF(COUNTIF(Справочник_ОКВЭД_НР!$G$3:$G$62,H657)&gt;0,0,1)</f>
        <v>1</v>
      </c>
    </row>
    <row r="658" spans="1:13" x14ac:dyDescent="0.25">
      <c r="A658" s="4">
        <f>ЛИК_дляСкорингаДП!A658</f>
        <v>1025002881474</v>
      </c>
      <c r="B658" s="4">
        <f>ЛИК_дляСкорингаДП!B658</f>
        <v>5024039775</v>
      </c>
      <c r="C658" s="4" t="str">
        <f>ЛИК_дляСкорингаДП!C658</f>
        <v>ООО "АГРОСТРОЙКОМПЛЕКС"</v>
      </c>
      <c r="D658" s="5" t="str">
        <f>ЛИК_дляСкорингаДП!M658</f>
        <v>Аренда и управление собственным или арендованным недвижимым имуществом</v>
      </c>
      <c r="E658" s="4" t="str">
        <f>ЛИК_дляСкорингаДП!L658</f>
        <v>68.2</v>
      </c>
      <c r="F658">
        <f>ЛИК_дляСкорингаДП!N658</f>
        <v>0</v>
      </c>
      <c r="G658" s="25" t="str">
        <f>ЛИК_дляСкорингаДП!AG658</f>
        <v>УСН</v>
      </c>
      <c r="H658" s="55" t="str">
        <f>IF(ISNUMBER(E658),E658,
IFERROR(LEFT(E658,FIND(".",E658)-1),E658))</f>
        <v>68</v>
      </c>
      <c r="I658" s="30">
        <f>IF(COUNTIF(Справочник_ОКВЭД_НР!$A$3:$A$62,H658)&gt;0,Справочник_ОКВЭД_НР!$L$8,
 IF(COUNTIF(Справочник_ОКВЭД_НР!$C$3:$C$62,H658)&gt;0,Справочник_ОКВЭД_НР!$L$9,
  IF(COUNTIF(Справочник_ОКВЭД_НР!$E$3:$E$62,H658)&gt;0,Справочник_ОКВЭД_НР!$L$10,
   IF(COUNTIF(Справочник_ОКВЭД_НР!$G$3:$G$62,H658)&gt;0,Справочник_ОКВЭД_НР!$L$11,50))))</f>
        <v>100</v>
      </c>
      <c r="J658" s="30" cm="1">
        <f t="array" ref="J658">IFERROR(
 (SUMPRODUCT(ISNUMBER(SEARCH(","&amp;Справочник_ОКВЭД_НР!$A$3:$A$62&amp;".",","&amp;SUBSTITUTE(F658," ","")&amp;",")))*Справочник_ОКВЭД_НР!$L$9 +
  SUMPRODUCT(ISNUMBER(SEARCH(","&amp;Справочник_ОКВЭД_НР!$C$3:$C$62&amp;".",","&amp;SUBSTITUTE(F658," ","")&amp;",")))*Справочник_ОКВЭД_НР!$L$10 +
  SUMPRODUCT(ISNUMBER(SEARCH(","&amp;Справочник_ОКВЭД_НР!$E$3:$E$62&amp;".",","&amp;SUBSTITUTE(F658," ","")&amp;",")))*Справочник_ОКВЭД_НР!$L$11 +
  SUMPRODUCT(ISNUMBER(SEARCH(","&amp;Справочник_ОКВЭД_НР!$G$3:$G$62&amp;".",","&amp;SUBSTITUTE(F658," ","")&amp;",")))*Справочник_ОКВЭД_НР!$L$12) /
 (SUMPRODUCT(ISNUMBER(SEARCH(","&amp;Справочник_ОКВЭД_НР!$A$3:$A$62&amp;".",","&amp;SUBSTITUTE(F658," ","")&amp;","))) +
  SUMPRODUCT(ISNUMBER(SEARCH(","&amp;Справочник_ОКВЭД_НР!$C$3:$C$62&amp;".",","&amp;SUBSTITUTE(F658," ","")&amp;","))) +
  SUMPRODUCT(ISNUMBER(SEARCH(","&amp;Справочник_ОКВЭД_НР!$E$3:$E$62&amp;".",","&amp;SUBSTITUTE(F658," ","")&amp;","))) +
  SUMPRODUCT(ISNUMBER(SEARCH(","&amp;Справочник_ОКВЭД_НР!$G$3:$G$62&amp;".",","&amp;SUBSTITUTE(F658," ","")&amp;",")))),
50)</f>
        <v>50</v>
      </c>
      <c r="K658" s="30">
        <f>IFERROR(VLOOKUP(G658,Справочник_ОКВЭД_НР!$O:$P,2,FALSE()),50)</f>
        <v>50</v>
      </c>
      <c r="L658" s="45">
        <f>(I658*Справочник_ОКВЭД_НР!$L$2+J658*Справочник_ОКВЭД_НР!$L$3+K658*Справочник_ОКВЭД_НР!$L$4)*M658</f>
        <v>80</v>
      </c>
      <c r="M658" s="47">
        <f>IF(COUNTIF(Справочник_ОКВЭД_НР!$G$3:$G$62,H658)&gt;0,0,1)</f>
        <v>1</v>
      </c>
    </row>
    <row r="659" spans="1:13" x14ac:dyDescent="0.25">
      <c r="A659" s="4">
        <f>ЛИК_дляСкорингаДП!A659</f>
        <v>1025002027412</v>
      </c>
      <c r="B659" s="4">
        <f>ЛИК_дляСкорингаДП!B659</f>
        <v>5018022276</v>
      </c>
      <c r="C659" s="4" t="str">
        <f>ЛИК_дляСкорингаДП!C659</f>
        <v>ООО "ДОМ"</v>
      </c>
      <c r="D659" s="5" t="str">
        <f>ЛИК_дляСкорингаДП!M659</f>
        <v>Торговля розничная прочая в неспециализированных магазинах</v>
      </c>
      <c r="E659" s="4" t="str">
        <f>ЛИК_дляСкорингаДП!L659</f>
        <v>47.19</v>
      </c>
      <c r="F659" t="str">
        <f>ЛИК_дляСкорингаДП!N659</f>
        <v>46.49,47.52,47.7,47.9,52.10,52.29,68.10,68.10.1,68.20,68.31,68.32,69.10,69.20</v>
      </c>
      <c r="G659" s="25" t="str">
        <f>ЛИК_дляСкорингаДП!AG659</f>
        <v>УСН</v>
      </c>
      <c r="H659" s="55" t="str">
        <f>IF(ISNUMBER(E659),E659,
IFERROR(LEFT(E659,FIND(".",E659)-1),E659))</f>
        <v>47</v>
      </c>
      <c r="I659" s="30">
        <f>IF(COUNTIF(Справочник_ОКВЭД_НР!$A$3:$A$62,H659)&gt;0,Справочник_ОКВЭД_НР!$L$8,
 IF(COUNTIF(Справочник_ОКВЭД_НР!$C$3:$C$62,H659)&gt;0,Справочник_ОКВЭД_НР!$L$9,
  IF(COUNTIF(Справочник_ОКВЭД_НР!$E$3:$E$62,H659)&gt;0,Справочник_ОКВЭД_НР!$L$10,
   IF(COUNTIF(Справочник_ОКВЭД_НР!$G$3:$G$62,H659)&gt;0,Справочник_ОКВЭД_НР!$L$11,50))))</f>
        <v>60</v>
      </c>
      <c r="J659" s="30" cm="1">
        <f t="array" ref="J659">IFERROR(
 (SUMPRODUCT(ISNUMBER(SEARCH(","&amp;Справочник_ОКВЭД_НР!$A$3:$A$62&amp;".",","&amp;SUBSTITUTE(F659," ","")&amp;",")))*Справочник_ОКВЭД_НР!$L$9 +
  SUMPRODUCT(ISNUMBER(SEARCH(","&amp;Справочник_ОКВЭД_НР!$C$3:$C$62&amp;".",","&amp;SUBSTITUTE(F659," ","")&amp;",")))*Справочник_ОКВЭД_НР!$L$10 +
  SUMPRODUCT(ISNUMBER(SEARCH(","&amp;Справочник_ОКВЭД_НР!$E$3:$E$62&amp;".",","&amp;SUBSTITUTE(F659," ","")&amp;",")))*Справочник_ОКВЭД_НР!$L$11 +
  SUMPRODUCT(ISNUMBER(SEARCH(","&amp;Справочник_ОКВЭД_НР!$G$3:$G$62&amp;".",","&amp;SUBSTITUTE(F659," ","")&amp;",")))*Справочник_ОКВЭД_НР!$L$12) /
 (SUMPRODUCT(ISNUMBER(SEARCH(","&amp;Справочник_ОКВЭД_НР!$A$3:$A$62&amp;".",","&amp;SUBSTITUTE(F659," ","")&amp;","))) +
  SUMPRODUCT(ISNUMBER(SEARCH(","&amp;Справочник_ОКВЭД_НР!$C$3:$C$62&amp;".",","&amp;SUBSTITUTE(F659," ","")&amp;","))) +
  SUMPRODUCT(ISNUMBER(SEARCH(","&amp;Справочник_ОКВЭД_НР!$E$3:$E$62&amp;".",","&amp;SUBSTITUTE(F659," ","")&amp;","))) +
  SUMPRODUCT(ISNUMBER(SEARCH(","&amp;Справочник_ОКВЭД_НР!$G$3:$G$62&amp;".",","&amp;SUBSTITUTE(F659," ","")&amp;",")))),
50)</f>
        <v>50</v>
      </c>
      <c r="K659" s="30">
        <f>IFERROR(VLOOKUP(G659,Справочник_ОКВЭД_НР!$O:$P,2,FALSE()),50)</f>
        <v>50</v>
      </c>
      <c r="L659" s="45">
        <f>(I659*Справочник_ОКВЭД_НР!$L$2+J659*Справочник_ОКВЭД_НР!$L$3+K659*Справочник_ОКВЭД_НР!$L$4)*M659</f>
        <v>56</v>
      </c>
      <c r="M659" s="47">
        <f>IF(COUNTIF(Справочник_ОКВЭД_НР!$G$3:$G$62,H659)&gt;0,0,1)</f>
        <v>1</v>
      </c>
    </row>
    <row r="660" spans="1:13" x14ac:dyDescent="0.25">
      <c r="A660" s="4">
        <f>ЛИК_дляСкорингаДП!A660</f>
        <v>1097746125630</v>
      </c>
      <c r="B660" s="4">
        <f>ЛИК_дляСкорингаДП!B660</f>
        <v>7720654730</v>
      </c>
      <c r="C660" s="4" t="str">
        <f>ЛИК_дляСкорингаДП!C660</f>
        <v>ООО "МК "АРТ - ЦЕНТР ПЛЮС"</v>
      </c>
      <c r="D660" s="5" t="str">
        <f>ЛИК_дляСкорингаДП!M660</f>
        <v>Деятельность информационных агентств</v>
      </c>
      <c r="E660" s="4" t="str">
        <f>ЛИК_дляСкорингаДП!L660</f>
        <v>63.91</v>
      </c>
      <c r="F660" t="str">
        <f>ЛИК_дляСкорингаДП!N660</f>
        <v>18.11,58.11.1,58.13,59.20,63.11,63.11.1,63.99,70.22,72.19,79.11,79.90.3,82.30,85.41.9,90.01,90.03</v>
      </c>
      <c r="G660" s="25" t="str">
        <f>ЛИК_дляСкорингаДП!AG660</f>
        <v>УСН</v>
      </c>
      <c r="H660" s="55" t="str">
        <f>IF(ISNUMBER(E660),E660,
IFERROR(LEFT(E660,FIND(".",E660)-1),E660))</f>
        <v>63</v>
      </c>
      <c r="I660" s="30">
        <f>IF(COUNTIF(Справочник_ОКВЭД_НР!$A$3:$A$62,H660)&gt;0,Справочник_ОКВЭД_НР!$L$8,
 IF(COUNTIF(Справочник_ОКВЭД_НР!$C$3:$C$62,H660)&gt;0,Справочник_ОКВЭД_НР!$L$9,
  IF(COUNTIF(Справочник_ОКВЭД_НР!$E$3:$E$62,H660)&gt;0,Справочник_ОКВЭД_НР!$L$10,
   IF(COUNTIF(Справочник_ОКВЭД_НР!$G$3:$G$62,H660)&gt;0,Справочник_ОКВЭД_НР!$L$11,50))))</f>
        <v>100</v>
      </c>
      <c r="J660" s="30" cm="1">
        <f t="array" ref="J660">IFERROR(
 (SUMPRODUCT(ISNUMBER(SEARCH(","&amp;Справочник_ОКВЭД_НР!$A$3:$A$62&amp;".",","&amp;SUBSTITUTE(F660," ","")&amp;",")))*Справочник_ОКВЭД_НР!$L$9 +
  SUMPRODUCT(ISNUMBER(SEARCH(","&amp;Справочник_ОКВЭД_НР!$C$3:$C$62&amp;".",","&amp;SUBSTITUTE(F660," ","")&amp;",")))*Справочник_ОКВЭД_НР!$L$10 +
  SUMPRODUCT(ISNUMBER(SEARCH(","&amp;Справочник_ОКВЭД_НР!$E$3:$E$62&amp;".",","&amp;SUBSTITUTE(F660," ","")&amp;",")))*Справочник_ОКВЭД_НР!$L$11 +
  SUMPRODUCT(ISNUMBER(SEARCH(","&amp;Справочник_ОКВЭД_НР!$G$3:$G$62&amp;".",","&amp;SUBSTITUTE(F660," ","")&amp;",")))*Справочник_ОКВЭД_НР!$L$12) /
 (SUMPRODUCT(ISNUMBER(SEARCH(","&amp;Справочник_ОКВЭД_НР!$A$3:$A$62&amp;".",","&amp;SUBSTITUTE(F660," ","")&amp;","))) +
  SUMPRODUCT(ISNUMBER(SEARCH(","&amp;Справочник_ОКВЭД_НР!$C$3:$C$62&amp;".",","&amp;SUBSTITUTE(F660," ","")&amp;","))) +
  SUMPRODUCT(ISNUMBER(SEARCH(","&amp;Справочник_ОКВЭД_НР!$E$3:$E$62&amp;".",","&amp;SUBSTITUTE(F660," ","")&amp;","))) +
  SUMPRODUCT(ISNUMBER(SEARCH(","&amp;Справочник_ОКВЭД_НР!$G$3:$G$62&amp;".",","&amp;SUBSTITUTE(F660," ","")&amp;",")))),
50)</f>
        <v>50</v>
      </c>
      <c r="K660" s="30">
        <f>IFERROR(VLOOKUP(G660,Справочник_ОКВЭД_НР!$O:$P,2,FALSE()),50)</f>
        <v>50</v>
      </c>
      <c r="L660" s="45">
        <f>(I660*Справочник_ОКВЭД_НР!$L$2+J660*Справочник_ОКВЭД_НР!$L$3+K660*Справочник_ОКВЭД_НР!$L$4)*M660</f>
        <v>80</v>
      </c>
      <c r="M660" s="47">
        <f>IF(COUNTIF(Справочник_ОКВЭД_НР!$G$3:$G$62,H660)&gt;0,0,1)</f>
        <v>1</v>
      </c>
    </row>
    <row r="661" spans="1:13" x14ac:dyDescent="0.25">
      <c r="A661" s="4">
        <f>ЛИК_дляСкорингаДП!A661</f>
        <v>1025003521234</v>
      </c>
      <c r="B661" s="4">
        <f>ЛИК_дляСкорингаДП!B661</f>
        <v>5029045691</v>
      </c>
      <c r="C661" s="4" t="str">
        <f>ЛИК_дляСкорингаДП!C661</f>
        <v>ООО "АНТЕЙ-98"</v>
      </c>
      <c r="D661" s="5" t="str">
        <f>ЛИК_дляСкорингаДП!M661</f>
        <v>Строительство жилых и нежилых зданий</v>
      </c>
      <c r="E661" s="4" t="str">
        <f>ЛИК_дляСкорингаДП!L661</f>
        <v>41.20</v>
      </c>
      <c r="F661" t="str">
        <f>ЛИК_дляСкорингаДП!N661</f>
        <v>16.23,16.29.1,42.99,43.39,52.10,52.29,68.2,68.20.2</v>
      </c>
      <c r="G661" s="25" t="str">
        <f>ЛИК_дляСкорингаДП!AG661</f>
        <v>УСН</v>
      </c>
      <c r="H661" s="55" t="str">
        <f>IF(ISNUMBER(E661),E661,
IFERROR(LEFT(E661,FIND(".",E661)-1),E661))</f>
        <v>41</v>
      </c>
      <c r="I661" s="30">
        <f>IF(COUNTIF(Справочник_ОКВЭД_НР!$A$3:$A$62,H661)&gt;0,Справочник_ОКВЭД_НР!$L$8,
 IF(COUNTIF(Справочник_ОКВЭД_НР!$C$3:$C$62,H661)&gt;0,Справочник_ОКВЭД_НР!$L$9,
  IF(COUNTIF(Справочник_ОКВЭД_НР!$E$3:$E$62,H661)&gt;0,Справочник_ОКВЭД_НР!$L$10,
   IF(COUNTIF(Справочник_ОКВЭД_НР!$G$3:$G$62,H661)&gt;0,Справочник_ОКВЭД_НР!$L$11,50))))</f>
        <v>100</v>
      </c>
      <c r="J661" s="30" cm="1">
        <f t="array" ref="J661">IFERROR(
 (SUMPRODUCT(ISNUMBER(SEARCH(","&amp;Справочник_ОКВЭД_НР!$A$3:$A$62&amp;".",","&amp;SUBSTITUTE(F661," ","")&amp;",")))*Справочник_ОКВЭД_НР!$L$9 +
  SUMPRODUCT(ISNUMBER(SEARCH(","&amp;Справочник_ОКВЭД_НР!$C$3:$C$62&amp;".",","&amp;SUBSTITUTE(F661," ","")&amp;",")))*Справочник_ОКВЭД_НР!$L$10 +
  SUMPRODUCT(ISNUMBER(SEARCH(","&amp;Справочник_ОКВЭД_НР!$E$3:$E$62&amp;".",","&amp;SUBSTITUTE(F661," ","")&amp;",")))*Справочник_ОКВЭД_НР!$L$11 +
  SUMPRODUCT(ISNUMBER(SEARCH(","&amp;Справочник_ОКВЭД_НР!$G$3:$G$62&amp;".",","&amp;SUBSTITUTE(F661," ","")&amp;",")))*Справочник_ОКВЭД_НР!$L$12) /
 (SUMPRODUCT(ISNUMBER(SEARCH(","&amp;Справочник_ОКВЭД_НР!$A$3:$A$62&amp;".",","&amp;SUBSTITUTE(F661," ","")&amp;","))) +
  SUMPRODUCT(ISNUMBER(SEARCH(","&amp;Справочник_ОКВЭД_НР!$C$3:$C$62&amp;".",","&amp;SUBSTITUTE(F661," ","")&amp;","))) +
  SUMPRODUCT(ISNUMBER(SEARCH(","&amp;Справочник_ОКВЭД_НР!$E$3:$E$62&amp;".",","&amp;SUBSTITUTE(F661," ","")&amp;","))) +
  SUMPRODUCT(ISNUMBER(SEARCH(","&amp;Справочник_ОКВЭД_НР!$G$3:$G$62&amp;".",","&amp;SUBSTITUTE(F661," ","")&amp;",")))),
50)</f>
        <v>50</v>
      </c>
      <c r="K661" s="30">
        <f>IFERROR(VLOOKUP(G661,Справочник_ОКВЭД_НР!$O:$P,2,FALSE()),50)</f>
        <v>50</v>
      </c>
      <c r="L661" s="45">
        <f>(I661*Справочник_ОКВЭД_НР!$L$2+J661*Справочник_ОКВЭД_НР!$L$3+K661*Справочник_ОКВЭД_НР!$L$4)*M661</f>
        <v>80</v>
      </c>
      <c r="M661" s="47">
        <f>IF(COUNTIF(Справочник_ОКВЭД_НР!$G$3:$G$62,H661)&gt;0,0,1)</f>
        <v>1</v>
      </c>
    </row>
    <row r="662" spans="1:13" x14ac:dyDescent="0.25">
      <c r="A662" s="4">
        <f>ЛИК_дляСкорингаДП!A662</f>
        <v>1055005105760</v>
      </c>
      <c r="B662" s="4">
        <f>ЛИК_дляСкорингаДП!B662</f>
        <v>5029027036</v>
      </c>
      <c r="C662" s="4" t="str">
        <f>ЛИК_дляСкорингаДП!C662</f>
        <v>ООО "ТРЕАЛ"</v>
      </c>
      <c r="D662" s="5" t="str">
        <f>ЛИК_дляСкорингаДП!M662</f>
        <v>Управление недвижимым имуществом за вознаграждение или на договорной основе</v>
      </c>
      <c r="E662" s="4" t="str">
        <f>ЛИК_дляСкорингаДП!L662</f>
        <v>68.32</v>
      </c>
      <c r="F662" t="str">
        <f>ЛИК_дляСкорингаДП!N662</f>
        <v>41.2,43.11,43.12,43.12.3,43.21,43.22,43.29,43.3,43.31,43.32,43.33,43.34.1,43.34.2,64.99,64.99.3,68.1,68.2,68.3,68.31</v>
      </c>
      <c r="G662" s="25" t="str">
        <f>ЛИК_дляСкорингаДП!AG662</f>
        <v>УСН</v>
      </c>
      <c r="H662" s="55" t="str">
        <f>IF(ISNUMBER(E662),E662,
IFERROR(LEFT(E662,FIND(".",E662)-1),E662))</f>
        <v>68</v>
      </c>
      <c r="I662" s="30">
        <f>IF(COUNTIF(Справочник_ОКВЭД_НР!$A$3:$A$62,H662)&gt;0,Справочник_ОКВЭД_НР!$L$8,
 IF(COUNTIF(Справочник_ОКВЭД_НР!$C$3:$C$62,H662)&gt;0,Справочник_ОКВЭД_НР!$L$9,
  IF(COUNTIF(Справочник_ОКВЭД_НР!$E$3:$E$62,H662)&gt;0,Справочник_ОКВЭД_НР!$L$10,
   IF(COUNTIF(Справочник_ОКВЭД_НР!$G$3:$G$62,H662)&gt;0,Справочник_ОКВЭД_НР!$L$11,50))))</f>
        <v>100</v>
      </c>
      <c r="J662" s="30" cm="1">
        <f t="array" ref="J662">IFERROR(
 (SUMPRODUCT(ISNUMBER(SEARCH(","&amp;Справочник_ОКВЭД_НР!$A$3:$A$62&amp;".",","&amp;SUBSTITUTE(F662," ","")&amp;",")))*Справочник_ОКВЭД_НР!$L$9 +
  SUMPRODUCT(ISNUMBER(SEARCH(","&amp;Справочник_ОКВЭД_НР!$C$3:$C$62&amp;".",","&amp;SUBSTITUTE(F662," ","")&amp;",")))*Справочник_ОКВЭД_НР!$L$10 +
  SUMPRODUCT(ISNUMBER(SEARCH(","&amp;Справочник_ОКВЭД_НР!$E$3:$E$62&amp;".",","&amp;SUBSTITUTE(F662," ","")&amp;",")))*Справочник_ОКВЭД_НР!$L$11 +
  SUMPRODUCT(ISNUMBER(SEARCH(","&amp;Справочник_ОКВЭД_НР!$G$3:$G$62&amp;".",","&amp;SUBSTITUTE(F662," ","")&amp;",")))*Справочник_ОКВЭД_НР!$L$12) /
 (SUMPRODUCT(ISNUMBER(SEARCH(","&amp;Справочник_ОКВЭД_НР!$A$3:$A$62&amp;".",","&amp;SUBSTITUTE(F662," ","")&amp;","))) +
  SUMPRODUCT(ISNUMBER(SEARCH(","&amp;Справочник_ОКВЭД_НР!$C$3:$C$62&amp;".",","&amp;SUBSTITUTE(F662," ","")&amp;","))) +
  SUMPRODUCT(ISNUMBER(SEARCH(","&amp;Справочник_ОКВЭД_НР!$E$3:$E$62&amp;".",","&amp;SUBSTITUTE(F662," ","")&amp;","))) +
  SUMPRODUCT(ISNUMBER(SEARCH(","&amp;Справочник_ОКВЭД_НР!$G$3:$G$62&amp;".",","&amp;SUBSTITUTE(F662," ","")&amp;",")))),
50)</f>
        <v>50</v>
      </c>
      <c r="K662" s="30">
        <f>IFERROR(VLOOKUP(G662,Справочник_ОКВЭД_НР!$O:$P,2,FALSE()),50)</f>
        <v>50</v>
      </c>
      <c r="L662" s="45">
        <f>(I662*Справочник_ОКВЭД_НР!$L$2+J662*Справочник_ОКВЭД_НР!$L$3+K662*Справочник_ОКВЭД_НР!$L$4)*M662</f>
        <v>80</v>
      </c>
      <c r="M662" s="47">
        <f>IF(COUNTIF(Справочник_ОКВЭД_НР!$G$3:$G$62,H662)&gt;0,0,1)</f>
        <v>1</v>
      </c>
    </row>
    <row r="663" spans="1:13" x14ac:dyDescent="0.25">
      <c r="A663" s="4">
        <f>ЛИК_дляСкорингаДП!A663</f>
        <v>1097746139853</v>
      </c>
      <c r="B663" s="4">
        <f>ЛИК_дляСкорингаДП!B663</f>
        <v>7720655187</v>
      </c>
      <c r="C663" s="4" t="str">
        <f>ЛИК_дляСкорингаДП!C663</f>
        <v>ООО "ПЯТЬ ЗВЕЗД"</v>
      </c>
      <c r="D663" s="5" t="str">
        <f>ЛИК_дляСкорингаДП!M663</f>
        <v>Деятельность по организации отдыха детей и их оздоровления</v>
      </c>
      <c r="E663" s="4" t="str">
        <f>ЛИК_дляСкорингаДП!L663</f>
        <v>85.41.91</v>
      </c>
      <c r="F663" t="str">
        <f>ЛИК_дляСкорингаДП!N663</f>
        <v>47.63.1,47.63.2,55.20,55.30,79.1,79.11,79.90.1,79.90.2,79.90.3,85.41,85.41.9,86.90.4,93.1,93.11,93.2,93.29,93.29.2,93.29.9</v>
      </c>
      <c r="G663" s="25" t="str">
        <f>ЛИК_дляСкорингаДП!AG663</f>
        <v>УСН</v>
      </c>
      <c r="H663" s="55" t="str">
        <f>IF(ISNUMBER(E663),E663,
IFERROR(LEFT(E663,FIND(".",E663)-1),E663))</f>
        <v>85</v>
      </c>
      <c r="I663" s="30">
        <f>IF(COUNTIF(Справочник_ОКВЭД_НР!$A$3:$A$62,H663)&gt;0,Справочник_ОКВЭД_НР!$L$8,
 IF(COUNTIF(Справочник_ОКВЭД_НР!$C$3:$C$62,H663)&gt;0,Справочник_ОКВЭД_НР!$L$9,
  IF(COUNTIF(Справочник_ОКВЭД_НР!$E$3:$E$62,H663)&gt;0,Справочник_ОКВЭД_НР!$L$10,
   IF(COUNTIF(Справочник_ОКВЭД_НР!$G$3:$G$62,H663)&gt;0,Справочник_ОКВЭД_НР!$L$11,50))))</f>
        <v>30</v>
      </c>
      <c r="J663" s="30" cm="1">
        <f t="array" ref="J663">IFERROR(
 (SUMPRODUCT(ISNUMBER(SEARCH(","&amp;Справочник_ОКВЭД_НР!$A$3:$A$62&amp;".",","&amp;SUBSTITUTE(F663," ","")&amp;",")))*Справочник_ОКВЭД_НР!$L$9 +
  SUMPRODUCT(ISNUMBER(SEARCH(","&amp;Справочник_ОКВЭД_НР!$C$3:$C$62&amp;".",","&amp;SUBSTITUTE(F663," ","")&amp;",")))*Справочник_ОКВЭД_НР!$L$10 +
  SUMPRODUCT(ISNUMBER(SEARCH(","&amp;Справочник_ОКВЭД_НР!$E$3:$E$62&amp;".",","&amp;SUBSTITUTE(F663," ","")&amp;",")))*Справочник_ОКВЭД_НР!$L$11 +
  SUMPRODUCT(ISNUMBER(SEARCH(","&amp;Справочник_ОКВЭД_НР!$G$3:$G$62&amp;".",","&amp;SUBSTITUTE(F663," ","")&amp;",")))*Справочник_ОКВЭД_НР!$L$12) /
 (SUMPRODUCT(ISNUMBER(SEARCH(","&amp;Справочник_ОКВЭД_НР!$A$3:$A$62&amp;".",","&amp;SUBSTITUTE(F663," ","")&amp;","))) +
  SUMPRODUCT(ISNUMBER(SEARCH(","&amp;Справочник_ОКВЭД_НР!$C$3:$C$62&amp;".",","&amp;SUBSTITUTE(F663," ","")&amp;","))) +
  SUMPRODUCT(ISNUMBER(SEARCH(","&amp;Справочник_ОКВЭД_НР!$E$3:$E$62&amp;".",","&amp;SUBSTITUTE(F663," ","")&amp;","))) +
  SUMPRODUCT(ISNUMBER(SEARCH(","&amp;Справочник_ОКВЭД_НР!$G$3:$G$62&amp;".",","&amp;SUBSTITUTE(F663," ","")&amp;",")))),
50)</f>
        <v>50</v>
      </c>
      <c r="K663" s="30">
        <f>IFERROR(VLOOKUP(G663,Справочник_ОКВЭД_НР!$O:$P,2,FALSE()),50)</f>
        <v>50</v>
      </c>
      <c r="L663" s="45">
        <f>(I663*Справочник_ОКВЭД_НР!$L$2+J663*Справочник_ОКВЭД_НР!$L$3+K663*Справочник_ОКВЭД_НР!$L$4)*M663</f>
        <v>38</v>
      </c>
      <c r="M663" s="47">
        <f>IF(COUNTIF(Справочник_ОКВЭД_НР!$G$3:$G$62,H663)&gt;0,0,1)</f>
        <v>1</v>
      </c>
    </row>
    <row r="664" spans="1:13" x14ac:dyDescent="0.25">
      <c r="A664" s="4">
        <f>ЛИК_дляСкорингаДП!A664</f>
        <v>1025002740003</v>
      </c>
      <c r="B664" s="4">
        <f>ЛИК_дляСкорингаДП!B664</f>
        <v>5070006502</v>
      </c>
      <c r="C664" s="4" t="str">
        <f>ЛИК_дляСкорингаДП!C664</f>
        <v>ООО ФИРМА "ГАЛАС"</v>
      </c>
      <c r="D664" s="5" t="str">
        <f>ЛИК_дляСкорингаДП!M664</f>
        <v>Разработка гравийных и песчаных карьеров, добыча глины и каолина</v>
      </c>
      <c r="E664" s="4" t="str">
        <f>ЛИК_дляСкорингаДП!L664</f>
        <v>08.12</v>
      </c>
      <c r="F664" t="str">
        <f>ЛИК_дляСкорингаДП!N664</f>
        <v>46.73,47.52.7,77.34</v>
      </c>
      <c r="G664" s="25" t="str">
        <f>ЛИК_дляСкорингаДП!AG664</f>
        <v>УСН</v>
      </c>
      <c r="H664" s="55" t="str">
        <f>IF(ISNUMBER(E664),E664,
IFERROR(LEFT(E664,FIND(".",E664)-1),E664))</f>
        <v>08</v>
      </c>
      <c r="I664" s="30">
        <f>IF(COUNTIF(Справочник_ОКВЭД_НР!$A$3:$A$62,H664)&gt;0,Справочник_ОКВЭД_НР!$L$8,
 IF(COUNTIF(Справочник_ОКВЭД_НР!$C$3:$C$62,H664)&gt;0,Справочник_ОКВЭД_НР!$L$9,
  IF(COUNTIF(Справочник_ОКВЭД_НР!$E$3:$E$62,H664)&gt;0,Справочник_ОКВЭД_НР!$L$10,
   IF(COUNTIF(Справочник_ОКВЭД_НР!$G$3:$G$62,H664)&gt;0,Справочник_ОКВЭД_НР!$L$11,50))))</f>
        <v>60</v>
      </c>
      <c r="J664" s="30" cm="1">
        <f t="array" ref="J664">IFERROR(
 (SUMPRODUCT(ISNUMBER(SEARCH(","&amp;Справочник_ОКВЭД_НР!$A$3:$A$62&amp;".",","&amp;SUBSTITUTE(F664," ","")&amp;",")))*Справочник_ОКВЭД_НР!$L$9 +
  SUMPRODUCT(ISNUMBER(SEARCH(","&amp;Справочник_ОКВЭД_НР!$C$3:$C$62&amp;".",","&amp;SUBSTITUTE(F664," ","")&amp;",")))*Справочник_ОКВЭД_НР!$L$10 +
  SUMPRODUCT(ISNUMBER(SEARCH(","&amp;Справочник_ОКВЭД_НР!$E$3:$E$62&amp;".",","&amp;SUBSTITUTE(F664," ","")&amp;",")))*Справочник_ОКВЭД_НР!$L$11 +
  SUMPRODUCT(ISNUMBER(SEARCH(","&amp;Справочник_ОКВЭД_НР!$G$3:$G$62&amp;".",","&amp;SUBSTITUTE(F664," ","")&amp;",")))*Справочник_ОКВЭД_НР!$L$12) /
 (SUMPRODUCT(ISNUMBER(SEARCH(","&amp;Справочник_ОКВЭД_НР!$A$3:$A$62&amp;".",","&amp;SUBSTITUTE(F664," ","")&amp;","))) +
  SUMPRODUCT(ISNUMBER(SEARCH(","&amp;Справочник_ОКВЭД_НР!$C$3:$C$62&amp;".",","&amp;SUBSTITUTE(F664," ","")&amp;","))) +
  SUMPRODUCT(ISNUMBER(SEARCH(","&amp;Справочник_ОКВЭД_НР!$E$3:$E$62&amp;".",","&amp;SUBSTITUTE(F664," ","")&amp;","))) +
  SUMPRODUCT(ISNUMBER(SEARCH(","&amp;Справочник_ОКВЭД_НР!$G$3:$G$62&amp;".",","&amp;SUBSTITUTE(F664," ","")&amp;",")))),
50)</f>
        <v>50</v>
      </c>
      <c r="K664" s="30">
        <f>IFERROR(VLOOKUP(G664,Справочник_ОКВЭД_НР!$O:$P,2,FALSE()),50)</f>
        <v>50</v>
      </c>
      <c r="L664" s="45">
        <f>(I664*Справочник_ОКВЭД_НР!$L$2+J664*Справочник_ОКВЭД_НР!$L$3+K664*Справочник_ОКВЭД_НР!$L$4)*M664</f>
        <v>56</v>
      </c>
      <c r="M664" s="47">
        <f>IF(COUNTIF(Справочник_ОКВЭД_НР!$G$3:$G$62,H664)&gt;0,0,1)</f>
        <v>1</v>
      </c>
    </row>
    <row r="665" spans="1:13" x14ac:dyDescent="0.25">
      <c r="A665" s="4">
        <f>ЛИК_дляСкорингаДП!A665</f>
        <v>1097746190035</v>
      </c>
      <c r="B665" s="4">
        <f>ЛИК_дляСкорингаДП!B665</f>
        <v>7713684500</v>
      </c>
      <c r="C665" s="4" t="str">
        <f>ЛИК_дляСкорингаДП!C665</f>
        <v>ООО "СВ ГРАУНД"</v>
      </c>
      <c r="D665" s="5" t="str">
        <f>ЛИК_дляСкорингаДП!M665</f>
        <v>Деятельность полиграфическая и предоставление услуг в этой области</v>
      </c>
      <c r="E665" s="4" t="str">
        <f>ЛИК_дляСкорингаДП!L665</f>
        <v>18.1</v>
      </c>
      <c r="F665" t="str">
        <f>ЛИК_дляСкорингаДП!N665</f>
        <v>46.1,46.4,46.9,47.5,58,69,72.1,73.1,74.20,74.30,82.92</v>
      </c>
      <c r="G665" s="25" t="str">
        <f>ЛИК_дляСкорингаДП!AG665</f>
        <v>УСН</v>
      </c>
      <c r="H665" s="55" t="str">
        <f>IF(ISNUMBER(E665),E665,
IFERROR(LEFT(E665,FIND(".",E665)-1),E665))</f>
        <v>18</v>
      </c>
      <c r="I665" s="30">
        <f>IF(COUNTIF(Справочник_ОКВЭД_НР!$A$3:$A$62,H665)&gt;0,Справочник_ОКВЭД_НР!$L$8,
 IF(COUNTIF(Справочник_ОКВЭД_НР!$C$3:$C$62,H665)&gt;0,Справочник_ОКВЭД_НР!$L$9,
  IF(COUNTIF(Справочник_ОКВЭД_НР!$E$3:$E$62,H665)&gt;0,Справочник_ОКВЭД_НР!$L$10,
   IF(COUNTIF(Справочник_ОКВЭД_НР!$G$3:$G$62,H665)&gt;0,Справочник_ОКВЭД_НР!$L$11,50))))</f>
        <v>30</v>
      </c>
      <c r="J665" s="30" cm="1">
        <f t="array" ref="J665">IFERROR(
 (SUMPRODUCT(ISNUMBER(SEARCH(","&amp;Справочник_ОКВЭД_НР!$A$3:$A$62&amp;".",","&amp;SUBSTITUTE(F665," ","")&amp;",")))*Справочник_ОКВЭД_НР!$L$9 +
  SUMPRODUCT(ISNUMBER(SEARCH(","&amp;Справочник_ОКВЭД_НР!$C$3:$C$62&amp;".",","&amp;SUBSTITUTE(F665," ","")&amp;",")))*Справочник_ОКВЭД_НР!$L$10 +
  SUMPRODUCT(ISNUMBER(SEARCH(","&amp;Справочник_ОКВЭД_НР!$E$3:$E$62&amp;".",","&amp;SUBSTITUTE(F665," ","")&amp;",")))*Справочник_ОКВЭД_НР!$L$11 +
  SUMPRODUCT(ISNUMBER(SEARCH(","&amp;Справочник_ОКВЭД_НР!$G$3:$G$62&amp;".",","&amp;SUBSTITUTE(F665," ","")&amp;",")))*Справочник_ОКВЭД_НР!$L$12) /
 (SUMPRODUCT(ISNUMBER(SEARCH(","&amp;Справочник_ОКВЭД_НР!$A$3:$A$62&amp;".",","&amp;SUBSTITUTE(F665," ","")&amp;","))) +
  SUMPRODUCT(ISNUMBER(SEARCH(","&amp;Справочник_ОКВЭД_НР!$C$3:$C$62&amp;".",","&amp;SUBSTITUTE(F665," ","")&amp;","))) +
  SUMPRODUCT(ISNUMBER(SEARCH(","&amp;Справочник_ОКВЭД_НР!$E$3:$E$62&amp;".",","&amp;SUBSTITUTE(F665," ","")&amp;","))) +
  SUMPRODUCT(ISNUMBER(SEARCH(","&amp;Справочник_ОКВЭД_НР!$G$3:$G$62&amp;".",","&amp;SUBSTITUTE(F665," ","")&amp;",")))),
50)</f>
        <v>50</v>
      </c>
      <c r="K665" s="30">
        <f>IFERROR(VLOOKUP(G665,Справочник_ОКВЭД_НР!$O:$P,2,FALSE()),50)</f>
        <v>50</v>
      </c>
      <c r="L665" s="45">
        <f>(I665*Справочник_ОКВЭД_НР!$L$2+J665*Справочник_ОКВЭД_НР!$L$3+K665*Справочник_ОКВЭД_НР!$L$4)*M665</f>
        <v>38</v>
      </c>
      <c r="M665" s="47">
        <f>IF(COUNTIF(Справочник_ОКВЭД_НР!$G$3:$G$62,H665)&gt;0,0,1)</f>
        <v>1</v>
      </c>
    </row>
    <row r="666" spans="1:13" x14ac:dyDescent="0.25">
      <c r="A666" s="4">
        <f>ЛИК_дляСкорингаДП!A666</f>
        <v>1025002039688</v>
      </c>
      <c r="B666" s="4">
        <f>ЛИК_дляСкорингаДП!B666</f>
        <v>5018055433</v>
      </c>
      <c r="C666" s="4" t="str">
        <f>ЛИК_дляСкорингаДП!C666</f>
        <v>ООО "ПЛ"</v>
      </c>
      <c r="D666" s="5" t="str">
        <f>ЛИК_дляСкорингаДП!M666</f>
        <v>Аренда и управление собственным или арендованным нежилым недвижимым имуществом</v>
      </c>
      <c r="E666" s="4" t="str">
        <f>ЛИК_дляСкорингаДП!L666</f>
        <v>68.20.2</v>
      </c>
      <c r="F666" t="str">
        <f>ЛИК_дляСкорингаДП!N666</f>
        <v>46.17.1,46.17.2,46.17.21,46.17.22,46.17.23,46.17.3,47.25,47.25.1,47.78.9,56.10,56.10.1,56.10.3,56.30,92.1,93.29.2,93.29.9</v>
      </c>
      <c r="G666" s="25" t="str">
        <f>ЛИК_дляСкорингаДП!AG666</f>
        <v>УСН</v>
      </c>
      <c r="H666" s="55" t="str">
        <f>IF(ISNUMBER(E666),E666,
IFERROR(LEFT(E666,FIND(".",E666)-1),E666))</f>
        <v>68</v>
      </c>
      <c r="I666" s="30">
        <f>IF(COUNTIF(Справочник_ОКВЭД_НР!$A$3:$A$62,H666)&gt;0,Справочник_ОКВЭД_НР!$L$8,
 IF(COUNTIF(Справочник_ОКВЭД_НР!$C$3:$C$62,H666)&gt;0,Справочник_ОКВЭД_НР!$L$9,
  IF(COUNTIF(Справочник_ОКВЭД_НР!$E$3:$E$62,H666)&gt;0,Справочник_ОКВЭД_НР!$L$10,
   IF(COUNTIF(Справочник_ОКВЭД_НР!$G$3:$G$62,H666)&gt;0,Справочник_ОКВЭД_НР!$L$11,50))))</f>
        <v>100</v>
      </c>
      <c r="J666" s="30" cm="1">
        <f t="array" ref="J666">IFERROR(
 (SUMPRODUCT(ISNUMBER(SEARCH(","&amp;Справочник_ОКВЭД_НР!$A$3:$A$62&amp;".",","&amp;SUBSTITUTE(F666," ","")&amp;",")))*Справочник_ОКВЭД_НР!$L$9 +
  SUMPRODUCT(ISNUMBER(SEARCH(","&amp;Справочник_ОКВЭД_НР!$C$3:$C$62&amp;".",","&amp;SUBSTITUTE(F666," ","")&amp;",")))*Справочник_ОКВЭД_НР!$L$10 +
  SUMPRODUCT(ISNUMBER(SEARCH(","&amp;Справочник_ОКВЭД_НР!$E$3:$E$62&amp;".",","&amp;SUBSTITUTE(F666," ","")&amp;",")))*Справочник_ОКВЭД_НР!$L$11 +
  SUMPRODUCT(ISNUMBER(SEARCH(","&amp;Справочник_ОКВЭД_НР!$G$3:$G$62&amp;".",","&amp;SUBSTITUTE(F666," ","")&amp;",")))*Справочник_ОКВЭД_НР!$L$12) /
 (SUMPRODUCT(ISNUMBER(SEARCH(","&amp;Справочник_ОКВЭД_НР!$A$3:$A$62&amp;".",","&amp;SUBSTITUTE(F666," ","")&amp;","))) +
  SUMPRODUCT(ISNUMBER(SEARCH(","&amp;Справочник_ОКВЭД_НР!$C$3:$C$62&amp;".",","&amp;SUBSTITUTE(F666," ","")&amp;","))) +
  SUMPRODUCT(ISNUMBER(SEARCH(","&amp;Справочник_ОКВЭД_НР!$E$3:$E$62&amp;".",","&amp;SUBSTITUTE(F666," ","")&amp;","))) +
  SUMPRODUCT(ISNUMBER(SEARCH(","&amp;Справочник_ОКВЭД_НР!$G$3:$G$62&amp;".",","&amp;SUBSTITUTE(F666," ","")&amp;",")))),
50)</f>
        <v>50</v>
      </c>
      <c r="K666" s="30">
        <f>IFERROR(VLOOKUP(G666,Справочник_ОКВЭД_НР!$O:$P,2,FALSE()),50)</f>
        <v>50</v>
      </c>
      <c r="L666" s="45">
        <f>(I666*Справочник_ОКВЭД_НР!$L$2+J666*Справочник_ОКВЭД_НР!$L$3+K666*Справочник_ОКВЭД_НР!$L$4)*M666</f>
        <v>80</v>
      </c>
      <c r="M666" s="47">
        <f>IF(COUNTIF(Справочник_ОКВЭД_НР!$G$3:$G$62,H666)&gt;0,0,1)</f>
        <v>1</v>
      </c>
    </row>
    <row r="667" spans="1:13" x14ac:dyDescent="0.25">
      <c r="A667" s="4">
        <f>ЛИК_дляСкорингаДП!A667</f>
        <v>1055004218147</v>
      </c>
      <c r="B667" s="4">
        <f>ЛИК_дляСкорингаДП!B667</f>
        <v>5024071480</v>
      </c>
      <c r="C667" s="4" t="str">
        <f>ЛИК_дляСкорингаДП!C667</f>
        <v>ООО "ПОДКОВА-ТЦ"</v>
      </c>
      <c r="D667" s="5" t="str">
        <f>ЛИК_дляСкорингаДП!M667</f>
        <v>Аренда и управление собственным или арендованным недвижимым имуществом</v>
      </c>
      <c r="E667" s="4" t="str">
        <f>ЛИК_дляСкорингаДП!L667</f>
        <v>68.20</v>
      </c>
      <c r="F667" t="str">
        <f>ЛИК_дляСкорингаДП!N667</f>
        <v>56.10,56.21,64.20,64.91,68.10,68.10.1,68.31.1,68.32,81.10</v>
      </c>
      <c r="G667" s="25" t="str">
        <f>ЛИК_дляСкорингаДП!AG667</f>
        <v>УСН</v>
      </c>
      <c r="H667" s="55" t="str">
        <f>IF(ISNUMBER(E667),E667,
IFERROR(LEFT(E667,FIND(".",E667)-1),E667))</f>
        <v>68</v>
      </c>
      <c r="I667" s="30">
        <f>IF(COUNTIF(Справочник_ОКВЭД_НР!$A$3:$A$62,H667)&gt;0,Справочник_ОКВЭД_НР!$L$8,
 IF(COUNTIF(Справочник_ОКВЭД_НР!$C$3:$C$62,H667)&gt;0,Справочник_ОКВЭД_НР!$L$9,
  IF(COUNTIF(Справочник_ОКВЭД_НР!$E$3:$E$62,H667)&gt;0,Справочник_ОКВЭД_НР!$L$10,
   IF(COUNTIF(Справочник_ОКВЭД_НР!$G$3:$G$62,H667)&gt;0,Справочник_ОКВЭД_НР!$L$11,50))))</f>
        <v>100</v>
      </c>
      <c r="J667" s="30" cm="1">
        <f t="array" ref="J667">IFERROR(
 (SUMPRODUCT(ISNUMBER(SEARCH(","&amp;Справочник_ОКВЭД_НР!$A$3:$A$62&amp;".",","&amp;SUBSTITUTE(F667," ","")&amp;",")))*Справочник_ОКВЭД_НР!$L$9 +
  SUMPRODUCT(ISNUMBER(SEARCH(","&amp;Справочник_ОКВЭД_НР!$C$3:$C$62&amp;".",","&amp;SUBSTITUTE(F667," ","")&amp;",")))*Справочник_ОКВЭД_НР!$L$10 +
  SUMPRODUCT(ISNUMBER(SEARCH(","&amp;Справочник_ОКВЭД_НР!$E$3:$E$62&amp;".",","&amp;SUBSTITUTE(F667," ","")&amp;",")))*Справочник_ОКВЭД_НР!$L$11 +
  SUMPRODUCT(ISNUMBER(SEARCH(","&amp;Справочник_ОКВЭД_НР!$G$3:$G$62&amp;".",","&amp;SUBSTITUTE(F667," ","")&amp;",")))*Справочник_ОКВЭД_НР!$L$12) /
 (SUMPRODUCT(ISNUMBER(SEARCH(","&amp;Справочник_ОКВЭД_НР!$A$3:$A$62&amp;".",","&amp;SUBSTITUTE(F667," ","")&amp;","))) +
  SUMPRODUCT(ISNUMBER(SEARCH(","&amp;Справочник_ОКВЭД_НР!$C$3:$C$62&amp;".",","&amp;SUBSTITUTE(F667," ","")&amp;","))) +
  SUMPRODUCT(ISNUMBER(SEARCH(","&amp;Справочник_ОКВЭД_НР!$E$3:$E$62&amp;".",","&amp;SUBSTITUTE(F667," ","")&amp;","))) +
  SUMPRODUCT(ISNUMBER(SEARCH(","&amp;Справочник_ОКВЭД_НР!$G$3:$G$62&amp;".",","&amp;SUBSTITUTE(F667," ","")&amp;",")))),
50)</f>
        <v>50</v>
      </c>
      <c r="K667" s="30">
        <f>IFERROR(VLOOKUP(G667,Справочник_ОКВЭД_НР!$O:$P,2,FALSE()),50)</f>
        <v>50</v>
      </c>
      <c r="L667" s="45">
        <f>(I667*Справочник_ОКВЭД_НР!$L$2+J667*Справочник_ОКВЭД_НР!$L$3+K667*Справочник_ОКВЭД_НР!$L$4)*M667</f>
        <v>80</v>
      </c>
      <c r="M667" s="47">
        <f>IF(COUNTIF(Справочник_ОКВЭД_НР!$G$3:$G$62,H667)&gt;0,0,1)</f>
        <v>1</v>
      </c>
    </row>
    <row r="668" spans="1:13" x14ac:dyDescent="0.25">
      <c r="A668" s="4">
        <f>ЛИК_дляСкорингаДП!A668</f>
        <v>1025003918830</v>
      </c>
      <c r="B668" s="4">
        <f>ЛИК_дляСкорингаДП!B668</f>
        <v>5031051357</v>
      </c>
      <c r="C668" s="4" t="str">
        <f>ЛИК_дляСкорингаДП!C668</f>
        <v>ООО "СТУДИЯ Д"</v>
      </c>
      <c r="D668" s="5" t="str">
        <f>ЛИК_дляСкорингаДП!M668</f>
        <v>Стоматологическая практика</v>
      </c>
      <c r="E668" s="4" t="str">
        <f>ЛИК_дляСкорингаДП!L668</f>
        <v>86.23</v>
      </c>
      <c r="F668" t="str">
        <f>ЛИК_дляСкорингаДП!N668</f>
        <v>46.90,47.19,52.10,86.21,86.90.9,96.04,96.09</v>
      </c>
      <c r="G668" s="25" t="str">
        <f>ЛИК_дляСкорингаДП!AG668</f>
        <v>УСН</v>
      </c>
      <c r="H668" s="55" t="str">
        <f>IF(ISNUMBER(E668),E668,
IFERROR(LEFT(E668,FIND(".",E668)-1),E668))</f>
        <v>86</v>
      </c>
      <c r="I668" s="30">
        <f>IF(COUNTIF(Справочник_ОКВЭД_НР!$A$3:$A$62,H668)&gt;0,Справочник_ОКВЭД_НР!$L$8,
 IF(COUNTIF(Справочник_ОКВЭД_НР!$C$3:$C$62,H668)&gt;0,Справочник_ОКВЭД_НР!$L$9,
  IF(COUNTIF(Справочник_ОКВЭД_НР!$E$3:$E$62,H668)&gt;0,Справочник_ОКВЭД_НР!$L$10,
   IF(COUNTIF(Справочник_ОКВЭД_НР!$G$3:$G$62,H668)&gt;0,Справочник_ОКВЭД_НР!$L$11,50))))</f>
        <v>100</v>
      </c>
      <c r="J668" s="30" cm="1">
        <f t="array" ref="J668">IFERROR(
 (SUMPRODUCT(ISNUMBER(SEARCH(","&amp;Справочник_ОКВЭД_НР!$A$3:$A$62&amp;".",","&amp;SUBSTITUTE(F668," ","")&amp;",")))*Справочник_ОКВЭД_НР!$L$9 +
  SUMPRODUCT(ISNUMBER(SEARCH(","&amp;Справочник_ОКВЭД_НР!$C$3:$C$62&amp;".",","&amp;SUBSTITUTE(F668," ","")&amp;",")))*Справочник_ОКВЭД_НР!$L$10 +
  SUMPRODUCT(ISNUMBER(SEARCH(","&amp;Справочник_ОКВЭД_НР!$E$3:$E$62&amp;".",","&amp;SUBSTITUTE(F668," ","")&amp;",")))*Справочник_ОКВЭД_НР!$L$11 +
  SUMPRODUCT(ISNUMBER(SEARCH(","&amp;Справочник_ОКВЭД_НР!$G$3:$G$62&amp;".",","&amp;SUBSTITUTE(F668," ","")&amp;",")))*Справочник_ОКВЭД_НР!$L$12) /
 (SUMPRODUCT(ISNUMBER(SEARCH(","&amp;Справочник_ОКВЭД_НР!$A$3:$A$62&amp;".",","&amp;SUBSTITUTE(F668," ","")&amp;","))) +
  SUMPRODUCT(ISNUMBER(SEARCH(","&amp;Справочник_ОКВЭД_НР!$C$3:$C$62&amp;".",","&amp;SUBSTITUTE(F668," ","")&amp;","))) +
  SUMPRODUCT(ISNUMBER(SEARCH(","&amp;Справочник_ОКВЭД_НР!$E$3:$E$62&amp;".",","&amp;SUBSTITUTE(F668," ","")&amp;","))) +
  SUMPRODUCT(ISNUMBER(SEARCH(","&amp;Справочник_ОКВЭД_НР!$G$3:$G$62&amp;".",","&amp;SUBSTITUTE(F668," ","")&amp;",")))),
50)</f>
        <v>50</v>
      </c>
      <c r="K668" s="30">
        <f>IFERROR(VLOOKUP(G668,Справочник_ОКВЭД_НР!$O:$P,2,FALSE()),50)</f>
        <v>50</v>
      </c>
      <c r="L668" s="45">
        <f>(I668*Справочник_ОКВЭД_НР!$L$2+J668*Справочник_ОКВЭД_НР!$L$3+K668*Справочник_ОКВЭД_НР!$L$4)*M668</f>
        <v>80</v>
      </c>
      <c r="M668" s="47">
        <f>IF(COUNTIF(Справочник_ОКВЭД_НР!$G$3:$G$62,H668)&gt;0,0,1)</f>
        <v>1</v>
      </c>
    </row>
    <row r="669" spans="1:13" x14ac:dyDescent="0.25">
      <c r="A669" s="4">
        <f>ЛИК_дляСкорингаДП!A669</f>
        <v>1055004246637</v>
      </c>
      <c r="B669" s="4">
        <f>ЛИК_дляСкорингаДП!B669</f>
        <v>5024075195</v>
      </c>
      <c r="C669" s="4" t="str">
        <f>ЛИК_дляСкорингаДП!C669</f>
        <v>ООО "КРАСЛАЙН"</v>
      </c>
      <c r="D669" s="5" t="str">
        <f>ЛИК_дляСкорингаДП!M669</f>
        <v>Регулярные перевозки пассажиров прочим сухопутным транспортом в городском и пригородном сообщении</v>
      </c>
      <c r="E669" s="4" t="str">
        <f>ЛИК_дляСкорингаДП!L669</f>
        <v>49.31.2</v>
      </c>
      <c r="F669" t="str">
        <f>ЛИК_дляСкорингаДП!N669</f>
        <v>45.20,45.20.1,45.20.2,45.3,46.4,46.71,47.30,49.31.21,49.31.21,49.39.11,49.39.12,49.41.1,49.41.2,52.2,71.20.5,77.11,77.3</v>
      </c>
      <c r="G669" s="25" t="str">
        <f>ЛИК_дляСкорингаДП!AG669</f>
        <v>УСН</v>
      </c>
      <c r="H669" s="55" t="str">
        <f>IF(ISNUMBER(E669),E669,
IFERROR(LEFT(E669,FIND(".",E669)-1),E669))</f>
        <v>49</v>
      </c>
      <c r="I669" s="30">
        <f>IF(COUNTIF(Справочник_ОКВЭД_НР!$A$3:$A$62,H669)&gt;0,Справочник_ОКВЭД_НР!$L$8,
 IF(COUNTIF(Справочник_ОКВЭД_НР!$C$3:$C$62,H669)&gt;0,Справочник_ОКВЭД_НР!$L$9,
  IF(COUNTIF(Справочник_ОКВЭД_НР!$E$3:$E$62,H669)&gt;0,Справочник_ОКВЭД_НР!$L$10,
   IF(COUNTIF(Справочник_ОКВЭД_НР!$G$3:$G$62,H669)&gt;0,Справочник_ОКВЭД_НР!$L$11,50))))</f>
        <v>60</v>
      </c>
      <c r="J669" s="30" cm="1">
        <f t="array" ref="J669">IFERROR(
 (SUMPRODUCT(ISNUMBER(SEARCH(","&amp;Справочник_ОКВЭД_НР!$A$3:$A$62&amp;".",","&amp;SUBSTITUTE(F669," ","")&amp;",")))*Справочник_ОКВЭД_НР!$L$9 +
  SUMPRODUCT(ISNUMBER(SEARCH(","&amp;Справочник_ОКВЭД_НР!$C$3:$C$62&amp;".",","&amp;SUBSTITUTE(F669," ","")&amp;",")))*Справочник_ОКВЭД_НР!$L$10 +
  SUMPRODUCT(ISNUMBER(SEARCH(","&amp;Справочник_ОКВЭД_НР!$E$3:$E$62&amp;".",","&amp;SUBSTITUTE(F669," ","")&amp;",")))*Справочник_ОКВЭД_НР!$L$11 +
  SUMPRODUCT(ISNUMBER(SEARCH(","&amp;Справочник_ОКВЭД_НР!$G$3:$G$62&amp;".",","&amp;SUBSTITUTE(F669," ","")&amp;",")))*Справочник_ОКВЭД_НР!$L$12) /
 (SUMPRODUCT(ISNUMBER(SEARCH(","&amp;Справочник_ОКВЭД_НР!$A$3:$A$62&amp;".",","&amp;SUBSTITUTE(F669," ","")&amp;","))) +
  SUMPRODUCT(ISNUMBER(SEARCH(","&amp;Справочник_ОКВЭД_НР!$C$3:$C$62&amp;".",","&amp;SUBSTITUTE(F669," ","")&amp;","))) +
  SUMPRODUCT(ISNUMBER(SEARCH(","&amp;Справочник_ОКВЭД_НР!$E$3:$E$62&amp;".",","&amp;SUBSTITUTE(F669," ","")&amp;","))) +
  SUMPRODUCT(ISNUMBER(SEARCH(","&amp;Справочник_ОКВЭД_НР!$G$3:$G$62&amp;".",","&amp;SUBSTITUTE(F669," ","")&amp;",")))),
50)</f>
        <v>50</v>
      </c>
      <c r="K669" s="30">
        <f>IFERROR(VLOOKUP(G669,Справочник_ОКВЭД_НР!$O:$P,2,FALSE()),50)</f>
        <v>50</v>
      </c>
      <c r="L669" s="45">
        <f>(I669*Справочник_ОКВЭД_НР!$L$2+J669*Справочник_ОКВЭД_НР!$L$3+K669*Справочник_ОКВЭД_НР!$L$4)*M669</f>
        <v>56</v>
      </c>
      <c r="M669" s="47">
        <f>IF(COUNTIF(Справочник_ОКВЭД_НР!$G$3:$G$62,H669)&gt;0,0,1)</f>
        <v>1</v>
      </c>
    </row>
    <row r="670" spans="1:13" x14ac:dyDescent="0.25">
      <c r="A670" s="4">
        <f>ЛИК_дляСкорингаДП!A670</f>
        <v>1097746161292</v>
      </c>
      <c r="B670" s="4">
        <f>ЛИК_дляСкорингаДП!B670</f>
        <v>7737548401</v>
      </c>
      <c r="C670" s="4" t="str">
        <f>ЛИК_дляСкорингаДП!C670</f>
        <v>ООО "СУВЕНИР - ДИЗАЙН"</v>
      </c>
      <c r="D670" s="5" t="str">
        <f>ЛИК_дляСкорингаДП!M670</f>
        <v>Деятельность рекламных агентств</v>
      </c>
      <c r="E670" s="4" t="str">
        <f>ЛИК_дляСкорингаДП!L670</f>
        <v>73.11</v>
      </c>
      <c r="F670" t="str">
        <f>ЛИК_дляСкорингаДП!N670</f>
        <v>14.13,14.19,14.31.1,18.1,18.14,46.18.99,46.41,46.42,46.42.1,46.42.14,46.49,46.90,47.78,47.99,58.11,58.19,63.91,71.11,74.10,74.20,74.30,82.19,82.92,82.99,90.03</v>
      </c>
      <c r="G670" s="25" t="str">
        <f>ЛИК_дляСкорингаДП!AG670</f>
        <v>УСН</v>
      </c>
      <c r="H670" s="55" t="str">
        <f>IF(ISNUMBER(E670),E670,
IFERROR(LEFT(E670,FIND(".",E670)-1),E670))</f>
        <v>73</v>
      </c>
      <c r="I670" s="30">
        <f>IF(COUNTIF(Справочник_ОКВЭД_НР!$A$3:$A$62,H670)&gt;0,Справочник_ОКВЭД_НР!$L$8,
 IF(COUNTIF(Справочник_ОКВЭД_НР!$C$3:$C$62,H670)&gt;0,Справочник_ОКВЭД_НР!$L$9,
  IF(COUNTIF(Справочник_ОКВЭД_НР!$E$3:$E$62,H670)&gt;0,Справочник_ОКВЭД_НР!$L$10,
   IF(COUNTIF(Справочник_ОКВЭД_НР!$G$3:$G$62,H670)&gt;0,Справочник_ОКВЭД_НР!$L$11,50))))</f>
        <v>30</v>
      </c>
      <c r="J670" s="30" cm="1">
        <f t="array" ref="J670">IFERROR(
 (SUMPRODUCT(ISNUMBER(SEARCH(","&amp;Справочник_ОКВЭД_НР!$A$3:$A$62&amp;".",","&amp;SUBSTITUTE(F670," ","")&amp;",")))*Справочник_ОКВЭД_НР!$L$9 +
  SUMPRODUCT(ISNUMBER(SEARCH(","&amp;Справочник_ОКВЭД_НР!$C$3:$C$62&amp;".",","&amp;SUBSTITUTE(F670," ","")&amp;",")))*Справочник_ОКВЭД_НР!$L$10 +
  SUMPRODUCT(ISNUMBER(SEARCH(","&amp;Справочник_ОКВЭД_НР!$E$3:$E$62&amp;".",","&amp;SUBSTITUTE(F670," ","")&amp;",")))*Справочник_ОКВЭД_НР!$L$11 +
  SUMPRODUCT(ISNUMBER(SEARCH(","&amp;Справочник_ОКВЭД_НР!$G$3:$G$62&amp;".",","&amp;SUBSTITUTE(F670," ","")&amp;",")))*Справочник_ОКВЭД_НР!$L$12) /
 (SUMPRODUCT(ISNUMBER(SEARCH(","&amp;Справочник_ОКВЭД_НР!$A$3:$A$62&amp;".",","&amp;SUBSTITUTE(F670," ","")&amp;","))) +
  SUMPRODUCT(ISNUMBER(SEARCH(","&amp;Справочник_ОКВЭД_НР!$C$3:$C$62&amp;".",","&amp;SUBSTITUTE(F670," ","")&amp;","))) +
  SUMPRODUCT(ISNUMBER(SEARCH(","&amp;Справочник_ОКВЭД_НР!$E$3:$E$62&amp;".",","&amp;SUBSTITUTE(F670," ","")&amp;","))) +
  SUMPRODUCT(ISNUMBER(SEARCH(","&amp;Справочник_ОКВЭД_НР!$G$3:$G$62&amp;".",","&amp;SUBSTITUTE(F670," ","")&amp;",")))),
50)</f>
        <v>50</v>
      </c>
      <c r="K670" s="30">
        <f>IFERROR(VLOOKUP(G670,Справочник_ОКВЭД_НР!$O:$P,2,FALSE()),50)</f>
        <v>50</v>
      </c>
      <c r="L670" s="45">
        <f>(I670*Справочник_ОКВЭД_НР!$L$2+J670*Справочник_ОКВЭД_НР!$L$3+K670*Справочник_ОКВЭД_НР!$L$4)*M670</f>
        <v>38</v>
      </c>
      <c r="M670" s="47">
        <f>IF(COUNTIF(Справочник_ОКВЭД_НР!$G$3:$G$62,H670)&gt;0,0,1)</f>
        <v>1</v>
      </c>
    </row>
    <row r="671" spans="1:13" x14ac:dyDescent="0.25">
      <c r="A671" s="4">
        <f>ЛИК_дляСкорингаДП!A671</f>
        <v>1025001823780</v>
      </c>
      <c r="B671" s="4">
        <f>ЛИК_дляСкорингаДП!B671</f>
        <v>5017039414</v>
      </c>
      <c r="C671" s="4" t="str">
        <f>ЛИК_дляСкорингаДП!C671</f>
        <v>ООО "РУСЬ-57"</v>
      </c>
      <c r="D671" s="5" t="str">
        <f>ЛИК_дляСкорингаДП!M671</f>
        <v>Аренда и управление собственным или арендованным нежилым недвижимым имуществом</v>
      </c>
      <c r="E671" s="4" t="str">
        <f>ЛИК_дляСкорингаДП!L671</f>
        <v>68.20.2</v>
      </c>
      <c r="F671">
        <f>ЛИК_дляСкорингаДП!N671</f>
        <v>0</v>
      </c>
      <c r="G671" s="25" t="str">
        <f>ЛИК_дляСкорингаДП!AG671</f>
        <v>УСН</v>
      </c>
      <c r="H671" s="55" t="str">
        <f>IF(ISNUMBER(E671),E671,
IFERROR(LEFT(E671,FIND(".",E671)-1),E671))</f>
        <v>68</v>
      </c>
      <c r="I671" s="30">
        <f>IF(COUNTIF(Справочник_ОКВЭД_НР!$A$3:$A$62,H671)&gt;0,Справочник_ОКВЭД_НР!$L$8,
 IF(COUNTIF(Справочник_ОКВЭД_НР!$C$3:$C$62,H671)&gt;0,Справочник_ОКВЭД_НР!$L$9,
  IF(COUNTIF(Справочник_ОКВЭД_НР!$E$3:$E$62,H671)&gt;0,Справочник_ОКВЭД_НР!$L$10,
   IF(COUNTIF(Справочник_ОКВЭД_НР!$G$3:$G$62,H671)&gt;0,Справочник_ОКВЭД_НР!$L$11,50))))</f>
        <v>100</v>
      </c>
      <c r="J671" s="30" cm="1">
        <f t="array" ref="J671">IFERROR(
 (SUMPRODUCT(ISNUMBER(SEARCH(","&amp;Справочник_ОКВЭД_НР!$A$3:$A$62&amp;".",","&amp;SUBSTITUTE(F671," ","")&amp;",")))*Справочник_ОКВЭД_НР!$L$9 +
  SUMPRODUCT(ISNUMBER(SEARCH(","&amp;Справочник_ОКВЭД_НР!$C$3:$C$62&amp;".",","&amp;SUBSTITUTE(F671," ","")&amp;",")))*Справочник_ОКВЭД_НР!$L$10 +
  SUMPRODUCT(ISNUMBER(SEARCH(","&amp;Справочник_ОКВЭД_НР!$E$3:$E$62&amp;".",","&amp;SUBSTITUTE(F671," ","")&amp;",")))*Справочник_ОКВЭД_НР!$L$11 +
  SUMPRODUCT(ISNUMBER(SEARCH(","&amp;Справочник_ОКВЭД_НР!$G$3:$G$62&amp;".",","&amp;SUBSTITUTE(F671," ","")&amp;",")))*Справочник_ОКВЭД_НР!$L$12) /
 (SUMPRODUCT(ISNUMBER(SEARCH(","&amp;Справочник_ОКВЭД_НР!$A$3:$A$62&amp;".",","&amp;SUBSTITUTE(F671," ","")&amp;","))) +
  SUMPRODUCT(ISNUMBER(SEARCH(","&amp;Справочник_ОКВЭД_НР!$C$3:$C$62&amp;".",","&amp;SUBSTITUTE(F671," ","")&amp;","))) +
  SUMPRODUCT(ISNUMBER(SEARCH(","&amp;Справочник_ОКВЭД_НР!$E$3:$E$62&amp;".",","&amp;SUBSTITUTE(F671," ","")&amp;","))) +
  SUMPRODUCT(ISNUMBER(SEARCH(","&amp;Справочник_ОКВЭД_НР!$G$3:$G$62&amp;".",","&amp;SUBSTITUTE(F671," ","")&amp;",")))),
50)</f>
        <v>50</v>
      </c>
      <c r="K671" s="30">
        <f>IFERROR(VLOOKUP(G671,Справочник_ОКВЭД_НР!$O:$P,2,FALSE()),50)</f>
        <v>50</v>
      </c>
      <c r="L671" s="45">
        <f>(I671*Справочник_ОКВЭД_НР!$L$2+J671*Справочник_ОКВЭД_НР!$L$3+K671*Справочник_ОКВЭД_НР!$L$4)*M671</f>
        <v>80</v>
      </c>
      <c r="M671" s="47">
        <f>IF(COUNTIF(Справочник_ОКВЭД_НР!$G$3:$G$62,H671)&gt;0,0,1)</f>
        <v>1</v>
      </c>
    </row>
    <row r="672" spans="1:13" x14ac:dyDescent="0.25">
      <c r="A672" s="4">
        <f>ЛИК_дляСкорингаДП!A672</f>
        <v>1025002876821</v>
      </c>
      <c r="B672" s="4">
        <f>ЛИК_дляСкорингаДП!B672</f>
        <v>5024032836</v>
      </c>
      <c r="C672" s="4" t="str">
        <f>ЛИК_дляСкорингаДП!C672</f>
        <v>ООО "ЦЕНТАВР"</v>
      </c>
      <c r="D672" s="5" t="str">
        <f>ЛИК_дляСкорингаДП!M672</f>
        <v>Производство мебели</v>
      </c>
      <c r="E672" s="4" t="str">
        <f>ЛИК_дляСкорингаДП!L672</f>
        <v>31.0</v>
      </c>
      <c r="F672" t="str">
        <f>ЛИК_дляСкорингаДП!N672</f>
        <v>46.15,46.47,46.49,46.90,47.19,47.52.71,47.59,49.41.3,68.10,68.20,68.31.12,68.31.22,68.31.32,68.31.42,77.11,77.3</v>
      </c>
      <c r="G672" s="25" t="str">
        <f>ЛИК_дляСкорингаДП!AG672</f>
        <v>УСН</v>
      </c>
      <c r="H672" s="55" t="str">
        <f>IF(ISNUMBER(E672),E672,
IFERROR(LEFT(E672,FIND(".",E672)-1),E672))</f>
        <v>31</v>
      </c>
      <c r="I672" s="30">
        <f>IF(COUNTIF(Справочник_ОКВЭД_НР!$A$3:$A$62,H672)&gt;0,Справочник_ОКВЭД_НР!$L$8,
 IF(COUNTIF(Справочник_ОКВЭД_НР!$C$3:$C$62,H672)&gt;0,Справочник_ОКВЭД_НР!$L$9,
  IF(COUNTIF(Справочник_ОКВЭД_НР!$E$3:$E$62,H672)&gt;0,Справочник_ОКВЭД_НР!$L$10,
   IF(COUNTIF(Справочник_ОКВЭД_НР!$G$3:$G$62,H672)&gt;0,Справочник_ОКВЭД_НР!$L$11,50))))</f>
        <v>30</v>
      </c>
      <c r="J672" s="30" cm="1">
        <f t="array" ref="J672">IFERROR(
 (SUMPRODUCT(ISNUMBER(SEARCH(","&amp;Справочник_ОКВЭД_НР!$A$3:$A$62&amp;".",","&amp;SUBSTITUTE(F672," ","")&amp;",")))*Справочник_ОКВЭД_НР!$L$9 +
  SUMPRODUCT(ISNUMBER(SEARCH(","&amp;Справочник_ОКВЭД_НР!$C$3:$C$62&amp;".",","&amp;SUBSTITUTE(F672," ","")&amp;",")))*Справочник_ОКВЭД_НР!$L$10 +
  SUMPRODUCT(ISNUMBER(SEARCH(","&amp;Справочник_ОКВЭД_НР!$E$3:$E$62&amp;".",","&amp;SUBSTITUTE(F672," ","")&amp;",")))*Справочник_ОКВЭД_НР!$L$11 +
  SUMPRODUCT(ISNUMBER(SEARCH(","&amp;Справочник_ОКВЭД_НР!$G$3:$G$62&amp;".",","&amp;SUBSTITUTE(F672," ","")&amp;",")))*Справочник_ОКВЭД_НР!$L$12) /
 (SUMPRODUCT(ISNUMBER(SEARCH(","&amp;Справочник_ОКВЭД_НР!$A$3:$A$62&amp;".",","&amp;SUBSTITUTE(F672," ","")&amp;","))) +
  SUMPRODUCT(ISNUMBER(SEARCH(","&amp;Справочник_ОКВЭД_НР!$C$3:$C$62&amp;".",","&amp;SUBSTITUTE(F672," ","")&amp;","))) +
  SUMPRODUCT(ISNUMBER(SEARCH(","&amp;Справочник_ОКВЭД_НР!$E$3:$E$62&amp;".",","&amp;SUBSTITUTE(F672," ","")&amp;","))) +
  SUMPRODUCT(ISNUMBER(SEARCH(","&amp;Справочник_ОКВЭД_НР!$G$3:$G$62&amp;".",","&amp;SUBSTITUTE(F672," ","")&amp;",")))),
50)</f>
        <v>50</v>
      </c>
      <c r="K672" s="30">
        <f>IFERROR(VLOOKUP(G672,Справочник_ОКВЭД_НР!$O:$P,2,FALSE()),50)</f>
        <v>50</v>
      </c>
      <c r="L672" s="45">
        <f>(I672*Справочник_ОКВЭД_НР!$L$2+J672*Справочник_ОКВЭД_НР!$L$3+K672*Справочник_ОКВЭД_НР!$L$4)*M672</f>
        <v>38</v>
      </c>
      <c r="M672" s="47">
        <f>IF(COUNTIF(Справочник_ОКВЭД_НР!$G$3:$G$62,H672)&gt;0,0,1)</f>
        <v>1</v>
      </c>
    </row>
    <row r="673" spans="1:13" x14ac:dyDescent="0.25">
      <c r="A673" s="4">
        <f>ЛИК_дляСкорингаДП!A673</f>
        <v>1097746005961</v>
      </c>
      <c r="B673" s="4">
        <f>ЛИК_дляСкорингаДП!B673</f>
        <v>7723703311</v>
      </c>
      <c r="C673" s="4" t="str">
        <f>ЛИК_дляСкорингаДП!C673</f>
        <v>ООО "СИСТЕМНЫЕ КОМПОНЕНТЫ"</v>
      </c>
      <c r="D673" s="5" t="str">
        <f>ЛИК_дляСкорингаДП!M673</f>
        <v>Торговля оптовая компьютерами, периферийными устройствами к компьютерам и программным обеспечением</v>
      </c>
      <c r="E673" s="4" t="str">
        <f>ЛИК_дляСкорингаДП!L673</f>
        <v>46.51</v>
      </c>
      <c r="F673" t="str">
        <f>ЛИК_дляСкорингаДП!N673</f>
        <v>18.2,26.20,43.21,46.52,46.66,61.10,62.0,62.01,62.02,62.09,63.11,63.11.1,71.20,95.11</v>
      </c>
      <c r="G673" s="25" t="str">
        <f>ЛИК_дляСкорингаДП!AG673</f>
        <v>УСН</v>
      </c>
      <c r="H673" s="55" t="str">
        <f>IF(ISNUMBER(E673),E673,
IFERROR(LEFT(E673,FIND(".",E673)-1),E673))</f>
        <v>46</v>
      </c>
      <c r="I673" s="30">
        <f>IF(COUNTIF(Справочник_ОКВЭД_НР!$A$3:$A$62,H673)&gt;0,Справочник_ОКВЭД_НР!$L$8,
 IF(COUNTIF(Справочник_ОКВЭД_НР!$C$3:$C$62,H673)&gt;0,Справочник_ОКВЭД_НР!$L$9,
  IF(COUNTIF(Справочник_ОКВЭД_НР!$E$3:$E$62,H673)&gt;0,Справочник_ОКВЭД_НР!$L$10,
   IF(COUNTIF(Справочник_ОКВЭД_НР!$G$3:$G$62,H673)&gt;0,Справочник_ОКВЭД_НР!$L$11,50))))</f>
        <v>60</v>
      </c>
      <c r="J673" s="30" cm="1">
        <f t="array" ref="J673">IFERROR(
 (SUMPRODUCT(ISNUMBER(SEARCH(","&amp;Справочник_ОКВЭД_НР!$A$3:$A$62&amp;".",","&amp;SUBSTITUTE(F673," ","")&amp;",")))*Справочник_ОКВЭД_НР!$L$9 +
  SUMPRODUCT(ISNUMBER(SEARCH(","&amp;Справочник_ОКВЭД_НР!$C$3:$C$62&amp;".",","&amp;SUBSTITUTE(F673," ","")&amp;",")))*Справочник_ОКВЭД_НР!$L$10 +
  SUMPRODUCT(ISNUMBER(SEARCH(","&amp;Справочник_ОКВЭД_НР!$E$3:$E$62&amp;".",","&amp;SUBSTITUTE(F673," ","")&amp;",")))*Справочник_ОКВЭД_НР!$L$11 +
  SUMPRODUCT(ISNUMBER(SEARCH(","&amp;Справочник_ОКВЭД_НР!$G$3:$G$62&amp;".",","&amp;SUBSTITUTE(F673," ","")&amp;",")))*Справочник_ОКВЭД_НР!$L$12) /
 (SUMPRODUCT(ISNUMBER(SEARCH(","&amp;Справочник_ОКВЭД_НР!$A$3:$A$62&amp;".",","&amp;SUBSTITUTE(F673," ","")&amp;","))) +
  SUMPRODUCT(ISNUMBER(SEARCH(","&amp;Справочник_ОКВЭД_НР!$C$3:$C$62&amp;".",","&amp;SUBSTITUTE(F673," ","")&amp;","))) +
  SUMPRODUCT(ISNUMBER(SEARCH(","&amp;Справочник_ОКВЭД_НР!$E$3:$E$62&amp;".",","&amp;SUBSTITUTE(F673," ","")&amp;","))) +
  SUMPRODUCT(ISNUMBER(SEARCH(","&amp;Справочник_ОКВЭД_НР!$G$3:$G$62&amp;".",","&amp;SUBSTITUTE(F673," ","")&amp;",")))),
50)</f>
        <v>50</v>
      </c>
      <c r="K673" s="30">
        <f>IFERROR(VLOOKUP(G673,Справочник_ОКВЭД_НР!$O:$P,2,FALSE()),50)</f>
        <v>50</v>
      </c>
      <c r="L673" s="45">
        <f>(I673*Справочник_ОКВЭД_НР!$L$2+J673*Справочник_ОКВЭД_НР!$L$3+K673*Справочник_ОКВЭД_НР!$L$4)*M673</f>
        <v>56</v>
      </c>
      <c r="M673" s="47">
        <f>IF(COUNTIF(Справочник_ОКВЭД_НР!$G$3:$G$62,H673)&gt;0,0,1)</f>
        <v>1</v>
      </c>
    </row>
    <row r="674" spans="1:13" x14ac:dyDescent="0.25">
      <c r="A674" s="4">
        <f>ЛИК_дляСкорингаДП!A674</f>
        <v>1097746125179</v>
      </c>
      <c r="B674" s="4">
        <f>ЛИК_дляСкорингаДП!B674</f>
        <v>7729629520</v>
      </c>
      <c r="C674" s="4" t="str">
        <f>ЛИК_дляСкорингаДП!C674</f>
        <v>ООО "ВАРИАН-Т"</v>
      </c>
      <c r="D674" s="5" t="str">
        <f>ЛИК_дляСкорингаДП!M674</f>
        <v>Ремонт электронного и оптического оборудования</v>
      </c>
      <c r="E674" s="4" t="str">
        <f>ЛИК_дляСкорингаДП!L674</f>
        <v>33.13</v>
      </c>
      <c r="F674" t="str">
        <f>ЛИК_дляСкорингаДП!N674</f>
        <v>32.50,46.46,46.49,46.90,47.73,47.74,52.10,52.29,70.22,73.11,73.20.1,77.39.26,82.99</v>
      </c>
      <c r="G674" s="25" t="str">
        <f>ЛИК_дляСкорингаДП!AG674</f>
        <v>УСН</v>
      </c>
      <c r="H674" s="55" t="str">
        <f>IF(ISNUMBER(E674),E674,
IFERROR(LEFT(E674,FIND(".",E674)-1),E674))</f>
        <v>33</v>
      </c>
      <c r="I674" s="30">
        <f>IF(COUNTIF(Справочник_ОКВЭД_НР!$A$3:$A$62,H674)&gt;0,Справочник_ОКВЭД_НР!$L$8,
 IF(COUNTIF(Справочник_ОКВЭД_НР!$C$3:$C$62,H674)&gt;0,Справочник_ОКВЭД_НР!$L$9,
  IF(COUNTIF(Справочник_ОКВЭД_НР!$E$3:$E$62,H674)&gt;0,Справочник_ОКВЭД_НР!$L$10,
   IF(COUNTIF(Справочник_ОКВЭД_НР!$G$3:$G$62,H674)&gt;0,Справочник_ОКВЭД_НР!$L$11,50))))</f>
        <v>60</v>
      </c>
      <c r="J674" s="30" cm="1">
        <f t="array" ref="J674">IFERROR(
 (SUMPRODUCT(ISNUMBER(SEARCH(","&amp;Справочник_ОКВЭД_НР!$A$3:$A$62&amp;".",","&amp;SUBSTITUTE(F674," ","")&amp;",")))*Справочник_ОКВЭД_НР!$L$9 +
  SUMPRODUCT(ISNUMBER(SEARCH(","&amp;Справочник_ОКВЭД_НР!$C$3:$C$62&amp;".",","&amp;SUBSTITUTE(F674," ","")&amp;",")))*Справочник_ОКВЭД_НР!$L$10 +
  SUMPRODUCT(ISNUMBER(SEARCH(","&amp;Справочник_ОКВЭД_НР!$E$3:$E$62&amp;".",","&amp;SUBSTITUTE(F674," ","")&amp;",")))*Справочник_ОКВЭД_НР!$L$11 +
  SUMPRODUCT(ISNUMBER(SEARCH(","&amp;Справочник_ОКВЭД_НР!$G$3:$G$62&amp;".",","&amp;SUBSTITUTE(F674," ","")&amp;",")))*Справочник_ОКВЭД_НР!$L$12) /
 (SUMPRODUCT(ISNUMBER(SEARCH(","&amp;Справочник_ОКВЭД_НР!$A$3:$A$62&amp;".",","&amp;SUBSTITUTE(F674," ","")&amp;","))) +
  SUMPRODUCT(ISNUMBER(SEARCH(","&amp;Справочник_ОКВЭД_НР!$C$3:$C$62&amp;".",","&amp;SUBSTITUTE(F674," ","")&amp;","))) +
  SUMPRODUCT(ISNUMBER(SEARCH(","&amp;Справочник_ОКВЭД_НР!$E$3:$E$62&amp;".",","&amp;SUBSTITUTE(F674," ","")&amp;","))) +
  SUMPRODUCT(ISNUMBER(SEARCH(","&amp;Справочник_ОКВЭД_НР!$G$3:$G$62&amp;".",","&amp;SUBSTITUTE(F674," ","")&amp;",")))),
50)</f>
        <v>50</v>
      </c>
      <c r="K674" s="30">
        <f>IFERROR(VLOOKUP(G674,Справочник_ОКВЭД_НР!$O:$P,2,FALSE()),50)</f>
        <v>50</v>
      </c>
      <c r="L674" s="45">
        <f>(I674*Справочник_ОКВЭД_НР!$L$2+J674*Справочник_ОКВЭД_НР!$L$3+K674*Справочник_ОКВЭД_НР!$L$4)*M674</f>
        <v>56</v>
      </c>
      <c r="M674" s="47">
        <f>IF(COUNTIF(Справочник_ОКВЭД_НР!$G$3:$G$62,H674)&gt;0,0,1)</f>
        <v>1</v>
      </c>
    </row>
    <row r="675" spans="1:13" x14ac:dyDescent="0.25">
      <c r="A675" s="4">
        <f>ЛИК_дляСкорингаДП!A675</f>
        <v>1097746017170</v>
      </c>
      <c r="B675" s="4">
        <f>ЛИК_дляСкорингаДП!B675</f>
        <v>7720651986</v>
      </c>
      <c r="C675" s="4" t="str">
        <f>ЛИК_дляСкорингаДП!C675</f>
        <v>ООО "КОМПАНИЯ АРТ-ПРАЗДНИК"</v>
      </c>
      <c r="D675" s="5" t="str">
        <f>ЛИК_дляСкорингаДП!M675</f>
        <v>Деятельность рекламных агентств</v>
      </c>
      <c r="E675" s="4" t="str">
        <f>ЛИК_дляСкорингаДП!L675</f>
        <v>73.11</v>
      </c>
      <c r="F675" t="str">
        <f>ЛИК_дляСкорингаДП!N675</f>
        <v>63.91,90.01,93.2,93.29.9</v>
      </c>
      <c r="G675" s="25" t="str">
        <f>ЛИК_дляСкорингаДП!AG675</f>
        <v>УСН</v>
      </c>
      <c r="H675" s="55" t="str">
        <f>IF(ISNUMBER(E675),E675,
IFERROR(LEFT(E675,FIND(".",E675)-1),E675))</f>
        <v>73</v>
      </c>
      <c r="I675" s="30">
        <f>IF(COUNTIF(Справочник_ОКВЭД_НР!$A$3:$A$62,H675)&gt;0,Справочник_ОКВЭД_НР!$L$8,
 IF(COUNTIF(Справочник_ОКВЭД_НР!$C$3:$C$62,H675)&gt;0,Справочник_ОКВЭД_НР!$L$9,
  IF(COUNTIF(Справочник_ОКВЭД_НР!$E$3:$E$62,H675)&gt;0,Справочник_ОКВЭД_НР!$L$10,
   IF(COUNTIF(Справочник_ОКВЭД_НР!$G$3:$G$62,H675)&gt;0,Справочник_ОКВЭД_НР!$L$11,50))))</f>
        <v>30</v>
      </c>
      <c r="J675" s="30" cm="1">
        <f t="array" ref="J675">IFERROR(
 (SUMPRODUCT(ISNUMBER(SEARCH(","&amp;Справочник_ОКВЭД_НР!$A$3:$A$62&amp;".",","&amp;SUBSTITUTE(F675," ","")&amp;",")))*Справочник_ОКВЭД_НР!$L$9 +
  SUMPRODUCT(ISNUMBER(SEARCH(","&amp;Справочник_ОКВЭД_НР!$C$3:$C$62&amp;".",","&amp;SUBSTITUTE(F675," ","")&amp;",")))*Справочник_ОКВЭД_НР!$L$10 +
  SUMPRODUCT(ISNUMBER(SEARCH(","&amp;Справочник_ОКВЭД_НР!$E$3:$E$62&amp;".",","&amp;SUBSTITUTE(F675," ","")&amp;",")))*Справочник_ОКВЭД_НР!$L$11 +
  SUMPRODUCT(ISNUMBER(SEARCH(","&amp;Справочник_ОКВЭД_НР!$G$3:$G$62&amp;".",","&amp;SUBSTITUTE(F675," ","")&amp;",")))*Справочник_ОКВЭД_НР!$L$12) /
 (SUMPRODUCT(ISNUMBER(SEARCH(","&amp;Справочник_ОКВЭД_НР!$A$3:$A$62&amp;".",","&amp;SUBSTITUTE(F675," ","")&amp;","))) +
  SUMPRODUCT(ISNUMBER(SEARCH(","&amp;Справочник_ОКВЭД_НР!$C$3:$C$62&amp;".",","&amp;SUBSTITUTE(F675," ","")&amp;","))) +
  SUMPRODUCT(ISNUMBER(SEARCH(","&amp;Справочник_ОКВЭД_НР!$E$3:$E$62&amp;".",","&amp;SUBSTITUTE(F675," ","")&amp;","))) +
  SUMPRODUCT(ISNUMBER(SEARCH(","&amp;Справочник_ОКВЭД_НР!$G$3:$G$62&amp;".",","&amp;SUBSTITUTE(F675," ","")&amp;",")))),
50)</f>
        <v>50</v>
      </c>
      <c r="K675" s="30">
        <f>IFERROR(VLOOKUP(G675,Справочник_ОКВЭД_НР!$O:$P,2,FALSE()),50)</f>
        <v>50</v>
      </c>
      <c r="L675" s="45">
        <f>(I675*Справочник_ОКВЭД_НР!$L$2+J675*Справочник_ОКВЭД_НР!$L$3+K675*Справочник_ОКВЭД_НР!$L$4)*M675</f>
        <v>38</v>
      </c>
      <c r="M675" s="47">
        <f>IF(COUNTIF(Справочник_ОКВЭД_НР!$G$3:$G$62,H675)&gt;0,0,1)</f>
        <v>1</v>
      </c>
    </row>
    <row r="676" spans="1:13" x14ac:dyDescent="0.25">
      <c r="A676" s="4">
        <f>ЛИК_дляСкорингаДП!A676</f>
        <v>1055001811996</v>
      </c>
      <c r="B676" s="4">
        <f>ЛИК_дляСкорингаДП!B676</f>
        <v>5078014907</v>
      </c>
      <c r="C676" s="4" t="str">
        <f>ЛИК_дляСкорингаДП!C676</f>
        <v>ООО "ФАРМ-СИТИ"</v>
      </c>
      <c r="D676" s="5" t="str">
        <f>ЛИК_дляСкорингаДП!M676</f>
        <v>Торговля розничная лекарственными средствами в специализированных магазинах (аптеках)</v>
      </c>
      <c r="E676" s="4" t="str">
        <f>ЛИК_дляСкорингаДП!L676</f>
        <v>47.73</v>
      </c>
      <c r="F676" t="str">
        <f>ЛИК_дляСкорингаДП!N676</f>
        <v>47.73,47.74,47.74,47.75,47.75</v>
      </c>
      <c r="G676" s="25" t="str">
        <f>ЛИК_дляСкорингаДП!AG676</f>
        <v>УСН</v>
      </c>
      <c r="H676" s="55" t="str">
        <f>IF(ISNUMBER(E676),E676,
IFERROR(LEFT(E676,FIND(".",E676)-1),E676))</f>
        <v>47</v>
      </c>
      <c r="I676" s="30">
        <f>IF(COUNTIF(Справочник_ОКВЭД_НР!$A$3:$A$62,H676)&gt;0,Справочник_ОКВЭД_НР!$L$8,
 IF(COUNTIF(Справочник_ОКВЭД_НР!$C$3:$C$62,H676)&gt;0,Справочник_ОКВЭД_НР!$L$9,
  IF(COUNTIF(Справочник_ОКВЭД_НР!$E$3:$E$62,H676)&gt;0,Справочник_ОКВЭД_НР!$L$10,
   IF(COUNTIF(Справочник_ОКВЭД_НР!$G$3:$G$62,H676)&gt;0,Справочник_ОКВЭД_НР!$L$11,50))))</f>
        <v>60</v>
      </c>
      <c r="J676" s="30" cm="1">
        <f t="array" ref="J676">IFERROR(
 (SUMPRODUCT(ISNUMBER(SEARCH(","&amp;Справочник_ОКВЭД_НР!$A$3:$A$62&amp;".",","&amp;SUBSTITUTE(F676," ","")&amp;",")))*Справочник_ОКВЭД_НР!$L$9 +
  SUMPRODUCT(ISNUMBER(SEARCH(","&amp;Справочник_ОКВЭД_НР!$C$3:$C$62&amp;".",","&amp;SUBSTITUTE(F676," ","")&amp;",")))*Справочник_ОКВЭД_НР!$L$10 +
  SUMPRODUCT(ISNUMBER(SEARCH(","&amp;Справочник_ОКВЭД_НР!$E$3:$E$62&amp;".",","&amp;SUBSTITUTE(F676," ","")&amp;",")))*Справочник_ОКВЭД_НР!$L$11 +
  SUMPRODUCT(ISNUMBER(SEARCH(","&amp;Справочник_ОКВЭД_НР!$G$3:$G$62&amp;".",","&amp;SUBSTITUTE(F676," ","")&amp;",")))*Справочник_ОКВЭД_НР!$L$12) /
 (SUMPRODUCT(ISNUMBER(SEARCH(","&amp;Справочник_ОКВЭД_НР!$A$3:$A$62&amp;".",","&amp;SUBSTITUTE(F676," ","")&amp;","))) +
  SUMPRODUCT(ISNUMBER(SEARCH(","&amp;Справочник_ОКВЭД_НР!$C$3:$C$62&amp;".",","&amp;SUBSTITUTE(F676," ","")&amp;","))) +
  SUMPRODUCT(ISNUMBER(SEARCH(","&amp;Справочник_ОКВЭД_НР!$E$3:$E$62&amp;".",","&amp;SUBSTITUTE(F676," ","")&amp;","))) +
  SUMPRODUCT(ISNUMBER(SEARCH(","&amp;Справочник_ОКВЭД_НР!$G$3:$G$62&amp;".",","&amp;SUBSTITUTE(F676," ","")&amp;",")))),
50)</f>
        <v>50</v>
      </c>
      <c r="K676" s="30">
        <f>IFERROR(VLOOKUP(G676,Справочник_ОКВЭД_НР!$O:$P,2,FALSE()),50)</f>
        <v>50</v>
      </c>
      <c r="L676" s="45">
        <f>(I676*Справочник_ОКВЭД_НР!$L$2+J676*Справочник_ОКВЭД_НР!$L$3+K676*Справочник_ОКВЭД_НР!$L$4)*M676</f>
        <v>56</v>
      </c>
      <c r="M676" s="47">
        <f>IF(COUNTIF(Справочник_ОКВЭД_НР!$G$3:$G$62,H676)&gt;0,0,1)</f>
        <v>1</v>
      </c>
    </row>
    <row r="677" spans="1:13" x14ac:dyDescent="0.25">
      <c r="A677" s="4">
        <f>ЛИК_дляСкорингаДП!A677</f>
        <v>1097746189232</v>
      </c>
      <c r="B677" s="4">
        <f>ЛИК_дляСкорингаДП!B677</f>
        <v>7713684476</v>
      </c>
      <c r="C677" s="4" t="str">
        <f>ЛИК_дляСкорингаДП!C677</f>
        <v>ООО "КРК"</v>
      </c>
      <c r="D677" s="5" t="str">
        <f>ЛИК_дляСкорингаДП!M677</f>
        <v>Деятельность в области демонстрации кинофильмов</v>
      </c>
      <c r="E677" s="4" t="str">
        <f>ЛИК_дляСкорингаДП!L677</f>
        <v>59.14</v>
      </c>
      <c r="F677" t="str">
        <f>ЛИК_дляСкорингаДП!N677</f>
        <v>41.20,42.99,43.2,43.99.7,47.25.1,47.25.2,47.9,56.1,56.3,59.13,60.10,60.20,73.1,74.20,93.29.9</v>
      </c>
      <c r="G677" s="25" t="str">
        <f>ЛИК_дляСкорингаДП!AG677</f>
        <v>УСН</v>
      </c>
      <c r="H677" s="55" t="str">
        <f>IF(ISNUMBER(E677),E677,
IFERROR(LEFT(E677,FIND(".",E677)-1),E677))</f>
        <v>59</v>
      </c>
      <c r="I677" s="30">
        <f>IF(COUNTIF(Справочник_ОКВЭД_НР!$A$3:$A$62,H677)&gt;0,Справочник_ОКВЭД_НР!$L$8,
 IF(COUNTIF(Справочник_ОКВЭД_НР!$C$3:$C$62,H677)&gt;0,Справочник_ОКВЭД_НР!$L$9,
  IF(COUNTIF(Справочник_ОКВЭД_НР!$E$3:$E$62,H677)&gt;0,Справочник_ОКВЭД_НР!$L$10,
   IF(COUNTIF(Справочник_ОКВЭД_НР!$G$3:$G$62,H677)&gt;0,Справочник_ОКВЭД_НР!$L$11,50))))</f>
        <v>30</v>
      </c>
      <c r="J677" s="30" cm="1">
        <f t="array" ref="J677">IFERROR(
 (SUMPRODUCT(ISNUMBER(SEARCH(","&amp;Справочник_ОКВЭД_НР!$A$3:$A$62&amp;".",","&amp;SUBSTITUTE(F677," ","")&amp;",")))*Справочник_ОКВЭД_НР!$L$9 +
  SUMPRODUCT(ISNUMBER(SEARCH(","&amp;Справочник_ОКВЭД_НР!$C$3:$C$62&amp;".",","&amp;SUBSTITUTE(F677," ","")&amp;",")))*Справочник_ОКВЭД_НР!$L$10 +
  SUMPRODUCT(ISNUMBER(SEARCH(","&amp;Справочник_ОКВЭД_НР!$E$3:$E$62&amp;".",","&amp;SUBSTITUTE(F677," ","")&amp;",")))*Справочник_ОКВЭД_НР!$L$11 +
  SUMPRODUCT(ISNUMBER(SEARCH(","&amp;Справочник_ОКВЭД_НР!$G$3:$G$62&amp;".",","&amp;SUBSTITUTE(F677," ","")&amp;",")))*Справочник_ОКВЭД_НР!$L$12) /
 (SUMPRODUCT(ISNUMBER(SEARCH(","&amp;Справочник_ОКВЭД_НР!$A$3:$A$62&amp;".",","&amp;SUBSTITUTE(F677," ","")&amp;","))) +
  SUMPRODUCT(ISNUMBER(SEARCH(","&amp;Справочник_ОКВЭД_НР!$C$3:$C$62&amp;".",","&amp;SUBSTITUTE(F677," ","")&amp;","))) +
  SUMPRODUCT(ISNUMBER(SEARCH(","&amp;Справочник_ОКВЭД_НР!$E$3:$E$62&amp;".",","&amp;SUBSTITUTE(F677," ","")&amp;","))) +
  SUMPRODUCT(ISNUMBER(SEARCH(","&amp;Справочник_ОКВЭД_НР!$G$3:$G$62&amp;".",","&amp;SUBSTITUTE(F677," ","")&amp;",")))),
50)</f>
        <v>50</v>
      </c>
      <c r="K677" s="30">
        <f>IFERROR(VLOOKUP(G677,Справочник_ОКВЭД_НР!$O:$P,2,FALSE()),50)</f>
        <v>50</v>
      </c>
      <c r="L677" s="45">
        <f>(I677*Справочник_ОКВЭД_НР!$L$2+J677*Справочник_ОКВЭД_НР!$L$3+K677*Справочник_ОКВЭД_НР!$L$4)*M677</f>
        <v>38</v>
      </c>
      <c r="M677" s="47">
        <f>IF(COUNTIF(Справочник_ОКВЭД_НР!$G$3:$G$62,H677)&gt;0,0,1)</f>
        <v>1</v>
      </c>
    </row>
    <row r="678" spans="1:13" x14ac:dyDescent="0.25">
      <c r="A678" s="4">
        <f>ЛИК_дляСкорингаДП!A678</f>
        <v>1097746197559</v>
      </c>
      <c r="B678" s="4">
        <f>ЛИК_дляСкорингаДП!B678</f>
        <v>7717650090</v>
      </c>
      <c r="C678" s="4" t="str">
        <f>ЛИК_дляСкорингаДП!C678</f>
        <v>ООО "РЕГИОНАЛЬНЫЙ ЦЕНТР "ФОР ЛАЙФ"</v>
      </c>
      <c r="D678" s="5" t="str">
        <f>ЛИК_дляСкорингаДП!M678</f>
        <v>Торговля розничная прочими пищевыми продуктами в специализированных магазинах</v>
      </c>
      <c r="E678" s="4" t="str">
        <f>ЛИК_дляСкорингаДП!L678</f>
        <v>47.29</v>
      </c>
      <c r="F678" t="str">
        <f>ЛИК_дляСкорингаДП!N678</f>
        <v>46.18,46.38,47.11,47.19,47.61,47.75,58.13,58.19,82.99,85.42.9</v>
      </c>
      <c r="G678" s="25" t="str">
        <f>ЛИК_дляСкорингаДП!AG678</f>
        <v>УСН</v>
      </c>
      <c r="H678" s="55" t="str">
        <f>IF(ISNUMBER(E678),E678,
IFERROR(LEFT(E678,FIND(".",E678)-1),E678))</f>
        <v>47</v>
      </c>
      <c r="I678" s="30">
        <f>IF(COUNTIF(Справочник_ОКВЭД_НР!$A$3:$A$62,H678)&gt;0,Справочник_ОКВЭД_НР!$L$8,
 IF(COUNTIF(Справочник_ОКВЭД_НР!$C$3:$C$62,H678)&gt;0,Справочник_ОКВЭД_НР!$L$9,
  IF(COUNTIF(Справочник_ОКВЭД_НР!$E$3:$E$62,H678)&gt;0,Справочник_ОКВЭД_НР!$L$10,
   IF(COUNTIF(Справочник_ОКВЭД_НР!$G$3:$G$62,H678)&gt;0,Справочник_ОКВЭД_НР!$L$11,50))))</f>
        <v>60</v>
      </c>
      <c r="J678" s="30" cm="1">
        <f t="array" ref="J678">IFERROR(
 (SUMPRODUCT(ISNUMBER(SEARCH(","&amp;Справочник_ОКВЭД_НР!$A$3:$A$62&amp;".",","&amp;SUBSTITUTE(F678," ","")&amp;",")))*Справочник_ОКВЭД_НР!$L$9 +
  SUMPRODUCT(ISNUMBER(SEARCH(","&amp;Справочник_ОКВЭД_НР!$C$3:$C$62&amp;".",","&amp;SUBSTITUTE(F678," ","")&amp;",")))*Справочник_ОКВЭД_НР!$L$10 +
  SUMPRODUCT(ISNUMBER(SEARCH(","&amp;Справочник_ОКВЭД_НР!$E$3:$E$62&amp;".",","&amp;SUBSTITUTE(F678," ","")&amp;",")))*Справочник_ОКВЭД_НР!$L$11 +
  SUMPRODUCT(ISNUMBER(SEARCH(","&amp;Справочник_ОКВЭД_НР!$G$3:$G$62&amp;".",","&amp;SUBSTITUTE(F678," ","")&amp;",")))*Справочник_ОКВЭД_НР!$L$12) /
 (SUMPRODUCT(ISNUMBER(SEARCH(","&amp;Справочник_ОКВЭД_НР!$A$3:$A$62&amp;".",","&amp;SUBSTITUTE(F678," ","")&amp;","))) +
  SUMPRODUCT(ISNUMBER(SEARCH(","&amp;Справочник_ОКВЭД_НР!$C$3:$C$62&amp;".",","&amp;SUBSTITUTE(F678," ","")&amp;","))) +
  SUMPRODUCT(ISNUMBER(SEARCH(","&amp;Справочник_ОКВЭД_НР!$E$3:$E$62&amp;".",","&amp;SUBSTITUTE(F678," ","")&amp;","))) +
  SUMPRODUCT(ISNUMBER(SEARCH(","&amp;Справочник_ОКВЭД_НР!$G$3:$G$62&amp;".",","&amp;SUBSTITUTE(F678," ","")&amp;",")))),
50)</f>
        <v>50</v>
      </c>
      <c r="K678" s="30">
        <f>IFERROR(VLOOKUP(G678,Справочник_ОКВЭД_НР!$O:$P,2,FALSE()),50)</f>
        <v>50</v>
      </c>
      <c r="L678" s="45">
        <f>(I678*Справочник_ОКВЭД_НР!$L$2+J678*Справочник_ОКВЭД_НР!$L$3+K678*Справочник_ОКВЭД_НР!$L$4)*M678</f>
        <v>56</v>
      </c>
      <c r="M678" s="47">
        <f>IF(COUNTIF(Справочник_ОКВЭД_НР!$G$3:$G$62,H678)&gt;0,0,1)</f>
        <v>1</v>
      </c>
    </row>
    <row r="679" spans="1:13" x14ac:dyDescent="0.25">
      <c r="A679" s="4">
        <f>ЛИК_дляСкорингаДП!A679</f>
        <v>1055007516684</v>
      </c>
      <c r="B679" s="4">
        <f>ЛИК_дляСкорингаДП!B679</f>
        <v>5040066945</v>
      </c>
      <c r="C679" s="4" t="str">
        <f>ЛИК_дляСкорингаДП!C679</f>
        <v>ООО "ТЕХНОПРОМ-РАМЕНСКОЕ"</v>
      </c>
      <c r="D679" s="5" t="str">
        <f>ЛИК_дляСкорингаДП!M679</f>
        <v>Аренда и управление собственным или арендованным прочим нежилым недвижимым имуществом</v>
      </c>
      <c r="E679" s="4" t="str">
        <f>ЛИК_дляСкорингаДП!L679</f>
        <v>68.20.29</v>
      </c>
      <c r="F679" t="str">
        <f>ЛИК_дляСкорингаДП!N679</f>
        <v>01.62,41.20,41.20,42.11,42.99,43.99.7,45.1,45.20,46.73,52.10,52.24,52.29,56.10,56.10.1,56.10.3,68.20.2,68.31,71.11.1,73.11,73.20,93.19</v>
      </c>
      <c r="G679" s="25" t="str">
        <f>ЛИК_дляСкорингаДП!AG679</f>
        <v>УСН</v>
      </c>
      <c r="H679" s="55" t="str">
        <f>IF(ISNUMBER(E679),E679,
IFERROR(LEFT(E679,FIND(".",E679)-1),E679))</f>
        <v>68</v>
      </c>
      <c r="I679" s="30">
        <f>IF(COUNTIF(Справочник_ОКВЭД_НР!$A$3:$A$62,H679)&gt;0,Справочник_ОКВЭД_НР!$L$8,
 IF(COUNTIF(Справочник_ОКВЭД_НР!$C$3:$C$62,H679)&gt;0,Справочник_ОКВЭД_НР!$L$9,
  IF(COUNTIF(Справочник_ОКВЭД_НР!$E$3:$E$62,H679)&gt;0,Справочник_ОКВЭД_НР!$L$10,
   IF(COUNTIF(Справочник_ОКВЭД_НР!$G$3:$G$62,H679)&gt;0,Справочник_ОКВЭД_НР!$L$11,50))))</f>
        <v>100</v>
      </c>
      <c r="J679" s="30" cm="1">
        <f t="array" ref="J679">IFERROR(
 (SUMPRODUCT(ISNUMBER(SEARCH(","&amp;Справочник_ОКВЭД_НР!$A$3:$A$62&amp;".",","&amp;SUBSTITUTE(F679," ","")&amp;",")))*Справочник_ОКВЭД_НР!$L$9 +
  SUMPRODUCT(ISNUMBER(SEARCH(","&amp;Справочник_ОКВЭД_НР!$C$3:$C$62&amp;".",","&amp;SUBSTITUTE(F679," ","")&amp;",")))*Справочник_ОКВЭД_НР!$L$10 +
  SUMPRODUCT(ISNUMBER(SEARCH(","&amp;Справочник_ОКВЭД_НР!$E$3:$E$62&amp;".",","&amp;SUBSTITUTE(F679," ","")&amp;",")))*Справочник_ОКВЭД_НР!$L$11 +
  SUMPRODUCT(ISNUMBER(SEARCH(","&amp;Справочник_ОКВЭД_НР!$G$3:$G$62&amp;".",","&amp;SUBSTITUTE(F679," ","")&amp;",")))*Справочник_ОКВЭД_НР!$L$12) /
 (SUMPRODUCT(ISNUMBER(SEARCH(","&amp;Справочник_ОКВЭД_НР!$A$3:$A$62&amp;".",","&amp;SUBSTITUTE(F679," ","")&amp;","))) +
  SUMPRODUCT(ISNUMBER(SEARCH(","&amp;Справочник_ОКВЭД_НР!$C$3:$C$62&amp;".",","&amp;SUBSTITUTE(F679," ","")&amp;","))) +
  SUMPRODUCT(ISNUMBER(SEARCH(","&amp;Справочник_ОКВЭД_НР!$E$3:$E$62&amp;".",","&amp;SUBSTITUTE(F679," ","")&amp;","))) +
  SUMPRODUCT(ISNUMBER(SEARCH(","&amp;Справочник_ОКВЭД_НР!$G$3:$G$62&amp;".",","&amp;SUBSTITUTE(F679," ","")&amp;",")))),
50)</f>
        <v>50</v>
      </c>
      <c r="K679" s="30">
        <f>IFERROR(VLOOKUP(G679,Справочник_ОКВЭД_НР!$O:$P,2,FALSE()),50)</f>
        <v>50</v>
      </c>
      <c r="L679" s="45">
        <f>(I679*Справочник_ОКВЭД_НР!$L$2+J679*Справочник_ОКВЭД_НР!$L$3+K679*Справочник_ОКВЭД_НР!$L$4)*M679</f>
        <v>80</v>
      </c>
      <c r="M679" s="47">
        <f>IF(COUNTIF(Справочник_ОКВЭД_НР!$G$3:$G$62,H679)&gt;0,0,1)</f>
        <v>1</v>
      </c>
    </row>
    <row r="680" spans="1:13" x14ac:dyDescent="0.25">
      <c r="A680" s="4">
        <f>ЛИК_дляСкорингаДП!A680</f>
        <v>1025003524248</v>
      </c>
      <c r="B680" s="4">
        <f>ЛИК_дляСкорингаДП!B680</f>
        <v>5029016027</v>
      </c>
      <c r="C680" s="4" t="str">
        <f>ЛИК_дляСкорингаДП!C680</f>
        <v>ООО "ПРЕДПРИЯТИЕ "АКС"</v>
      </c>
      <c r="D680" s="5" t="str">
        <f>ЛИК_дляСкорингаДП!M680</f>
        <v>Подготовка к продаже собственного недвижимого имущества</v>
      </c>
      <c r="E680" s="4" t="str">
        <f>ЛИК_дляСкорингаДП!L680</f>
        <v>68.10.1</v>
      </c>
      <c r="F680" t="str">
        <f>ЛИК_дляСкорингаДП!N680</f>
        <v>41.20,46.15,46.18,52.24,62.01,62.02,62.09,63.11,63.11.1,64.99,66.11.5,66.19.4,68.10,68.20,68.31,68.32,69.10,70.22,71.12.45,73.11,73.20,74.30,82.19,82.99,85.42.9,95.21</v>
      </c>
      <c r="G680" s="25" t="str">
        <f>ЛИК_дляСкорингаДП!AG680</f>
        <v>УСН</v>
      </c>
      <c r="H680" s="55" t="str">
        <f>IF(ISNUMBER(E680),E680,
IFERROR(LEFT(E680,FIND(".",E680)-1),E680))</f>
        <v>68</v>
      </c>
      <c r="I680" s="30">
        <f>IF(COUNTIF(Справочник_ОКВЭД_НР!$A$3:$A$62,H680)&gt;0,Справочник_ОКВЭД_НР!$L$8,
 IF(COUNTIF(Справочник_ОКВЭД_НР!$C$3:$C$62,H680)&gt;0,Справочник_ОКВЭД_НР!$L$9,
  IF(COUNTIF(Справочник_ОКВЭД_НР!$E$3:$E$62,H680)&gt;0,Справочник_ОКВЭД_НР!$L$10,
   IF(COUNTIF(Справочник_ОКВЭД_НР!$G$3:$G$62,H680)&gt;0,Справочник_ОКВЭД_НР!$L$11,50))))</f>
        <v>100</v>
      </c>
      <c r="J680" s="30" cm="1">
        <f t="array" ref="J680">IFERROR(
 (SUMPRODUCT(ISNUMBER(SEARCH(","&amp;Справочник_ОКВЭД_НР!$A$3:$A$62&amp;".",","&amp;SUBSTITUTE(F680," ","")&amp;",")))*Справочник_ОКВЭД_НР!$L$9 +
  SUMPRODUCT(ISNUMBER(SEARCH(","&amp;Справочник_ОКВЭД_НР!$C$3:$C$62&amp;".",","&amp;SUBSTITUTE(F680," ","")&amp;",")))*Справочник_ОКВЭД_НР!$L$10 +
  SUMPRODUCT(ISNUMBER(SEARCH(","&amp;Справочник_ОКВЭД_НР!$E$3:$E$62&amp;".",","&amp;SUBSTITUTE(F680," ","")&amp;",")))*Справочник_ОКВЭД_НР!$L$11 +
  SUMPRODUCT(ISNUMBER(SEARCH(","&amp;Справочник_ОКВЭД_НР!$G$3:$G$62&amp;".",","&amp;SUBSTITUTE(F680," ","")&amp;",")))*Справочник_ОКВЭД_НР!$L$12) /
 (SUMPRODUCT(ISNUMBER(SEARCH(","&amp;Справочник_ОКВЭД_НР!$A$3:$A$62&amp;".",","&amp;SUBSTITUTE(F680," ","")&amp;","))) +
  SUMPRODUCT(ISNUMBER(SEARCH(","&amp;Справочник_ОКВЭД_НР!$C$3:$C$62&amp;".",","&amp;SUBSTITUTE(F680," ","")&amp;","))) +
  SUMPRODUCT(ISNUMBER(SEARCH(","&amp;Справочник_ОКВЭД_НР!$E$3:$E$62&amp;".",","&amp;SUBSTITUTE(F680," ","")&amp;","))) +
  SUMPRODUCT(ISNUMBER(SEARCH(","&amp;Справочник_ОКВЭД_НР!$G$3:$G$62&amp;".",","&amp;SUBSTITUTE(F680," ","")&amp;",")))),
50)</f>
        <v>50</v>
      </c>
      <c r="K680" s="30">
        <f>IFERROR(VLOOKUP(G680,Справочник_ОКВЭД_НР!$O:$P,2,FALSE()),50)</f>
        <v>50</v>
      </c>
      <c r="L680" s="45">
        <f>(I680*Справочник_ОКВЭД_НР!$L$2+J680*Справочник_ОКВЭД_НР!$L$3+K680*Справочник_ОКВЭД_НР!$L$4)*M680</f>
        <v>80</v>
      </c>
      <c r="M680" s="47">
        <f>IF(COUNTIF(Справочник_ОКВЭД_НР!$G$3:$G$62,H680)&gt;0,0,1)</f>
        <v>1</v>
      </c>
    </row>
    <row r="681" spans="1:13" x14ac:dyDescent="0.25">
      <c r="A681" s="4">
        <f>ЛИК_дляСкорингаДП!A681</f>
        <v>1025003534654</v>
      </c>
      <c r="B681" s="4">
        <f>ЛИК_дляСкорингаДП!B681</f>
        <v>5029067222</v>
      </c>
      <c r="C681" s="4" t="str">
        <f>ЛИК_дляСкорингаДП!C681</f>
        <v>ООО "ЭЛЕКТРА-2002"</v>
      </c>
      <c r="D681" s="5" t="str">
        <f>ЛИК_дляСкорингаДП!M681</f>
        <v>Управление недвижимым имуществом за вознаграждение или на договорной основе</v>
      </c>
      <c r="E681" s="4" t="str">
        <f>ЛИК_дляСкорингаДП!L681</f>
        <v>68.32</v>
      </c>
      <c r="F681" t="str">
        <f>ЛИК_дляСкорингаДП!N681</f>
        <v>33.14,33.20,41.20,43.21,43.22,43.29,43.31,43.32,43.33,43.34,52.29,71.20,81.10</v>
      </c>
      <c r="G681" s="25" t="str">
        <f>ЛИК_дляСкорингаДП!AG681</f>
        <v>УСН</v>
      </c>
      <c r="H681" s="55" t="str">
        <f>IF(ISNUMBER(E681),E681,
IFERROR(LEFT(E681,FIND(".",E681)-1),E681))</f>
        <v>68</v>
      </c>
      <c r="I681" s="30">
        <f>IF(COUNTIF(Справочник_ОКВЭД_НР!$A$3:$A$62,H681)&gt;0,Справочник_ОКВЭД_НР!$L$8,
 IF(COUNTIF(Справочник_ОКВЭД_НР!$C$3:$C$62,H681)&gt;0,Справочник_ОКВЭД_НР!$L$9,
  IF(COUNTIF(Справочник_ОКВЭД_НР!$E$3:$E$62,H681)&gt;0,Справочник_ОКВЭД_НР!$L$10,
   IF(COUNTIF(Справочник_ОКВЭД_НР!$G$3:$G$62,H681)&gt;0,Справочник_ОКВЭД_НР!$L$11,50))))</f>
        <v>100</v>
      </c>
      <c r="J681" s="30" cm="1">
        <f t="array" ref="J681">IFERROR(
 (SUMPRODUCT(ISNUMBER(SEARCH(","&amp;Справочник_ОКВЭД_НР!$A$3:$A$62&amp;".",","&amp;SUBSTITUTE(F681," ","")&amp;",")))*Справочник_ОКВЭД_НР!$L$9 +
  SUMPRODUCT(ISNUMBER(SEARCH(","&amp;Справочник_ОКВЭД_НР!$C$3:$C$62&amp;".",","&amp;SUBSTITUTE(F681," ","")&amp;",")))*Справочник_ОКВЭД_НР!$L$10 +
  SUMPRODUCT(ISNUMBER(SEARCH(","&amp;Справочник_ОКВЭД_НР!$E$3:$E$62&amp;".",","&amp;SUBSTITUTE(F681," ","")&amp;",")))*Справочник_ОКВЭД_НР!$L$11 +
  SUMPRODUCT(ISNUMBER(SEARCH(","&amp;Справочник_ОКВЭД_НР!$G$3:$G$62&amp;".",","&amp;SUBSTITUTE(F681," ","")&amp;",")))*Справочник_ОКВЭД_НР!$L$12) /
 (SUMPRODUCT(ISNUMBER(SEARCH(","&amp;Справочник_ОКВЭД_НР!$A$3:$A$62&amp;".",","&amp;SUBSTITUTE(F681," ","")&amp;","))) +
  SUMPRODUCT(ISNUMBER(SEARCH(","&amp;Справочник_ОКВЭД_НР!$C$3:$C$62&amp;".",","&amp;SUBSTITUTE(F681," ","")&amp;","))) +
  SUMPRODUCT(ISNUMBER(SEARCH(","&amp;Справочник_ОКВЭД_НР!$E$3:$E$62&amp;".",","&amp;SUBSTITUTE(F681," ","")&amp;","))) +
  SUMPRODUCT(ISNUMBER(SEARCH(","&amp;Справочник_ОКВЭД_НР!$G$3:$G$62&amp;".",","&amp;SUBSTITUTE(F681," ","")&amp;",")))),
50)</f>
        <v>50</v>
      </c>
      <c r="K681" s="30">
        <f>IFERROR(VLOOKUP(G681,Справочник_ОКВЭД_НР!$O:$P,2,FALSE()),50)</f>
        <v>50</v>
      </c>
      <c r="L681" s="45">
        <f>(I681*Справочник_ОКВЭД_НР!$L$2+J681*Справочник_ОКВЭД_НР!$L$3+K681*Справочник_ОКВЭД_НР!$L$4)*M681</f>
        <v>80</v>
      </c>
      <c r="M681" s="47">
        <f>IF(COUNTIF(Справочник_ОКВЭД_НР!$G$3:$G$62,H681)&gt;0,0,1)</f>
        <v>1</v>
      </c>
    </row>
    <row r="682" spans="1:13" x14ac:dyDescent="0.25">
      <c r="A682" s="4">
        <f>ЛИК_дляСкорингаДП!A682</f>
        <v>1097746158586</v>
      </c>
      <c r="B682" s="4">
        <f>ЛИК_дляСкорингаДП!B682</f>
        <v>7729630229</v>
      </c>
      <c r="C682" s="4" t="str">
        <f>ЛИК_дляСкорингаДП!C682</f>
        <v>ООО "МАСТЕР НИВА"</v>
      </c>
      <c r="D682" s="5" t="str">
        <f>ЛИК_дляСкорингаДП!M682</f>
        <v>Техническое обслуживание и ремонт автотранспортных средств</v>
      </c>
      <c r="E682" s="4" t="str">
        <f>ЛИК_дляСкорингаДП!L682</f>
        <v>45.20</v>
      </c>
      <c r="F682" t="str">
        <f>ЛИК_дляСкорингаДП!N682</f>
        <v>45.20.1,45.20.2,45.3,45.31.1,45.31.2,46.12.1,46.90,68.20,68.20.2,74.20,74.30,82.92</v>
      </c>
      <c r="G682" s="25" t="str">
        <f>ЛИК_дляСкорингаДП!AG682</f>
        <v>УСН</v>
      </c>
      <c r="H682" s="55" t="str">
        <f>IF(ISNUMBER(E682),E682,
IFERROR(LEFT(E682,FIND(".",E682)-1),E682))</f>
        <v>45</v>
      </c>
      <c r="I682" s="30">
        <f>IF(COUNTIF(Справочник_ОКВЭД_НР!$A$3:$A$62,H682)&gt;0,Справочник_ОКВЭД_НР!$L$8,
 IF(COUNTIF(Справочник_ОКВЭД_НР!$C$3:$C$62,H682)&gt;0,Справочник_ОКВЭД_НР!$L$9,
  IF(COUNTIF(Справочник_ОКВЭД_НР!$E$3:$E$62,H682)&gt;0,Справочник_ОКВЭД_НР!$L$10,
   IF(COUNTIF(Справочник_ОКВЭД_НР!$G$3:$G$62,H682)&gt;0,Справочник_ОКВЭД_НР!$L$11,50))))</f>
        <v>60</v>
      </c>
      <c r="J682" s="30" cm="1">
        <f t="array" ref="J682">IFERROR(
 (SUMPRODUCT(ISNUMBER(SEARCH(","&amp;Справочник_ОКВЭД_НР!$A$3:$A$62&amp;".",","&amp;SUBSTITUTE(F682," ","")&amp;",")))*Справочник_ОКВЭД_НР!$L$9 +
  SUMPRODUCT(ISNUMBER(SEARCH(","&amp;Справочник_ОКВЭД_НР!$C$3:$C$62&amp;".",","&amp;SUBSTITUTE(F682," ","")&amp;",")))*Справочник_ОКВЭД_НР!$L$10 +
  SUMPRODUCT(ISNUMBER(SEARCH(","&amp;Справочник_ОКВЭД_НР!$E$3:$E$62&amp;".",","&amp;SUBSTITUTE(F682," ","")&amp;",")))*Справочник_ОКВЭД_НР!$L$11 +
  SUMPRODUCT(ISNUMBER(SEARCH(","&amp;Справочник_ОКВЭД_НР!$G$3:$G$62&amp;".",","&amp;SUBSTITUTE(F682," ","")&amp;",")))*Справочник_ОКВЭД_НР!$L$12) /
 (SUMPRODUCT(ISNUMBER(SEARCH(","&amp;Справочник_ОКВЭД_НР!$A$3:$A$62&amp;".",","&amp;SUBSTITUTE(F682," ","")&amp;","))) +
  SUMPRODUCT(ISNUMBER(SEARCH(","&amp;Справочник_ОКВЭД_НР!$C$3:$C$62&amp;".",","&amp;SUBSTITUTE(F682," ","")&amp;","))) +
  SUMPRODUCT(ISNUMBER(SEARCH(","&amp;Справочник_ОКВЭД_НР!$E$3:$E$62&amp;".",","&amp;SUBSTITUTE(F682," ","")&amp;","))) +
  SUMPRODUCT(ISNUMBER(SEARCH(","&amp;Справочник_ОКВЭД_НР!$G$3:$G$62&amp;".",","&amp;SUBSTITUTE(F682," ","")&amp;",")))),
50)</f>
        <v>50</v>
      </c>
      <c r="K682" s="30">
        <f>IFERROR(VLOOKUP(G682,Справочник_ОКВЭД_НР!$O:$P,2,FALSE()),50)</f>
        <v>50</v>
      </c>
      <c r="L682" s="45">
        <f>(I682*Справочник_ОКВЭД_НР!$L$2+J682*Справочник_ОКВЭД_НР!$L$3+K682*Справочник_ОКВЭД_НР!$L$4)*M682</f>
        <v>56</v>
      </c>
      <c r="M682" s="47">
        <f>IF(COUNTIF(Справочник_ОКВЭД_НР!$G$3:$G$62,H682)&gt;0,0,1)</f>
        <v>1</v>
      </c>
    </row>
    <row r="683" spans="1:13" x14ac:dyDescent="0.25">
      <c r="A683" s="4">
        <f>ЛИК_дляСкорингаДП!A683</f>
        <v>1055007326252</v>
      </c>
      <c r="B683" s="4">
        <f>ЛИК_дляСкорингаДП!B683</f>
        <v>5035033084</v>
      </c>
      <c r="C683" s="4" t="str">
        <f>ЛИК_дляСкорингаДП!C683</f>
        <v>ООО "КОМПЛЕКТ-СЕРВИС"</v>
      </c>
      <c r="D683" s="5" t="str">
        <f>ЛИК_дляСкорингаДП!M683</f>
        <v>Разведение молочного крупного рогатого скота, производство сырого молока</v>
      </c>
      <c r="E683" s="4" t="str">
        <f>ЛИК_дляСкорингаДП!L683</f>
        <v>01.41</v>
      </c>
      <c r="F683" t="str">
        <f>ЛИК_дляСкорингаДП!N683</f>
        <v>01.19,01.45,01.49,01.50,10.11,10.51,13.99.9,25.62,35.30,46.32,46.32.3,46.33,46.41.1,46.90,47.29,47.51.1,47.78.3,47.8,47.9,55.10,56.10,56.10.1,56.29,56.30,66.19,68.31.12,68.31.22,68.31.32,68.31.42,72.19,81.29.9,91.04.3,93.21,93.29.1,93.29.9</v>
      </c>
      <c r="G683" s="25" t="str">
        <f>ЛИК_дляСкорингаДП!AG683</f>
        <v>УСН</v>
      </c>
      <c r="H683" s="55" t="str">
        <f>IF(ISNUMBER(E683),E683,
IFERROR(LEFT(E683,FIND(".",E683)-1),E683))</f>
        <v>01</v>
      </c>
      <c r="I683" s="30">
        <f>IF(COUNTIF(Справочник_ОКВЭД_НР!$A$3:$A$62,H683)&gt;0,Справочник_ОКВЭД_НР!$L$8,
 IF(COUNTIF(Справочник_ОКВЭД_НР!$C$3:$C$62,H683)&gt;0,Справочник_ОКВЭД_НР!$L$9,
  IF(COUNTIF(Справочник_ОКВЭД_НР!$E$3:$E$62,H683)&gt;0,Справочник_ОКВЭД_НР!$L$10,
   IF(COUNTIF(Справочник_ОКВЭД_НР!$G$3:$G$62,H683)&gt;0,Справочник_ОКВЭД_НР!$L$11,50))))</f>
        <v>60</v>
      </c>
      <c r="J683" s="30" cm="1">
        <f t="array" ref="J683">IFERROR(
 (SUMPRODUCT(ISNUMBER(SEARCH(","&amp;Справочник_ОКВЭД_НР!$A$3:$A$62&amp;".",","&amp;SUBSTITUTE(F683," ","")&amp;",")))*Справочник_ОКВЭД_НР!$L$9 +
  SUMPRODUCT(ISNUMBER(SEARCH(","&amp;Справочник_ОКВЭД_НР!$C$3:$C$62&amp;".",","&amp;SUBSTITUTE(F683," ","")&amp;",")))*Справочник_ОКВЭД_НР!$L$10 +
  SUMPRODUCT(ISNUMBER(SEARCH(","&amp;Справочник_ОКВЭД_НР!$E$3:$E$62&amp;".",","&amp;SUBSTITUTE(F683," ","")&amp;",")))*Справочник_ОКВЭД_НР!$L$11 +
  SUMPRODUCT(ISNUMBER(SEARCH(","&amp;Справочник_ОКВЭД_НР!$G$3:$G$62&amp;".",","&amp;SUBSTITUTE(F683," ","")&amp;",")))*Справочник_ОКВЭД_НР!$L$12) /
 (SUMPRODUCT(ISNUMBER(SEARCH(","&amp;Справочник_ОКВЭД_НР!$A$3:$A$62&amp;".",","&amp;SUBSTITUTE(F683," ","")&amp;","))) +
  SUMPRODUCT(ISNUMBER(SEARCH(","&amp;Справочник_ОКВЭД_НР!$C$3:$C$62&amp;".",","&amp;SUBSTITUTE(F683," ","")&amp;","))) +
  SUMPRODUCT(ISNUMBER(SEARCH(","&amp;Справочник_ОКВЭД_НР!$E$3:$E$62&amp;".",","&amp;SUBSTITUTE(F683," ","")&amp;","))) +
  SUMPRODUCT(ISNUMBER(SEARCH(","&amp;Справочник_ОКВЭД_НР!$G$3:$G$62&amp;".",","&amp;SUBSTITUTE(F683," ","")&amp;",")))),
50)</f>
        <v>50</v>
      </c>
      <c r="K683" s="30">
        <f>IFERROR(VLOOKUP(G683,Справочник_ОКВЭД_НР!$O:$P,2,FALSE()),50)</f>
        <v>50</v>
      </c>
      <c r="L683" s="45">
        <f>(I683*Справочник_ОКВЭД_НР!$L$2+J683*Справочник_ОКВЭД_НР!$L$3+K683*Справочник_ОКВЭД_НР!$L$4)*M683</f>
        <v>56</v>
      </c>
      <c r="M683" s="47">
        <f>IF(COUNTIF(Справочник_ОКВЭД_НР!$G$3:$G$62,H683)&gt;0,0,1)</f>
        <v>1</v>
      </c>
    </row>
    <row r="684" spans="1:13" x14ac:dyDescent="0.25">
      <c r="A684" s="4">
        <f>ЛИК_дляСкорингаДП!A684</f>
        <v>1055005903930</v>
      </c>
      <c r="B684" s="4">
        <f>ЛИК_дляСкорингаДП!B684</f>
        <v>5031061098</v>
      </c>
      <c r="C684" s="4" t="str">
        <f>ЛИК_дляСкорингаДП!C684</f>
        <v>ООО"ПЕТРОЛСТЕЙШЕН"</v>
      </c>
      <c r="D684" s="5" t="str">
        <f>ЛИК_дляСкорингаДП!M684</f>
        <v>Торговля розничная моторным топливом в специализированных магазинах</v>
      </c>
      <c r="E684" s="4" t="str">
        <f>ЛИК_дляСкорингаДП!L684</f>
        <v>47.30</v>
      </c>
      <c r="F684" t="str">
        <f>ЛИК_дляСкорингаДП!N684</f>
        <v>38.32.4,41.20,43.29,45.20.1,45.20.2,45.32,46.71.2,47.19</v>
      </c>
      <c r="G684" s="25" t="str">
        <f>ЛИК_дляСкорингаДП!AG684</f>
        <v>УСН</v>
      </c>
      <c r="H684" s="55" t="str">
        <f>IF(ISNUMBER(E684),E684,
IFERROR(LEFT(E684,FIND(".",E684)-1),E684))</f>
        <v>47</v>
      </c>
      <c r="I684" s="30">
        <f>IF(COUNTIF(Справочник_ОКВЭД_НР!$A$3:$A$62,H684)&gt;0,Справочник_ОКВЭД_НР!$L$8,
 IF(COUNTIF(Справочник_ОКВЭД_НР!$C$3:$C$62,H684)&gt;0,Справочник_ОКВЭД_НР!$L$9,
  IF(COUNTIF(Справочник_ОКВЭД_НР!$E$3:$E$62,H684)&gt;0,Справочник_ОКВЭД_НР!$L$10,
   IF(COUNTIF(Справочник_ОКВЭД_НР!$G$3:$G$62,H684)&gt;0,Справочник_ОКВЭД_НР!$L$11,50))))</f>
        <v>60</v>
      </c>
      <c r="J684" s="30" cm="1">
        <f t="array" ref="J684">IFERROR(
 (SUMPRODUCT(ISNUMBER(SEARCH(","&amp;Справочник_ОКВЭД_НР!$A$3:$A$62&amp;".",","&amp;SUBSTITUTE(F684," ","")&amp;",")))*Справочник_ОКВЭД_НР!$L$9 +
  SUMPRODUCT(ISNUMBER(SEARCH(","&amp;Справочник_ОКВЭД_НР!$C$3:$C$62&amp;".",","&amp;SUBSTITUTE(F684," ","")&amp;",")))*Справочник_ОКВЭД_НР!$L$10 +
  SUMPRODUCT(ISNUMBER(SEARCH(","&amp;Справочник_ОКВЭД_НР!$E$3:$E$62&amp;".",","&amp;SUBSTITUTE(F684," ","")&amp;",")))*Справочник_ОКВЭД_НР!$L$11 +
  SUMPRODUCT(ISNUMBER(SEARCH(","&amp;Справочник_ОКВЭД_НР!$G$3:$G$62&amp;".",","&amp;SUBSTITUTE(F684," ","")&amp;",")))*Справочник_ОКВЭД_НР!$L$12) /
 (SUMPRODUCT(ISNUMBER(SEARCH(","&amp;Справочник_ОКВЭД_НР!$A$3:$A$62&amp;".",","&amp;SUBSTITUTE(F684," ","")&amp;","))) +
  SUMPRODUCT(ISNUMBER(SEARCH(","&amp;Справочник_ОКВЭД_НР!$C$3:$C$62&amp;".",","&amp;SUBSTITUTE(F684," ","")&amp;","))) +
  SUMPRODUCT(ISNUMBER(SEARCH(","&amp;Справочник_ОКВЭД_НР!$E$3:$E$62&amp;".",","&amp;SUBSTITUTE(F684," ","")&amp;","))) +
  SUMPRODUCT(ISNUMBER(SEARCH(","&amp;Справочник_ОКВЭД_НР!$G$3:$G$62&amp;".",","&amp;SUBSTITUTE(F684," ","")&amp;",")))),
50)</f>
        <v>50</v>
      </c>
      <c r="K684" s="30">
        <f>IFERROR(VLOOKUP(G684,Справочник_ОКВЭД_НР!$O:$P,2,FALSE()),50)</f>
        <v>50</v>
      </c>
      <c r="L684" s="45">
        <f>(I684*Справочник_ОКВЭД_НР!$L$2+J684*Справочник_ОКВЭД_НР!$L$3+K684*Справочник_ОКВЭД_НР!$L$4)*M684</f>
        <v>56</v>
      </c>
      <c r="M684" s="47">
        <f>IF(COUNTIF(Справочник_ОКВЭД_НР!$G$3:$G$62,H684)&gt;0,0,1)</f>
        <v>1</v>
      </c>
    </row>
    <row r="685" spans="1:13" x14ac:dyDescent="0.25">
      <c r="A685" s="4">
        <f>ЛИК_дляСкорингаДП!A685</f>
        <v>1055003001921</v>
      </c>
      <c r="B685" s="4">
        <f>ЛИК_дляСкорингаДП!B685</f>
        <v>5018099127</v>
      </c>
      <c r="C685" s="4" t="str">
        <f>ЛИК_дляСкорингаДП!C685</f>
        <v>ООО "МОСКВИЧ-ТРЕЙД ЛТД"</v>
      </c>
      <c r="D685" s="5" t="str">
        <f>ЛИК_дляСкорингаДП!M685</f>
        <v>Управление эксплуатацией нежилого фонда за вознаграждение или на договорной основе</v>
      </c>
      <c r="E685" s="4" t="str">
        <f>ЛИК_дляСкорингаДП!L685</f>
        <v>68.32.2</v>
      </c>
      <c r="F685" t="str">
        <f>ЛИК_дляСкорингаДП!N685</f>
        <v>41.20,43.11,43.12.3,43.21,43.22,43.29,43.31,43.32,43.33,43.34,43.39,43.91,43.99,43.99.1,45.1,45.3,45.40,47.78.9,47.79,47.9,49.4,49.41.2,49.41.3,52.29,64.92,64.99,68.31.12,68.31.22,68.31.32,68.31.42,77.11,77.32,77.39.1,77.39.2</v>
      </c>
      <c r="G685" s="25" t="str">
        <f>ЛИК_дляСкорингаДП!AG685</f>
        <v>УСН</v>
      </c>
      <c r="H685" s="55" t="str">
        <f>IF(ISNUMBER(E685),E685,
IFERROR(LEFT(E685,FIND(".",E685)-1),E685))</f>
        <v>68</v>
      </c>
      <c r="I685" s="30">
        <f>IF(COUNTIF(Справочник_ОКВЭД_НР!$A$3:$A$62,H685)&gt;0,Справочник_ОКВЭД_НР!$L$8,
 IF(COUNTIF(Справочник_ОКВЭД_НР!$C$3:$C$62,H685)&gt;0,Справочник_ОКВЭД_НР!$L$9,
  IF(COUNTIF(Справочник_ОКВЭД_НР!$E$3:$E$62,H685)&gt;0,Справочник_ОКВЭД_НР!$L$10,
   IF(COUNTIF(Справочник_ОКВЭД_НР!$G$3:$G$62,H685)&gt;0,Справочник_ОКВЭД_НР!$L$11,50))))</f>
        <v>100</v>
      </c>
      <c r="J685" s="30" cm="1">
        <f t="array" ref="J685">IFERROR(
 (SUMPRODUCT(ISNUMBER(SEARCH(","&amp;Справочник_ОКВЭД_НР!$A$3:$A$62&amp;".",","&amp;SUBSTITUTE(F685," ","")&amp;",")))*Справочник_ОКВЭД_НР!$L$9 +
  SUMPRODUCT(ISNUMBER(SEARCH(","&amp;Справочник_ОКВЭД_НР!$C$3:$C$62&amp;".",","&amp;SUBSTITUTE(F685," ","")&amp;",")))*Справочник_ОКВЭД_НР!$L$10 +
  SUMPRODUCT(ISNUMBER(SEARCH(","&amp;Справочник_ОКВЭД_НР!$E$3:$E$62&amp;".",","&amp;SUBSTITUTE(F685," ","")&amp;",")))*Справочник_ОКВЭД_НР!$L$11 +
  SUMPRODUCT(ISNUMBER(SEARCH(","&amp;Справочник_ОКВЭД_НР!$G$3:$G$62&amp;".",","&amp;SUBSTITUTE(F685," ","")&amp;",")))*Справочник_ОКВЭД_НР!$L$12) /
 (SUMPRODUCT(ISNUMBER(SEARCH(","&amp;Справочник_ОКВЭД_НР!$A$3:$A$62&amp;".",","&amp;SUBSTITUTE(F685," ","")&amp;","))) +
  SUMPRODUCT(ISNUMBER(SEARCH(","&amp;Справочник_ОКВЭД_НР!$C$3:$C$62&amp;".",","&amp;SUBSTITUTE(F685," ","")&amp;","))) +
  SUMPRODUCT(ISNUMBER(SEARCH(","&amp;Справочник_ОКВЭД_НР!$E$3:$E$62&amp;".",","&amp;SUBSTITUTE(F685," ","")&amp;","))) +
  SUMPRODUCT(ISNUMBER(SEARCH(","&amp;Справочник_ОКВЭД_НР!$G$3:$G$62&amp;".",","&amp;SUBSTITUTE(F685," ","")&amp;",")))),
50)</f>
        <v>50</v>
      </c>
      <c r="K685" s="30">
        <f>IFERROR(VLOOKUP(G685,Справочник_ОКВЭД_НР!$O:$P,2,FALSE()),50)</f>
        <v>50</v>
      </c>
      <c r="L685" s="45">
        <f>(I685*Справочник_ОКВЭД_НР!$L$2+J685*Справочник_ОКВЭД_НР!$L$3+K685*Справочник_ОКВЭД_НР!$L$4)*M685</f>
        <v>80</v>
      </c>
      <c r="M685" s="47">
        <f>IF(COUNTIF(Справочник_ОКВЭД_НР!$G$3:$G$62,H685)&gt;0,0,1)</f>
        <v>1</v>
      </c>
    </row>
    <row r="686" spans="1:13" x14ac:dyDescent="0.25">
      <c r="A686" s="4">
        <f>ЛИК_дляСкорингаДП!A686</f>
        <v>1097746163844</v>
      </c>
      <c r="B686" s="4">
        <f>ЛИК_дляСкорингаДП!B686</f>
        <v>7718757872</v>
      </c>
      <c r="C686" s="4" t="str">
        <f>ЛИК_дляСкорингаДП!C686</f>
        <v>ООО "ТРИТОН"</v>
      </c>
      <c r="D686" s="5" t="str">
        <f>ЛИК_дляСкорингаДП!M686</f>
        <v>Деятельность по предоставлению прочих вспомогательных услуг для бизнеса, не включенная в другие группировки</v>
      </c>
      <c r="E686" s="4" t="str">
        <f>ЛИК_дляСкорингаДП!L686</f>
        <v>82.99</v>
      </c>
      <c r="F686" t="str">
        <f>ЛИК_дляСкорингаДП!N686</f>
        <v>43.29,43.39,43.99,56.10,56.10.1,56.30,63.11,63.11.1,68.31.2,68.31.3,70.10.1,70.22,73.11,79.11,82.19</v>
      </c>
      <c r="G686" s="25" t="str">
        <f>ЛИК_дляСкорингаДП!AG686</f>
        <v>УСН</v>
      </c>
      <c r="H686" s="55" t="str">
        <f>IF(ISNUMBER(E686),E686,
IFERROR(LEFT(E686,FIND(".",E686)-1),E686))</f>
        <v>82</v>
      </c>
      <c r="I686" s="30">
        <f>IF(COUNTIF(Справочник_ОКВЭД_НР!$A$3:$A$62,H686)&gt;0,Справочник_ОКВЭД_НР!$L$8,
 IF(COUNTIF(Справочник_ОКВЭД_НР!$C$3:$C$62,H686)&gt;0,Справочник_ОКВЭД_НР!$L$9,
  IF(COUNTIF(Справочник_ОКВЭД_НР!$E$3:$E$62,H686)&gt;0,Справочник_ОКВЭД_НР!$L$10,
   IF(COUNTIF(Справочник_ОКВЭД_НР!$G$3:$G$62,H686)&gt;0,Справочник_ОКВЭД_НР!$L$11,50))))</f>
        <v>30</v>
      </c>
      <c r="J686" s="30" cm="1">
        <f t="array" ref="J686">IFERROR(
 (SUMPRODUCT(ISNUMBER(SEARCH(","&amp;Справочник_ОКВЭД_НР!$A$3:$A$62&amp;".",","&amp;SUBSTITUTE(F686," ","")&amp;",")))*Справочник_ОКВЭД_НР!$L$9 +
  SUMPRODUCT(ISNUMBER(SEARCH(","&amp;Справочник_ОКВЭД_НР!$C$3:$C$62&amp;".",","&amp;SUBSTITUTE(F686," ","")&amp;",")))*Справочник_ОКВЭД_НР!$L$10 +
  SUMPRODUCT(ISNUMBER(SEARCH(","&amp;Справочник_ОКВЭД_НР!$E$3:$E$62&amp;".",","&amp;SUBSTITUTE(F686," ","")&amp;",")))*Справочник_ОКВЭД_НР!$L$11 +
  SUMPRODUCT(ISNUMBER(SEARCH(","&amp;Справочник_ОКВЭД_НР!$G$3:$G$62&amp;".",","&amp;SUBSTITUTE(F686," ","")&amp;",")))*Справочник_ОКВЭД_НР!$L$12) /
 (SUMPRODUCT(ISNUMBER(SEARCH(","&amp;Справочник_ОКВЭД_НР!$A$3:$A$62&amp;".",","&amp;SUBSTITUTE(F686," ","")&amp;","))) +
  SUMPRODUCT(ISNUMBER(SEARCH(","&amp;Справочник_ОКВЭД_НР!$C$3:$C$62&amp;".",","&amp;SUBSTITUTE(F686," ","")&amp;","))) +
  SUMPRODUCT(ISNUMBER(SEARCH(","&amp;Справочник_ОКВЭД_НР!$E$3:$E$62&amp;".",","&amp;SUBSTITUTE(F686," ","")&amp;","))) +
  SUMPRODUCT(ISNUMBER(SEARCH(","&amp;Справочник_ОКВЭД_НР!$G$3:$G$62&amp;".",","&amp;SUBSTITUTE(F686," ","")&amp;",")))),
50)</f>
        <v>50</v>
      </c>
      <c r="K686" s="30">
        <f>IFERROR(VLOOKUP(G686,Справочник_ОКВЭД_НР!$O:$P,2,FALSE()),50)</f>
        <v>50</v>
      </c>
      <c r="L686" s="45">
        <f>(I686*Справочник_ОКВЭД_НР!$L$2+J686*Справочник_ОКВЭД_НР!$L$3+K686*Справочник_ОКВЭД_НР!$L$4)*M686</f>
        <v>38</v>
      </c>
      <c r="M686" s="47">
        <f>IF(COUNTIF(Справочник_ОКВЭД_НР!$G$3:$G$62,H686)&gt;0,0,1)</f>
        <v>1</v>
      </c>
    </row>
    <row r="687" spans="1:13" x14ac:dyDescent="0.25">
      <c r="A687" s="4">
        <f>ЛИК_дляСкорингаДП!A687</f>
        <v>1097746054427</v>
      </c>
      <c r="B687" s="4">
        <f>ЛИК_дляСкорингаДП!B687</f>
        <v>7725663865</v>
      </c>
      <c r="C687" s="4" t="str">
        <f>ЛИК_дляСкорингаДП!C687</f>
        <v>ООО "ГАЛЕРЕЯ + АЛЕКС"</v>
      </c>
      <c r="D687" s="5" t="str">
        <f>ЛИК_дляСкорингаДП!M687</f>
        <v>Аренда и управление собственным или арендованным недвижимым имуществом</v>
      </c>
      <c r="E687" s="4" t="str">
        <f>ЛИК_дляСкорингаДП!L687</f>
        <v>68.20</v>
      </c>
      <c r="F687" t="str">
        <f>ЛИК_дляСкорингаДП!N687</f>
        <v>56.10.1,56.10.3,56.30,68.10,68.10.1,68.10.12,68.10.22,68.10.23,68.31,68.32.2,70.22,73.20</v>
      </c>
      <c r="G687" s="25" t="str">
        <f>ЛИК_дляСкорингаДП!AG687</f>
        <v>УСН</v>
      </c>
      <c r="H687" s="55" t="str">
        <f>IF(ISNUMBER(E687),E687,
IFERROR(LEFT(E687,FIND(".",E687)-1),E687))</f>
        <v>68</v>
      </c>
      <c r="I687" s="30">
        <f>IF(COUNTIF(Справочник_ОКВЭД_НР!$A$3:$A$62,H687)&gt;0,Справочник_ОКВЭД_НР!$L$8,
 IF(COUNTIF(Справочник_ОКВЭД_НР!$C$3:$C$62,H687)&gt;0,Справочник_ОКВЭД_НР!$L$9,
  IF(COUNTIF(Справочник_ОКВЭД_НР!$E$3:$E$62,H687)&gt;0,Справочник_ОКВЭД_НР!$L$10,
   IF(COUNTIF(Справочник_ОКВЭД_НР!$G$3:$G$62,H687)&gt;0,Справочник_ОКВЭД_НР!$L$11,50))))</f>
        <v>100</v>
      </c>
      <c r="J687" s="30" cm="1">
        <f t="array" ref="J687">IFERROR(
 (SUMPRODUCT(ISNUMBER(SEARCH(","&amp;Справочник_ОКВЭД_НР!$A$3:$A$62&amp;".",","&amp;SUBSTITUTE(F687," ","")&amp;",")))*Справочник_ОКВЭД_НР!$L$9 +
  SUMPRODUCT(ISNUMBER(SEARCH(","&amp;Справочник_ОКВЭД_НР!$C$3:$C$62&amp;".",","&amp;SUBSTITUTE(F687," ","")&amp;",")))*Справочник_ОКВЭД_НР!$L$10 +
  SUMPRODUCT(ISNUMBER(SEARCH(","&amp;Справочник_ОКВЭД_НР!$E$3:$E$62&amp;".",","&amp;SUBSTITUTE(F687," ","")&amp;",")))*Справочник_ОКВЭД_НР!$L$11 +
  SUMPRODUCT(ISNUMBER(SEARCH(","&amp;Справочник_ОКВЭД_НР!$G$3:$G$62&amp;".",","&amp;SUBSTITUTE(F687," ","")&amp;",")))*Справочник_ОКВЭД_НР!$L$12) /
 (SUMPRODUCT(ISNUMBER(SEARCH(","&amp;Справочник_ОКВЭД_НР!$A$3:$A$62&amp;".",","&amp;SUBSTITUTE(F687," ","")&amp;","))) +
  SUMPRODUCT(ISNUMBER(SEARCH(","&amp;Справочник_ОКВЭД_НР!$C$3:$C$62&amp;".",","&amp;SUBSTITUTE(F687," ","")&amp;","))) +
  SUMPRODUCT(ISNUMBER(SEARCH(","&amp;Справочник_ОКВЭД_НР!$E$3:$E$62&amp;".",","&amp;SUBSTITUTE(F687," ","")&amp;","))) +
  SUMPRODUCT(ISNUMBER(SEARCH(","&amp;Справочник_ОКВЭД_НР!$G$3:$G$62&amp;".",","&amp;SUBSTITUTE(F687," ","")&amp;",")))),
50)</f>
        <v>50</v>
      </c>
      <c r="K687" s="30">
        <f>IFERROR(VLOOKUP(G687,Справочник_ОКВЭД_НР!$O:$P,2,FALSE()),50)</f>
        <v>50</v>
      </c>
      <c r="L687" s="45">
        <f>(I687*Справочник_ОКВЭД_НР!$L$2+J687*Справочник_ОКВЭД_НР!$L$3+K687*Справочник_ОКВЭД_НР!$L$4)*M687</f>
        <v>80</v>
      </c>
      <c r="M687" s="47">
        <f>IF(COUNTIF(Справочник_ОКВЭД_НР!$G$3:$G$62,H687)&gt;0,0,1)</f>
        <v>1</v>
      </c>
    </row>
    <row r="688" spans="1:13" x14ac:dyDescent="0.25">
      <c r="A688" s="4">
        <f>ЛИК_дляСкорингаДП!A688</f>
        <v>1025002592724</v>
      </c>
      <c r="B688" s="4">
        <f>ЛИК_дляСкорингаДП!B688</f>
        <v>5020030860</v>
      </c>
      <c r="C688" s="4" t="str">
        <f>ЛИК_дляСкорингаДП!C688</f>
        <v>ООО "ВЕГА НЭТ"</v>
      </c>
      <c r="D688" s="5" t="str">
        <f>ЛИК_дляСкорингаДП!M688</f>
        <v>Деятельность в области связи на базе проводных технологий</v>
      </c>
      <c r="E688" s="4" t="str">
        <f>ЛИК_дляСкорингаДП!L688</f>
        <v>61.10</v>
      </c>
      <c r="F688" t="str">
        <f>ЛИК_дляСкорингаДП!N688</f>
        <v>42.22,42.22.1,42.22.2,43.12.3,43.21,43.29,46.51,47.41,49.4,52.29,60.10,60.20,61.10.2,61.10.3,61.10.5,61.10.6,61.20,61.90,62.02,62.02.9,62.09,63.11,63.12,68.10,68.20.2</v>
      </c>
      <c r="G688" s="25" t="str">
        <f>ЛИК_дляСкорингаДП!AG688</f>
        <v>УСН</v>
      </c>
      <c r="H688" s="55" t="str">
        <f>IF(ISNUMBER(E688),E688,
IFERROR(LEFT(E688,FIND(".",E688)-1),E688))</f>
        <v>61</v>
      </c>
      <c r="I688" s="30">
        <f>IF(COUNTIF(Справочник_ОКВЭД_НР!$A$3:$A$62,H688)&gt;0,Справочник_ОКВЭД_НР!$L$8,
 IF(COUNTIF(Справочник_ОКВЭД_НР!$C$3:$C$62,H688)&gt;0,Справочник_ОКВЭД_НР!$L$9,
  IF(COUNTIF(Справочник_ОКВЭД_НР!$E$3:$E$62,H688)&gt;0,Справочник_ОКВЭД_НР!$L$10,
   IF(COUNTIF(Справочник_ОКВЭД_НР!$G$3:$G$62,H688)&gt;0,Справочник_ОКВЭД_НР!$L$11,50))))</f>
        <v>60</v>
      </c>
      <c r="J688" s="30" cm="1">
        <f t="array" ref="J688">IFERROR(
 (SUMPRODUCT(ISNUMBER(SEARCH(","&amp;Справочник_ОКВЭД_НР!$A$3:$A$62&amp;".",","&amp;SUBSTITUTE(F688," ","")&amp;",")))*Справочник_ОКВЭД_НР!$L$9 +
  SUMPRODUCT(ISNUMBER(SEARCH(","&amp;Справочник_ОКВЭД_НР!$C$3:$C$62&amp;".",","&amp;SUBSTITUTE(F688," ","")&amp;",")))*Справочник_ОКВЭД_НР!$L$10 +
  SUMPRODUCT(ISNUMBER(SEARCH(","&amp;Справочник_ОКВЭД_НР!$E$3:$E$62&amp;".",","&amp;SUBSTITUTE(F688," ","")&amp;",")))*Справочник_ОКВЭД_НР!$L$11 +
  SUMPRODUCT(ISNUMBER(SEARCH(","&amp;Справочник_ОКВЭД_НР!$G$3:$G$62&amp;".",","&amp;SUBSTITUTE(F688," ","")&amp;",")))*Справочник_ОКВЭД_НР!$L$12) /
 (SUMPRODUCT(ISNUMBER(SEARCH(","&amp;Справочник_ОКВЭД_НР!$A$3:$A$62&amp;".",","&amp;SUBSTITUTE(F688," ","")&amp;","))) +
  SUMPRODUCT(ISNUMBER(SEARCH(","&amp;Справочник_ОКВЭД_НР!$C$3:$C$62&amp;".",","&amp;SUBSTITUTE(F688," ","")&amp;","))) +
  SUMPRODUCT(ISNUMBER(SEARCH(","&amp;Справочник_ОКВЭД_НР!$E$3:$E$62&amp;".",","&amp;SUBSTITUTE(F688," ","")&amp;","))) +
  SUMPRODUCT(ISNUMBER(SEARCH(","&amp;Справочник_ОКВЭД_НР!$G$3:$G$62&amp;".",","&amp;SUBSTITUTE(F688," ","")&amp;",")))),
50)</f>
        <v>50</v>
      </c>
      <c r="K688" s="30">
        <f>IFERROR(VLOOKUP(G688,Справочник_ОКВЭД_НР!$O:$P,2,FALSE()),50)</f>
        <v>50</v>
      </c>
      <c r="L688" s="45">
        <f>(I688*Справочник_ОКВЭД_НР!$L$2+J688*Справочник_ОКВЭД_НР!$L$3+K688*Справочник_ОКВЭД_НР!$L$4)*M688</f>
        <v>56</v>
      </c>
      <c r="M688" s="47">
        <f>IF(COUNTIF(Справочник_ОКВЭД_НР!$G$3:$G$62,H688)&gt;0,0,1)</f>
        <v>1</v>
      </c>
    </row>
    <row r="689" spans="1:13" x14ac:dyDescent="0.25">
      <c r="A689" s="4">
        <f>ЛИК_дляСкорингаДП!A689</f>
        <v>1055003008598</v>
      </c>
      <c r="B689" s="4">
        <f>ЛИК_дляСкорингаДП!B689</f>
        <v>5018100502</v>
      </c>
      <c r="C689" s="4" t="str">
        <f>ЛИК_дляСкорингаДП!C689</f>
        <v>ООО "АГРОТЕХСЕРВИС"</v>
      </c>
      <c r="D689" s="5" t="str">
        <f>ЛИК_дляСкорингаДП!M689</f>
        <v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v>
      </c>
      <c r="E689" s="4" t="str">
        <f>ЛИК_дляСкорингаДП!L689</f>
        <v>71.12.1</v>
      </c>
      <c r="F689" t="str">
        <f>ЛИК_дляСкорингаДП!N689</f>
        <v>42.91.2,42.91.3,42.99,43.99.3,46.90,69.20.2,71.12.2,74.90.4,85.42.9</v>
      </c>
      <c r="G689" s="25" t="str">
        <f>ЛИК_дляСкорингаДП!AG689</f>
        <v>УСН</v>
      </c>
      <c r="H689" s="55" t="str">
        <f>IF(ISNUMBER(E689),E689,
IFERROR(LEFT(E689,FIND(".",E689)-1),E689))</f>
        <v>71</v>
      </c>
      <c r="I689" s="30">
        <f>IF(COUNTIF(Справочник_ОКВЭД_НР!$A$3:$A$62,H689)&gt;0,Справочник_ОКВЭД_НР!$L$8,
 IF(COUNTIF(Справочник_ОКВЭД_НР!$C$3:$C$62,H689)&gt;0,Справочник_ОКВЭД_НР!$L$9,
  IF(COUNTIF(Справочник_ОКВЭД_НР!$E$3:$E$62,H689)&gt;0,Справочник_ОКВЭД_НР!$L$10,
   IF(COUNTIF(Справочник_ОКВЭД_НР!$G$3:$G$62,H689)&gt;0,Справочник_ОКВЭД_НР!$L$11,50))))</f>
        <v>100</v>
      </c>
      <c r="J689" s="30" cm="1">
        <f t="array" ref="J689">IFERROR(
 (SUMPRODUCT(ISNUMBER(SEARCH(","&amp;Справочник_ОКВЭД_НР!$A$3:$A$62&amp;".",","&amp;SUBSTITUTE(F689," ","")&amp;",")))*Справочник_ОКВЭД_НР!$L$9 +
  SUMPRODUCT(ISNUMBER(SEARCH(","&amp;Справочник_ОКВЭД_НР!$C$3:$C$62&amp;".",","&amp;SUBSTITUTE(F689," ","")&amp;",")))*Справочник_ОКВЭД_НР!$L$10 +
  SUMPRODUCT(ISNUMBER(SEARCH(","&amp;Справочник_ОКВЭД_НР!$E$3:$E$62&amp;".",","&amp;SUBSTITUTE(F689," ","")&amp;",")))*Справочник_ОКВЭД_НР!$L$11 +
  SUMPRODUCT(ISNUMBER(SEARCH(","&amp;Справочник_ОКВЭД_НР!$G$3:$G$62&amp;".",","&amp;SUBSTITUTE(F689," ","")&amp;",")))*Справочник_ОКВЭД_НР!$L$12) /
 (SUMPRODUCT(ISNUMBER(SEARCH(","&amp;Справочник_ОКВЭД_НР!$A$3:$A$62&amp;".",","&amp;SUBSTITUTE(F689," ","")&amp;","))) +
  SUMPRODUCT(ISNUMBER(SEARCH(","&amp;Справочник_ОКВЭД_НР!$C$3:$C$62&amp;".",","&amp;SUBSTITUTE(F689," ","")&amp;","))) +
  SUMPRODUCT(ISNUMBER(SEARCH(","&amp;Справочник_ОКВЭД_НР!$E$3:$E$62&amp;".",","&amp;SUBSTITUTE(F689," ","")&amp;","))) +
  SUMPRODUCT(ISNUMBER(SEARCH(","&amp;Справочник_ОКВЭД_НР!$G$3:$G$62&amp;".",","&amp;SUBSTITUTE(F689," ","")&amp;",")))),
50)</f>
        <v>50</v>
      </c>
      <c r="K689" s="30">
        <f>IFERROR(VLOOKUP(G689,Справочник_ОКВЭД_НР!$O:$P,2,FALSE()),50)</f>
        <v>50</v>
      </c>
      <c r="L689" s="45">
        <f>(I689*Справочник_ОКВЭД_НР!$L$2+J689*Справочник_ОКВЭД_НР!$L$3+K689*Справочник_ОКВЭД_НР!$L$4)*M689</f>
        <v>80</v>
      </c>
      <c r="M689" s="47">
        <f>IF(COUNTIF(Справочник_ОКВЭД_НР!$G$3:$G$62,H689)&gt;0,0,1)</f>
        <v>1</v>
      </c>
    </row>
    <row r="690" spans="1:13" x14ac:dyDescent="0.25">
      <c r="A690" s="4">
        <f>ЛИК_дляСкорингаДП!A690</f>
        <v>1055006350398</v>
      </c>
      <c r="B690" s="4">
        <f>ЛИК_дляСкорингаДП!B690</f>
        <v>5032136733</v>
      </c>
      <c r="C690" s="4" t="str">
        <f>ЛИК_дляСкорингаДП!C690</f>
        <v>ООО "ИНВЕСТСТРОЙСЕРВИС"</v>
      </c>
      <c r="D690" s="5" t="str">
        <f>ЛИК_дляСкорингаДП!M690</f>
        <v>Управление эксплуатацией нежилого фонда за вознаграждение или на договорной основе</v>
      </c>
      <c r="E690" s="4" t="str">
        <f>ЛИК_дляСкорингаДП!L690</f>
        <v>68.32.2</v>
      </c>
      <c r="F690" t="str">
        <f>ЛИК_дляСкорингаДП!N690</f>
        <v>41.20,43.3,45.2,52.21.24,68.2,68.32,81.29.9,82.99</v>
      </c>
      <c r="G690" s="25" t="str">
        <f>ЛИК_дляСкорингаДП!AG690</f>
        <v>УСН</v>
      </c>
      <c r="H690" s="55" t="str">
        <f>IF(ISNUMBER(E690),E690,
IFERROR(LEFT(E690,FIND(".",E690)-1),E690))</f>
        <v>68</v>
      </c>
      <c r="I690" s="30">
        <f>IF(COUNTIF(Справочник_ОКВЭД_НР!$A$3:$A$62,H690)&gt;0,Справочник_ОКВЭД_НР!$L$8,
 IF(COUNTIF(Справочник_ОКВЭД_НР!$C$3:$C$62,H690)&gt;0,Справочник_ОКВЭД_НР!$L$9,
  IF(COUNTIF(Справочник_ОКВЭД_НР!$E$3:$E$62,H690)&gt;0,Справочник_ОКВЭД_НР!$L$10,
   IF(COUNTIF(Справочник_ОКВЭД_НР!$G$3:$G$62,H690)&gt;0,Справочник_ОКВЭД_НР!$L$11,50))))</f>
        <v>100</v>
      </c>
      <c r="J690" s="30" cm="1">
        <f t="array" ref="J690">IFERROR(
 (SUMPRODUCT(ISNUMBER(SEARCH(","&amp;Справочник_ОКВЭД_НР!$A$3:$A$62&amp;".",","&amp;SUBSTITUTE(F690," ","")&amp;",")))*Справочник_ОКВЭД_НР!$L$9 +
  SUMPRODUCT(ISNUMBER(SEARCH(","&amp;Справочник_ОКВЭД_НР!$C$3:$C$62&amp;".",","&amp;SUBSTITUTE(F690," ","")&amp;",")))*Справочник_ОКВЭД_НР!$L$10 +
  SUMPRODUCT(ISNUMBER(SEARCH(","&amp;Справочник_ОКВЭД_НР!$E$3:$E$62&amp;".",","&amp;SUBSTITUTE(F690," ","")&amp;",")))*Справочник_ОКВЭД_НР!$L$11 +
  SUMPRODUCT(ISNUMBER(SEARCH(","&amp;Справочник_ОКВЭД_НР!$G$3:$G$62&amp;".",","&amp;SUBSTITUTE(F690," ","")&amp;",")))*Справочник_ОКВЭД_НР!$L$12) /
 (SUMPRODUCT(ISNUMBER(SEARCH(","&amp;Справочник_ОКВЭД_НР!$A$3:$A$62&amp;".",","&amp;SUBSTITUTE(F690," ","")&amp;","))) +
  SUMPRODUCT(ISNUMBER(SEARCH(","&amp;Справочник_ОКВЭД_НР!$C$3:$C$62&amp;".",","&amp;SUBSTITUTE(F690," ","")&amp;","))) +
  SUMPRODUCT(ISNUMBER(SEARCH(","&amp;Справочник_ОКВЭД_НР!$E$3:$E$62&amp;".",","&amp;SUBSTITUTE(F690," ","")&amp;","))) +
  SUMPRODUCT(ISNUMBER(SEARCH(","&amp;Справочник_ОКВЭД_НР!$G$3:$G$62&amp;".",","&amp;SUBSTITUTE(F690," ","")&amp;",")))),
50)</f>
        <v>50</v>
      </c>
      <c r="K690" s="30">
        <f>IFERROR(VLOOKUP(G690,Справочник_ОКВЭД_НР!$O:$P,2,FALSE()),50)</f>
        <v>50</v>
      </c>
      <c r="L690" s="45">
        <f>(I690*Справочник_ОКВЭД_НР!$L$2+J690*Справочник_ОКВЭД_НР!$L$3+K690*Справочник_ОКВЭД_НР!$L$4)*M690</f>
        <v>80</v>
      </c>
      <c r="M690" s="47">
        <f>IF(COUNTIF(Справочник_ОКВЭД_НР!$G$3:$G$62,H690)&gt;0,0,1)</f>
        <v>1</v>
      </c>
    </row>
    <row r="691" spans="1:13" x14ac:dyDescent="0.25">
      <c r="A691" s="4">
        <f>ЛИК_дляСкорингаДП!A691</f>
        <v>1097746070620</v>
      </c>
      <c r="B691" s="4">
        <f>ЛИК_дляСкорингаДП!B691</f>
        <v>7718753204</v>
      </c>
      <c r="C691" s="4" t="str">
        <f>ЛИК_дляСкорингаДП!C691</f>
        <v>ООО "ГРАВИТЕЛ"</v>
      </c>
      <c r="D691" s="5" t="str">
        <f>ЛИК_дляСкорингаДП!M691</f>
        <v>Разработка компьютерного программного обеспечения</v>
      </c>
      <c r="E691" s="4" t="str">
        <f>ЛИК_дляСкорингаДП!L691</f>
        <v>62.01</v>
      </c>
      <c r="F691" t="str">
        <f>ЛИК_дляСкорингаДП!N691</f>
        <v>53.1,53.20.3,61.1,61.10,62.02,62.03,62.09,63.91,72.19,82.99</v>
      </c>
      <c r="G691" s="25" t="str">
        <f>ЛИК_дляСкорингаДП!AG691</f>
        <v>УСН</v>
      </c>
      <c r="H691" s="55" t="str">
        <f>IF(ISNUMBER(E691),E691,
IFERROR(LEFT(E691,FIND(".",E691)-1),E691))</f>
        <v>62</v>
      </c>
      <c r="I691" s="30">
        <f>IF(COUNTIF(Справочник_ОКВЭД_НР!$A$3:$A$62,H691)&gt;0,Справочник_ОКВЭД_НР!$L$8,
 IF(COUNTIF(Справочник_ОКВЭД_НР!$C$3:$C$62,H691)&gt;0,Справочник_ОКВЭД_НР!$L$9,
  IF(COUNTIF(Справочник_ОКВЭД_НР!$E$3:$E$62,H691)&gt;0,Справочник_ОКВЭД_НР!$L$10,
   IF(COUNTIF(Справочник_ОКВЭД_НР!$G$3:$G$62,H691)&gt;0,Справочник_ОКВЭД_НР!$L$11,50))))</f>
        <v>100</v>
      </c>
      <c r="J691" s="30" cm="1">
        <f t="array" ref="J691">IFERROR(
 (SUMPRODUCT(ISNUMBER(SEARCH(","&amp;Справочник_ОКВЭД_НР!$A$3:$A$62&amp;".",","&amp;SUBSTITUTE(F691," ","")&amp;",")))*Справочник_ОКВЭД_НР!$L$9 +
  SUMPRODUCT(ISNUMBER(SEARCH(","&amp;Справочник_ОКВЭД_НР!$C$3:$C$62&amp;".",","&amp;SUBSTITUTE(F691," ","")&amp;",")))*Справочник_ОКВЭД_НР!$L$10 +
  SUMPRODUCT(ISNUMBER(SEARCH(","&amp;Справочник_ОКВЭД_НР!$E$3:$E$62&amp;".",","&amp;SUBSTITUTE(F691," ","")&amp;",")))*Справочник_ОКВЭД_НР!$L$11 +
  SUMPRODUCT(ISNUMBER(SEARCH(","&amp;Справочник_ОКВЭД_НР!$G$3:$G$62&amp;".",","&amp;SUBSTITUTE(F691," ","")&amp;",")))*Справочник_ОКВЭД_НР!$L$12) /
 (SUMPRODUCT(ISNUMBER(SEARCH(","&amp;Справочник_ОКВЭД_НР!$A$3:$A$62&amp;".",","&amp;SUBSTITUTE(F691," ","")&amp;","))) +
  SUMPRODUCT(ISNUMBER(SEARCH(","&amp;Справочник_ОКВЭД_НР!$C$3:$C$62&amp;".",","&amp;SUBSTITUTE(F691," ","")&amp;","))) +
  SUMPRODUCT(ISNUMBER(SEARCH(","&amp;Справочник_ОКВЭД_НР!$E$3:$E$62&amp;".",","&amp;SUBSTITUTE(F691," ","")&amp;","))) +
  SUMPRODUCT(ISNUMBER(SEARCH(","&amp;Справочник_ОКВЭД_НР!$G$3:$G$62&amp;".",","&amp;SUBSTITUTE(F691," ","")&amp;",")))),
50)</f>
        <v>50</v>
      </c>
      <c r="K691" s="30">
        <f>IFERROR(VLOOKUP(G691,Справочник_ОКВЭД_НР!$O:$P,2,FALSE()),50)</f>
        <v>50</v>
      </c>
      <c r="L691" s="45">
        <f>(I691*Справочник_ОКВЭД_НР!$L$2+J691*Справочник_ОКВЭД_НР!$L$3+K691*Справочник_ОКВЭД_НР!$L$4)*M691</f>
        <v>80</v>
      </c>
      <c r="M691" s="47">
        <f>IF(COUNTIF(Справочник_ОКВЭД_НР!$G$3:$G$62,H691)&gt;0,0,1)</f>
        <v>1</v>
      </c>
    </row>
    <row r="692" spans="1:13" x14ac:dyDescent="0.25">
      <c r="A692" s="4">
        <f>ЛИК_дляСкорингаДП!A692</f>
        <v>1025003213510</v>
      </c>
      <c r="B692" s="4">
        <f>ЛИК_дляСкорингаДП!B692</f>
        <v>5027010781</v>
      </c>
      <c r="C692" s="4" t="str">
        <f>ЛИК_дляСкорингаДП!C692</f>
        <v>ООО "ДОМ МОДЫ"</v>
      </c>
      <c r="D692" s="5" t="str">
        <f>ЛИК_дляСкорингаДП!M692</f>
        <v>Перевозка грузов специализированными автотранспортными средствами</v>
      </c>
      <c r="E692" s="4" t="str">
        <f>ЛИК_дляСкорингаДП!L692</f>
        <v>49.41.1</v>
      </c>
      <c r="F692" t="str">
        <f>ЛИК_дляСкорингаДП!N692</f>
        <v>49.41.2,52.10.4,52.21.2,52.21.29,52.24,52.24.2,52.29,73.11,77.11,77.12</v>
      </c>
      <c r="G692" s="25" t="str">
        <f>ЛИК_дляСкорингаДП!AG692</f>
        <v>УСН</v>
      </c>
      <c r="H692" s="55" t="str">
        <f>IF(ISNUMBER(E692),E692,
IFERROR(LEFT(E692,FIND(".",E692)-1),E692))</f>
        <v>49</v>
      </c>
      <c r="I692" s="30">
        <f>IF(COUNTIF(Справочник_ОКВЭД_НР!$A$3:$A$62,H692)&gt;0,Справочник_ОКВЭД_НР!$L$8,
 IF(COUNTIF(Справочник_ОКВЭД_НР!$C$3:$C$62,H692)&gt;0,Справочник_ОКВЭД_НР!$L$9,
  IF(COUNTIF(Справочник_ОКВЭД_НР!$E$3:$E$62,H692)&gt;0,Справочник_ОКВЭД_НР!$L$10,
   IF(COUNTIF(Справочник_ОКВЭД_НР!$G$3:$G$62,H692)&gt;0,Справочник_ОКВЭД_НР!$L$11,50))))</f>
        <v>60</v>
      </c>
      <c r="J692" s="30" cm="1">
        <f t="array" ref="J692">IFERROR(
 (SUMPRODUCT(ISNUMBER(SEARCH(","&amp;Справочник_ОКВЭД_НР!$A$3:$A$62&amp;".",","&amp;SUBSTITUTE(F692," ","")&amp;",")))*Справочник_ОКВЭД_НР!$L$9 +
  SUMPRODUCT(ISNUMBER(SEARCH(","&amp;Справочник_ОКВЭД_НР!$C$3:$C$62&amp;".",","&amp;SUBSTITUTE(F692," ","")&amp;",")))*Справочник_ОКВЭД_НР!$L$10 +
  SUMPRODUCT(ISNUMBER(SEARCH(","&amp;Справочник_ОКВЭД_НР!$E$3:$E$62&amp;".",","&amp;SUBSTITUTE(F692," ","")&amp;",")))*Справочник_ОКВЭД_НР!$L$11 +
  SUMPRODUCT(ISNUMBER(SEARCH(","&amp;Справочник_ОКВЭД_НР!$G$3:$G$62&amp;".",","&amp;SUBSTITUTE(F692," ","")&amp;",")))*Справочник_ОКВЭД_НР!$L$12) /
 (SUMPRODUCT(ISNUMBER(SEARCH(","&amp;Справочник_ОКВЭД_НР!$A$3:$A$62&amp;".",","&amp;SUBSTITUTE(F692," ","")&amp;","))) +
  SUMPRODUCT(ISNUMBER(SEARCH(","&amp;Справочник_ОКВЭД_НР!$C$3:$C$62&amp;".",","&amp;SUBSTITUTE(F692," ","")&amp;","))) +
  SUMPRODUCT(ISNUMBER(SEARCH(","&amp;Справочник_ОКВЭД_НР!$E$3:$E$62&amp;".",","&amp;SUBSTITUTE(F692," ","")&amp;","))) +
  SUMPRODUCT(ISNUMBER(SEARCH(","&amp;Справочник_ОКВЭД_НР!$G$3:$G$62&amp;".",","&amp;SUBSTITUTE(F692," ","")&amp;",")))),
50)</f>
        <v>50</v>
      </c>
      <c r="K692" s="30">
        <f>IFERROR(VLOOKUP(G692,Справочник_ОКВЭД_НР!$O:$P,2,FALSE()),50)</f>
        <v>50</v>
      </c>
      <c r="L692" s="45">
        <f>(I692*Справочник_ОКВЭД_НР!$L$2+J692*Справочник_ОКВЭД_НР!$L$3+K692*Справочник_ОКВЭД_НР!$L$4)*M692</f>
        <v>56</v>
      </c>
      <c r="M692" s="47">
        <f>IF(COUNTIF(Справочник_ОКВЭД_НР!$G$3:$G$62,H692)&gt;0,0,1)</f>
        <v>1</v>
      </c>
    </row>
    <row r="693" spans="1:13" x14ac:dyDescent="0.25">
      <c r="A693" s="4">
        <f>ЛИК_дляСкорингаДП!A693</f>
        <v>1097746135244</v>
      </c>
      <c r="B693" s="4">
        <f>ЛИК_дляСкорингаДП!B693</f>
        <v>7722681506</v>
      </c>
      <c r="C693" s="4" t="str">
        <f>ЛИК_дляСкорингаДП!C693</f>
        <v>ООО "КИНОФИНАНС"</v>
      </c>
      <c r="D693" s="5" t="str">
        <f>ЛИК_дляСкорингаДП!M693</f>
        <v>Деятельность в области права и бухгалтерского учета</v>
      </c>
      <c r="E693" s="4" t="str">
        <f>ЛИК_дляСкорингаДП!L693</f>
        <v>69</v>
      </c>
      <c r="F693" t="str">
        <f>ЛИК_дляСкорингаДП!N693</f>
        <v>59.1,59.11,59.13,59.14,60.10,60.20,69.20.2,70.22,93.29</v>
      </c>
      <c r="G693" s="25" t="str">
        <f>ЛИК_дляСкорингаДП!AG693</f>
        <v>УСН</v>
      </c>
      <c r="H693" s="55" t="str">
        <f>IF(ISNUMBER(E693),E693,
IFERROR(LEFT(E693,FIND(".",E693)-1),E693))</f>
        <v>69</v>
      </c>
      <c r="I693" s="30">
        <f>IF(COUNTIF(Справочник_ОКВЭД_НР!$A$3:$A$62,H693)&gt;0,Справочник_ОКВЭД_НР!$L$8,
 IF(COUNTIF(Справочник_ОКВЭД_НР!$C$3:$C$62,H693)&gt;0,Справочник_ОКВЭД_НР!$L$9,
  IF(COUNTIF(Справочник_ОКВЭД_НР!$E$3:$E$62,H693)&gt;0,Справочник_ОКВЭД_НР!$L$10,
   IF(COUNTIF(Справочник_ОКВЭД_НР!$G$3:$G$62,H693)&gt;0,Справочник_ОКВЭД_НР!$L$11,50))))</f>
        <v>30</v>
      </c>
      <c r="J693" s="30" cm="1">
        <f t="array" ref="J693">IFERROR(
 (SUMPRODUCT(ISNUMBER(SEARCH(","&amp;Справочник_ОКВЭД_НР!$A$3:$A$62&amp;".",","&amp;SUBSTITUTE(F693," ","")&amp;",")))*Справочник_ОКВЭД_НР!$L$9 +
  SUMPRODUCT(ISNUMBER(SEARCH(","&amp;Справочник_ОКВЭД_НР!$C$3:$C$62&amp;".",","&amp;SUBSTITUTE(F693," ","")&amp;",")))*Справочник_ОКВЭД_НР!$L$10 +
  SUMPRODUCT(ISNUMBER(SEARCH(","&amp;Справочник_ОКВЭД_НР!$E$3:$E$62&amp;".",","&amp;SUBSTITUTE(F693," ","")&amp;",")))*Справочник_ОКВЭД_НР!$L$11 +
  SUMPRODUCT(ISNUMBER(SEARCH(","&amp;Справочник_ОКВЭД_НР!$G$3:$G$62&amp;".",","&amp;SUBSTITUTE(F693," ","")&amp;",")))*Справочник_ОКВЭД_НР!$L$12) /
 (SUMPRODUCT(ISNUMBER(SEARCH(","&amp;Справочник_ОКВЭД_НР!$A$3:$A$62&amp;".",","&amp;SUBSTITUTE(F693," ","")&amp;","))) +
  SUMPRODUCT(ISNUMBER(SEARCH(","&amp;Справочник_ОКВЭД_НР!$C$3:$C$62&amp;".",","&amp;SUBSTITUTE(F693," ","")&amp;","))) +
  SUMPRODUCT(ISNUMBER(SEARCH(","&amp;Справочник_ОКВЭД_НР!$E$3:$E$62&amp;".",","&amp;SUBSTITUTE(F693," ","")&amp;","))) +
  SUMPRODUCT(ISNUMBER(SEARCH(","&amp;Справочник_ОКВЭД_НР!$G$3:$G$62&amp;".",","&amp;SUBSTITUTE(F693," ","")&amp;",")))),
50)</f>
        <v>50</v>
      </c>
      <c r="K693" s="30">
        <f>IFERROR(VLOOKUP(G693,Справочник_ОКВЭД_НР!$O:$P,2,FALSE()),50)</f>
        <v>50</v>
      </c>
      <c r="L693" s="45">
        <f>(I693*Справочник_ОКВЭД_НР!$L$2+J693*Справочник_ОКВЭД_НР!$L$3+K693*Справочник_ОКВЭД_НР!$L$4)*M693</f>
        <v>38</v>
      </c>
      <c r="M693" s="47">
        <f>IF(COUNTIF(Справочник_ОКВЭД_НР!$G$3:$G$62,H693)&gt;0,0,1)</f>
        <v>1</v>
      </c>
    </row>
    <row r="694" spans="1:13" x14ac:dyDescent="0.25">
      <c r="A694" s="4">
        <f>ЛИК_дляСкорингаДП!A694</f>
        <v>1097746000351</v>
      </c>
      <c r="B694" s="4">
        <f>ЛИК_дляСкорингаДП!B694</f>
        <v>7734608638</v>
      </c>
      <c r="C694" s="4" t="str">
        <f>ЛИК_дляСкорингаДП!C694</f>
        <v>ООО "ЮЖНЫЙ ПАРК"</v>
      </c>
      <c r="D694" s="5" t="str">
        <f>ЛИК_дляСкорингаДП!M694</f>
        <v>Управление недвижимым имуществом за вознаграждение или на договорной основе</v>
      </c>
      <c r="E694" s="4" t="str">
        <f>ЛИК_дляСкорингаДП!L694</f>
        <v>68.32</v>
      </c>
      <c r="F694" t="str">
        <f>ЛИК_дляСкорингаДП!N694</f>
        <v>35.1,35.2,35.3,36.00,37.0,68.3,68.32.1,68.32.2,73.11,74.20,74.30,81.29.9,82.92</v>
      </c>
      <c r="G694" s="25" t="str">
        <f>ЛИК_дляСкорингаДП!AG694</f>
        <v>УСН</v>
      </c>
      <c r="H694" s="55" t="str">
        <f>IF(ISNUMBER(E694),E694,
IFERROR(LEFT(E694,FIND(".",E694)-1),E694))</f>
        <v>68</v>
      </c>
      <c r="I694" s="30">
        <f>IF(COUNTIF(Справочник_ОКВЭД_НР!$A$3:$A$62,H694)&gt;0,Справочник_ОКВЭД_НР!$L$8,
 IF(COUNTIF(Справочник_ОКВЭД_НР!$C$3:$C$62,H694)&gt;0,Справочник_ОКВЭД_НР!$L$9,
  IF(COUNTIF(Справочник_ОКВЭД_НР!$E$3:$E$62,H694)&gt;0,Справочник_ОКВЭД_НР!$L$10,
   IF(COUNTIF(Справочник_ОКВЭД_НР!$G$3:$G$62,H694)&gt;0,Справочник_ОКВЭД_НР!$L$11,50))))</f>
        <v>100</v>
      </c>
      <c r="J694" s="30" cm="1">
        <f t="array" ref="J694">IFERROR(
 (SUMPRODUCT(ISNUMBER(SEARCH(","&amp;Справочник_ОКВЭД_НР!$A$3:$A$62&amp;".",","&amp;SUBSTITUTE(F694," ","")&amp;",")))*Справочник_ОКВЭД_НР!$L$9 +
  SUMPRODUCT(ISNUMBER(SEARCH(","&amp;Справочник_ОКВЭД_НР!$C$3:$C$62&amp;".",","&amp;SUBSTITUTE(F694," ","")&amp;",")))*Справочник_ОКВЭД_НР!$L$10 +
  SUMPRODUCT(ISNUMBER(SEARCH(","&amp;Справочник_ОКВЭД_НР!$E$3:$E$62&amp;".",","&amp;SUBSTITUTE(F694," ","")&amp;",")))*Справочник_ОКВЭД_НР!$L$11 +
  SUMPRODUCT(ISNUMBER(SEARCH(","&amp;Справочник_ОКВЭД_НР!$G$3:$G$62&amp;".",","&amp;SUBSTITUTE(F694," ","")&amp;",")))*Справочник_ОКВЭД_НР!$L$12) /
 (SUMPRODUCT(ISNUMBER(SEARCH(","&amp;Справочник_ОКВЭД_НР!$A$3:$A$62&amp;".",","&amp;SUBSTITUTE(F694," ","")&amp;","))) +
  SUMPRODUCT(ISNUMBER(SEARCH(","&amp;Справочник_ОКВЭД_НР!$C$3:$C$62&amp;".",","&amp;SUBSTITUTE(F694," ","")&amp;","))) +
  SUMPRODUCT(ISNUMBER(SEARCH(","&amp;Справочник_ОКВЭД_НР!$E$3:$E$62&amp;".",","&amp;SUBSTITUTE(F694," ","")&amp;","))) +
  SUMPRODUCT(ISNUMBER(SEARCH(","&amp;Справочник_ОКВЭД_НР!$G$3:$G$62&amp;".",","&amp;SUBSTITUTE(F694," ","")&amp;",")))),
50)</f>
        <v>50</v>
      </c>
      <c r="K694" s="30">
        <f>IFERROR(VLOOKUP(G694,Справочник_ОКВЭД_НР!$O:$P,2,FALSE()),50)</f>
        <v>50</v>
      </c>
      <c r="L694" s="45">
        <f>(I694*Справочник_ОКВЭД_НР!$L$2+J694*Справочник_ОКВЭД_НР!$L$3+K694*Справочник_ОКВЭД_НР!$L$4)*M694</f>
        <v>80</v>
      </c>
      <c r="M694" s="47">
        <f>IF(COUNTIF(Справочник_ОКВЭД_НР!$G$3:$G$62,H694)&gt;0,0,1)</f>
        <v>1</v>
      </c>
    </row>
    <row r="695" spans="1:13" x14ac:dyDescent="0.25">
      <c r="A695" s="4">
        <f>ЛИК_дляСкорингаДП!A695</f>
        <v>1025003219999</v>
      </c>
      <c r="B695" s="4">
        <f>ЛИК_дляСкорингаДП!B695</f>
        <v>5027002808</v>
      </c>
      <c r="C695" s="4" t="str">
        <f>ЛИК_дляСкорингаДП!C695</f>
        <v>ООО "АГРОПРОМЭНЕРГО"</v>
      </c>
      <c r="D695" s="5" t="str">
        <f>ЛИК_дляСкорингаДП!M695</f>
        <v>Аренда и управление собственным или арендованным недвижимым имуществом</v>
      </c>
      <c r="E695" s="4" t="str">
        <f>ЛИК_дляСкорингаДП!L695</f>
        <v>68.20</v>
      </c>
      <c r="F695" t="str">
        <f>ЛИК_дляСкорингаДП!N695</f>
        <v>27.51,27.90,33.14,33.20,42.21,42.22.1,42.22.2,43.21,43.22,43.29,46.90,52.10,61.10.1,61.10.9,71.12,71.12.12,86.90.4</v>
      </c>
      <c r="G695" s="25" t="str">
        <f>ЛИК_дляСкорингаДП!AG695</f>
        <v>УСН</v>
      </c>
      <c r="H695" s="55" t="str">
        <f>IF(ISNUMBER(E695),E695,
IFERROR(LEFT(E695,FIND(".",E695)-1),E695))</f>
        <v>68</v>
      </c>
      <c r="I695" s="30">
        <f>IF(COUNTIF(Справочник_ОКВЭД_НР!$A$3:$A$62,H695)&gt;0,Справочник_ОКВЭД_НР!$L$8,
 IF(COUNTIF(Справочник_ОКВЭД_НР!$C$3:$C$62,H695)&gt;0,Справочник_ОКВЭД_НР!$L$9,
  IF(COUNTIF(Справочник_ОКВЭД_НР!$E$3:$E$62,H695)&gt;0,Справочник_ОКВЭД_НР!$L$10,
   IF(COUNTIF(Справочник_ОКВЭД_НР!$G$3:$G$62,H695)&gt;0,Справочник_ОКВЭД_НР!$L$11,50))))</f>
        <v>100</v>
      </c>
      <c r="J695" s="30" cm="1">
        <f t="array" ref="J695">IFERROR(
 (SUMPRODUCT(ISNUMBER(SEARCH(","&amp;Справочник_ОКВЭД_НР!$A$3:$A$62&amp;".",","&amp;SUBSTITUTE(F695," ","")&amp;",")))*Справочник_ОКВЭД_НР!$L$9 +
  SUMPRODUCT(ISNUMBER(SEARCH(","&amp;Справочник_ОКВЭД_НР!$C$3:$C$62&amp;".",","&amp;SUBSTITUTE(F695," ","")&amp;",")))*Справочник_ОКВЭД_НР!$L$10 +
  SUMPRODUCT(ISNUMBER(SEARCH(","&amp;Справочник_ОКВЭД_НР!$E$3:$E$62&amp;".",","&amp;SUBSTITUTE(F695," ","")&amp;",")))*Справочник_ОКВЭД_НР!$L$11 +
  SUMPRODUCT(ISNUMBER(SEARCH(","&amp;Справочник_ОКВЭД_НР!$G$3:$G$62&amp;".",","&amp;SUBSTITUTE(F695," ","")&amp;",")))*Справочник_ОКВЭД_НР!$L$12) /
 (SUMPRODUCT(ISNUMBER(SEARCH(","&amp;Справочник_ОКВЭД_НР!$A$3:$A$62&amp;".",","&amp;SUBSTITUTE(F695," ","")&amp;","))) +
  SUMPRODUCT(ISNUMBER(SEARCH(","&amp;Справочник_ОКВЭД_НР!$C$3:$C$62&amp;".",","&amp;SUBSTITUTE(F695," ","")&amp;","))) +
  SUMPRODUCT(ISNUMBER(SEARCH(","&amp;Справочник_ОКВЭД_НР!$E$3:$E$62&amp;".",","&amp;SUBSTITUTE(F695," ","")&amp;","))) +
  SUMPRODUCT(ISNUMBER(SEARCH(","&amp;Справочник_ОКВЭД_НР!$G$3:$G$62&amp;".",","&amp;SUBSTITUTE(F695," ","")&amp;",")))),
50)</f>
        <v>50</v>
      </c>
      <c r="K695" s="30">
        <f>IFERROR(VLOOKUP(G695,Справочник_ОКВЭД_НР!$O:$P,2,FALSE()),50)</f>
        <v>50</v>
      </c>
      <c r="L695" s="45">
        <f>(I695*Справочник_ОКВЭД_НР!$L$2+J695*Справочник_ОКВЭД_НР!$L$3+K695*Справочник_ОКВЭД_НР!$L$4)*M695</f>
        <v>80</v>
      </c>
      <c r="M695" s="47">
        <f>IF(COUNTIF(Справочник_ОКВЭД_НР!$G$3:$G$62,H695)&gt;0,0,1)</f>
        <v>1</v>
      </c>
    </row>
    <row r="696" spans="1:13" x14ac:dyDescent="0.25">
      <c r="A696" s="4">
        <f>ЛИК_дляСкорингаДП!A696</f>
        <v>1097746109163</v>
      </c>
      <c r="B696" s="4">
        <f>ЛИК_дляСкорингаДП!B696</f>
        <v>7707698992</v>
      </c>
      <c r="C696" s="4" t="str">
        <f>ЛИК_дляСкорингаДП!C696</f>
        <v>ООО "КУУЛ КОННЕКШНС"</v>
      </c>
      <c r="D696" s="5" t="str">
        <f>ЛИК_дляСкорингаДП!M696</f>
        <v>Деятельность по распространению кинофильмов, видеофильмов и телевизионных программ</v>
      </c>
      <c r="E696" s="4" t="str">
        <f>ЛИК_дляСкорингаДП!L696</f>
        <v>59.13</v>
      </c>
      <c r="F696" t="str">
        <f>ЛИК_дляСкорингаДП!N696</f>
        <v>18.1,18.2,33.13,46.1,46.4,46.43.2,46.43.3,46.6,46.9,47.1,47.5,47.63.1,47.63.2,47.9,52.10,52.24,52.29,58,59.11,59.14,62.09,63.11.1,63.91,68.1,68.2,68.3,69,73.1,73.20,74.20,74.30,77.39,77.39.24,82.19,82.92,93.1,93.2</v>
      </c>
      <c r="G696" s="25" t="str">
        <f>ЛИК_дляСкорингаДП!AG696</f>
        <v>УСН</v>
      </c>
      <c r="H696" s="55" t="str">
        <f>IF(ISNUMBER(E696),E696,
IFERROR(LEFT(E696,FIND(".",E696)-1),E696))</f>
        <v>59</v>
      </c>
      <c r="I696" s="30">
        <f>IF(COUNTIF(Справочник_ОКВЭД_НР!$A$3:$A$62,H696)&gt;0,Справочник_ОКВЭД_НР!$L$8,
 IF(COUNTIF(Справочник_ОКВЭД_НР!$C$3:$C$62,H696)&gt;0,Справочник_ОКВЭД_НР!$L$9,
  IF(COUNTIF(Справочник_ОКВЭД_НР!$E$3:$E$62,H696)&gt;0,Справочник_ОКВЭД_НР!$L$10,
   IF(COUNTIF(Справочник_ОКВЭД_НР!$G$3:$G$62,H696)&gt;0,Справочник_ОКВЭД_НР!$L$11,50))))</f>
        <v>30</v>
      </c>
      <c r="J696" s="30" cm="1">
        <f t="array" ref="J696">IFERROR(
 (SUMPRODUCT(ISNUMBER(SEARCH(","&amp;Справочник_ОКВЭД_НР!$A$3:$A$62&amp;".",","&amp;SUBSTITUTE(F696," ","")&amp;",")))*Справочник_ОКВЭД_НР!$L$9 +
  SUMPRODUCT(ISNUMBER(SEARCH(","&amp;Справочник_ОКВЭД_НР!$C$3:$C$62&amp;".",","&amp;SUBSTITUTE(F696," ","")&amp;",")))*Справочник_ОКВЭД_НР!$L$10 +
  SUMPRODUCT(ISNUMBER(SEARCH(","&amp;Справочник_ОКВЭД_НР!$E$3:$E$62&amp;".",","&amp;SUBSTITUTE(F696," ","")&amp;",")))*Справочник_ОКВЭД_НР!$L$11 +
  SUMPRODUCT(ISNUMBER(SEARCH(","&amp;Справочник_ОКВЭД_НР!$G$3:$G$62&amp;".",","&amp;SUBSTITUTE(F696," ","")&amp;",")))*Справочник_ОКВЭД_НР!$L$12) /
 (SUMPRODUCT(ISNUMBER(SEARCH(","&amp;Справочник_ОКВЭД_НР!$A$3:$A$62&amp;".",","&amp;SUBSTITUTE(F696," ","")&amp;","))) +
  SUMPRODUCT(ISNUMBER(SEARCH(","&amp;Справочник_ОКВЭД_НР!$C$3:$C$62&amp;".",","&amp;SUBSTITUTE(F696," ","")&amp;","))) +
  SUMPRODUCT(ISNUMBER(SEARCH(","&amp;Справочник_ОКВЭД_НР!$E$3:$E$62&amp;".",","&amp;SUBSTITUTE(F696," ","")&amp;","))) +
  SUMPRODUCT(ISNUMBER(SEARCH(","&amp;Справочник_ОКВЭД_НР!$G$3:$G$62&amp;".",","&amp;SUBSTITUTE(F696," ","")&amp;",")))),
50)</f>
        <v>50</v>
      </c>
      <c r="K696" s="30">
        <f>IFERROR(VLOOKUP(G696,Справочник_ОКВЭД_НР!$O:$P,2,FALSE()),50)</f>
        <v>50</v>
      </c>
      <c r="L696" s="45">
        <f>(I696*Справочник_ОКВЭД_НР!$L$2+J696*Справочник_ОКВЭД_НР!$L$3+K696*Справочник_ОКВЭД_НР!$L$4)*M696</f>
        <v>38</v>
      </c>
      <c r="M696" s="47">
        <f>IF(COUNTIF(Справочник_ОКВЭД_НР!$G$3:$G$62,H696)&gt;0,0,1)</f>
        <v>1</v>
      </c>
    </row>
    <row r="697" spans="1:13" x14ac:dyDescent="0.25">
      <c r="A697" s="4">
        <f>ЛИК_дляСкорингаДП!A697</f>
        <v>1097746068331</v>
      </c>
      <c r="B697" s="4">
        <f>ЛИК_дляСкорингаДП!B697</f>
        <v>7722679320</v>
      </c>
      <c r="C697" s="4" t="str">
        <f>ЛИК_дляСкорингаДП!C697</f>
        <v>ООО "ИТ-ПРОФИЛЬ"</v>
      </c>
      <c r="D697" s="5" t="str">
        <f>ЛИК_дляСкорингаДП!M697</f>
        <v>Разработка компьютерного программного обеспечения</v>
      </c>
      <c r="E697" s="4" t="str">
        <f>ЛИК_дляСкорингаДП!L697</f>
        <v>62.01</v>
      </c>
      <c r="F697" t="str">
        <f>ЛИК_дляСкорингаДП!N697</f>
        <v>62.02,62.03.13,62.09,63.11,63.11.1,69.10,69.20,82.99,95.11</v>
      </c>
      <c r="G697" s="25" t="str">
        <f>ЛИК_дляСкорингаДП!AG697</f>
        <v>УСН</v>
      </c>
      <c r="H697" s="55" t="str">
        <f>IF(ISNUMBER(E697),E697,
IFERROR(LEFT(E697,FIND(".",E697)-1),E697))</f>
        <v>62</v>
      </c>
      <c r="I697" s="30">
        <f>IF(COUNTIF(Справочник_ОКВЭД_НР!$A$3:$A$62,H697)&gt;0,Справочник_ОКВЭД_НР!$L$8,
 IF(COUNTIF(Справочник_ОКВЭД_НР!$C$3:$C$62,H697)&gt;0,Справочник_ОКВЭД_НР!$L$9,
  IF(COUNTIF(Справочник_ОКВЭД_НР!$E$3:$E$62,H697)&gt;0,Справочник_ОКВЭД_НР!$L$10,
   IF(COUNTIF(Справочник_ОКВЭД_НР!$G$3:$G$62,H697)&gt;0,Справочник_ОКВЭД_НР!$L$11,50))))</f>
        <v>100</v>
      </c>
      <c r="J697" s="30" cm="1">
        <f t="array" ref="J697">IFERROR(
 (SUMPRODUCT(ISNUMBER(SEARCH(","&amp;Справочник_ОКВЭД_НР!$A$3:$A$62&amp;".",","&amp;SUBSTITUTE(F697," ","")&amp;",")))*Справочник_ОКВЭД_НР!$L$9 +
  SUMPRODUCT(ISNUMBER(SEARCH(","&amp;Справочник_ОКВЭД_НР!$C$3:$C$62&amp;".",","&amp;SUBSTITUTE(F697," ","")&amp;",")))*Справочник_ОКВЭД_НР!$L$10 +
  SUMPRODUCT(ISNUMBER(SEARCH(","&amp;Справочник_ОКВЭД_НР!$E$3:$E$62&amp;".",","&amp;SUBSTITUTE(F697," ","")&amp;",")))*Справочник_ОКВЭД_НР!$L$11 +
  SUMPRODUCT(ISNUMBER(SEARCH(","&amp;Справочник_ОКВЭД_НР!$G$3:$G$62&amp;".",","&amp;SUBSTITUTE(F697," ","")&amp;",")))*Справочник_ОКВЭД_НР!$L$12) /
 (SUMPRODUCT(ISNUMBER(SEARCH(","&amp;Справочник_ОКВЭД_НР!$A$3:$A$62&amp;".",","&amp;SUBSTITUTE(F697," ","")&amp;","))) +
  SUMPRODUCT(ISNUMBER(SEARCH(","&amp;Справочник_ОКВЭД_НР!$C$3:$C$62&amp;".",","&amp;SUBSTITUTE(F697," ","")&amp;","))) +
  SUMPRODUCT(ISNUMBER(SEARCH(","&amp;Справочник_ОКВЭД_НР!$E$3:$E$62&amp;".",","&amp;SUBSTITUTE(F697," ","")&amp;","))) +
  SUMPRODUCT(ISNUMBER(SEARCH(","&amp;Справочник_ОКВЭД_НР!$G$3:$G$62&amp;".",","&amp;SUBSTITUTE(F697," ","")&amp;",")))),
50)</f>
        <v>50</v>
      </c>
      <c r="K697" s="30">
        <f>IFERROR(VLOOKUP(G697,Справочник_ОКВЭД_НР!$O:$P,2,FALSE()),50)</f>
        <v>50</v>
      </c>
      <c r="L697" s="45">
        <f>(I697*Справочник_ОКВЭД_НР!$L$2+J697*Справочник_ОКВЭД_НР!$L$3+K697*Справочник_ОКВЭД_НР!$L$4)*M697</f>
        <v>80</v>
      </c>
      <c r="M697" s="47">
        <f>IF(COUNTIF(Справочник_ОКВЭД_НР!$G$3:$G$62,H697)&gt;0,0,1)</f>
        <v>1</v>
      </c>
    </row>
    <row r="698" spans="1:13" x14ac:dyDescent="0.25">
      <c r="A698" s="4">
        <f>ЛИК_дляСкорингаДП!A698</f>
        <v>1025003208196</v>
      </c>
      <c r="B698" s="4">
        <f>ЛИК_дляСкорингаДП!B698</f>
        <v>5027075228</v>
      </c>
      <c r="C698" s="4" t="str">
        <f>ЛИК_дляСкорингаДП!C698</f>
        <v>ООО "АВТОТРАНССЕРВИС-1"</v>
      </c>
      <c r="D698" s="5" t="str">
        <f>ЛИК_дляСкорингаДП!M698</f>
        <v>Регулярные перевозки пассажиров автобусами в городском и пригородном сообщении</v>
      </c>
      <c r="E698" s="4" t="str">
        <f>ЛИК_дляСкорингаДП!L698</f>
        <v>49.31.21</v>
      </c>
      <c r="F698" t="str">
        <f>ЛИК_дляСкорингаДП!N698</f>
        <v>10.39,14.12,16.10.2,23.11,46.11,46.12,46.32,46.44,47.19,47.23,47.29,49.32,49.39.3,49.39.31,56.10.1</v>
      </c>
      <c r="G698" s="25" t="str">
        <f>ЛИК_дляСкорингаДП!AG698</f>
        <v>УСН</v>
      </c>
      <c r="H698" s="55" t="str">
        <f>IF(ISNUMBER(E698),E698,
IFERROR(LEFT(E698,FIND(".",E698)-1),E698))</f>
        <v>49</v>
      </c>
      <c r="I698" s="30">
        <f>IF(COUNTIF(Справочник_ОКВЭД_НР!$A$3:$A$62,H698)&gt;0,Справочник_ОКВЭД_НР!$L$8,
 IF(COUNTIF(Справочник_ОКВЭД_НР!$C$3:$C$62,H698)&gt;0,Справочник_ОКВЭД_НР!$L$9,
  IF(COUNTIF(Справочник_ОКВЭД_НР!$E$3:$E$62,H698)&gt;0,Справочник_ОКВЭД_НР!$L$10,
   IF(COUNTIF(Справочник_ОКВЭД_НР!$G$3:$G$62,H698)&gt;0,Справочник_ОКВЭД_НР!$L$11,50))))</f>
        <v>60</v>
      </c>
      <c r="J698" s="30" cm="1">
        <f t="array" ref="J698">IFERROR(
 (SUMPRODUCT(ISNUMBER(SEARCH(","&amp;Справочник_ОКВЭД_НР!$A$3:$A$62&amp;".",","&amp;SUBSTITUTE(F698," ","")&amp;",")))*Справочник_ОКВЭД_НР!$L$9 +
  SUMPRODUCT(ISNUMBER(SEARCH(","&amp;Справочник_ОКВЭД_НР!$C$3:$C$62&amp;".",","&amp;SUBSTITUTE(F698," ","")&amp;",")))*Справочник_ОКВЭД_НР!$L$10 +
  SUMPRODUCT(ISNUMBER(SEARCH(","&amp;Справочник_ОКВЭД_НР!$E$3:$E$62&amp;".",","&amp;SUBSTITUTE(F698," ","")&amp;",")))*Справочник_ОКВЭД_НР!$L$11 +
  SUMPRODUCT(ISNUMBER(SEARCH(","&amp;Справочник_ОКВЭД_НР!$G$3:$G$62&amp;".",","&amp;SUBSTITUTE(F698," ","")&amp;",")))*Справочник_ОКВЭД_НР!$L$12) /
 (SUMPRODUCT(ISNUMBER(SEARCH(","&amp;Справочник_ОКВЭД_НР!$A$3:$A$62&amp;".",","&amp;SUBSTITUTE(F698," ","")&amp;","))) +
  SUMPRODUCT(ISNUMBER(SEARCH(","&amp;Справочник_ОКВЭД_НР!$C$3:$C$62&amp;".",","&amp;SUBSTITUTE(F698," ","")&amp;","))) +
  SUMPRODUCT(ISNUMBER(SEARCH(","&amp;Справочник_ОКВЭД_НР!$E$3:$E$62&amp;".",","&amp;SUBSTITUTE(F698," ","")&amp;","))) +
  SUMPRODUCT(ISNUMBER(SEARCH(","&amp;Справочник_ОКВЭД_НР!$G$3:$G$62&amp;".",","&amp;SUBSTITUTE(F698," ","")&amp;",")))),
50)</f>
        <v>50</v>
      </c>
      <c r="K698" s="30">
        <f>IFERROR(VLOOKUP(G698,Справочник_ОКВЭД_НР!$O:$P,2,FALSE()),50)</f>
        <v>50</v>
      </c>
      <c r="L698" s="45">
        <f>(I698*Справочник_ОКВЭД_НР!$L$2+J698*Справочник_ОКВЭД_НР!$L$3+K698*Справочник_ОКВЭД_НР!$L$4)*M698</f>
        <v>56</v>
      </c>
      <c r="M698" s="47">
        <f>IF(COUNTIF(Справочник_ОКВЭД_НР!$G$3:$G$62,H698)&gt;0,0,1)</f>
        <v>1</v>
      </c>
    </row>
    <row r="699" spans="1:13" x14ac:dyDescent="0.25">
      <c r="A699" s="4">
        <f>ЛИК_дляСкорингаДП!A699</f>
        <v>1025002593890</v>
      </c>
      <c r="B699" s="4">
        <f>ЛИК_дляСкорингаДП!B699</f>
        <v>5020002319</v>
      </c>
      <c r="C699" s="4" t="str">
        <f>ЛИК_дляСкорингаДП!C699</f>
        <v>ООО "БЛЕСК"</v>
      </c>
      <c r="D699" s="5" t="str">
        <f>ЛИК_дляСкорингаДП!M699</f>
        <v>Стирка и химическая чистка текстильных и меховых изделий</v>
      </c>
      <c r="E699" s="4" t="str">
        <f>ЛИК_дляСкорингаДП!L699</f>
        <v>96.01</v>
      </c>
      <c r="F699" t="str">
        <f>ЛИК_дляСкорингаДП!N699</f>
        <v>47.19</v>
      </c>
      <c r="G699" s="25" t="str">
        <f>ЛИК_дляСкорингаДП!AG699</f>
        <v>УСН</v>
      </c>
      <c r="H699" s="55" t="str">
        <f>IF(ISNUMBER(E699),E699,
IFERROR(LEFT(E699,FIND(".",E699)-1),E699))</f>
        <v>96</v>
      </c>
      <c r="I699" s="30">
        <f>IF(COUNTIF(Справочник_ОКВЭД_НР!$A$3:$A$62,H699)&gt;0,Справочник_ОКВЭД_НР!$L$8,
 IF(COUNTIF(Справочник_ОКВЭД_НР!$C$3:$C$62,H699)&gt;0,Справочник_ОКВЭД_НР!$L$9,
  IF(COUNTIF(Справочник_ОКВЭД_НР!$E$3:$E$62,H699)&gt;0,Справочник_ОКВЭД_НР!$L$10,
   IF(COUNTIF(Справочник_ОКВЭД_НР!$G$3:$G$62,H699)&gt;0,Справочник_ОКВЭД_НР!$L$11,50))))</f>
        <v>30</v>
      </c>
      <c r="J699" s="30" cm="1">
        <f t="array" ref="J699">IFERROR(
 (SUMPRODUCT(ISNUMBER(SEARCH(","&amp;Справочник_ОКВЭД_НР!$A$3:$A$62&amp;".",","&amp;SUBSTITUTE(F699," ","")&amp;",")))*Справочник_ОКВЭД_НР!$L$9 +
  SUMPRODUCT(ISNUMBER(SEARCH(","&amp;Справочник_ОКВЭД_НР!$C$3:$C$62&amp;".",","&amp;SUBSTITUTE(F699," ","")&amp;",")))*Справочник_ОКВЭД_НР!$L$10 +
  SUMPRODUCT(ISNUMBER(SEARCH(","&amp;Справочник_ОКВЭД_НР!$E$3:$E$62&amp;".",","&amp;SUBSTITUTE(F699," ","")&amp;",")))*Справочник_ОКВЭД_НР!$L$11 +
  SUMPRODUCT(ISNUMBER(SEARCH(","&amp;Справочник_ОКВЭД_НР!$G$3:$G$62&amp;".",","&amp;SUBSTITUTE(F699," ","")&amp;",")))*Справочник_ОКВЭД_НР!$L$12) /
 (SUMPRODUCT(ISNUMBER(SEARCH(","&amp;Справочник_ОКВЭД_НР!$A$3:$A$62&amp;".",","&amp;SUBSTITUTE(F699," ","")&amp;","))) +
  SUMPRODUCT(ISNUMBER(SEARCH(","&amp;Справочник_ОКВЭД_НР!$C$3:$C$62&amp;".",","&amp;SUBSTITUTE(F699," ","")&amp;","))) +
  SUMPRODUCT(ISNUMBER(SEARCH(","&amp;Справочник_ОКВЭД_НР!$E$3:$E$62&amp;".",","&amp;SUBSTITUTE(F699," ","")&amp;","))) +
  SUMPRODUCT(ISNUMBER(SEARCH(","&amp;Справочник_ОКВЭД_НР!$G$3:$G$62&amp;".",","&amp;SUBSTITUTE(F699," ","")&amp;",")))),
50)</f>
        <v>50</v>
      </c>
      <c r="K699" s="30">
        <f>IFERROR(VLOOKUP(G699,Справочник_ОКВЭД_НР!$O:$P,2,FALSE()),50)</f>
        <v>50</v>
      </c>
      <c r="L699" s="45">
        <f>(I699*Справочник_ОКВЭД_НР!$L$2+J699*Справочник_ОКВЭД_НР!$L$3+K699*Справочник_ОКВЭД_НР!$L$4)*M699</f>
        <v>38</v>
      </c>
      <c r="M699" s="47">
        <f>IF(COUNTIF(Справочник_ОКВЭД_НР!$G$3:$G$62,H699)&gt;0,0,1)</f>
        <v>1</v>
      </c>
    </row>
    <row r="700" spans="1:13" x14ac:dyDescent="0.25">
      <c r="A700" s="4">
        <f>ЛИК_дляСкорингаДП!A700</f>
        <v>1025002876348</v>
      </c>
      <c r="B700" s="4">
        <f>ЛИК_дляСкорингаДП!B700</f>
        <v>5024055390</v>
      </c>
      <c r="C700" s="4" t="str">
        <f>ЛИК_дляСкорингаДП!C700</f>
        <v>ООО "САТОРИНД ТРЕЙД"</v>
      </c>
      <c r="D700" s="5" t="str">
        <f>ЛИК_дляСкорингаДП!M700</f>
        <v>Торговля розничная текстильными изделиями в специализированных магазинах</v>
      </c>
      <c r="E700" s="4" t="str">
        <f>ЛИК_дляСкорингаДП!L700</f>
        <v>47.51</v>
      </c>
      <c r="F700" t="str">
        <f>ЛИК_дляСкорингаДП!N700</f>
        <v>46.41,46.41.2,46.42,46.49,46.90,47.71,47.72,47.99</v>
      </c>
      <c r="G700" s="25" t="str">
        <f>ЛИК_дляСкорингаДП!AG700</f>
        <v>УСН</v>
      </c>
      <c r="H700" s="55" t="str">
        <f>IF(ISNUMBER(E700),E700,
IFERROR(LEFT(E700,FIND(".",E700)-1),E700))</f>
        <v>47</v>
      </c>
      <c r="I700" s="30">
        <f>IF(COUNTIF(Справочник_ОКВЭД_НР!$A$3:$A$62,H700)&gt;0,Справочник_ОКВЭД_НР!$L$8,
 IF(COUNTIF(Справочник_ОКВЭД_НР!$C$3:$C$62,H700)&gt;0,Справочник_ОКВЭД_НР!$L$9,
  IF(COUNTIF(Справочник_ОКВЭД_НР!$E$3:$E$62,H700)&gt;0,Справочник_ОКВЭД_НР!$L$10,
   IF(COUNTIF(Справочник_ОКВЭД_НР!$G$3:$G$62,H700)&gt;0,Справочник_ОКВЭД_НР!$L$11,50))))</f>
        <v>60</v>
      </c>
      <c r="J700" s="30" cm="1">
        <f t="array" ref="J700">IFERROR(
 (SUMPRODUCT(ISNUMBER(SEARCH(","&amp;Справочник_ОКВЭД_НР!$A$3:$A$62&amp;".",","&amp;SUBSTITUTE(F700," ","")&amp;",")))*Справочник_ОКВЭД_НР!$L$9 +
  SUMPRODUCT(ISNUMBER(SEARCH(","&amp;Справочник_ОКВЭД_НР!$C$3:$C$62&amp;".",","&amp;SUBSTITUTE(F700," ","")&amp;",")))*Справочник_ОКВЭД_НР!$L$10 +
  SUMPRODUCT(ISNUMBER(SEARCH(","&amp;Справочник_ОКВЭД_НР!$E$3:$E$62&amp;".",","&amp;SUBSTITUTE(F700," ","")&amp;",")))*Справочник_ОКВЭД_НР!$L$11 +
  SUMPRODUCT(ISNUMBER(SEARCH(","&amp;Справочник_ОКВЭД_НР!$G$3:$G$62&amp;".",","&amp;SUBSTITUTE(F700," ","")&amp;",")))*Справочник_ОКВЭД_НР!$L$12) /
 (SUMPRODUCT(ISNUMBER(SEARCH(","&amp;Справочник_ОКВЭД_НР!$A$3:$A$62&amp;".",","&amp;SUBSTITUTE(F700," ","")&amp;","))) +
  SUMPRODUCT(ISNUMBER(SEARCH(","&amp;Справочник_ОКВЭД_НР!$C$3:$C$62&amp;".",","&amp;SUBSTITUTE(F700," ","")&amp;","))) +
  SUMPRODUCT(ISNUMBER(SEARCH(","&amp;Справочник_ОКВЭД_НР!$E$3:$E$62&amp;".",","&amp;SUBSTITUTE(F700," ","")&amp;","))) +
  SUMPRODUCT(ISNUMBER(SEARCH(","&amp;Справочник_ОКВЭД_НР!$G$3:$G$62&amp;".",","&amp;SUBSTITUTE(F700," ","")&amp;",")))),
50)</f>
        <v>50</v>
      </c>
      <c r="K700" s="30">
        <f>IFERROR(VLOOKUP(G700,Справочник_ОКВЭД_НР!$O:$P,2,FALSE()),50)</f>
        <v>50</v>
      </c>
      <c r="L700" s="45">
        <f>(I700*Справочник_ОКВЭД_НР!$L$2+J700*Справочник_ОКВЭД_НР!$L$3+K700*Справочник_ОКВЭД_НР!$L$4)*M700</f>
        <v>56</v>
      </c>
      <c r="M700" s="47">
        <f>IF(COUNTIF(Справочник_ОКВЭД_НР!$G$3:$G$62,H700)&gt;0,0,1)</f>
        <v>1</v>
      </c>
    </row>
    <row r="701" spans="1:13" x14ac:dyDescent="0.25">
      <c r="A701" s="4">
        <f>ЛИК_дляСкорингаДП!A701</f>
        <v>1097746092091</v>
      </c>
      <c r="B701" s="4">
        <f>ЛИК_дляСкорингаДП!B701</f>
        <v>7715748799</v>
      </c>
      <c r="C701" s="4" t="str">
        <f>ЛИК_дляСкорингаДП!C701</f>
        <v>ООО "ПЦ ШАГ"</v>
      </c>
      <c r="D701" s="5" t="str">
        <f>ЛИК_дляСкорингаДП!M701</f>
        <v>Деятельность вспомогательная, связанная с исполнительскими искусствами</v>
      </c>
      <c r="E701" s="4" t="str">
        <f>ЛИК_дляСкорингаДП!L701</f>
        <v>90.02</v>
      </c>
      <c r="F701" t="str">
        <f>ЛИК_дляСкорингаДП!N701</f>
        <v>16.29,17.29,18.12,22.29,25.61,25.62,25.99.2,31.01,31.09.2,32.40,32.99.6,59.1,59.20,62.01,73.11,74.10,77.29,77.40,78.30,79.90,82.30,90.01,93.29,93.29.3,93.29.9</v>
      </c>
      <c r="G701" s="25" t="str">
        <f>ЛИК_дляСкорингаДП!AG701</f>
        <v>УСН</v>
      </c>
      <c r="H701" s="55" t="str">
        <f>IF(ISNUMBER(E701),E701,
IFERROR(LEFT(E701,FIND(".",E701)-1),E701))</f>
        <v>90</v>
      </c>
      <c r="I701" s="30">
        <f>IF(COUNTIF(Справочник_ОКВЭД_НР!$A$3:$A$62,H701)&gt;0,Справочник_ОКВЭД_НР!$L$8,
 IF(COUNTIF(Справочник_ОКВЭД_НР!$C$3:$C$62,H701)&gt;0,Справочник_ОКВЭД_НР!$L$9,
  IF(COUNTIF(Справочник_ОКВЭД_НР!$E$3:$E$62,H701)&gt;0,Справочник_ОКВЭД_НР!$L$10,
   IF(COUNTIF(Справочник_ОКВЭД_НР!$G$3:$G$62,H701)&gt;0,Справочник_ОКВЭД_НР!$L$11,50))))</f>
        <v>30</v>
      </c>
      <c r="J701" s="30" cm="1">
        <f t="array" ref="J701">IFERROR(
 (SUMPRODUCT(ISNUMBER(SEARCH(","&amp;Справочник_ОКВЭД_НР!$A$3:$A$62&amp;".",","&amp;SUBSTITUTE(F701," ","")&amp;",")))*Справочник_ОКВЭД_НР!$L$9 +
  SUMPRODUCT(ISNUMBER(SEARCH(","&amp;Справочник_ОКВЭД_НР!$C$3:$C$62&amp;".",","&amp;SUBSTITUTE(F701," ","")&amp;",")))*Справочник_ОКВЭД_НР!$L$10 +
  SUMPRODUCT(ISNUMBER(SEARCH(","&amp;Справочник_ОКВЭД_НР!$E$3:$E$62&amp;".",","&amp;SUBSTITUTE(F701," ","")&amp;",")))*Справочник_ОКВЭД_НР!$L$11 +
  SUMPRODUCT(ISNUMBER(SEARCH(","&amp;Справочник_ОКВЭД_НР!$G$3:$G$62&amp;".",","&amp;SUBSTITUTE(F701," ","")&amp;",")))*Справочник_ОКВЭД_НР!$L$12) /
 (SUMPRODUCT(ISNUMBER(SEARCH(","&amp;Справочник_ОКВЭД_НР!$A$3:$A$62&amp;".",","&amp;SUBSTITUTE(F701," ","")&amp;","))) +
  SUMPRODUCT(ISNUMBER(SEARCH(","&amp;Справочник_ОКВЭД_НР!$C$3:$C$62&amp;".",","&amp;SUBSTITUTE(F701," ","")&amp;","))) +
  SUMPRODUCT(ISNUMBER(SEARCH(","&amp;Справочник_ОКВЭД_НР!$E$3:$E$62&amp;".",","&amp;SUBSTITUTE(F701," ","")&amp;","))) +
  SUMPRODUCT(ISNUMBER(SEARCH(","&amp;Справочник_ОКВЭД_НР!$G$3:$G$62&amp;".",","&amp;SUBSTITUTE(F701," ","")&amp;",")))),
50)</f>
        <v>50</v>
      </c>
      <c r="K701" s="30">
        <f>IFERROR(VLOOKUP(G701,Справочник_ОКВЭД_НР!$O:$P,2,FALSE()),50)</f>
        <v>50</v>
      </c>
      <c r="L701" s="45">
        <f>(I701*Справочник_ОКВЭД_НР!$L$2+J701*Справочник_ОКВЭД_НР!$L$3+K701*Справочник_ОКВЭД_НР!$L$4)*M701</f>
        <v>38</v>
      </c>
      <c r="M701" s="47">
        <f>IF(COUNTIF(Справочник_ОКВЭД_НР!$G$3:$G$62,H701)&gt;0,0,1)</f>
        <v>1</v>
      </c>
    </row>
    <row r="702" spans="1:13" x14ac:dyDescent="0.25">
      <c r="A702" s="4">
        <f>ЛИК_дляСкорингаДП!A702</f>
        <v>1025001817400</v>
      </c>
      <c r="B702" s="4">
        <f>ЛИК_дляСкорингаДП!B702</f>
        <v>5017046411</v>
      </c>
      <c r="C702" s="4" t="str">
        <f>ЛИК_дляСкорингаДП!C702</f>
        <v>ООО "ВОДА В УДОВОЛЬСТВИЕ"</v>
      </c>
      <c r="D702" s="5" t="str">
        <f>ЛИК_дляСкорингаДП!M702</f>
        <v>Производство безалкогольных напитков; производство упакованных питьевых вод, включая минеральные воды.</v>
      </c>
      <c r="E702" s="4" t="str">
        <f>ЛИК_дляСкорингаДП!L702</f>
        <v>11.07</v>
      </c>
      <c r="F702" t="str">
        <f>ЛИК_дляСкорингаДП!N702</f>
        <v>46.34.1,46.38,46.90,47.1,47.11,47.2,47.25,47.25.1,47.29,47.5,47.73,47.74,47.75,47.9,47.91,47.99,52.10,53.20.31,62.09,82.92</v>
      </c>
      <c r="G702" s="25" t="str">
        <f>ЛИК_дляСкорингаДП!AG702</f>
        <v>УСН</v>
      </c>
      <c r="H702" s="55" t="str">
        <f>IF(ISNUMBER(E702),E702,
IFERROR(LEFT(E702,FIND(".",E702)-1),E702))</f>
        <v>11</v>
      </c>
      <c r="I702" s="30">
        <f>IF(COUNTIF(Справочник_ОКВЭД_НР!$A$3:$A$62,H702)&gt;0,Справочник_ОКВЭД_НР!$L$8,
 IF(COUNTIF(Справочник_ОКВЭД_НР!$C$3:$C$62,H702)&gt;0,Справочник_ОКВЭД_НР!$L$9,
  IF(COUNTIF(Справочник_ОКВЭД_НР!$E$3:$E$62,H702)&gt;0,Справочник_ОКВЭД_НР!$L$10,
   IF(COUNTIF(Справочник_ОКВЭД_НР!$G$3:$G$62,H702)&gt;0,Справочник_ОКВЭД_НР!$L$11,50))))</f>
        <v>100</v>
      </c>
      <c r="J702" s="30" cm="1">
        <f t="array" ref="J702">IFERROR(
 (SUMPRODUCT(ISNUMBER(SEARCH(","&amp;Справочник_ОКВЭД_НР!$A$3:$A$62&amp;".",","&amp;SUBSTITUTE(F702," ","")&amp;",")))*Справочник_ОКВЭД_НР!$L$9 +
  SUMPRODUCT(ISNUMBER(SEARCH(","&amp;Справочник_ОКВЭД_НР!$C$3:$C$62&amp;".",","&amp;SUBSTITUTE(F702," ","")&amp;",")))*Справочник_ОКВЭД_НР!$L$10 +
  SUMPRODUCT(ISNUMBER(SEARCH(","&amp;Справочник_ОКВЭД_НР!$E$3:$E$62&amp;".",","&amp;SUBSTITUTE(F702," ","")&amp;",")))*Справочник_ОКВЭД_НР!$L$11 +
  SUMPRODUCT(ISNUMBER(SEARCH(","&amp;Справочник_ОКВЭД_НР!$G$3:$G$62&amp;".",","&amp;SUBSTITUTE(F702," ","")&amp;",")))*Справочник_ОКВЭД_НР!$L$12) /
 (SUMPRODUCT(ISNUMBER(SEARCH(","&amp;Справочник_ОКВЭД_НР!$A$3:$A$62&amp;".",","&amp;SUBSTITUTE(F702," ","")&amp;","))) +
  SUMPRODUCT(ISNUMBER(SEARCH(","&amp;Справочник_ОКВЭД_НР!$C$3:$C$62&amp;".",","&amp;SUBSTITUTE(F702," ","")&amp;","))) +
  SUMPRODUCT(ISNUMBER(SEARCH(","&amp;Справочник_ОКВЭД_НР!$E$3:$E$62&amp;".",","&amp;SUBSTITUTE(F702," ","")&amp;","))) +
  SUMPRODUCT(ISNUMBER(SEARCH(","&amp;Справочник_ОКВЭД_НР!$G$3:$G$62&amp;".",","&amp;SUBSTITUTE(F702," ","")&amp;",")))),
50)</f>
        <v>50</v>
      </c>
      <c r="K702" s="30">
        <f>IFERROR(VLOOKUP(G702,Справочник_ОКВЭД_НР!$O:$P,2,FALSE()),50)</f>
        <v>50</v>
      </c>
      <c r="L702" s="45">
        <f>(I702*Справочник_ОКВЭД_НР!$L$2+J702*Справочник_ОКВЭД_НР!$L$3+K702*Справочник_ОКВЭД_НР!$L$4)*M702</f>
        <v>80</v>
      </c>
      <c r="M702" s="47">
        <f>IF(COUNTIF(Справочник_ОКВЭД_НР!$G$3:$G$62,H702)&gt;0,0,1)</f>
        <v>1</v>
      </c>
    </row>
    <row r="703" spans="1:13" x14ac:dyDescent="0.25">
      <c r="A703" s="4">
        <f>ЛИК_дляСкорингаДП!A703</f>
        <v>1097746058156</v>
      </c>
      <c r="B703" s="4">
        <f>ЛИК_дляСкорингаДП!B703</f>
        <v>7743733836</v>
      </c>
      <c r="C703" s="4" t="str">
        <f>ЛИК_дляСкорингаДП!C703</f>
        <v>ООО "ЭРМИ"</v>
      </c>
      <c r="D703" s="5" t="str">
        <f>ЛИК_дляСкорингаДП!M703</f>
        <v>Деятельность ресторанов и услуги по доставке продуктов питания</v>
      </c>
      <c r="E703" s="4" t="str">
        <f>ЛИК_дляСкорингаДП!L703</f>
        <v>56.10</v>
      </c>
      <c r="F703" t="str">
        <f>ЛИК_дляСкорингаДП!N703</f>
        <v>47.19,56.21,56.29,56.30,63.11,63.12,63.91,68.20,68.31,68.32,73.11,73.12,73.20,77.21,82.99,93.2,96.04</v>
      </c>
      <c r="G703" s="25" t="str">
        <f>ЛИК_дляСкорингаДП!AG703</f>
        <v>УСН</v>
      </c>
      <c r="H703" s="55" t="str">
        <f>IF(ISNUMBER(E703),E703,
IFERROR(LEFT(E703,FIND(".",E703)-1),E703))</f>
        <v>56</v>
      </c>
      <c r="I703" s="30">
        <f>IF(COUNTIF(Справочник_ОКВЭД_НР!$A$3:$A$62,H703)&gt;0,Справочник_ОКВЭД_НР!$L$8,
 IF(COUNTIF(Справочник_ОКВЭД_НР!$C$3:$C$62,H703)&gt;0,Справочник_ОКВЭД_НР!$L$9,
  IF(COUNTIF(Справочник_ОКВЭД_НР!$E$3:$E$62,H703)&gt;0,Справочник_ОКВЭД_НР!$L$10,
   IF(COUNTIF(Справочник_ОКВЭД_НР!$G$3:$G$62,H703)&gt;0,Справочник_ОКВЭД_НР!$L$11,50))))</f>
        <v>30</v>
      </c>
      <c r="J703" s="30" cm="1">
        <f t="array" ref="J703">IFERROR(
 (SUMPRODUCT(ISNUMBER(SEARCH(","&amp;Справочник_ОКВЭД_НР!$A$3:$A$62&amp;".",","&amp;SUBSTITUTE(F703," ","")&amp;",")))*Справочник_ОКВЭД_НР!$L$9 +
  SUMPRODUCT(ISNUMBER(SEARCH(","&amp;Справочник_ОКВЭД_НР!$C$3:$C$62&amp;".",","&amp;SUBSTITUTE(F703," ","")&amp;",")))*Справочник_ОКВЭД_НР!$L$10 +
  SUMPRODUCT(ISNUMBER(SEARCH(","&amp;Справочник_ОКВЭД_НР!$E$3:$E$62&amp;".",","&amp;SUBSTITUTE(F703," ","")&amp;",")))*Справочник_ОКВЭД_НР!$L$11 +
  SUMPRODUCT(ISNUMBER(SEARCH(","&amp;Справочник_ОКВЭД_НР!$G$3:$G$62&amp;".",","&amp;SUBSTITUTE(F703," ","")&amp;",")))*Справочник_ОКВЭД_НР!$L$12) /
 (SUMPRODUCT(ISNUMBER(SEARCH(","&amp;Справочник_ОКВЭД_НР!$A$3:$A$62&amp;".",","&amp;SUBSTITUTE(F703," ","")&amp;","))) +
  SUMPRODUCT(ISNUMBER(SEARCH(","&amp;Справочник_ОКВЭД_НР!$C$3:$C$62&amp;".",","&amp;SUBSTITUTE(F703," ","")&amp;","))) +
  SUMPRODUCT(ISNUMBER(SEARCH(","&amp;Справочник_ОКВЭД_НР!$E$3:$E$62&amp;".",","&amp;SUBSTITUTE(F703," ","")&amp;","))) +
  SUMPRODUCT(ISNUMBER(SEARCH(","&amp;Справочник_ОКВЭД_НР!$G$3:$G$62&amp;".",","&amp;SUBSTITUTE(F703," ","")&amp;",")))),
50)</f>
        <v>50</v>
      </c>
      <c r="K703" s="30">
        <f>IFERROR(VLOOKUP(G703,Справочник_ОКВЭД_НР!$O:$P,2,FALSE()),50)</f>
        <v>50</v>
      </c>
      <c r="L703" s="45">
        <f>(I703*Справочник_ОКВЭД_НР!$L$2+J703*Справочник_ОКВЭД_НР!$L$3+K703*Справочник_ОКВЭД_НР!$L$4)*M703</f>
        <v>38</v>
      </c>
      <c r="M703" s="47">
        <f>IF(COUNTIF(Справочник_ОКВЭД_НР!$G$3:$G$62,H703)&gt;0,0,1)</f>
        <v>1</v>
      </c>
    </row>
    <row r="704" spans="1:13" x14ac:dyDescent="0.25">
      <c r="A704" s="4">
        <f>ЛИК_дляСкорингаДП!A704</f>
        <v>1025003519530</v>
      </c>
      <c r="B704" s="4">
        <f>ЛИК_дляСкорингаДП!B704</f>
        <v>5029022292</v>
      </c>
      <c r="C704" s="4" t="str">
        <f>ЛИК_дляСкорингаДП!C704</f>
        <v>ООО "ВИРИДИМ"</v>
      </c>
      <c r="D704" s="5" t="str">
        <f>ЛИК_дляСкорингаДП!M704</f>
        <v>Деятельность ресторанов и услуги по доставке продуктов питания</v>
      </c>
      <c r="E704" s="4" t="str">
        <f>ЛИК_дляСкорингаДП!L704</f>
        <v>56.10</v>
      </c>
      <c r="F704" t="str">
        <f>ЛИК_дляСкорингаДП!N704</f>
        <v>52.10,56.10.1,56.10.3,62.09,68.20</v>
      </c>
      <c r="G704" s="25" t="str">
        <f>ЛИК_дляСкорингаДП!AG704</f>
        <v>УСН</v>
      </c>
      <c r="H704" s="55" t="str">
        <f>IF(ISNUMBER(E704),E704,
IFERROR(LEFT(E704,FIND(".",E704)-1),E704))</f>
        <v>56</v>
      </c>
      <c r="I704" s="30">
        <f>IF(COUNTIF(Справочник_ОКВЭД_НР!$A$3:$A$62,H704)&gt;0,Справочник_ОКВЭД_НР!$L$8,
 IF(COUNTIF(Справочник_ОКВЭД_НР!$C$3:$C$62,H704)&gt;0,Справочник_ОКВЭД_НР!$L$9,
  IF(COUNTIF(Справочник_ОКВЭД_НР!$E$3:$E$62,H704)&gt;0,Справочник_ОКВЭД_НР!$L$10,
   IF(COUNTIF(Справочник_ОКВЭД_НР!$G$3:$G$62,H704)&gt;0,Справочник_ОКВЭД_НР!$L$11,50))))</f>
        <v>30</v>
      </c>
      <c r="J704" s="30" cm="1">
        <f t="array" ref="J704">IFERROR(
 (SUMPRODUCT(ISNUMBER(SEARCH(","&amp;Справочник_ОКВЭД_НР!$A$3:$A$62&amp;".",","&amp;SUBSTITUTE(F704," ","")&amp;",")))*Справочник_ОКВЭД_НР!$L$9 +
  SUMPRODUCT(ISNUMBER(SEARCH(","&amp;Справочник_ОКВЭД_НР!$C$3:$C$62&amp;".",","&amp;SUBSTITUTE(F704," ","")&amp;",")))*Справочник_ОКВЭД_НР!$L$10 +
  SUMPRODUCT(ISNUMBER(SEARCH(","&amp;Справочник_ОКВЭД_НР!$E$3:$E$62&amp;".",","&amp;SUBSTITUTE(F704," ","")&amp;",")))*Справочник_ОКВЭД_НР!$L$11 +
  SUMPRODUCT(ISNUMBER(SEARCH(","&amp;Справочник_ОКВЭД_НР!$G$3:$G$62&amp;".",","&amp;SUBSTITUTE(F704," ","")&amp;",")))*Справочник_ОКВЭД_НР!$L$12) /
 (SUMPRODUCT(ISNUMBER(SEARCH(","&amp;Справочник_ОКВЭД_НР!$A$3:$A$62&amp;".",","&amp;SUBSTITUTE(F704," ","")&amp;","))) +
  SUMPRODUCT(ISNUMBER(SEARCH(","&amp;Справочник_ОКВЭД_НР!$C$3:$C$62&amp;".",","&amp;SUBSTITUTE(F704," ","")&amp;","))) +
  SUMPRODUCT(ISNUMBER(SEARCH(","&amp;Справочник_ОКВЭД_НР!$E$3:$E$62&amp;".",","&amp;SUBSTITUTE(F704," ","")&amp;","))) +
  SUMPRODUCT(ISNUMBER(SEARCH(","&amp;Справочник_ОКВЭД_НР!$G$3:$G$62&amp;".",","&amp;SUBSTITUTE(F704," ","")&amp;",")))),
50)</f>
        <v>50</v>
      </c>
      <c r="K704" s="30">
        <f>IFERROR(VLOOKUP(G704,Справочник_ОКВЭД_НР!$O:$P,2,FALSE()),50)</f>
        <v>50</v>
      </c>
      <c r="L704" s="45">
        <f>(I704*Справочник_ОКВЭД_НР!$L$2+J704*Справочник_ОКВЭД_НР!$L$3+K704*Справочник_ОКВЭД_НР!$L$4)*M704</f>
        <v>38</v>
      </c>
      <c r="M704" s="47">
        <f>IF(COUNTIF(Справочник_ОКВЭД_НР!$G$3:$G$62,H704)&gt;0,0,1)</f>
        <v>1</v>
      </c>
    </row>
    <row r="705" spans="1:13" x14ac:dyDescent="0.25">
      <c r="A705" s="4">
        <f>ЛИК_дляСкорингаДП!A705</f>
        <v>1077746292920</v>
      </c>
      <c r="B705" s="4">
        <f>ЛИК_дляСкорингаДП!B705</f>
        <v>7725595968</v>
      </c>
      <c r="C705" s="4" t="str">
        <f>ЛИК_дляСкорингаДП!C705</f>
        <v>ООО "АМ"</v>
      </c>
      <c r="D705" s="5" t="str">
        <f>ЛИК_дляСкорингаДП!M705</f>
        <v>Деятельность ресторанов и услуги по доставке продуктов питания</v>
      </c>
      <c r="E705" s="4" t="str">
        <f>ЛИК_дляСкорингаДП!L705</f>
        <v>56.1</v>
      </c>
      <c r="F705" t="str">
        <f>ЛИК_дляСкорингаДП!N705</f>
        <v>18.1,46.3,46.90,47.7,56.29,56.3,64.1,64.9,68.1,68.2,68.3,69,73.1,73.20,77.11,77.3,77.39,78.30,82.99</v>
      </c>
      <c r="G705" s="25" t="str">
        <f>ЛИК_дляСкорингаДП!AG705</f>
        <v>УСН</v>
      </c>
      <c r="H705" s="55" t="str">
        <f>IF(ISNUMBER(E705),E705,
IFERROR(LEFT(E705,FIND(".",E705)-1),E705))</f>
        <v>56</v>
      </c>
      <c r="I705" s="30">
        <f>IF(COUNTIF(Справочник_ОКВЭД_НР!$A$3:$A$62,H705)&gt;0,Справочник_ОКВЭД_НР!$L$8,
 IF(COUNTIF(Справочник_ОКВЭД_НР!$C$3:$C$62,H705)&gt;0,Справочник_ОКВЭД_НР!$L$9,
  IF(COUNTIF(Справочник_ОКВЭД_НР!$E$3:$E$62,H705)&gt;0,Справочник_ОКВЭД_НР!$L$10,
   IF(COUNTIF(Справочник_ОКВЭД_НР!$G$3:$G$62,H705)&gt;0,Справочник_ОКВЭД_НР!$L$11,50))))</f>
        <v>30</v>
      </c>
      <c r="J705" s="30" cm="1">
        <f t="array" ref="J705">IFERROR(
 (SUMPRODUCT(ISNUMBER(SEARCH(","&amp;Справочник_ОКВЭД_НР!$A$3:$A$62&amp;".",","&amp;SUBSTITUTE(F705," ","")&amp;",")))*Справочник_ОКВЭД_НР!$L$9 +
  SUMPRODUCT(ISNUMBER(SEARCH(","&amp;Справочник_ОКВЭД_НР!$C$3:$C$62&amp;".",","&amp;SUBSTITUTE(F705," ","")&amp;",")))*Справочник_ОКВЭД_НР!$L$10 +
  SUMPRODUCT(ISNUMBER(SEARCH(","&amp;Справочник_ОКВЭД_НР!$E$3:$E$62&amp;".",","&amp;SUBSTITUTE(F705," ","")&amp;",")))*Справочник_ОКВЭД_НР!$L$11 +
  SUMPRODUCT(ISNUMBER(SEARCH(","&amp;Справочник_ОКВЭД_НР!$G$3:$G$62&amp;".",","&amp;SUBSTITUTE(F705," ","")&amp;",")))*Справочник_ОКВЭД_НР!$L$12) /
 (SUMPRODUCT(ISNUMBER(SEARCH(","&amp;Справочник_ОКВЭД_НР!$A$3:$A$62&amp;".",","&amp;SUBSTITUTE(F705," ","")&amp;","))) +
  SUMPRODUCT(ISNUMBER(SEARCH(","&amp;Справочник_ОКВЭД_НР!$C$3:$C$62&amp;".",","&amp;SUBSTITUTE(F705," ","")&amp;","))) +
  SUMPRODUCT(ISNUMBER(SEARCH(","&amp;Справочник_ОКВЭД_НР!$E$3:$E$62&amp;".",","&amp;SUBSTITUTE(F705," ","")&amp;","))) +
  SUMPRODUCT(ISNUMBER(SEARCH(","&amp;Справочник_ОКВЭД_НР!$G$3:$G$62&amp;".",","&amp;SUBSTITUTE(F705," ","")&amp;",")))),
50)</f>
        <v>50</v>
      </c>
      <c r="K705" s="30">
        <f>IFERROR(VLOOKUP(G705,Справочник_ОКВЭД_НР!$O:$P,2,FALSE()),50)</f>
        <v>50</v>
      </c>
      <c r="L705" s="45">
        <f>(I705*Справочник_ОКВЭД_НР!$L$2+J705*Справочник_ОКВЭД_НР!$L$3+K705*Справочник_ОКВЭД_НР!$L$4)*M705</f>
        <v>38</v>
      </c>
      <c r="M705" s="47">
        <f>IF(COUNTIF(Справочник_ОКВЭД_НР!$G$3:$G$62,H705)&gt;0,0,1)</f>
        <v>1</v>
      </c>
    </row>
    <row r="706" spans="1:13" x14ac:dyDescent="0.25">
      <c r="A706" s="4">
        <f>ЛИК_дляСкорингаДП!A706</f>
        <v>1097746191465</v>
      </c>
      <c r="B706" s="4">
        <f>ЛИК_дляСкорингаДП!B706</f>
        <v>7725666898</v>
      </c>
      <c r="C706" s="4" t="str">
        <f>ЛИК_дляСкорингаДП!C706</f>
        <v>ООО "ВИДЕН"</v>
      </c>
      <c r="D706" s="5" t="str">
        <f>ЛИК_дляСкорингаДП!M706</f>
        <v>Производство делительных головок и прочих специальных приспособлений для станков</v>
      </c>
      <c r="E706" s="4" t="str">
        <f>ЛИК_дляСкорингаДП!L706</f>
        <v>28.49.4</v>
      </c>
      <c r="F706" t="str">
        <f>ЛИК_дляСкорингаДП!N706</f>
        <v>25.1,25.5,25.61,25.62,25.7,25.9,38.32.2,38.32.3,38.32.4,38.32.5,41.2,45.2,71.12.12,73.1,73.20.1,82.99</v>
      </c>
      <c r="G706" s="25" t="str">
        <f>ЛИК_дляСкорингаДП!AG706</f>
        <v>УСН</v>
      </c>
      <c r="H706" s="55" t="str">
        <f>IF(ISNUMBER(E706),E706,
IFERROR(LEFT(E706,FIND(".",E706)-1),E706))</f>
        <v>28</v>
      </c>
      <c r="I706" s="30">
        <f>IF(COUNTIF(Справочник_ОКВЭД_НР!$A$3:$A$62,H706)&gt;0,Справочник_ОКВЭД_НР!$L$8,
 IF(COUNTIF(Справочник_ОКВЭД_НР!$C$3:$C$62,H706)&gt;0,Справочник_ОКВЭД_НР!$L$9,
  IF(COUNTIF(Справочник_ОКВЭД_НР!$E$3:$E$62,H706)&gt;0,Справочник_ОКВЭД_НР!$L$10,
   IF(COUNTIF(Справочник_ОКВЭД_НР!$G$3:$G$62,H706)&gt;0,Справочник_ОКВЭД_НР!$L$11,50))))</f>
        <v>60</v>
      </c>
      <c r="J706" s="30" cm="1">
        <f t="array" ref="J706">IFERROR(
 (SUMPRODUCT(ISNUMBER(SEARCH(","&amp;Справочник_ОКВЭД_НР!$A$3:$A$62&amp;".",","&amp;SUBSTITUTE(F706," ","")&amp;",")))*Справочник_ОКВЭД_НР!$L$9 +
  SUMPRODUCT(ISNUMBER(SEARCH(","&amp;Справочник_ОКВЭД_НР!$C$3:$C$62&amp;".",","&amp;SUBSTITUTE(F706," ","")&amp;",")))*Справочник_ОКВЭД_НР!$L$10 +
  SUMPRODUCT(ISNUMBER(SEARCH(","&amp;Справочник_ОКВЭД_НР!$E$3:$E$62&amp;".",","&amp;SUBSTITUTE(F706," ","")&amp;",")))*Справочник_ОКВЭД_НР!$L$11 +
  SUMPRODUCT(ISNUMBER(SEARCH(","&amp;Справочник_ОКВЭД_НР!$G$3:$G$62&amp;".",","&amp;SUBSTITUTE(F706," ","")&amp;",")))*Справочник_ОКВЭД_НР!$L$12) /
 (SUMPRODUCT(ISNUMBER(SEARCH(","&amp;Справочник_ОКВЭД_НР!$A$3:$A$62&amp;".",","&amp;SUBSTITUTE(F706," ","")&amp;","))) +
  SUMPRODUCT(ISNUMBER(SEARCH(","&amp;Справочник_ОКВЭД_НР!$C$3:$C$62&amp;".",","&amp;SUBSTITUTE(F706," ","")&amp;","))) +
  SUMPRODUCT(ISNUMBER(SEARCH(","&amp;Справочник_ОКВЭД_НР!$E$3:$E$62&amp;".",","&amp;SUBSTITUTE(F706," ","")&amp;","))) +
  SUMPRODUCT(ISNUMBER(SEARCH(","&amp;Справочник_ОКВЭД_НР!$G$3:$G$62&amp;".",","&amp;SUBSTITUTE(F706," ","")&amp;",")))),
50)</f>
        <v>50</v>
      </c>
      <c r="K706" s="30">
        <f>IFERROR(VLOOKUP(G706,Справочник_ОКВЭД_НР!$O:$P,2,FALSE()),50)</f>
        <v>50</v>
      </c>
      <c r="L706" s="45">
        <f>(I706*Справочник_ОКВЭД_НР!$L$2+J706*Справочник_ОКВЭД_НР!$L$3+K706*Справочник_ОКВЭД_НР!$L$4)*M706</f>
        <v>56</v>
      </c>
      <c r="M706" s="47">
        <f>IF(COUNTIF(Справочник_ОКВЭД_НР!$G$3:$G$62,H706)&gt;0,0,1)</f>
        <v>1</v>
      </c>
    </row>
    <row r="707" spans="1:13" x14ac:dyDescent="0.25">
      <c r="A707" s="4">
        <f>ЛИК_дляСкорингаДП!A707</f>
        <v>1097746062754</v>
      </c>
      <c r="B707" s="4">
        <f>ЛИК_дляСкорингаДП!B707</f>
        <v>7728692800</v>
      </c>
      <c r="C707" s="4" t="str">
        <f>ЛИК_дляСкорингаДП!C707</f>
        <v>ООО "КАЙЗЕН КОНСАЛТИНГ"</v>
      </c>
      <c r="D707" s="5" t="str">
        <f>ЛИК_дляСкорингаДП!M707</f>
        <v>Консультирование по вопросам коммерческой деятельности и управления</v>
      </c>
      <c r="E707" s="4" t="str">
        <f>ЛИК_дляСкорингаДП!L707</f>
        <v>70.22</v>
      </c>
      <c r="F707" t="str">
        <f>ЛИК_дляСкорингаДП!N707</f>
        <v>58.21,58.29,62.01,62.02,62.02.3,62.02.9,62.03,63.11,63.99.1,69,70.10.1,70.10.2,73.20.1,82.99,85.42.9</v>
      </c>
      <c r="G707" s="25" t="str">
        <f>ЛИК_дляСкорингаДП!AG707</f>
        <v>УСН</v>
      </c>
      <c r="H707" s="55" t="str">
        <f>IF(ISNUMBER(E707),E707,
IFERROR(LEFT(E707,FIND(".",E707)-1),E707))</f>
        <v>70</v>
      </c>
      <c r="I707" s="30">
        <f>IF(COUNTIF(Справочник_ОКВЭД_НР!$A$3:$A$62,H707)&gt;0,Справочник_ОКВЭД_НР!$L$8,
 IF(COUNTIF(Справочник_ОКВЭД_НР!$C$3:$C$62,H707)&gt;0,Справочник_ОКВЭД_НР!$L$9,
  IF(COUNTIF(Справочник_ОКВЭД_НР!$E$3:$E$62,H707)&gt;0,Справочник_ОКВЭД_НР!$L$10,
   IF(COUNTIF(Справочник_ОКВЭД_НР!$G$3:$G$62,H707)&gt;0,Справочник_ОКВЭД_НР!$L$11,50))))</f>
        <v>60</v>
      </c>
      <c r="J707" s="30" cm="1">
        <f t="array" ref="J707">IFERROR(
 (SUMPRODUCT(ISNUMBER(SEARCH(","&amp;Справочник_ОКВЭД_НР!$A$3:$A$62&amp;".",","&amp;SUBSTITUTE(F707," ","")&amp;",")))*Справочник_ОКВЭД_НР!$L$9 +
  SUMPRODUCT(ISNUMBER(SEARCH(","&amp;Справочник_ОКВЭД_НР!$C$3:$C$62&amp;".",","&amp;SUBSTITUTE(F707," ","")&amp;",")))*Справочник_ОКВЭД_НР!$L$10 +
  SUMPRODUCT(ISNUMBER(SEARCH(","&amp;Справочник_ОКВЭД_НР!$E$3:$E$62&amp;".",","&amp;SUBSTITUTE(F707," ","")&amp;",")))*Справочник_ОКВЭД_НР!$L$11 +
  SUMPRODUCT(ISNUMBER(SEARCH(","&amp;Справочник_ОКВЭД_НР!$G$3:$G$62&amp;".",","&amp;SUBSTITUTE(F707," ","")&amp;",")))*Справочник_ОКВЭД_НР!$L$12) /
 (SUMPRODUCT(ISNUMBER(SEARCH(","&amp;Справочник_ОКВЭД_НР!$A$3:$A$62&amp;".",","&amp;SUBSTITUTE(F707," ","")&amp;","))) +
  SUMPRODUCT(ISNUMBER(SEARCH(","&amp;Справочник_ОКВЭД_НР!$C$3:$C$62&amp;".",","&amp;SUBSTITUTE(F707," ","")&amp;","))) +
  SUMPRODUCT(ISNUMBER(SEARCH(","&amp;Справочник_ОКВЭД_НР!$E$3:$E$62&amp;".",","&amp;SUBSTITUTE(F707," ","")&amp;","))) +
  SUMPRODUCT(ISNUMBER(SEARCH(","&amp;Справочник_ОКВЭД_НР!$G$3:$G$62&amp;".",","&amp;SUBSTITUTE(F707," ","")&amp;",")))),
50)</f>
        <v>50</v>
      </c>
      <c r="K707" s="30">
        <f>IFERROR(VLOOKUP(G707,Справочник_ОКВЭД_НР!$O:$P,2,FALSE()),50)</f>
        <v>50</v>
      </c>
      <c r="L707" s="45">
        <f>(I707*Справочник_ОКВЭД_НР!$L$2+J707*Справочник_ОКВЭД_НР!$L$3+K707*Справочник_ОКВЭД_НР!$L$4)*M707</f>
        <v>56</v>
      </c>
      <c r="M707" s="47">
        <f>IF(COUNTIF(Справочник_ОКВЭД_НР!$G$3:$G$62,H707)&gt;0,0,1)</f>
        <v>1</v>
      </c>
    </row>
    <row r="708" spans="1:13" x14ac:dyDescent="0.25">
      <c r="A708" s="4">
        <f>ЛИК_дляСкорингаДП!A708</f>
        <v>1025003913604</v>
      </c>
      <c r="B708" s="4">
        <f>ЛИК_дляСкорингаДП!B708</f>
        <v>5031011499</v>
      </c>
      <c r="C708" s="4" t="str">
        <f>ЛИК_дляСкорингаДП!C708</f>
        <v>ООО "ГИГАНТ"</v>
      </c>
      <c r="D708" s="5" t="str">
        <f>ЛИК_дляСкорингаДП!M708</f>
        <v>Стоматологическая практика</v>
      </c>
      <c r="E708" s="4" t="str">
        <f>ЛИК_дляСкорингаДП!L708</f>
        <v>86.23</v>
      </c>
      <c r="F708" t="str">
        <f>ЛИК_дляСкорингаДП!N708</f>
        <v>41.20,43.11,43.12.3,43.2,43.3,43.91,43.99,46.13,46.73,60.10,60.20,61.10.9,68.20.2,68.31.1,68.31.2,68.31.3,68.31.4,68.31.5,71.12,86.90.9</v>
      </c>
      <c r="G708" s="25" t="str">
        <f>ЛИК_дляСкорингаДП!AG708</f>
        <v>УСН</v>
      </c>
      <c r="H708" s="55" t="str">
        <f>IF(ISNUMBER(E708),E708,
IFERROR(LEFT(E708,FIND(".",E708)-1),E708))</f>
        <v>86</v>
      </c>
      <c r="I708" s="30">
        <f>IF(COUNTIF(Справочник_ОКВЭД_НР!$A$3:$A$62,H708)&gt;0,Справочник_ОКВЭД_НР!$L$8,
 IF(COUNTIF(Справочник_ОКВЭД_НР!$C$3:$C$62,H708)&gt;0,Справочник_ОКВЭД_НР!$L$9,
  IF(COUNTIF(Справочник_ОКВЭД_НР!$E$3:$E$62,H708)&gt;0,Справочник_ОКВЭД_НР!$L$10,
   IF(COUNTIF(Справочник_ОКВЭД_НР!$G$3:$G$62,H708)&gt;0,Справочник_ОКВЭД_НР!$L$11,50))))</f>
        <v>100</v>
      </c>
      <c r="J708" s="30" cm="1">
        <f t="array" ref="J708">IFERROR(
 (SUMPRODUCT(ISNUMBER(SEARCH(","&amp;Справочник_ОКВЭД_НР!$A$3:$A$62&amp;".",","&amp;SUBSTITUTE(F708," ","")&amp;",")))*Справочник_ОКВЭД_НР!$L$9 +
  SUMPRODUCT(ISNUMBER(SEARCH(","&amp;Справочник_ОКВЭД_НР!$C$3:$C$62&amp;".",","&amp;SUBSTITUTE(F708," ","")&amp;",")))*Справочник_ОКВЭД_НР!$L$10 +
  SUMPRODUCT(ISNUMBER(SEARCH(","&amp;Справочник_ОКВЭД_НР!$E$3:$E$62&amp;".",","&amp;SUBSTITUTE(F708," ","")&amp;",")))*Справочник_ОКВЭД_НР!$L$11 +
  SUMPRODUCT(ISNUMBER(SEARCH(","&amp;Справочник_ОКВЭД_НР!$G$3:$G$62&amp;".",","&amp;SUBSTITUTE(F708," ","")&amp;",")))*Справочник_ОКВЭД_НР!$L$12) /
 (SUMPRODUCT(ISNUMBER(SEARCH(","&amp;Справочник_ОКВЭД_НР!$A$3:$A$62&amp;".",","&amp;SUBSTITUTE(F708," ","")&amp;","))) +
  SUMPRODUCT(ISNUMBER(SEARCH(","&amp;Справочник_ОКВЭД_НР!$C$3:$C$62&amp;".",","&amp;SUBSTITUTE(F708," ","")&amp;","))) +
  SUMPRODUCT(ISNUMBER(SEARCH(","&amp;Справочник_ОКВЭД_НР!$E$3:$E$62&amp;".",","&amp;SUBSTITUTE(F708," ","")&amp;","))) +
  SUMPRODUCT(ISNUMBER(SEARCH(","&amp;Справочник_ОКВЭД_НР!$G$3:$G$62&amp;".",","&amp;SUBSTITUTE(F708," ","")&amp;",")))),
50)</f>
        <v>50</v>
      </c>
      <c r="K708" s="30">
        <f>IFERROR(VLOOKUP(G708,Справочник_ОКВЭД_НР!$O:$P,2,FALSE()),50)</f>
        <v>50</v>
      </c>
      <c r="L708" s="45">
        <f>(I708*Справочник_ОКВЭД_НР!$L$2+J708*Справочник_ОКВЭД_НР!$L$3+K708*Справочник_ОКВЭД_НР!$L$4)*M708</f>
        <v>80</v>
      </c>
      <c r="M708" s="47">
        <f>IF(COUNTIF(Справочник_ОКВЭД_НР!$G$3:$G$62,H708)&gt;0,0,1)</f>
        <v>1</v>
      </c>
    </row>
    <row r="709" spans="1:13" x14ac:dyDescent="0.25">
      <c r="A709" s="4">
        <f>ЛИК_дляСкорингаДП!A709</f>
        <v>1035009157028</v>
      </c>
      <c r="B709" s="4">
        <f>ЛИК_дляСкорингаДП!B709</f>
        <v>5045030332</v>
      </c>
      <c r="C709" s="4" t="str">
        <f>ЛИК_дляСкорингаДП!C709</f>
        <v>ООО ТК "ТИТАН"</v>
      </c>
      <c r="D709" s="5" t="str">
        <f>ЛИК_дляСкорингаДП!M709</f>
        <v>Торговля оптовая непродовольственными потребительскими товарами</v>
      </c>
      <c r="E709" s="4" t="str">
        <f>ЛИК_дляСкорингаДП!L709</f>
        <v>46.4</v>
      </c>
      <c r="F709" t="str">
        <f>ЛИК_дляСкорингаДП!N709</f>
        <v>22.2,23.99,38.32.2,38.32.3,38.32.4,38.32.5,46.7,46.77,47.52.7,47.78,49.31,49.4,52.21.2,52.29,64.92.3</v>
      </c>
      <c r="G709" s="25" t="str">
        <f>ЛИК_дляСкорингаДП!AG709</f>
        <v>УСН</v>
      </c>
      <c r="H709" s="55" t="str">
        <f>IF(ISNUMBER(E709),E709,
IFERROR(LEFT(E709,FIND(".",E709)-1),E709))</f>
        <v>46</v>
      </c>
      <c r="I709" s="30">
        <f>IF(COUNTIF(Справочник_ОКВЭД_НР!$A$3:$A$62,H709)&gt;0,Справочник_ОКВЭД_НР!$L$8,
 IF(COUNTIF(Справочник_ОКВЭД_НР!$C$3:$C$62,H709)&gt;0,Справочник_ОКВЭД_НР!$L$9,
  IF(COUNTIF(Справочник_ОКВЭД_НР!$E$3:$E$62,H709)&gt;0,Справочник_ОКВЭД_НР!$L$10,
   IF(COUNTIF(Справочник_ОКВЭД_НР!$G$3:$G$62,H709)&gt;0,Справочник_ОКВЭД_НР!$L$11,50))))</f>
        <v>60</v>
      </c>
      <c r="J709" s="30" cm="1">
        <f t="array" ref="J709">IFERROR(
 (SUMPRODUCT(ISNUMBER(SEARCH(","&amp;Справочник_ОКВЭД_НР!$A$3:$A$62&amp;".",","&amp;SUBSTITUTE(F709," ","")&amp;",")))*Справочник_ОКВЭД_НР!$L$9 +
  SUMPRODUCT(ISNUMBER(SEARCH(","&amp;Справочник_ОКВЭД_НР!$C$3:$C$62&amp;".",","&amp;SUBSTITUTE(F709," ","")&amp;",")))*Справочник_ОКВЭД_НР!$L$10 +
  SUMPRODUCT(ISNUMBER(SEARCH(","&amp;Справочник_ОКВЭД_НР!$E$3:$E$62&amp;".",","&amp;SUBSTITUTE(F709," ","")&amp;",")))*Справочник_ОКВЭД_НР!$L$11 +
  SUMPRODUCT(ISNUMBER(SEARCH(","&amp;Справочник_ОКВЭД_НР!$G$3:$G$62&amp;".",","&amp;SUBSTITUTE(F709," ","")&amp;",")))*Справочник_ОКВЭД_НР!$L$12) /
 (SUMPRODUCT(ISNUMBER(SEARCH(","&amp;Справочник_ОКВЭД_НР!$A$3:$A$62&amp;".",","&amp;SUBSTITUTE(F709," ","")&amp;","))) +
  SUMPRODUCT(ISNUMBER(SEARCH(","&amp;Справочник_ОКВЭД_НР!$C$3:$C$62&amp;".",","&amp;SUBSTITUTE(F709," ","")&amp;","))) +
  SUMPRODUCT(ISNUMBER(SEARCH(","&amp;Справочник_ОКВЭД_НР!$E$3:$E$62&amp;".",","&amp;SUBSTITUTE(F709," ","")&amp;","))) +
  SUMPRODUCT(ISNUMBER(SEARCH(","&amp;Справочник_ОКВЭД_НР!$G$3:$G$62&amp;".",","&amp;SUBSTITUTE(F709," ","")&amp;",")))),
50)</f>
        <v>50</v>
      </c>
      <c r="K709" s="30">
        <f>IFERROR(VLOOKUP(G709,Справочник_ОКВЭД_НР!$O:$P,2,FALSE()),50)</f>
        <v>50</v>
      </c>
      <c r="L709" s="45">
        <f>(I709*Справочник_ОКВЭД_НР!$L$2+J709*Справочник_ОКВЭД_НР!$L$3+K709*Справочник_ОКВЭД_НР!$L$4)*M709</f>
        <v>56</v>
      </c>
      <c r="M709" s="47">
        <f>IF(COUNTIF(Справочник_ОКВЭД_НР!$G$3:$G$62,H709)&gt;0,0,1)</f>
        <v>1</v>
      </c>
    </row>
    <row r="710" spans="1:13" x14ac:dyDescent="0.25">
      <c r="A710" s="4">
        <f>ЛИК_дляСкорингаДП!A710</f>
        <v>1097746041293</v>
      </c>
      <c r="B710" s="4">
        <f>ЛИК_дляСкорингаДП!B710</f>
        <v>7717645894</v>
      </c>
      <c r="C710" s="4" t="str">
        <f>ЛИК_дляСкорингаДП!C710</f>
        <v>ООО "ССМУ 44"</v>
      </c>
      <c r="D710" s="5" t="str">
        <f>ЛИК_дляСкорингаДП!M710</f>
        <v>Строительство жилых и нежилых зданий</v>
      </c>
      <c r="E710" s="4" t="str">
        <f>ЛИК_дляСкорингаДП!L710</f>
        <v>41.20</v>
      </c>
      <c r="F710" t="str">
        <f>ЛИК_дляСкорингаДП!N710</f>
        <v>25.2,25.30.1,33.12,43.2,71.12.1,72.1</v>
      </c>
      <c r="G710" s="25" t="str">
        <f>ЛИК_дляСкорингаДП!AG710</f>
        <v>УСН</v>
      </c>
      <c r="H710" s="55" t="str">
        <f>IF(ISNUMBER(E710),E710,
IFERROR(LEFT(E710,FIND(".",E710)-1),E710))</f>
        <v>41</v>
      </c>
      <c r="I710" s="30">
        <f>IF(COUNTIF(Справочник_ОКВЭД_НР!$A$3:$A$62,H710)&gt;0,Справочник_ОКВЭД_НР!$L$8,
 IF(COUNTIF(Справочник_ОКВЭД_НР!$C$3:$C$62,H710)&gt;0,Справочник_ОКВЭД_НР!$L$9,
  IF(COUNTIF(Справочник_ОКВЭД_НР!$E$3:$E$62,H710)&gt;0,Справочник_ОКВЭД_НР!$L$10,
   IF(COUNTIF(Справочник_ОКВЭД_НР!$G$3:$G$62,H710)&gt;0,Справочник_ОКВЭД_НР!$L$11,50))))</f>
        <v>100</v>
      </c>
      <c r="J710" s="30" cm="1">
        <f t="array" ref="J710">IFERROR(
 (SUMPRODUCT(ISNUMBER(SEARCH(","&amp;Справочник_ОКВЭД_НР!$A$3:$A$62&amp;".",","&amp;SUBSTITUTE(F710," ","")&amp;",")))*Справочник_ОКВЭД_НР!$L$9 +
  SUMPRODUCT(ISNUMBER(SEARCH(","&amp;Справочник_ОКВЭД_НР!$C$3:$C$62&amp;".",","&amp;SUBSTITUTE(F710," ","")&amp;",")))*Справочник_ОКВЭД_НР!$L$10 +
  SUMPRODUCT(ISNUMBER(SEARCH(","&amp;Справочник_ОКВЭД_НР!$E$3:$E$62&amp;".",","&amp;SUBSTITUTE(F710," ","")&amp;",")))*Справочник_ОКВЭД_НР!$L$11 +
  SUMPRODUCT(ISNUMBER(SEARCH(","&amp;Справочник_ОКВЭД_НР!$G$3:$G$62&amp;".",","&amp;SUBSTITUTE(F710," ","")&amp;",")))*Справочник_ОКВЭД_НР!$L$12) /
 (SUMPRODUCT(ISNUMBER(SEARCH(","&amp;Справочник_ОКВЭД_НР!$A$3:$A$62&amp;".",","&amp;SUBSTITUTE(F710," ","")&amp;","))) +
  SUMPRODUCT(ISNUMBER(SEARCH(","&amp;Справочник_ОКВЭД_НР!$C$3:$C$62&amp;".",","&amp;SUBSTITUTE(F710," ","")&amp;","))) +
  SUMPRODUCT(ISNUMBER(SEARCH(","&amp;Справочник_ОКВЭД_НР!$E$3:$E$62&amp;".",","&amp;SUBSTITUTE(F710," ","")&amp;","))) +
  SUMPRODUCT(ISNUMBER(SEARCH(","&amp;Справочник_ОКВЭД_НР!$G$3:$G$62&amp;".",","&amp;SUBSTITUTE(F710," ","")&amp;",")))),
50)</f>
        <v>50</v>
      </c>
      <c r="K710" s="30">
        <f>IFERROR(VLOOKUP(G710,Справочник_ОКВЭД_НР!$O:$P,2,FALSE()),50)</f>
        <v>50</v>
      </c>
      <c r="L710" s="45">
        <f>(I710*Справочник_ОКВЭД_НР!$L$2+J710*Справочник_ОКВЭД_НР!$L$3+K710*Справочник_ОКВЭД_НР!$L$4)*M710</f>
        <v>80</v>
      </c>
      <c r="M710" s="47">
        <f>IF(COUNTIF(Справочник_ОКВЭД_НР!$G$3:$G$62,H710)&gt;0,0,1)</f>
        <v>1</v>
      </c>
    </row>
    <row r="711" spans="1:13" x14ac:dyDescent="0.25">
      <c r="A711" s="4">
        <f>ЛИК_дляСкорингаДП!A711</f>
        <v>1025003210605</v>
      </c>
      <c r="B711" s="4">
        <f>ЛИК_дляСкорингаДП!B711</f>
        <v>5027072259</v>
      </c>
      <c r="C711" s="4" t="str">
        <f>ЛИК_дляСкорингаДП!C711</f>
        <v>ООО "РЕАНИМАТОР"</v>
      </c>
      <c r="D711" s="5" t="str">
        <f>ЛИК_дляСкорингаДП!M711</f>
        <v>Стоматологическая практика</v>
      </c>
      <c r="E711" s="4" t="str">
        <f>ЛИК_дляСкорингаДП!L711</f>
        <v>86.23</v>
      </c>
      <c r="F711" t="str">
        <f>ЛИК_дляСкорингаДП!N711</f>
        <v>46.18.1,46.18.3,47.73,47.74,47.75,75.00,86.21,86.22,86.90,86.90.1,86.90.2,86.90.3,86.90.4,86.90.9</v>
      </c>
      <c r="G711" s="25" t="str">
        <f>ЛИК_дляСкорингаДП!AG711</f>
        <v>УСН</v>
      </c>
      <c r="H711" s="55" t="str">
        <f>IF(ISNUMBER(E711),E711,
IFERROR(LEFT(E711,FIND(".",E711)-1),E711))</f>
        <v>86</v>
      </c>
      <c r="I711" s="30">
        <f>IF(COUNTIF(Справочник_ОКВЭД_НР!$A$3:$A$62,H711)&gt;0,Справочник_ОКВЭД_НР!$L$8,
 IF(COUNTIF(Справочник_ОКВЭД_НР!$C$3:$C$62,H711)&gt;0,Справочник_ОКВЭД_НР!$L$9,
  IF(COUNTIF(Справочник_ОКВЭД_НР!$E$3:$E$62,H711)&gt;0,Справочник_ОКВЭД_НР!$L$10,
   IF(COUNTIF(Справочник_ОКВЭД_НР!$G$3:$G$62,H711)&gt;0,Справочник_ОКВЭД_НР!$L$11,50))))</f>
        <v>100</v>
      </c>
      <c r="J711" s="30" cm="1">
        <f t="array" ref="J711">IFERROR(
 (SUMPRODUCT(ISNUMBER(SEARCH(","&amp;Справочник_ОКВЭД_НР!$A$3:$A$62&amp;".",","&amp;SUBSTITUTE(F711," ","")&amp;",")))*Справочник_ОКВЭД_НР!$L$9 +
  SUMPRODUCT(ISNUMBER(SEARCH(","&amp;Справочник_ОКВЭД_НР!$C$3:$C$62&amp;".",","&amp;SUBSTITUTE(F711," ","")&amp;",")))*Справочник_ОКВЭД_НР!$L$10 +
  SUMPRODUCT(ISNUMBER(SEARCH(","&amp;Справочник_ОКВЭД_НР!$E$3:$E$62&amp;".",","&amp;SUBSTITUTE(F711," ","")&amp;",")))*Справочник_ОКВЭД_НР!$L$11 +
  SUMPRODUCT(ISNUMBER(SEARCH(","&amp;Справочник_ОКВЭД_НР!$G$3:$G$62&amp;".",","&amp;SUBSTITUTE(F711," ","")&amp;",")))*Справочник_ОКВЭД_НР!$L$12) /
 (SUMPRODUCT(ISNUMBER(SEARCH(","&amp;Справочник_ОКВЭД_НР!$A$3:$A$62&amp;".",","&amp;SUBSTITUTE(F711," ","")&amp;","))) +
  SUMPRODUCT(ISNUMBER(SEARCH(","&amp;Справочник_ОКВЭД_НР!$C$3:$C$62&amp;".",","&amp;SUBSTITUTE(F711," ","")&amp;","))) +
  SUMPRODUCT(ISNUMBER(SEARCH(","&amp;Справочник_ОКВЭД_НР!$E$3:$E$62&amp;".",","&amp;SUBSTITUTE(F711," ","")&amp;","))) +
  SUMPRODUCT(ISNUMBER(SEARCH(","&amp;Справочник_ОКВЭД_НР!$G$3:$G$62&amp;".",","&amp;SUBSTITUTE(F711," ","")&amp;",")))),
50)</f>
        <v>50</v>
      </c>
      <c r="K711" s="30">
        <f>IFERROR(VLOOKUP(G711,Справочник_ОКВЭД_НР!$O:$P,2,FALSE()),50)</f>
        <v>50</v>
      </c>
      <c r="L711" s="45">
        <f>(I711*Справочник_ОКВЭД_НР!$L$2+J711*Справочник_ОКВЭД_НР!$L$3+K711*Справочник_ОКВЭД_НР!$L$4)*M711</f>
        <v>80</v>
      </c>
      <c r="M711" s="47">
        <f>IF(COUNTIF(Справочник_ОКВЭД_НР!$G$3:$G$62,H711)&gt;0,0,1)</f>
        <v>1</v>
      </c>
    </row>
    <row r="712" spans="1:13" x14ac:dyDescent="0.25">
      <c r="A712" s="4">
        <f>ЛИК_дляСкорингаДП!A712</f>
        <v>1097746020734</v>
      </c>
      <c r="B712" s="4">
        <f>ЛИК_дляСкорингаДП!B712</f>
        <v>7743732328</v>
      </c>
      <c r="C712" s="4" t="str">
        <f>ЛИК_дляСкорингаДП!C712</f>
        <v>ООО "МЕТОДОЛОГИЯ БИЗНЕСА"</v>
      </c>
      <c r="D712" s="5" t="str">
        <f>ЛИК_дляСкорингаДП!M712</f>
        <v>Деятельность издательская</v>
      </c>
      <c r="E712" s="4" t="str">
        <f>ЛИК_дляСкорингаДП!L712</f>
        <v>58</v>
      </c>
      <c r="F712" t="str">
        <f>ЛИК_дляСкорингаДП!N712</f>
        <v>18.1,58.14,73.1,85.42</v>
      </c>
      <c r="G712" s="25" t="str">
        <f>ЛИК_дляСкорингаДП!AG712</f>
        <v>УСН</v>
      </c>
      <c r="H712" s="55" t="str">
        <f>IF(ISNUMBER(E712),E712,
IFERROR(LEFT(E712,FIND(".",E712)-1),E712))</f>
        <v>58</v>
      </c>
      <c r="I712" s="30">
        <f>IF(COUNTIF(Справочник_ОКВЭД_НР!$A$3:$A$62,H712)&gt;0,Справочник_ОКВЭД_НР!$L$8,
 IF(COUNTIF(Справочник_ОКВЭД_НР!$C$3:$C$62,H712)&gt;0,Справочник_ОКВЭД_НР!$L$9,
  IF(COUNTIF(Справочник_ОКВЭД_НР!$E$3:$E$62,H712)&gt;0,Справочник_ОКВЭД_НР!$L$10,
   IF(COUNTIF(Справочник_ОКВЭД_НР!$G$3:$G$62,H712)&gt;0,Справочник_ОКВЭД_НР!$L$11,50))))</f>
        <v>30</v>
      </c>
      <c r="J712" s="30" cm="1">
        <f t="array" ref="J712">IFERROR(
 (SUMPRODUCT(ISNUMBER(SEARCH(","&amp;Справочник_ОКВЭД_НР!$A$3:$A$62&amp;".",","&amp;SUBSTITUTE(F712," ","")&amp;",")))*Справочник_ОКВЭД_НР!$L$9 +
  SUMPRODUCT(ISNUMBER(SEARCH(","&amp;Справочник_ОКВЭД_НР!$C$3:$C$62&amp;".",","&amp;SUBSTITUTE(F712," ","")&amp;",")))*Справочник_ОКВЭД_НР!$L$10 +
  SUMPRODUCT(ISNUMBER(SEARCH(","&amp;Справочник_ОКВЭД_НР!$E$3:$E$62&amp;".",","&amp;SUBSTITUTE(F712," ","")&amp;",")))*Справочник_ОКВЭД_НР!$L$11 +
  SUMPRODUCT(ISNUMBER(SEARCH(","&amp;Справочник_ОКВЭД_НР!$G$3:$G$62&amp;".",","&amp;SUBSTITUTE(F712," ","")&amp;",")))*Справочник_ОКВЭД_НР!$L$12) /
 (SUMPRODUCT(ISNUMBER(SEARCH(","&amp;Справочник_ОКВЭД_НР!$A$3:$A$62&amp;".",","&amp;SUBSTITUTE(F712," ","")&amp;","))) +
  SUMPRODUCT(ISNUMBER(SEARCH(","&amp;Справочник_ОКВЭД_НР!$C$3:$C$62&amp;".",","&amp;SUBSTITUTE(F712," ","")&amp;","))) +
  SUMPRODUCT(ISNUMBER(SEARCH(","&amp;Справочник_ОКВЭД_НР!$E$3:$E$62&amp;".",","&amp;SUBSTITUTE(F712," ","")&amp;","))) +
  SUMPRODUCT(ISNUMBER(SEARCH(","&amp;Справочник_ОКВЭД_НР!$G$3:$G$62&amp;".",","&amp;SUBSTITUTE(F712," ","")&amp;",")))),
50)</f>
        <v>50</v>
      </c>
      <c r="K712" s="30">
        <f>IFERROR(VLOOKUP(G712,Справочник_ОКВЭД_НР!$O:$P,2,FALSE()),50)</f>
        <v>50</v>
      </c>
      <c r="L712" s="45">
        <f>(I712*Справочник_ОКВЭД_НР!$L$2+J712*Справочник_ОКВЭД_НР!$L$3+K712*Справочник_ОКВЭД_НР!$L$4)*M712</f>
        <v>38</v>
      </c>
      <c r="M712" s="47">
        <f>IF(COUNTIF(Справочник_ОКВЭД_НР!$G$3:$G$62,H712)&gt;0,0,1)</f>
        <v>1</v>
      </c>
    </row>
    <row r="713" spans="1:13" x14ac:dyDescent="0.25">
      <c r="A713" s="4">
        <f>ЛИК_дляСкорингаДП!A713</f>
        <v>1097746059685</v>
      </c>
      <c r="B713" s="4">
        <f>ЛИК_дляСкорингаДП!B713</f>
        <v>7708696268</v>
      </c>
      <c r="C713" s="4" t="str">
        <f>ЛИК_дляСкорингаДП!C713</f>
        <v>ООО САЛОН ФЛОРИСТИКИ И ДИЗАЙНА "МЁД"</v>
      </c>
      <c r="D713" s="5" t="str">
        <f>ЛИК_дляСкорингаДП!M713</f>
        <v>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</v>
      </c>
      <c r="E713" s="4" t="str">
        <f>ЛИК_дляСкорингаДП!L713</f>
        <v>47.76</v>
      </c>
      <c r="F713" t="str">
        <f>ЛИК_дляСкорингаДП!N713</f>
        <v>01.61,46.11.2,46.22,47.5,47.76.1,47.78,47.9,74.90,74.90.4,81.29.9,81.30</v>
      </c>
      <c r="G713" s="25" t="str">
        <f>ЛИК_дляСкорингаДП!AG713</f>
        <v>УСН</v>
      </c>
      <c r="H713" s="55" t="str">
        <f>IF(ISNUMBER(E713),E713,
IFERROR(LEFT(E713,FIND(".",E713)-1),E713))</f>
        <v>47</v>
      </c>
      <c r="I713" s="30">
        <f>IF(COUNTIF(Справочник_ОКВЭД_НР!$A$3:$A$62,H713)&gt;0,Справочник_ОКВЭД_НР!$L$8,
 IF(COUNTIF(Справочник_ОКВЭД_НР!$C$3:$C$62,H713)&gt;0,Справочник_ОКВЭД_НР!$L$9,
  IF(COUNTIF(Справочник_ОКВЭД_НР!$E$3:$E$62,H713)&gt;0,Справочник_ОКВЭД_НР!$L$10,
   IF(COUNTIF(Справочник_ОКВЭД_НР!$G$3:$G$62,H713)&gt;0,Справочник_ОКВЭД_НР!$L$11,50))))</f>
        <v>60</v>
      </c>
      <c r="J713" s="30" cm="1">
        <f t="array" ref="J713">IFERROR(
 (SUMPRODUCT(ISNUMBER(SEARCH(","&amp;Справочник_ОКВЭД_НР!$A$3:$A$62&amp;".",","&amp;SUBSTITUTE(F713," ","")&amp;",")))*Справочник_ОКВЭД_НР!$L$9 +
  SUMPRODUCT(ISNUMBER(SEARCH(","&amp;Справочник_ОКВЭД_НР!$C$3:$C$62&amp;".",","&amp;SUBSTITUTE(F713," ","")&amp;",")))*Справочник_ОКВЭД_НР!$L$10 +
  SUMPRODUCT(ISNUMBER(SEARCH(","&amp;Справочник_ОКВЭД_НР!$E$3:$E$62&amp;".",","&amp;SUBSTITUTE(F713," ","")&amp;",")))*Справочник_ОКВЭД_НР!$L$11 +
  SUMPRODUCT(ISNUMBER(SEARCH(","&amp;Справочник_ОКВЭД_НР!$G$3:$G$62&amp;".",","&amp;SUBSTITUTE(F713," ","")&amp;",")))*Справочник_ОКВЭД_НР!$L$12) /
 (SUMPRODUCT(ISNUMBER(SEARCH(","&amp;Справочник_ОКВЭД_НР!$A$3:$A$62&amp;".",","&amp;SUBSTITUTE(F713," ","")&amp;","))) +
  SUMPRODUCT(ISNUMBER(SEARCH(","&amp;Справочник_ОКВЭД_НР!$C$3:$C$62&amp;".",","&amp;SUBSTITUTE(F713," ","")&amp;","))) +
  SUMPRODUCT(ISNUMBER(SEARCH(","&amp;Справочник_ОКВЭД_НР!$E$3:$E$62&amp;".",","&amp;SUBSTITUTE(F713," ","")&amp;","))) +
  SUMPRODUCT(ISNUMBER(SEARCH(","&amp;Справочник_ОКВЭД_НР!$G$3:$G$62&amp;".",","&amp;SUBSTITUTE(F713," ","")&amp;",")))),
50)</f>
        <v>50</v>
      </c>
      <c r="K713" s="30">
        <f>IFERROR(VLOOKUP(G713,Справочник_ОКВЭД_НР!$O:$P,2,FALSE()),50)</f>
        <v>50</v>
      </c>
      <c r="L713" s="45">
        <f>(I713*Справочник_ОКВЭД_НР!$L$2+J713*Справочник_ОКВЭД_НР!$L$3+K713*Справочник_ОКВЭД_НР!$L$4)*M713</f>
        <v>56</v>
      </c>
      <c r="M713" s="47">
        <f>IF(COUNTIF(Справочник_ОКВЭД_НР!$G$3:$G$62,H713)&gt;0,0,1)</f>
        <v>1</v>
      </c>
    </row>
    <row r="714" spans="1:13" x14ac:dyDescent="0.25">
      <c r="A714" s="4">
        <f>ЛИК_дляСкорингаДП!A714</f>
        <v>1097746142306</v>
      </c>
      <c r="B714" s="4">
        <f>ЛИК_дляСкорингаДП!B714</f>
        <v>7719719679</v>
      </c>
      <c r="C714" s="4" t="str">
        <f>ЛИК_дляСкорингаДП!C714</f>
        <v>ООО "НЖТ"</v>
      </c>
      <c r="D714" s="5" t="str">
        <f>ЛИК_дляСкорингаДП!M714</f>
        <v>Деятельность легкового такси и арендованных легковых автомобилей с водителем</v>
      </c>
      <c r="E714" s="4" t="str">
        <f>ЛИК_дляСкорингаДП!L714</f>
        <v>49.32</v>
      </c>
      <c r="F714" t="str">
        <f>ЛИК_дляСкорингаДП!N714</f>
        <v>49.3,49.31,49.4,52.24,52.29,70.22,73.20</v>
      </c>
      <c r="G714" s="25" t="str">
        <f>ЛИК_дляСкорингаДП!AG714</f>
        <v>УСН</v>
      </c>
      <c r="H714" s="55" t="str">
        <f>IF(ISNUMBER(E714),E714,
IFERROR(LEFT(E714,FIND(".",E714)-1),E714))</f>
        <v>49</v>
      </c>
      <c r="I714" s="30">
        <f>IF(COUNTIF(Справочник_ОКВЭД_НР!$A$3:$A$62,H714)&gt;0,Справочник_ОКВЭД_НР!$L$8,
 IF(COUNTIF(Справочник_ОКВЭД_НР!$C$3:$C$62,H714)&gt;0,Справочник_ОКВЭД_НР!$L$9,
  IF(COUNTIF(Справочник_ОКВЭД_НР!$E$3:$E$62,H714)&gt;0,Справочник_ОКВЭД_НР!$L$10,
   IF(COUNTIF(Справочник_ОКВЭД_НР!$G$3:$G$62,H714)&gt;0,Справочник_ОКВЭД_НР!$L$11,50))))</f>
        <v>60</v>
      </c>
      <c r="J714" s="30" cm="1">
        <f t="array" ref="J714">IFERROR(
 (SUMPRODUCT(ISNUMBER(SEARCH(","&amp;Справочник_ОКВЭД_НР!$A$3:$A$62&amp;".",","&amp;SUBSTITUTE(F714," ","")&amp;",")))*Справочник_ОКВЭД_НР!$L$9 +
  SUMPRODUCT(ISNUMBER(SEARCH(","&amp;Справочник_ОКВЭД_НР!$C$3:$C$62&amp;".",","&amp;SUBSTITUTE(F714," ","")&amp;",")))*Справочник_ОКВЭД_НР!$L$10 +
  SUMPRODUCT(ISNUMBER(SEARCH(","&amp;Справочник_ОКВЭД_НР!$E$3:$E$62&amp;".",","&amp;SUBSTITUTE(F714," ","")&amp;",")))*Справочник_ОКВЭД_НР!$L$11 +
  SUMPRODUCT(ISNUMBER(SEARCH(","&amp;Справочник_ОКВЭД_НР!$G$3:$G$62&amp;".",","&amp;SUBSTITUTE(F714," ","")&amp;",")))*Справочник_ОКВЭД_НР!$L$12) /
 (SUMPRODUCT(ISNUMBER(SEARCH(","&amp;Справочник_ОКВЭД_НР!$A$3:$A$62&amp;".",","&amp;SUBSTITUTE(F714," ","")&amp;","))) +
  SUMPRODUCT(ISNUMBER(SEARCH(","&amp;Справочник_ОКВЭД_НР!$C$3:$C$62&amp;".",","&amp;SUBSTITUTE(F714," ","")&amp;","))) +
  SUMPRODUCT(ISNUMBER(SEARCH(","&amp;Справочник_ОКВЭД_НР!$E$3:$E$62&amp;".",","&amp;SUBSTITUTE(F714," ","")&amp;","))) +
  SUMPRODUCT(ISNUMBER(SEARCH(","&amp;Справочник_ОКВЭД_НР!$G$3:$G$62&amp;".",","&amp;SUBSTITUTE(F714," ","")&amp;",")))),
50)</f>
        <v>50</v>
      </c>
      <c r="K714" s="30">
        <f>IFERROR(VLOOKUP(G714,Справочник_ОКВЭД_НР!$O:$P,2,FALSE()),50)</f>
        <v>50</v>
      </c>
      <c r="L714" s="45">
        <f>(I714*Справочник_ОКВЭД_НР!$L$2+J714*Справочник_ОКВЭД_НР!$L$3+K714*Справочник_ОКВЭД_НР!$L$4)*M714</f>
        <v>56</v>
      </c>
      <c r="M714" s="47">
        <f>IF(COUNTIF(Справочник_ОКВЭД_НР!$G$3:$G$62,H714)&gt;0,0,1)</f>
        <v>1</v>
      </c>
    </row>
    <row r="715" spans="1:13" x14ac:dyDescent="0.25">
      <c r="A715" s="4">
        <f>ЛИК_дляСкорингаДП!A715</f>
        <v>1097746064668</v>
      </c>
      <c r="B715" s="4">
        <f>ЛИК_дляСкорингаДП!B715</f>
        <v>7709824988</v>
      </c>
      <c r="C715" s="4" t="str">
        <f>ЛИК_дляСкорингаДП!C715</f>
        <v>ООО "ДОКТОР ВЕРА"</v>
      </c>
      <c r="D715" s="5" t="str">
        <f>ЛИК_дляСкорингаДП!M715</f>
        <v>Торговля розничная лекарственными средствами в специализированных магазинах (аптеках)</v>
      </c>
      <c r="E715" s="4" t="str">
        <f>ЛИК_дляСкорингаДП!L715</f>
        <v>47.73</v>
      </c>
      <c r="F715" t="str">
        <f>ЛИК_дляСкорингаДП!N715</f>
        <v>45.1,45.3,45.4,46.1,46.2,46.3,46.4,46.6,46.7,46.9,47.1,47.2,47.3,47.5,47.74,47.75,47.79,47.9,86</v>
      </c>
      <c r="G715" s="25" t="str">
        <f>ЛИК_дляСкорингаДП!AG715</f>
        <v>УСН</v>
      </c>
      <c r="H715" s="55" t="str">
        <f>IF(ISNUMBER(E715),E715,
IFERROR(LEFT(E715,FIND(".",E715)-1),E715))</f>
        <v>47</v>
      </c>
      <c r="I715" s="30">
        <f>IF(COUNTIF(Справочник_ОКВЭД_НР!$A$3:$A$62,H715)&gt;0,Справочник_ОКВЭД_НР!$L$8,
 IF(COUNTIF(Справочник_ОКВЭД_НР!$C$3:$C$62,H715)&gt;0,Справочник_ОКВЭД_НР!$L$9,
  IF(COUNTIF(Справочник_ОКВЭД_НР!$E$3:$E$62,H715)&gt;0,Справочник_ОКВЭД_НР!$L$10,
   IF(COUNTIF(Справочник_ОКВЭД_НР!$G$3:$G$62,H715)&gt;0,Справочник_ОКВЭД_НР!$L$11,50))))</f>
        <v>60</v>
      </c>
      <c r="J715" s="30" cm="1">
        <f t="array" ref="J715">IFERROR(
 (SUMPRODUCT(ISNUMBER(SEARCH(","&amp;Справочник_ОКВЭД_НР!$A$3:$A$62&amp;".",","&amp;SUBSTITUTE(F715," ","")&amp;",")))*Справочник_ОКВЭД_НР!$L$9 +
  SUMPRODUCT(ISNUMBER(SEARCH(","&amp;Справочник_ОКВЭД_НР!$C$3:$C$62&amp;".",","&amp;SUBSTITUTE(F715," ","")&amp;",")))*Справочник_ОКВЭД_НР!$L$10 +
  SUMPRODUCT(ISNUMBER(SEARCH(","&amp;Справочник_ОКВЭД_НР!$E$3:$E$62&amp;".",","&amp;SUBSTITUTE(F715," ","")&amp;",")))*Справочник_ОКВЭД_НР!$L$11 +
  SUMPRODUCT(ISNUMBER(SEARCH(","&amp;Справочник_ОКВЭД_НР!$G$3:$G$62&amp;".",","&amp;SUBSTITUTE(F715," ","")&amp;",")))*Справочник_ОКВЭД_НР!$L$12) /
 (SUMPRODUCT(ISNUMBER(SEARCH(","&amp;Справочник_ОКВЭД_НР!$A$3:$A$62&amp;".",","&amp;SUBSTITUTE(F715," ","")&amp;","))) +
  SUMPRODUCT(ISNUMBER(SEARCH(","&amp;Справочник_ОКВЭД_НР!$C$3:$C$62&amp;".",","&amp;SUBSTITUTE(F715," ","")&amp;","))) +
  SUMPRODUCT(ISNUMBER(SEARCH(","&amp;Справочник_ОКВЭД_НР!$E$3:$E$62&amp;".",","&amp;SUBSTITUTE(F715," ","")&amp;","))) +
  SUMPRODUCT(ISNUMBER(SEARCH(","&amp;Справочник_ОКВЭД_НР!$G$3:$G$62&amp;".",","&amp;SUBSTITUTE(F715," ","")&amp;",")))),
50)</f>
        <v>50</v>
      </c>
      <c r="K715" s="30">
        <f>IFERROR(VLOOKUP(G715,Справочник_ОКВЭД_НР!$O:$P,2,FALSE()),50)</f>
        <v>50</v>
      </c>
      <c r="L715" s="45">
        <f>(I715*Справочник_ОКВЭД_НР!$L$2+J715*Справочник_ОКВЭД_НР!$L$3+K715*Справочник_ОКВЭД_НР!$L$4)*M715</f>
        <v>56</v>
      </c>
      <c r="M715" s="47">
        <f>IF(COUNTIF(Справочник_ОКВЭД_НР!$G$3:$G$62,H715)&gt;0,0,1)</f>
        <v>1</v>
      </c>
    </row>
    <row r="716" spans="1:13" x14ac:dyDescent="0.25">
      <c r="A716" s="4">
        <f>ЛИК_дляСкорингаДП!A716</f>
        <v>1025004703107</v>
      </c>
      <c r="B716" s="4">
        <f>ЛИК_дляСкорингаДП!B716</f>
        <v>5036039762</v>
      </c>
      <c r="C716" s="4" t="str">
        <f>ЛИК_дляСкорингаДП!C716</f>
        <v>ООО "СТАНИЦА"</v>
      </c>
      <c r="D716" s="5" t="str">
        <f>ЛИК_дляСкорингаДП!M716</f>
        <v>Аренда и управление собственным или арендованным нежилым недвижимым имуществом</v>
      </c>
      <c r="E716" s="4" t="str">
        <f>ЛИК_дляСкорингаДП!L716</f>
        <v>68.20.2</v>
      </c>
      <c r="F716" t="str">
        <f>ЛИК_дляСкорингаДП!N716</f>
        <v>01.61,16.23.1,16.23.2,35.12,41.20,42.11,42.12,42.21,42.22.2,43.11,43.12.1,43.12.3,43.32,43.33,43.34.1,43.99.7,68.10.11,68.10.12,68.10.21,68.10.22,68.10.23,68.31.1,68.31.2,68.31.3,68.31.4,68.32.1,68.32.2,69.20.2,81.29</v>
      </c>
      <c r="G716" s="25" t="str">
        <f>ЛИК_дляСкорингаДП!AG716</f>
        <v>УСН</v>
      </c>
      <c r="H716" s="55" t="str">
        <f>IF(ISNUMBER(E716),E716,
IFERROR(LEFT(E716,FIND(".",E716)-1),E716))</f>
        <v>68</v>
      </c>
      <c r="I716" s="30">
        <f>IF(COUNTIF(Справочник_ОКВЭД_НР!$A$3:$A$62,H716)&gt;0,Справочник_ОКВЭД_НР!$L$8,
 IF(COUNTIF(Справочник_ОКВЭД_НР!$C$3:$C$62,H716)&gt;0,Справочник_ОКВЭД_НР!$L$9,
  IF(COUNTIF(Справочник_ОКВЭД_НР!$E$3:$E$62,H716)&gt;0,Справочник_ОКВЭД_НР!$L$10,
   IF(COUNTIF(Справочник_ОКВЭД_НР!$G$3:$G$62,H716)&gt;0,Справочник_ОКВЭД_НР!$L$11,50))))</f>
        <v>100</v>
      </c>
      <c r="J716" s="30" cm="1">
        <f t="array" ref="J716">IFERROR(
 (SUMPRODUCT(ISNUMBER(SEARCH(","&amp;Справочник_ОКВЭД_НР!$A$3:$A$62&amp;".",","&amp;SUBSTITUTE(F716," ","")&amp;",")))*Справочник_ОКВЭД_НР!$L$9 +
  SUMPRODUCT(ISNUMBER(SEARCH(","&amp;Справочник_ОКВЭД_НР!$C$3:$C$62&amp;".",","&amp;SUBSTITUTE(F716," ","")&amp;",")))*Справочник_ОКВЭД_НР!$L$10 +
  SUMPRODUCT(ISNUMBER(SEARCH(","&amp;Справочник_ОКВЭД_НР!$E$3:$E$62&amp;".",","&amp;SUBSTITUTE(F716," ","")&amp;",")))*Справочник_ОКВЭД_НР!$L$11 +
  SUMPRODUCT(ISNUMBER(SEARCH(","&amp;Справочник_ОКВЭД_НР!$G$3:$G$62&amp;".",","&amp;SUBSTITUTE(F716," ","")&amp;",")))*Справочник_ОКВЭД_НР!$L$12) /
 (SUMPRODUCT(ISNUMBER(SEARCH(","&amp;Справочник_ОКВЭД_НР!$A$3:$A$62&amp;".",","&amp;SUBSTITUTE(F716," ","")&amp;","))) +
  SUMPRODUCT(ISNUMBER(SEARCH(","&amp;Справочник_ОКВЭД_НР!$C$3:$C$62&amp;".",","&amp;SUBSTITUTE(F716," ","")&amp;","))) +
  SUMPRODUCT(ISNUMBER(SEARCH(","&amp;Справочник_ОКВЭД_НР!$E$3:$E$62&amp;".",","&amp;SUBSTITUTE(F716," ","")&amp;","))) +
  SUMPRODUCT(ISNUMBER(SEARCH(","&amp;Справочник_ОКВЭД_НР!$G$3:$G$62&amp;".",","&amp;SUBSTITUTE(F716," ","")&amp;",")))),
50)</f>
        <v>50</v>
      </c>
      <c r="K716" s="30">
        <f>IFERROR(VLOOKUP(G716,Справочник_ОКВЭД_НР!$O:$P,2,FALSE()),50)</f>
        <v>50</v>
      </c>
      <c r="L716" s="45">
        <f>(I716*Справочник_ОКВЭД_НР!$L$2+J716*Справочник_ОКВЭД_НР!$L$3+K716*Справочник_ОКВЭД_НР!$L$4)*M716</f>
        <v>80</v>
      </c>
      <c r="M716" s="47">
        <f>IF(COUNTIF(Справочник_ОКВЭД_НР!$G$3:$G$62,H716)&gt;0,0,1)</f>
        <v>1</v>
      </c>
    </row>
    <row r="717" spans="1:13" x14ac:dyDescent="0.25">
      <c r="A717" s="4">
        <f>ЛИК_дляСкорингаДП!A717</f>
        <v>1097746166946</v>
      </c>
      <c r="B717" s="4">
        <f>ЛИК_дляСкорингаДП!B717</f>
        <v>7719720628</v>
      </c>
      <c r="C717" s="4" t="str">
        <f>ЛИК_дляСкорингаДП!C717</f>
        <v>АО "НК"</v>
      </c>
      <c r="D717" s="5" t="str">
        <f>ЛИК_дляСкорингаДП!M717</f>
        <v>Дезинфекция, дезинсекция, дератизация зданий, промышленного оборудования</v>
      </c>
      <c r="E717" s="4" t="str">
        <f>ЛИК_дляСкорингаДП!L717</f>
        <v>81.29.1</v>
      </c>
      <c r="F717" t="str">
        <f>ЛИК_дляСкорингаДП!N717</f>
        <v>01.70,33.20,41.10,41.20,42.11,42.12,42.13,42.21,42.22,43.11,43.12,43.21,43.22,43.29,43.31,43.32,43.33,43.34,43.39,43.91,43.99,45.20.2,45.20.3,45.31,45.32,45.40,46.38.22,46.46,46.73,46.73.1,49.20,49.41.1,49.41.2,68.31.32,68.31.5,68.32,70.21,70.22,71.11,71.12.1,75.00,77.32,77.39,81.21,81.22,81.29,82.11,82.19,82.99,94.99.21,96.03,96.09</v>
      </c>
      <c r="G717" s="25" t="str">
        <f>ЛИК_дляСкорингаДП!AG717</f>
        <v>УСН</v>
      </c>
      <c r="H717" s="55" t="str">
        <f>IF(ISNUMBER(E717),E717,
IFERROR(LEFT(E717,FIND(".",E717)-1),E717))</f>
        <v>81</v>
      </c>
      <c r="I717" s="30">
        <f>IF(COUNTIF(Справочник_ОКВЭД_НР!$A$3:$A$62,H717)&gt;0,Справочник_ОКВЭД_НР!$L$8,
 IF(COUNTIF(Справочник_ОКВЭД_НР!$C$3:$C$62,H717)&gt;0,Справочник_ОКВЭД_НР!$L$9,
  IF(COUNTIF(Справочник_ОКВЭД_НР!$E$3:$E$62,H717)&gt;0,Справочник_ОКВЭД_НР!$L$10,
   IF(COUNTIF(Справочник_ОКВЭД_НР!$G$3:$G$62,H717)&gt;0,Справочник_ОКВЭД_НР!$L$11,50))))</f>
        <v>30</v>
      </c>
      <c r="J717" s="30" cm="1">
        <f t="array" ref="J717">IFERROR(
 (SUMPRODUCT(ISNUMBER(SEARCH(","&amp;Справочник_ОКВЭД_НР!$A$3:$A$62&amp;".",","&amp;SUBSTITUTE(F717," ","")&amp;",")))*Справочник_ОКВЭД_НР!$L$9 +
  SUMPRODUCT(ISNUMBER(SEARCH(","&amp;Справочник_ОКВЭД_НР!$C$3:$C$62&amp;".",","&amp;SUBSTITUTE(F717," ","")&amp;",")))*Справочник_ОКВЭД_НР!$L$10 +
  SUMPRODUCT(ISNUMBER(SEARCH(","&amp;Справочник_ОКВЭД_НР!$E$3:$E$62&amp;".",","&amp;SUBSTITUTE(F717," ","")&amp;",")))*Справочник_ОКВЭД_НР!$L$11 +
  SUMPRODUCT(ISNUMBER(SEARCH(","&amp;Справочник_ОКВЭД_НР!$G$3:$G$62&amp;".",","&amp;SUBSTITUTE(F717," ","")&amp;",")))*Справочник_ОКВЭД_НР!$L$12) /
 (SUMPRODUCT(ISNUMBER(SEARCH(","&amp;Справочник_ОКВЭД_НР!$A$3:$A$62&amp;".",","&amp;SUBSTITUTE(F717," ","")&amp;","))) +
  SUMPRODUCT(ISNUMBER(SEARCH(","&amp;Справочник_ОКВЭД_НР!$C$3:$C$62&amp;".",","&amp;SUBSTITUTE(F717," ","")&amp;","))) +
  SUMPRODUCT(ISNUMBER(SEARCH(","&amp;Справочник_ОКВЭД_НР!$E$3:$E$62&amp;".",","&amp;SUBSTITUTE(F717," ","")&amp;","))) +
  SUMPRODUCT(ISNUMBER(SEARCH(","&amp;Справочник_ОКВЭД_НР!$G$3:$G$62&amp;".",","&amp;SUBSTITUTE(F717," ","")&amp;",")))),
50)</f>
        <v>50</v>
      </c>
      <c r="K717" s="30">
        <f>IFERROR(VLOOKUP(G717,Справочник_ОКВЭД_НР!$O:$P,2,FALSE()),50)</f>
        <v>50</v>
      </c>
      <c r="L717" s="45">
        <f>(I717*Справочник_ОКВЭД_НР!$L$2+J717*Справочник_ОКВЭД_НР!$L$3+K717*Справочник_ОКВЭД_НР!$L$4)*M717</f>
        <v>38</v>
      </c>
      <c r="M717" s="47">
        <f>IF(COUNTIF(Справочник_ОКВЭД_НР!$G$3:$G$62,H717)&gt;0,0,1)</f>
        <v>1</v>
      </c>
    </row>
    <row r="718" spans="1:13" x14ac:dyDescent="0.25">
      <c r="A718" s="4">
        <f>ЛИК_дляСкорингаДП!A718</f>
        <v>1097746188693</v>
      </c>
      <c r="B718" s="4">
        <f>ЛИК_дляСкорингаДП!B718</f>
        <v>7701834208</v>
      </c>
      <c r="C718" s="4" t="str">
        <f>ЛИК_дляСкорингаДП!C718</f>
        <v>ООО "АТРИС-М"</v>
      </c>
      <c r="D718" s="5" t="str">
        <f>ЛИК_дляСкорингаДП!M718</f>
        <v>Торговля розничная компьютерами, периферийными устройствами к ним и программным обеспечением в специализированных магазинах</v>
      </c>
      <c r="E718" s="4" t="str">
        <f>ЛИК_дляСкорингаДП!L718</f>
        <v>47.41</v>
      </c>
      <c r="F718" t="str">
        <f>ЛИК_дляСкорингаДП!N718</f>
        <v>33.12,33.13,33.14,33.20,46.43.4,47.41.4,47.59.1,47.78.1,74.20</v>
      </c>
      <c r="G718" s="25" t="str">
        <f>ЛИК_дляСкорингаДП!AG718</f>
        <v>УСН</v>
      </c>
      <c r="H718" s="55" t="str">
        <f>IF(ISNUMBER(E718),E718,
IFERROR(LEFT(E718,FIND(".",E718)-1),E718))</f>
        <v>47</v>
      </c>
      <c r="I718" s="30">
        <f>IF(COUNTIF(Справочник_ОКВЭД_НР!$A$3:$A$62,H718)&gt;0,Справочник_ОКВЭД_НР!$L$8,
 IF(COUNTIF(Справочник_ОКВЭД_НР!$C$3:$C$62,H718)&gt;0,Справочник_ОКВЭД_НР!$L$9,
  IF(COUNTIF(Справочник_ОКВЭД_НР!$E$3:$E$62,H718)&gt;0,Справочник_ОКВЭД_НР!$L$10,
   IF(COUNTIF(Справочник_ОКВЭД_НР!$G$3:$G$62,H718)&gt;0,Справочник_ОКВЭД_НР!$L$11,50))))</f>
        <v>60</v>
      </c>
      <c r="J718" s="30" cm="1">
        <f t="array" ref="J718">IFERROR(
 (SUMPRODUCT(ISNUMBER(SEARCH(","&amp;Справочник_ОКВЭД_НР!$A$3:$A$62&amp;".",","&amp;SUBSTITUTE(F718," ","")&amp;",")))*Справочник_ОКВЭД_НР!$L$9 +
  SUMPRODUCT(ISNUMBER(SEARCH(","&amp;Справочник_ОКВЭД_НР!$C$3:$C$62&amp;".",","&amp;SUBSTITUTE(F718," ","")&amp;",")))*Справочник_ОКВЭД_НР!$L$10 +
  SUMPRODUCT(ISNUMBER(SEARCH(","&amp;Справочник_ОКВЭД_НР!$E$3:$E$62&amp;".",","&amp;SUBSTITUTE(F718," ","")&amp;",")))*Справочник_ОКВЭД_НР!$L$11 +
  SUMPRODUCT(ISNUMBER(SEARCH(","&amp;Справочник_ОКВЭД_НР!$G$3:$G$62&amp;".",","&amp;SUBSTITUTE(F718," ","")&amp;",")))*Справочник_ОКВЭД_НР!$L$12) /
 (SUMPRODUCT(ISNUMBER(SEARCH(","&amp;Справочник_ОКВЭД_НР!$A$3:$A$62&amp;".",","&amp;SUBSTITUTE(F718," ","")&amp;","))) +
  SUMPRODUCT(ISNUMBER(SEARCH(","&amp;Справочник_ОКВЭД_НР!$C$3:$C$62&amp;".",","&amp;SUBSTITUTE(F718," ","")&amp;","))) +
  SUMPRODUCT(ISNUMBER(SEARCH(","&amp;Справочник_ОКВЭД_НР!$E$3:$E$62&amp;".",","&amp;SUBSTITUTE(F718," ","")&amp;","))) +
  SUMPRODUCT(ISNUMBER(SEARCH(","&amp;Справочник_ОКВЭД_НР!$G$3:$G$62&amp;".",","&amp;SUBSTITUTE(F718," ","")&amp;",")))),
50)</f>
        <v>50</v>
      </c>
      <c r="K718" s="30">
        <f>IFERROR(VLOOKUP(G718,Справочник_ОКВЭД_НР!$O:$P,2,FALSE()),50)</f>
        <v>50</v>
      </c>
      <c r="L718" s="45">
        <f>(I718*Справочник_ОКВЭД_НР!$L$2+J718*Справочник_ОКВЭД_НР!$L$3+K718*Справочник_ОКВЭД_НР!$L$4)*M718</f>
        <v>56</v>
      </c>
      <c r="M718" s="47">
        <f>IF(COUNTIF(Справочник_ОКВЭД_НР!$G$3:$G$62,H718)&gt;0,0,1)</f>
        <v>1</v>
      </c>
    </row>
    <row r="719" spans="1:13" x14ac:dyDescent="0.25">
      <c r="A719" s="4">
        <f>ЛИК_дляСкорингаДП!A719</f>
        <v>1027709033505</v>
      </c>
      <c r="B719" s="4">
        <f>ЛИК_дляСкорингаДП!B719</f>
        <v>7709400202</v>
      </c>
      <c r="C719" s="4" t="str">
        <f>ЛИК_дляСкорингаДП!C719</f>
        <v>ООО "ДИЗАЙН СТРОЙ"</v>
      </c>
      <c r="D719" s="5" t="str">
        <f>ЛИК_дляСкорингаДП!M719</f>
        <v>Деятельность в области демонстрации кинофильмов</v>
      </c>
      <c r="E719" s="4" t="str">
        <f>ЛИК_дляСкорингаДП!L719</f>
        <v>59.14</v>
      </c>
      <c r="F719" t="str">
        <f>ЛИК_дляСкорингаДП!N719</f>
        <v>43.21,43.39,46.11,46.15,46.19,46.39,46.49,46.90,47.11,47.19,47.63.1,47.63.2,47.9,56.10,68.20.2,68.31.22,68.31.32,68.31.42,70.22,71.11,71.11.1,71.11.2,71.11.3,71.12,71.12.1,71.12.11,71.12.12,71.12.13,71.12.2,71.12.3,71.12.7,73.11,74.10,93.29,93.29.9</v>
      </c>
      <c r="G719" s="25" t="str">
        <f>ЛИК_дляСкорингаДП!AG719</f>
        <v>УСН</v>
      </c>
      <c r="H719" s="55" t="str">
        <f>IF(ISNUMBER(E719),E719,
IFERROR(LEFT(E719,FIND(".",E719)-1),E719))</f>
        <v>59</v>
      </c>
      <c r="I719" s="30">
        <f>IF(COUNTIF(Справочник_ОКВЭД_НР!$A$3:$A$62,H719)&gt;0,Справочник_ОКВЭД_НР!$L$8,
 IF(COUNTIF(Справочник_ОКВЭД_НР!$C$3:$C$62,H719)&gt;0,Справочник_ОКВЭД_НР!$L$9,
  IF(COUNTIF(Справочник_ОКВЭД_НР!$E$3:$E$62,H719)&gt;0,Справочник_ОКВЭД_НР!$L$10,
   IF(COUNTIF(Справочник_ОКВЭД_НР!$G$3:$G$62,H719)&gt;0,Справочник_ОКВЭД_НР!$L$11,50))))</f>
        <v>30</v>
      </c>
      <c r="J719" s="30" cm="1">
        <f t="array" ref="J719">IFERROR(
 (SUMPRODUCT(ISNUMBER(SEARCH(","&amp;Справочник_ОКВЭД_НР!$A$3:$A$62&amp;".",","&amp;SUBSTITUTE(F719," ","")&amp;",")))*Справочник_ОКВЭД_НР!$L$9 +
  SUMPRODUCT(ISNUMBER(SEARCH(","&amp;Справочник_ОКВЭД_НР!$C$3:$C$62&amp;".",","&amp;SUBSTITUTE(F719," ","")&amp;",")))*Справочник_ОКВЭД_НР!$L$10 +
  SUMPRODUCT(ISNUMBER(SEARCH(","&amp;Справочник_ОКВЭД_НР!$E$3:$E$62&amp;".",","&amp;SUBSTITUTE(F719," ","")&amp;",")))*Справочник_ОКВЭД_НР!$L$11 +
  SUMPRODUCT(ISNUMBER(SEARCH(","&amp;Справочник_ОКВЭД_НР!$G$3:$G$62&amp;".",","&amp;SUBSTITUTE(F719," ","")&amp;",")))*Справочник_ОКВЭД_НР!$L$12) /
 (SUMPRODUCT(ISNUMBER(SEARCH(","&amp;Справочник_ОКВЭД_НР!$A$3:$A$62&amp;".",","&amp;SUBSTITUTE(F719," ","")&amp;","))) +
  SUMPRODUCT(ISNUMBER(SEARCH(","&amp;Справочник_ОКВЭД_НР!$C$3:$C$62&amp;".",","&amp;SUBSTITUTE(F719," ","")&amp;","))) +
  SUMPRODUCT(ISNUMBER(SEARCH(","&amp;Справочник_ОКВЭД_НР!$E$3:$E$62&amp;".",","&amp;SUBSTITUTE(F719," ","")&amp;","))) +
  SUMPRODUCT(ISNUMBER(SEARCH(","&amp;Справочник_ОКВЭД_НР!$G$3:$G$62&amp;".",","&amp;SUBSTITUTE(F719," ","")&amp;",")))),
50)</f>
        <v>50</v>
      </c>
      <c r="K719" s="30">
        <f>IFERROR(VLOOKUP(G719,Справочник_ОКВЭД_НР!$O:$P,2,FALSE()),50)</f>
        <v>50</v>
      </c>
      <c r="L719" s="45">
        <f>(I719*Справочник_ОКВЭД_НР!$L$2+J719*Справочник_ОКВЭД_НР!$L$3+K719*Справочник_ОКВЭД_НР!$L$4)*M719</f>
        <v>38</v>
      </c>
      <c r="M719" s="47">
        <f>IF(COUNTIF(Справочник_ОКВЭД_НР!$G$3:$G$62,H719)&gt;0,0,1)</f>
        <v>1</v>
      </c>
    </row>
    <row r="720" spans="1:13" x14ac:dyDescent="0.25">
      <c r="A720" s="4">
        <f>ЛИК_дляСкорингаДП!A720</f>
        <v>1025004908631</v>
      </c>
      <c r="B720" s="4">
        <f>ЛИК_дляСкорингаДП!B720</f>
        <v>5023007636</v>
      </c>
      <c r="C720" s="4" t="str">
        <f>ЛИК_дляСкорингаДП!C720</f>
        <v>ООО "СТЕК"</v>
      </c>
      <c r="D720" s="5" t="str">
        <f>ЛИК_дляСкорингаДП!M720</f>
        <v>Деятельность по складированию и хранению</v>
      </c>
      <c r="E720" s="4" t="str">
        <f>ЛИК_дляСкорингаДП!L720</f>
        <v>52.10</v>
      </c>
      <c r="F720" t="str">
        <f>ЛИК_дляСкорингаДП!N720</f>
        <v>46.18,46.19,47.11,47.19,47.7,47.9,52.21,52.29,96.09</v>
      </c>
      <c r="G720" s="25" t="str">
        <f>ЛИК_дляСкорингаДП!AG720</f>
        <v>УСН</v>
      </c>
      <c r="H720" s="55" t="str">
        <f>IF(ISNUMBER(E720),E720,
IFERROR(LEFT(E720,FIND(".",E720)-1),E720))</f>
        <v>52</v>
      </c>
      <c r="I720" s="30">
        <f>IF(COUNTIF(Справочник_ОКВЭД_НР!$A$3:$A$62,H720)&gt;0,Справочник_ОКВЭД_НР!$L$8,
 IF(COUNTIF(Справочник_ОКВЭД_НР!$C$3:$C$62,H720)&gt;0,Справочник_ОКВЭД_НР!$L$9,
  IF(COUNTIF(Справочник_ОКВЭД_НР!$E$3:$E$62,H720)&gt;0,Справочник_ОКВЭД_НР!$L$10,
   IF(COUNTIF(Справочник_ОКВЭД_НР!$G$3:$G$62,H720)&gt;0,Справочник_ОКВЭД_НР!$L$11,50))))</f>
        <v>60</v>
      </c>
      <c r="J720" s="30" cm="1">
        <f t="array" ref="J720">IFERROR(
 (SUMPRODUCT(ISNUMBER(SEARCH(","&amp;Справочник_ОКВЭД_НР!$A$3:$A$62&amp;".",","&amp;SUBSTITUTE(F720," ","")&amp;",")))*Справочник_ОКВЭД_НР!$L$9 +
  SUMPRODUCT(ISNUMBER(SEARCH(","&amp;Справочник_ОКВЭД_НР!$C$3:$C$62&amp;".",","&amp;SUBSTITUTE(F720," ","")&amp;",")))*Справочник_ОКВЭД_НР!$L$10 +
  SUMPRODUCT(ISNUMBER(SEARCH(","&amp;Справочник_ОКВЭД_НР!$E$3:$E$62&amp;".",","&amp;SUBSTITUTE(F720," ","")&amp;",")))*Справочник_ОКВЭД_НР!$L$11 +
  SUMPRODUCT(ISNUMBER(SEARCH(","&amp;Справочник_ОКВЭД_НР!$G$3:$G$62&amp;".",","&amp;SUBSTITUTE(F720," ","")&amp;",")))*Справочник_ОКВЭД_НР!$L$12) /
 (SUMPRODUCT(ISNUMBER(SEARCH(","&amp;Справочник_ОКВЭД_НР!$A$3:$A$62&amp;".",","&amp;SUBSTITUTE(F720," ","")&amp;","))) +
  SUMPRODUCT(ISNUMBER(SEARCH(","&amp;Справочник_ОКВЭД_НР!$C$3:$C$62&amp;".",","&amp;SUBSTITUTE(F720," ","")&amp;","))) +
  SUMPRODUCT(ISNUMBER(SEARCH(","&amp;Справочник_ОКВЭД_НР!$E$3:$E$62&amp;".",","&amp;SUBSTITUTE(F720," ","")&amp;","))) +
  SUMPRODUCT(ISNUMBER(SEARCH(","&amp;Справочник_ОКВЭД_НР!$G$3:$G$62&amp;".",","&amp;SUBSTITUTE(F720," ","")&amp;",")))),
50)</f>
        <v>50</v>
      </c>
      <c r="K720" s="30">
        <f>IFERROR(VLOOKUP(G720,Справочник_ОКВЭД_НР!$O:$P,2,FALSE()),50)</f>
        <v>50</v>
      </c>
      <c r="L720" s="45">
        <f>(I720*Справочник_ОКВЭД_НР!$L$2+J720*Справочник_ОКВЭД_НР!$L$3+K720*Справочник_ОКВЭД_НР!$L$4)*M720</f>
        <v>56</v>
      </c>
      <c r="M720" s="47">
        <f>IF(COUNTIF(Справочник_ОКВЭД_НР!$G$3:$G$62,H720)&gt;0,0,1)</f>
        <v>1</v>
      </c>
    </row>
    <row r="721" spans="1:13" x14ac:dyDescent="0.25">
      <c r="A721" s="4">
        <f>ЛИК_дляСкорингаДП!A721</f>
        <v>1097746144825</v>
      </c>
      <c r="B721" s="4">
        <f>ЛИК_дляСкорингаДП!B721</f>
        <v>7704723270</v>
      </c>
      <c r="C721" s="4" t="str">
        <f>ЛИК_дляСкорингаДП!C721</f>
        <v>ООО "АДОНИС"</v>
      </c>
      <c r="D721" s="5" t="str">
        <f>ЛИК_дляСкорингаДП!M721</f>
        <v>Деятельность ресторанов и услуги по доставке продуктов питания</v>
      </c>
      <c r="E721" s="4" t="str">
        <f>ЛИК_дляСкорингаДП!L721</f>
        <v>56.10</v>
      </c>
      <c r="F721" t="str">
        <f>ЛИК_дляСкорингаДП!N721</f>
        <v>47.5,47.73,47.74,47.75,56.10.1,56.10.3,56.29,74.20,74.30,82.92</v>
      </c>
      <c r="G721" s="25" t="str">
        <f>ЛИК_дляСкорингаДП!AG721</f>
        <v>УСН</v>
      </c>
      <c r="H721" s="55" t="str">
        <f>IF(ISNUMBER(E721),E721,
IFERROR(LEFT(E721,FIND(".",E721)-1),E721))</f>
        <v>56</v>
      </c>
      <c r="I721" s="30">
        <f>IF(COUNTIF(Справочник_ОКВЭД_НР!$A$3:$A$62,H721)&gt;0,Справочник_ОКВЭД_НР!$L$8,
 IF(COUNTIF(Справочник_ОКВЭД_НР!$C$3:$C$62,H721)&gt;0,Справочник_ОКВЭД_НР!$L$9,
  IF(COUNTIF(Справочник_ОКВЭД_НР!$E$3:$E$62,H721)&gt;0,Справочник_ОКВЭД_НР!$L$10,
   IF(COUNTIF(Справочник_ОКВЭД_НР!$G$3:$G$62,H721)&gt;0,Справочник_ОКВЭД_НР!$L$11,50))))</f>
        <v>30</v>
      </c>
      <c r="J721" s="30" cm="1">
        <f t="array" ref="J721">IFERROR(
 (SUMPRODUCT(ISNUMBER(SEARCH(","&amp;Справочник_ОКВЭД_НР!$A$3:$A$62&amp;".",","&amp;SUBSTITUTE(F721," ","")&amp;",")))*Справочник_ОКВЭД_НР!$L$9 +
  SUMPRODUCT(ISNUMBER(SEARCH(","&amp;Справочник_ОКВЭД_НР!$C$3:$C$62&amp;".",","&amp;SUBSTITUTE(F721," ","")&amp;",")))*Справочник_ОКВЭД_НР!$L$10 +
  SUMPRODUCT(ISNUMBER(SEARCH(","&amp;Справочник_ОКВЭД_НР!$E$3:$E$62&amp;".",","&amp;SUBSTITUTE(F721," ","")&amp;",")))*Справочник_ОКВЭД_НР!$L$11 +
  SUMPRODUCT(ISNUMBER(SEARCH(","&amp;Справочник_ОКВЭД_НР!$G$3:$G$62&amp;".",","&amp;SUBSTITUTE(F721," ","")&amp;",")))*Справочник_ОКВЭД_НР!$L$12) /
 (SUMPRODUCT(ISNUMBER(SEARCH(","&amp;Справочник_ОКВЭД_НР!$A$3:$A$62&amp;".",","&amp;SUBSTITUTE(F721," ","")&amp;","))) +
  SUMPRODUCT(ISNUMBER(SEARCH(","&amp;Справочник_ОКВЭД_НР!$C$3:$C$62&amp;".",","&amp;SUBSTITUTE(F721," ","")&amp;","))) +
  SUMPRODUCT(ISNUMBER(SEARCH(","&amp;Справочник_ОКВЭД_НР!$E$3:$E$62&amp;".",","&amp;SUBSTITUTE(F721," ","")&amp;","))) +
  SUMPRODUCT(ISNUMBER(SEARCH(","&amp;Справочник_ОКВЭД_НР!$G$3:$G$62&amp;".",","&amp;SUBSTITUTE(F721," ","")&amp;",")))),
50)</f>
        <v>50</v>
      </c>
      <c r="K721" s="30">
        <f>IFERROR(VLOOKUP(G721,Справочник_ОКВЭД_НР!$O:$P,2,FALSE()),50)</f>
        <v>50</v>
      </c>
      <c r="L721" s="45">
        <f>(I721*Справочник_ОКВЭД_НР!$L$2+J721*Справочник_ОКВЭД_НР!$L$3+K721*Справочник_ОКВЭД_НР!$L$4)*M721</f>
        <v>38</v>
      </c>
      <c r="M721" s="47">
        <f>IF(COUNTIF(Справочник_ОКВЭД_НР!$G$3:$G$62,H721)&gt;0,0,1)</f>
        <v>1</v>
      </c>
    </row>
    <row r="722" spans="1:13" x14ac:dyDescent="0.25">
      <c r="A722" s="4">
        <f>ЛИК_дляСкорингаДП!A722</f>
        <v>1097746052140</v>
      </c>
      <c r="B722" s="4">
        <f>ЛИК_дляСкорингаДП!B722</f>
        <v>7707696787</v>
      </c>
      <c r="C722" s="4" t="str">
        <f>ЛИК_дляСкорингаДП!C722</f>
        <v>ООО "НИТ"</v>
      </c>
      <c r="D722" s="5" t="str">
        <f>ЛИК_дляСкорингаДП!M722</f>
        <v>Разработка компьютерного программного обеспечения, консультационные услуги в данной области и другие сопутствующие услуги</v>
      </c>
      <c r="E722" s="4" t="str">
        <f>ЛИК_дляСкорингаДП!L722</f>
        <v>62.0</v>
      </c>
      <c r="F722" t="str">
        <f>ЛИК_дляСкорингаДП!N722</f>
        <v>46.51,47.91.2,47.91.3,47.91.4,62.09,63.11,69,69.20,69.20.2,70.10.1,70.10.2,71.2,73.1,73.20,74.20,74.30,82.19,82.92,82.99</v>
      </c>
      <c r="G722" s="25" t="str">
        <f>ЛИК_дляСкорингаДП!AG722</f>
        <v>УСН</v>
      </c>
      <c r="H722" s="55" t="str">
        <f>IF(ISNUMBER(E722),E722,
IFERROR(LEFT(E722,FIND(".",E722)-1),E722))</f>
        <v>62</v>
      </c>
      <c r="I722" s="30">
        <f>IF(COUNTIF(Справочник_ОКВЭД_НР!$A$3:$A$62,H722)&gt;0,Справочник_ОКВЭД_НР!$L$8,
 IF(COUNTIF(Справочник_ОКВЭД_НР!$C$3:$C$62,H722)&gt;0,Справочник_ОКВЭД_НР!$L$9,
  IF(COUNTIF(Справочник_ОКВЭД_НР!$E$3:$E$62,H722)&gt;0,Справочник_ОКВЭД_НР!$L$10,
   IF(COUNTIF(Справочник_ОКВЭД_НР!$G$3:$G$62,H722)&gt;0,Справочник_ОКВЭД_НР!$L$11,50))))</f>
        <v>100</v>
      </c>
      <c r="J722" s="30" cm="1">
        <f t="array" ref="J722">IFERROR(
 (SUMPRODUCT(ISNUMBER(SEARCH(","&amp;Справочник_ОКВЭД_НР!$A$3:$A$62&amp;".",","&amp;SUBSTITUTE(F722," ","")&amp;",")))*Справочник_ОКВЭД_НР!$L$9 +
  SUMPRODUCT(ISNUMBER(SEARCH(","&amp;Справочник_ОКВЭД_НР!$C$3:$C$62&amp;".",","&amp;SUBSTITUTE(F722," ","")&amp;",")))*Справочник_ОКВЭД_НР!$L$10 +
  SUMPRODUCT(ISNUMBER(SEARCH(","&amp;Справочник_ОКВЭД_НР!$E$3:$E$62&amp;".",","&amp;SUBSTITUTE(F722," ","")&amp;",")))*Справочник_ОКВЭД_НР!$L$11 +
  SUMPRODUCT(ISNUMBER(SEARCH(","&amp;Справочник_ОКВЭД_НР!$G$3:$G$62&amp;".",","&amp;SUBSTITUTE(F722," ","")&amp;",")))*Справочник_ОКВЭД_НР!$L$12) /
 (SUMPRODUCT(ISNUMBER(SEARCH(","&amp;Справочник_ОКВЭД_НР!$A$3:$A$62&amp;".",","&amp;SUBSTITUTE(F722," ","")&amp;","))) +
  SUMPRODUCT(ISNUMBER(SEARCH(","&amp;Справочник_ОКВЭД_НР!$C$3:$C$62&amp;".",","&amp;SUBSTITUTE(F722," ","")&amp;","))) +
  SUMPRODUCT(ISNUMBER(SEARCH(","&amp;Справочник_ОКВЭД_НР!$E$3:$E$62&amp;".",","&amp;SUBSTITUTE(F722," ","")&amp;","))) +
  SUMPRODUCT(ISNUMBER(SEARCH(","&amp;Справочник_ОКВЭД_НР!$G$3:$G$62&amp;".",","&amp;SUBSTITUTE(F722," ","")&amp;",")))),
50)</f>
        <v>50</v>
      </c>
      <c r="K722" s="30">
        <f>IFERROR(VLOOKUP(G722,Справочник_ОКВЭД_НР!$O:$P,2,FALSE()),50)</f>
        <v>50</v>
      </c>
      <c r="L722" s="45">
        <f>(I722*Справочник_ОКВЭД_НР!$L$2+J722*Справочник_ОКВЭД_НР!$L$3+K722*Справочник_ОКВЭД_НР!$L$4)*M722</f>
        <v>80</v>
      </c>
      <c r="M722" s="47">
        <f>IF(COUNTIF(Справочник_ОКВЭД_НР!$G$3:$G$62,H722)&gt;0,0,1)</f>
        <v>1</v>
      </c>
    </row>
    <row r="723" spans="1:13" x14ac:dyDescent="0.25">
      <c r="A723" s="4">
        <f>ЛИК_дляСкорингаДП!A723</f>
        <v>1025004913592</v>
      </c>
      <c r="B723" s="4">
        <f>ЛИК_дляСкорингаДП!B723</f>
        <v>5023006174</v>
      </c>
      <c r="C723" s="4" t="str">
        <f>ЛИК_дляСкорингаДП!C723</f>
        <v>ООО "АКВА-2000"</v>
      </c>
      <c r="D723" s="5" t="str">
        <f>ЛИК_дляСкорингаДП!M723</f>
        <v>Производство безалкогольных напитков; производство упакованных питьевых вод, включая минеральные воды.</v>
      </c>
      <c r="E723" s="4" t="str">
        <f>ЛИК_дляСкорингаДП!L723</f>
        <v>11.07</v>
      </c>
      <c r="F723" t="str">
        <f>ЛИК_дляСкорингаДП!N723</f>
        <v>46.34.1,47.2,47.25.2</v>
      </c>
      <c r="G723" s="25" t="str">
        <f>ЛИК_дляСкорингаДП!AG723</f>
        <v>УСН</v>
      </c>
      <c r="H723" s="55" t="str">
        <f>IF(ISNUMBER(E723),E723,
IFERROR(LEFT(E723,FIND(".",E723)-1),E723))</f>
        <v>11</v>
      </c>
      <c r="I723" s="30">
        <f>IF(COUNTIF(Справочник_ОКВЭД_НР!$A$3:$A$62,H723)&gt;0,Справочник_ОКВЭД_НР!$L$8,
 IF(COUNTIF(Справочник_ОКВЭД_НР!$C$3:$C$62,H723)&gt;0,Справочник_ОКВЭД_НР!$L$9,
  IF(COUNTIF(Справочник_ОКВЭД_НР!$E$3:$E$62,H723)&gt;0,Справочник_ОКВЭД_НР!$L$10,
   IF(COUNTIF(Справочник_ОКВЭД_НР!$G$3:$G$62,H723)&gt;0,Справочник_ОКВЭД_НР!$L$11,50))))</f>
        <v>100</v>
      </c>
      <c r="J723" s="30" cm="1">
        <f t="array" ref="J723">IFERROR(
 (SUMPRODUCT(ISNUMBER(SEARCH(","&amp;Справочник_ОКВЭД_НР!$A$3:$A$62&amp;".",","&amp;SUBSTITUTE(F723," ","")&amp;",")))*Справочник_ОКВЭД_НР!$L$9 +
  SUMPRODUCT(ISNUMBER(SEARCH(","&amp;Справочник_ОКВЭД_НР!$C$3:$C$62&amp;".",","&amp;SUBSTITUTE(F723," ","")&amp;",")))*Справочник_ОКВЭД_НР!$L$10 +
  SUMPRODUCT(ISNUMBER(SEARCH(","&amp;Справочник_ОКВЭД_НР!$E$3:$E$62&amp;".",","&amp;SUBSTITUTE(F723," ","")&amp;",")))*Справочник_ОКВЭД_НР!$L$11 +
  SUMPRODUCT(ISNUMBER(SEARCH(","&amp;Справочник_ОКВЭД_НР!$G$3:$G$62&amp;".",","&amp;SUBSTITUTE(F723," ","")&amp;",")))*Справочник_ОКВЭД_НР!$L$12) /
 (SUMPRODUCT(ISNUMBER(SEARCH(","&amp;Справочник_ОКВЭД_НР!$A$3:$A$62&amp;".",","&amp;SUBSTITUTE(F723," ","")&amp;","))) +
  SUMPRODUCT(ISNUMBER(SEARCH(","&amp;Справочник_ОКВЭД_НР!$C$3:$C$62&amp;".",","&amp;SUBSTITUTE(F723," ","")&amp;","))) +
  SUMPRODUCT(ISNUMBER(SEARCH(","&amp;Справочник_ОКВЭД_НР!$E$3:$E$62&amp;".",","&amp;SUBSTITUTE(F723," ","")&amp;","))) +
  SUMPRODUCT(ISNUMBER(SEARCH(","&amp;Справочник_ОКВЭД_НР!$G$3:$G$62&amp;".",","&amp;SUBSTITUTE(F723," ","")&amp;",")))),
50)</f>
        <v>50</v>
      </c>
      <c r="K723" s="30">
        <f>IFERROR(VLOOKUP(G723,Справочник_ОКВЭД_НР!$O:$P,2,FALSE()),50)</f>
        <v>50</v>
      </c>
      <c r="L723" s="45">
        <f>(I723*Справочник_ОКВЭД_НР!$L$2+J723*Справочник_ОКВЭД_НР!$L$3+K723*Справочник_ОКВЭД_НР!$L$4)*M723</f>
        <v>80</v>
      </c>
      <c r="M723" s="47">
        <f>IF(COUNTIF(Справочник_ОКВЭД_НР!$G$3:$G$62,H723)&gt;0,0,1)</f>
        <v>1</v>
      </c>
    </row>
    <row r="724" spans="1:13" x14ac:dyDescent="0.25">
      <c r="A724" s="4">
        <f>ЛИК_дляСкорингаДП!A724</f>
        <v>1097746120350</v>
      </c>
      <c r="B724" s="4">
        <f>ЛИК_дляСкорингаДП!B724</f>
        <v>7705882724</v>
      </c>
      <c r="C724" s="4" t="str">
        <f>ЛИК_дляСкорингаДП!C724</f>
        <v>ООО "КЛАБ МЕНЕДЖМЕНТ"</v>
      </c>
      <c r="D724" s="5" t="str">
        <f>ЛИК_дляСкорингаДП!M724</f>
        <v>Деятельность ресторанов и услуги по доставке продуктов питания</v>
      </c>
      <c r="E724" s="4" t="str">
        <f>ЛИК_дляСкорингаДП!L724</f>
        <v>56.1</v>
      </c>
      <c r="F724" t="str">
        <f>ЛИК_дляСкорингаДП!N724</f>
        <v>56.3,70.22</v>
      </c>
      <c r="G724" s="25" t="str">
        <f>ЛИК_дляСкорингаДП!AG724</f>
        <v>УСН</v>
      </c>
      <c r="H724" s="55" t="str">
        <f>IF(ISNUMBER(E724),E724,
IFERROR(LEFT(E724,FIND(".",E724)-1),E724))</f>
        <v>56</v>
      </c>
      <c r="I724" s="30">
        <f>IF(COUNTIF(Справочник_ОКВЭД_НР!$A$3:$A$62,H724)&gt;0,Справочник_ОКВЭД_НР!$L$8,
 IF(COUNTIF(Справочник_ОКВЭД_НР!$C$3:$C$62,H724)&gt;0,Справочник_ОКВЭД_НР!$L$9,
  IF(COUNTIF(Справочник_ОКВЭД_НР!$E$3:$E$62,H724)&gt;0,Справочник_ОКВЭД_НР!$L$10,
   IF(COUNTIF(Справочник_ОКВЭД_НР!$G$3:$G$62,H724)&gt;0,Справочник_ОКВЭД_НР!$L$11,50))))</f>
        <v>30</v>
      </c>
      <c r="J724" s="30" cm="1">
        <f t="array" ref="J724">IFERROR(
 (SUMPRODUCT(ISNUMBER(SEARCH(","&amp;Справочник_ОКВЭД_НР!$A$3:$A$62&amp;".",","&amp;SUBSTITUTE(F724," ","")&amp;",")))*Справочник_ОКВЭД_НР!$L$9 +
  SUMPRODUCT(ISNUMBER(SEARCH(","&amp;Справочник_ОКВЭД_НР!$C$3:$C$62&amp;".",","&amp;SUBSTITUTE(F724," ","")&amp;",")))*Справочник_ОКВЭД_НР!$L$10 +
  SUMPRODUCT(ISNUMBER(SEARCH(","&amp;Справочник_ОКВЭД_НР!$E$3:$E$62&amp;".",","&amp;SUBSTITUTE(F724," ","")&amp;",")))*Справочник_ОКВЭД_НР!$L$11 +
  SUMPRODUCT(ISNUMBER(SEARCH(","&amp;Справочник_ОКВЭД_НР!$G$3:$G$62&amp;".",","&amp;SUBSTITUTE(F724," ","")&amp;",")))*Справочник_ОКВЭД_НР!$L$12) /
 (SUMPRODUCT(ISNUMBER(SEARCH(","&amp;Справочник_ОКВЭД_НР!$A$3:$A$62&amp;".",","&amp;SUBSTITUTE(F724," ","")&amp;","))) +
  SUMPRODUCT(ISNUMBER(SEARCH(","&amp;Справочник_ОКВЭД_НР!$C$3:$C$62&amp;".",","&amp;SUBSTITUTE(F724," ","")&amp;","))) +
  SUMPRODUCT(ISNUMBER(SEARCH(","&amp;Справочник_ОКВЭД_НР!$E$3:$E$62&amp;".",","&amp;SUBSTITUTE(F724," ","")&amp;","))) +
  SUMPRODUCT(ISNUMBER(SEARCH(","&amp;Справочник_ОКВЭД_НР!$G$3:$G$62&amp;".",","&amp;SUBSTITUTE(F724," ","")&amp;",")))),
50)</f>
        <v>50</v>
      </c>
      <c r="K724" s="30">
        <f>IFERROR(VLOOKUP(G724,Справочник_ОКВЭД_НР!$O:$P,2,FALSE()),50)</f>
        <v>50</v>
      </c>
      <c r="L724" s="45">
        <f>(I724*Справочник_ОКВЭД_НР!$L$2+J724*Справочник_ОКВЭД_НР!$L$3+K724*Справочник_ОКВЭД_НР!$L$4)*M724</f>
        <v>38</v>
      </c>
      <c r="M724" s="47">
        <f>IF(COUNTIF(Справочник_ОКВЭД_НР!$G$3:$G$62,H724)&gt;0,0,1)</f>
        <v>1</v>
      </c>
    </row>
    <row r="725" spans="1:13" x14ac:dyDescent="0.25">
      <c r="A725" s="4">
        <f>ЛИК_дляСкорингаДП!A725</f>
        <v>1025004544465</v>
      </c>
      <c r="B725" s="4">
        <f>ЛИК_дляСкорингаДП!B725</f>
        <v>5033008519</v>
      </c>
      <c r="C725" s="4" t="str">
        <f>ЛИК_дляСкорингаДП!C725</f>
        <v>ООО " ФАРМАМЕД-ПЛЮС "</v>
      </c>
      <c r="D725" s="5" t="str">
        <f>ЛИК_дляСкорингаДП!M725</f>
        <v>Торговля розничная лекарственными средствами в специализированных магазинах (аптеках)</v>
      </c>
      <c r="E725" s="4" t="str">
        <f>ЛИК_дляСкорингаДП!L725</f>
        <v>47.73</v>
      </c>
      <c r="F725" t="str">
        <f>ЛИК_дляСкорингаДП!N725</f>
        <v>47.74,68.20.2</v>
      </c>
      <c r="G725" s="25" t="str">
        <f>ЛИК_дляСкорингаДП!AG725</f>
        <v>УСН</v>
      </c>
      <c r="H725" s="55" t="str">
        <f>IF(ISNUMBER(E725),E725,
IFERROR(LEFT(E725,FIND(".",E725)-1),E725))</f>
        <v>47</v>
      </c>
      <c r="I725" s="30">
        <f>IF(COUNTIF(Справочник_ОКВЭД_НР!$A$3:$A$62,H725)&gt;0,Справочник_ОКВЭД_НР!$L$8,
 IF(COUNTIF(Справочник_ОКВЭД_НР!$C$3:$C$62,H725)&gt;0,Справочник_ОКВЭД_НР!$L$9,
  IF(COUNTIF(Справочник_ОКВЭД_НР!$E$3:$E$62,H725)&gt;0,Справочник_ОКВЭД_НР!$L$10,
   IF(COUNTIF(Справочник_ОКВЭД_НР!$G$3:$G$62,H725)&gt;0,Справочник_ОКВЭД_НР!$L$11,50))))</f>
        <v>60</v>
      </c>
      <c r="J725" s="30" cm="1">
        <f t="array" ref="J725">IFERROR(
 (SUMPRODUCT(ISNUMBER(SEARCH(","&amp;Справочник_ОКВЭД_НР!$A$3:$A$62&amp;".",","&amp;SUBSTITUTE(F725," ","")&amp;",")))*Справочник_ОКВЭД_НР!$L$9 +
  SUMPRODUCT(ISNUMBER(SEARCH(","&amp;Справочник_ОКВЭД_НР!$C$3:$C$62&amp;".",","&amp;SUBSTITUTE(F725," ","")&amp;",")))*Справочник_ОКВЭД_НР!$L$10 +
  SUMPRODUCT(ISNUMBER(SEARCH(","&amp;Справочник_ОКВЭД_НР!$E$3:$E$62&amp;".",","&amp;SUBSTITUTE(F725," ","")&amp;",")))*Справочник_ОКВЭД_НР!$L$11 +
  SUMPRODUCT(ISNUMBER(SEARCH(","&amp;Справочник_ОКВЭД_НР!$G$3:$G$62&amp;".",","&amp;SUBSTITUTE(F725," ","")&amp;",")))*Справочник_ОКВЭД_НР!$L$12) /
 (SUMPRODUCT(ISNUMBER(SEARCH(","&amp;Справочник_ОКВЭД_НР!$A$3:$A$62&amp;".",","&amp;SUBSTITUTE(F725," ","")&amp;","))) +
  SUMPRODUCT(ISNUMBER(SEARCH(","&amp;Справочник_ОКВЭД_НР!$C$3:$C$62&amp;".",","&amp;SUBSTITUTE(F725," ","")&amp;","))) +
  SUMPRODUCT(ISNUMBER(SEARCH(","&amp;Справочник_ОКВЭД_НР!$E$3:$E$62&amp;".",","&amp;SUBSTITUTE(F725," ","")&amp;","))) +
  SUMPRODUCT(ISNUMBER(SEARCH(","&amp;Справочник_ОКВЭД_НР!$G$3:$G$62&amp;".",","&amp;SUBSTITUTE(F725," ","")&amp;",")))),
50)</f>
        <v>50</v>
      </c>
      <c r="K725" s="30">
        <f>IFERROR(VLOOKUP(G725,Справочник_ОКВЭД_НР!$O:$P,2,FALSE()),50)</f>
        <v>50</v>
      </c>
      <c r="L725" s="45">
        <f>(I725*Справочник_ОКВЭД_НР!$L$2+J725*Справочник_ОКВЭД_НР!$L$3+K725*Справочник_ОКВЭД_НР!$L$4)*M725</f>
        <v>56</v>
      </c>
      <c r="M725" s="47">
        <f>IF(COUNTIF(Справочник_ОКВЭД_НР!$G$3:$G$62,H725)&gt;0,0,1)</f>
        <v>1</v>
      </c>
    </row>
    <row r="726" spans="1:13" x14ac:dyDescent="0.25">
      <c r="A726" s="4">
        <f>ЛИК_дляСкорингаДП!A726</f>
        <v>1097746186009</v>
      </c>
      <c r="B726" s="4">
        <f>ЛИК_дляСкорингаДП!B726</f>
        <v>7735558901</v>
      </c>
      <c r="C726" s="4" t="str">
        <f>ЛИК_дляСкорингаДП!C726</f>
        <v>ООО  "ТЕХНОЛОГИИ ЗАЩИТЫ"</v>
      </c>
      <c r="D726" s="5" t="str">
        <f>ЛИК_дляСкорингаДП!M726</f>
        <v>Разработка компьютерного программного обеспечения</v>
      </c>
      <c r="E726" s="4" t="str">
        <f>ЛИК_дляСкорингаДП!L726</f>
        <v>62.01</v>
      </c>
      <c r="F726" t="str">
        <f>ЛИК_дляСкорингаДП!N726</f>
        <v>26.20,33.20,46.51,46.90,47.91.2,47.91.3,47.91.4,62.02,62.09,63.11,63.11.1,71.12.12,72.19,95.11</v>
      </c>
      <c r="G726" s="25" t="str">
        <f>ЛИК_дляСкорингаДП!AG726</f>
        <v>УСН</v>
      </c>
      <c r="H726" s="55" t="str">
        <f>IF(ISNUMBER(E726),E726,
IFERROR(LEFT(E726,FIND(".",E726)-1),E726))</f>
        <v>62</v>
      </c>
      <c r="I726" s="30">
        <f>IF(COUNTIF(Справочник_ОКВЭД_НР!$A$3:$A$62,H726)&gt;0,Справочник_ОКВЭД_НР!$L$8,
 IF(COUNTIF(Справочник_ОКВЭД_НР!$C$3:$C$62,H726)&gt;0,Справочник_ОКВЭД_НР!$L$9,
  IF(COUNTIF(Справочник_ОКВЭД_НР!$E$3:$E$62,H726)&gt;0,Справочник_ОКВЭД_НР!$L$10,
   IF(COUNTIF(Справочник_ОКВЭД_НР!$G$3:$G$62,H726)&gt;0,Справочник_ОКВЭД_НР!$L$11,50))))</f>
        <v>100</v>
      </c>
      <c r="J726" s="30" cm="1">
        <f t="array" ref="J726">IFERROR(
 (SUMPRODUCT(ISNUMBER(SEARCH(","&amp;Справочник_ОКВЭД_НР!$A$3:$A$62&amp;".",","&amp;SUBSTITUTE(F726," ","")&amp;",")))*Справочник_ОКВЭД_НР!$L$9 +
  SUMPRODUCT(ISNUMBER(SEARCH(","&amp;Справочник_ОКВЭД_НР!$C$3:$C$62&amp;".",","&amp;SUBSTITUTE(F726," ","")&amp;",")))*Справочник_ОКВЭД_НР!$L$10 +
  SUMPRODUCT(ISNUMBER(SEARCH(","&amp;Справочник_ОКВЭД_НР!$E$3:$E$62&amp;".",","&amp;SUBSTITUTE(F726," ","")&amp;",")))*Справочник_ОКВЭД_НР!$L$11 +
  SUMPRODUCT(ISNUMBER(SEARCH(","&amp;Справочник_ОКВЭД_НР!$G$3:$G$62&amp;".",","&amp;SUBSTITUTE(F726," ","")&amp;",")))*Справочник_ОКВЭД_НР!$L$12) /
 (SUMPRODUCT(ISNUMBER(SEARCH(","&amp;Справочник_ОКВЭД_НР!$A$3:$A$62&amp;".",","&amp;SUBSTITUTE(F726," ","")&amp;","))) +
  SUMPRODUCT(ISNUMBER(SEARCH(","&amp;Справочник_ОКВЭД_НР!$C$3:$C$62&amp;".",","&amp;SUBSTITUTE(F726," ","")&amp;","))) +
  SUMPRODUCT(ISNUMBER(SEARCH(","&amp;Справочник_ОКВЭД_НР!$E$3:$E$62&amp;".",","&amp;SUBSTITUTE(F726," ","")&amp;","))) +
  SUMPRODUCT(ISNUMBER(SEARCH(","&amp;Справочник_ОКВЭД_НР!$G$3:$G$62&amp;".",","&amp;SUBSTITUTE(F726," ","")&amp;",")))),
50)</f>
        <v>50</v>
      </c>
      <c r="K726" s="30">
        <f>IFERROR(VLOOKUP(G726,Справочник_ОКВЭД_НР!$O:$P,2,FALSE()),50)</f>
        <v>50</v>
      </c>
      <c r="L726" s="45">
        <f>(I726*Справочник_ОКВЭД_НР!$L$2+J726*Справочник_ОКВЭД_НР!$L$3+K726*Справочник_ОКВЭД_НР!$L$4)*M726</f>
        <v>80</v>
      </c>
      <c r="M726" s="47">
        <f>IF(COUNTIF(Справочник_ОКВЭД_НР!$G$3:$G$62,H726)&gt;0,0,1)</f>
        <v>1</v>
      </c>
    </row>
    <row r="727" spans="1:13" x14ac:dyDescent="0.25">
      <c r="A727" s="4">
        <f>ЛИК_дляСкорингаДП!A727</f>
        <v>1097746202619</v>
      </c>
      <c r="B727" s="4">
        <f>ЛИК_дляСкорингаДП!B727</f>
        <v>7724703875</v>
      </c>
      <c r="C727" s="4" t="str">
        <f>ЛИК_дляСкорингаДП!C727</f>
        <v>ООО "С-ПРОДЖЕКТ"</v>
      </c>
      <c r="D727" s="5" t="str">
        <f>ЛИК_дляСкорингаДП!M727</f>
        <v>Деятельность в области архитектуры, связанная с созданием архитектурного объекта</v>
      </c>
      <c r="E727" s="4" t="str">
        <f>ЛИК_дляСкорингаДП!L727</f>
        <v>71.11.1</v>
      </c>
      <c r="F727" t="str">
        <f>ЛИК_дляСкорингаДП!N727</f>
        <v>18.1,18.2,41.2,43.12,43.2,43.3,43.99,46.1,46.3,46.4,46.6,47.5,47.9,49.3,52.10,52.2,52.24,52.29,58,62.0,62.02,62.09,66.1,69,71.12.3,71.12.4,71.12.5,71.12.6,73.1,74.20,74.30,78.1,82.92</v>
      </c>
      <c r="G727" s="25" t="str">
        <f>ЛИК_дляСкорингаДП!AG727</f>
        <v>УСН</v>
      </c>
      <c r="H727" s="55" t="str">
        <f>IF(ISNUMBER(E727),E727,
IFERROR(LEFT(E727,FIND(".",E727)-1),E727))</f>
        <v>71</v>
      </c>
      <c r="I727" s="30">
        <f>IF(COUNTIF(Справочник_ОКВЭД_НР!$A$3:$A$62,H727)&gt;0,Справочник_ОКВЭД_НР!$L$8,
 IF(COUNTIF(Справочник_ОКВЭД_НР!$C$3:$C$62,H727)&gt;0,Справочник_ОКВЭД_НР!$L$9,
  IF(COUNTIF(Справочник_ОКВЭД_НР!$E$3:$E$62,H727)&gt;0,Справочник_ОКВЭД_НР!$L$10,
   IF(COUNTIF(Справочник_ОКВЭД_НР!$G$3:$G$62,H727)&gt;0,Справочник_ОКВЭД_НР!$L$11,50))))</f>
        <v>100</v>
      </c>
      <c r="J727" s="30" cm="1">
        <f t="array" ref="J727">IFERROR(
 (SUMPRODUCT(ISNUMBER(SEARCH(","&amp;Справочник_ОКВЭД_НР!$A$3:$A$62&amp;".",","&amp;SUBSTITUTE(F727," ","")&amp;",")))*Справочник_ОКВЭД_НР!$L$9 +
  SUMPRODUCT(ISNUMBER(SEARCH(","&amp;Справочник_ОКВЭД_НР!$C$3:$C$62&amp;".",","&amp;SUBSTITUTE(F727," ","")&amp;",")))*Справочник_ОКВЭД_НР!$L$10 +
  SUMPRODUCT(ISNUMBER(SEARCH(","&amp;Справочник_ОКВЭД_НР!$E$3:$E$62&amp;".",","&amp;SUBSTITUTE(F727," ","")&amp;",")))*Справочник_ОКВЭД_НР!$L$11 +
  SUMPRODUCT(ISNUMBER(SEARCH(","&amp;Справочник_ОКВЭД_НР!$G$3:$G$62&amp;".",","&amp;SUBSTITUTE(F727," ","")&amp;",")))*Справочник_ОКВЭД_НР!$L$12) /
 (SUMPRODUCT(ISNUMBER(SEARCH(","&amp;Справочник_ОКВЭД_НР!$A$3:$A$62&amp;".",","&amp;SUBSTITUTE(F727," ","")&amp;","))) +
  SUMPRODUCT(ISNUMBER(SEARCH(","&amp;Справочник_ОКВЭД_НР!$C$3:$C$62&amp;".",","&amp;SUBSTITUTE(F727," ","")&amp;","))) +
  SUMPRODUCT(ISNUMBER(SEARCH(","&amp;Справочник_ОКВЭД_НР!$E$3:$E$62&amp;".",","&amp;SUBSTITUTE(F727," ","")&amp;","))) +
  SUMPRODUCT(ISNUMBER(SEARCH(","&amp;Справочник_ОКВЭД_НР!$G$3:$G$62&amp;".",","&amp;SUBSTITUTE(F727," ","")&amp;",")))),
50)</f>
        <v>50</v>
      </c>
      <c r="K727" s="30">
        <f>IFERROR(VLOOKUP(G727,Справочник_ОКВЭД_НР!$O:$P,2,FALSE()),50)</f>
        <v>50</v>
      </c>
      <c r="L727" s="45">
        <f>(I727*Справочник_ОКВЭД_НР!$L$2+J727*Справочник_ОКВЭД_НР!$L$3+K727*Справочник_ОКВЭД_НР!$L$4)*M727</f>
        <v>80</v>
      </c>
      <c r="M727" s="47">
        <f>IF(COUNTIF(Справочник_ОКВЭД_НР!$G$3:$G$62,H727)&gt;0,0,1)</f>
        <v>1</v>
      </c>
    </row>
    <row r="728" spans="1:13" x14ac:dyDescent="0.25">
      <c r="A728" s="4">
        <f>ЛИК_дляСкорингаДП!A728</f>
        <v>1097746166880</v>
      </c>
      <c r="B728" s="4">
        <f>ЛИК_дляСкорингаДП!B728</f>
        <v>7710748298</v>
      </c>
      <c r="C728" s="4" t="str">
        <f>ЛИК_дляСкорингаДП!C728</f>
        <v>ООО "ИНСТИТУТ АКУПУНКТУРЫ"</v>
      </c>
      <c r="D728" s="5" t="str">
        <f>ЛИК_дляСкорингаДП!M728</f>
        <v>Общая врачебная практика</v>
      </c>
      <c r="E728" s="4" t="str">
        <f>ЛИК_дляСкорингаДП!L728</f>
        <v>86.21</v>
      </c>
      <c r="F728" t="str">
        <f>ЛИК_дляСкорингаДП!N728</f>
        <v>47.29.39,47.73,47.74,47.75,47.91,47.99,63.11,63.12,63.99.1,82.30,85.30,85.41,85.41.9,85.42,85.42.9,86.22,86.90,96.02,96.04</v>
      </c>
      <c r="G728" s="25" t="str">
        <f>ЛИК_дляСкорингаДП!AG728</f>
        <v>УСН</v>
      </c>
      <c r="H728" s="55" t="str">
        <f>IF(ISNUMBER(E728),E728,
IFERROR(LEFT(E728,FIND(".",E728)-1),E728))</f>
        <v>86</v>
      </c>
      <c r="I728" s="30">
        <f>IF(COUNTIF(Справочник_ОКВЭД_НР!$A$3:$A$62,H728)&gt;0,Справочник_ОКВЭД_НР!$L$8,
 IF(COUNTIF(Справочник_ОКВЭД_НР!$C$3:$C$62,H728)&gt;0,Справочник_ОКВЭД_НР!$L$9,
  IF(COUNTIF(Справочник_ОКВЭД_НР!$E$3:$E$62,H728)&gt;0,Справочник_ОКВЭД_НР!$L$10,
   IF(COUNTIF(Справочник_ОКВЭД_НР!$G$3:$G$62,H728)&gt;0,Справочник_ОКВЭД_НР!$L$11,50))))</f>
        <v>100</v>
      </c>
      <c r="J728" s="30" cm="1">
        <f t="array" ref="J728">IFERROR(
 (SUMPRODUCT(ISNUMBER(SEARCH(","&amp;Справочник_ОКВЭД_НР!$A$3:$A$62&amp;".",","&amp;SUBSTITUTE(F728," ","")&amp;",")))*Справочник_ОКВЭД_НР!$L$9 +
  SUMPRODUCT(ISNUMBER(SEARCH(","&amp;Справочник_ОКВЭД_НР!$C$3:$C$62&amp;".",","&amp;SUBSTITUTE(F728," ","")&amp;",")))*Справочник_ОКВЭД_НР!$L$10 +
  SUMPRODUCT(ISNUMBER(SEARCH(","&amp;Справочник_ОКВЭД_НР!$E$3:$E$62&amp;".",","&amp;SUBSTITUTE(F728," ","")&amp;",")))*Справочник_ОКВЭД_НР!$L$11 +
  SUMPRODUCT(ISNUMBER(SEARCH(","&amp;Справочник_ОКВЭД_НР!$G$3:$G$62&amp;".",","&amp;SUBSTITUTE(F728," ","")&amp;",")))*Справочник_ОКВЭД_НР!$L$12) /
 (SUMPRODUCT(ISNUMBER(SEARCH(","&amp;Справочник_ОКВЭД_НР!$A$3:$A$62&amp;".",","&amp;SUBSTITUTE(F728," ","")&amp;","))) +
  SUMPRODUCT(ISNUMBER(SEARCH(","&amp;Справочник_ОКВЭД_НР!$C$3:$C$62&amp;".",","&amp;SUBSTITUTE(F728," ","")&amp;","))) +
  SUMPRODUCT(ISNUMBER(SEARCH(","&amp;Справочник_ОКВЭД_НР!$E$3:$E$62&amp;".",","&amp;SUBSTITUTE(F728," ","")&amp;","))) +
  SUMPRODUCT(ISNUMBER(SEARCH(","&amp;Справочник_ОКВЭД_НР!$G$3:$G$62&amp;".",","&amp;SUBSTITUTE(F728," ","")&amp;",")))),
50)</f>
        <v>50</v>
      </c>
      <c r="K728" s="30">
        <f>IFERROR(VLOOKUP(G728,Справочник_ОКВЭД_НР!$O:$P,2,FALSE()),50)</f>
        <v>50</v>
      </c>
      <c r="L728" s="45">
        <f>(I728*Справочник_ОКВЭД_НР!$L$2+J728*Справочник_ОКВЭД_НР!$L$3+K728*Справочник_ОКВЭД_НР!$L$4)*M728</f>
        <v>80</v>
      </c>
      <c r="M728" s="47">
        <f>IF(COUNTIF(Справочник_ОКВЭД_НР!$G$3:$G$62,H728)&gt;0,0,1)</f>
        <v>1</v>
      </c>
    </row>
    <row r="729" spans="1:13" x14ac:dyDescent="0.25">
      <c r="A729" s="4">
        <f>ЛИК_дляСкорингаДП!A729</f>
        <v>1097746122176</v>
      </c>
      <c r="B729" s="4">
        <f>ЛИК_дляСкорингаДП!B729</f>
        <v>7704722661</v>
      </c>
      <c r="C729" s="4" t="str">
        <f>ЛИК_дляСкорингаДП!C729</f>
        <v>ООО "ОК ЛЕСНЫЕ ПОЛЯНЫ"</v>
      </c>
      <c r="D729" s="5" t="str">
        <f>ЛИК_дляСкорингаДП!M729</f>
        <v>Деятельность по организации отдыха детей и их оздоровления</v>
      </c>
      <c r="E729" s="4" t="str">
        <f>ЛИК_дляСкорингаДП!L729</f>
        <v>85.41.91</v>
      </c>
      <c r="F729" t="str">
        <f>ЛИК_дляСкорингаДП!N729</f>
        <v>47.11,47.9,55.10,55.20,55.90,56.10,56.29,79.12,85.42,86.90,86.90.4,87.10,87.30,88.91,93.19,93.21,93.29,96.04,96.09</v>
      </c>
      <c r="G729" s="25" t="str">
        <f>ЛИК_дляСкорингаДП!AG729</f>
        <v>УСН</v>
      </c>
      <c r="H729" s="55" t="str">
        <f>IF(ISNUMBER(E729),E729,
IFERROR(LEFT(E729,FIND(".",E729)-1),E729))</f>
        <v>85</v>
      </c>
      <c r="I729" s="30">
        <f>IF(COUNTIF(Справочник_ОКВЭД_НР!$A$3:$A$62,H729)&gt;0,Справочник_ОКВЭД_НР!$L$8,
 IF(COUNTIF(Справочник_ОКВЭД_НР!$C$3:$C$62,H729)&gt;0,Справочник_ОКВЭД_НР!$L$9,
  IF(COUNTIF(Справочник_ОКВЭД_НР!$E$3:$E$62,H729)&gt;0,Справочник_ОКВЭД_НР!$L$10,
   IF(COUNTIF(Справочник_ОКВЭД_НР!$G$3:$G$62,H729)&gt;0,Справочник_ОКВЭД_НР!$L$11,50))))</f>
        <v>30</v>
      </c>
      <c r="J729" s="30" cm="1">
        <f t="array" ref="J729">IFERROR(
 (SUMPRODUCT(ISNUMBER(SEARCH(","&amp;Справочник_ОКВЭД_НР!$A$3:$A$62&amp;".",","&amp;SUBSTITUTE(F729," ","")&amp;",")))*Справочник_ОКВЭД_НР!$L$9 +
  SUMPRODUCT(ISNUMBER(SEARCH(","&amp;Справочник_ОКВЭД_НР!$C$3:$C$62&amp;".",","&amp;SUBSTITUTE(F729," ","")&amp;",")))*Справочник_ОКВЭД_НР!$L$10 +
  SUMPRODUCT(ISNUMBER(SEARCH(","&amp;Справочник_ОКВЭД_НР!$E$3:$E$62&amp;".",","&amp;SUBSTITUTE(F729," ","")&amp;",")))*Справочник_ОКВЭД_НР!$L$11 +
  SUMPRODUCT(ISNUMBER(SEARCH(","&amp;Справочник_ОКВЭД_НР!$G$3:$G$62&amp;".",","&amp;SUBSTITUTE(F729," ","")&amp;",")))*Справочник_ОКВЭД_НР!$L$12) /
 (SUMPRODUCT(ISNUMBER(SEARCH(","&amp;Справочник_ОКВЭД_НР!$A$3:$A$62&amp;".",","&amp;SUBSTITUTE(F729," ","")&amp;","))) +
  SUMPRODUCT(ISNUMBER(SEARCH(","&amp;Справочник_ОКВЭД_НР!$C$3:$C$62&amp;".",","&amp;SUBSTITUTE(F729," ","")&amp;","))) +
  SUMPRODUCT(ISNUMBER(SEARCH(","&amp;Справочник_ОКВЭД_НР!$E$3:$E$62&amp;".",","&amp;SUBSTITUTE(F729," ","")&amp;","))) +
  SUMPRODUCT(ISNUMBER(SEARCH(","&amp;Справочник_ОКВЭД_НР!$G$3:$G$62&amp;".",","&amp;SUBSTITUTE(F729," ","")&amp;",")))),
50)</f>
        <v>50</v>
      </c>
      <c r="K729" s="30">
        <f>IFERROR(VLOOKUP(G729,Справочник_ОКВЭД_НР!$O:$P,2,FALSE()),50)</f>
        <v>50</v>
      </c>
      <c r="L729" s="45">
        <f>(I729*Справочник_ОКВЭД_НР!$L$2+J729*Справочник_ОКВЭД_НР!$L$3+K729*Справочник_ОКВЭД_НР!$L$4)*M729</f>
        <v>38</v>
      </c>
      <c r="M729" s="47">
        <f>IF(COUNTIF(Справочник_ОКВЭД_НР!$G$3:$G$62,H729)&gt;0,0,1)</f>
        <v>1</v>
      </c>
    </row>
    <row r="730" spans="1:13" x14ac:dyDescent="0.25">
      <c r="A730" s="4">
        <f>ЛИК_дляСкорингаДП!A730</f>
        <v>1097746118491</v>
      </c>
      <c r="B730" s="4">
        <f>ЛИК_дляСкорингаДП!B730</f>
        <v>7726624900</v>
      </c>
      <c r="C730" s="4" t="str">
        <f>ЛИК_дляСкорингаДП!C730</f>
        <v>ООО "ЭС-БИ-ЭЙЧ-ИНФОРМ"</v>
      </c>
      <c r="D730" s="5" t="str">
        <f>ЛИК_дляСкорингаДП!M730</f>
        <v>Предоставление прочих финансовых услуг, кроме услуг по страхованию и пенсионному обеспечению, не включенных в другие группировки</v>
      </c>
      <c r="E730" s="4" t="str">
        <f>ЛИК_дляСкорингаДП!L730</f>
        <v>64.99</v>
      </c>
      <c r="F730" t="str">
        <f>ЛИК_дляСкорингаДП!N730</f>
        <v>62.0,66.12.1,70.22,73.11,84.21</v>
      </c>
      <c r="G730" s="25" t="str">
        <f>ЛИК_дляСкорингаДП!AG730</f>
        <v>УСН</v>
      </c>
      <c r="H730" s="55" t="str">
        <f>IF(ISNUMBER(E730),E730,
IFERROR(LEFT(E730,FIND(".",E730)-1),E730))</f>
        <v>64</v>
      </c>
      <c r="I730" s="30">
        <f>IF(COUNTIF(Справочник_ОКВЭД_НР!$A$3:$A$62,H730)&gt;0,Справочник_ОКВЭД_НР!$L$8,
 IF(COUNTIF(Справочник_ОКВЭД_НР!$C$3:$C$62,H730)&gt;0,Справочник_ОКВЭД_НР!$L$9,
  IF(COUNTIF(Справочник_ОКВЭД_НР!$E$3:$E$62,H730)&gt;0,Справочник_ОКВЭД_НР!$L$10,
   IF(COUNTIF(Справочник_ОКВЭД_НР!$G$3:$G$62,H730)&gt;0,Справочник_ОКВЭД_НР!$L$11,50))))</f>
        <v>60</v>
      </c>
      <c r="J730" s="30" cm="1">
        <f t="array" ref="J730">IFERROR(
 (SUMPRODUCT(ISNUMBER(SEARCH(","&amp;Справочник_ОКВЭД_НР!$A$3:$A$62&amp;".",","&amp;SUBSTITUTE(F730," ","")&amp;",")))*Справочник_ОКВЭД_НР!$L$9 +
  SUMPRODUCT(ISNUMBER(SEARCH(","&amp;Справочник_ОКВЭД_НР!$C$3:$C$62&amp;".",","&amp;SUBSTITUTE(F730," ","")&amp;",")))*Справочник_ОКВЭД_НР!$L$10 +
  SUMPRODUCT(ISNUMBER(SEARCH(","&amp;Справочник_ОКВЭД_НР!$E$3:$E$62&amp;".",","&amp;SUBSTITUTE(F730," ","")&amp;",")))*Справочник_ОКВЭД_НР!$L$11 +
  SUMPRODUCT(ISNUMBER(SEARCH(","&amp;Справочник_ОКВЭД_НР!$G$3:$G$62&amp;".",","&amp;SUBSTITUTE(F730," ","")&amp;",")))*Справочник_ОКВЭД_НР!$L$12) /
 (SUMPRODUCT(ISNUMBER(SEARCH(","&amp;Справочник_ОКВЭД_НР!$A$3:$A$62&amp;".",","&amp;SUBSTITUTE(F730," ","")&amp;","))) +
  SUMPRODUCT(ISNUMBER(SEARCH(","&amp;Справочник_ОКВЭД_НР!$C$3:$C$62&amp;".",","&amp;SUBSTITUTE(F730," ","")&amp;","))) +
  SUMPRODUCT(ISNUMBER(SEARCH(","&amp;Справочник_ОКВЭД_НР!$E$3:$E$62&amp;".",","&amp;SUBSTITUTE(F730," ","")&amp;","))) +
  SUMPRODUCT(ISNUMBER(SEARCH(","&amp;Справочник_ОКВЭД_НР!$G$3:$G$62&amp;".",","&amp;SUBSTITUTE(F730," ","")&amp;",")))),
50)</f>
        <v>50</v>
      </c>
      <c r="K730" s="30">
        <f>IFERROR(VLOOKUP(G730,Справочник_ОКВЭД_НР!$O:$P,2,FALSE()),50)</f>
        <v>50</v>
      </c>
      <c r="L730" s="45">
        <f>(I730*Справочник_ОКВЭД_НР!$L$2+J730*Справочник_ОКВЭД_НР!$L$3+K730*Справочник_ОКВЭД_НР!$L$4)*M730</f>
        <v>56</v>
      </c>
      <c r="M730" s="47">
        <f>IF(COUNTIF(Справочник_ОКВЭД_НР!$G$3:$G$62,H730)&gt;0,0,1)</f>
        <v>1</v>
      </c>
    </row>
    <row r="731" spans="1:13" x14ac:dyDescent="0.25">
      <c r="A731" s="4">
        <f>ЛИК_дляСкорингаДП!A731</f>
        <v>1097746138940</v>
      </c>
      <c r="B731" s="4">
        <f>ЛИК_дляСкорингаДП!B731</f>
        <v>7718756607</v>
      </c>
      <c r="C731" s="4" t="str">
        <f>ЛИК_дляСкорингаДП!C731</f>
        <v>ООО "АПЭС"</v>
      </c>
      <c r="D731" s="5" t="str">
        <f>ЛИК_дляСкорингаДП!M731</f>
        <v>Деятельность консультативная и работы в области компьютерных технологий</v>
      </c>
      <c r="E731" s="4" t="str">
        <f>ЛИК_дляСкорингаДП!L731</f>
        <v>62.02</v>
      </c>
      <c r="F731" t="str">
        <f>ЛИК_дляСкорингаДП!N731</f>
        <v>18.1,35.11.1,35.11.2,35.11.3,35.11.4,35.30.4,35.30.5,41.2,41.20,42.11,42.12,42.13,42.21,42.22.1,42.22.2,42.22.3,42.91,42.99,43.11,43.12,43.12.3,43.13,43.2,43.21,43.22,43.29,43.3,43.31,43.32,43.33,43.34,43.34.1,43.34.2,43.39,43.91,43.99,43.99.1,43.99.2,43.99.3,43.99.4,43.99.5,43.99.6,43.99.7,43.99.9,46.1,47.1,47.5,53.20.1,53.20.21,53.20.22,58,61.10,62.01,62.09,63.11,63.11.1,70.22,71.1,71.11,71.11.1,71.12,71.12.1,71.12.12,71.12.13,71.12.3,71.12.4,71.12.41,71.12.43,71.12.44,71.12.45,71.12.5,71.12.51,71.12.52,71.12.53,71.12.54,71.12.55,71.12.6,71.12.61,71.12.62,71.12.63,71.12.9,71.20,71.20.5,71.20.6,71.20.8,71.20.9,72.19,72.20,73.11,80.10,80.20,80.30,84.2,84.21,84.24,84.25,84.25.1,84.25.9,95.11</v>
      </c>
      <c r="G731" s="25" t="str">
        <f>ЛИК_дляСкорингаДП!AG731</f>
        <v>УСН</v>
      </c>
      <c r="H731" s="55" t="str">
        <f>IF(ISNUMBER(E731),E731,
IFERROR(LEFT(E731,FIND(".",E731)-1),E731))</f>
        <v>62</v>
      </c>
      <c r="I731" s="30">
        <f>IF(COUNTIF(Справочник_ОКВЭД_НР!$A$3:$A$62,H731)&gt;0,Справочник_ОКВЭД_НР!$L$8,
 IF(COUNTIF(Справочник_ОКВЭД_НР!$C$3:$C$62,H731)&gt;0,Справочник_ОКВЭД_НР!$L$9,
  IF(COUNTIF(Справочник_ОКВЭД_НР!$E$3:$E$62,H731)&gt;0,Справочник_ОКВЭД_НР!$L$10,
   IF(COUNTIF(Справочник_ОКВЭД_НР!$G$3:$G$62,H731)&gt;0,Справочник_ОКВЭД_НР!$L$11,50))))</f>
        <v>100</v>
      </c>
      <c r="J731" s="30" cm="1">
        <f t="array" ref="J731">IFERROR(
 (SUMPRODUCT(ISNUMBER(SEARCH(","&amp;Справочник_ОКВЭД_НР!$A$3:$A$62&amp;".",","&amp;SUBSTITUTE(F731," ","")&amp;",")))*Справочник_ОКВЭД_НР!$L$9 +
  SUMPRODUCT(ISNUMBER(SEARCH(","&amp;Справочник_ОКВЭД_НР!$C$3:$C$62&amp;".",","&amp;SUBSTITUTE(F731," ","")&amp;",")))*Справочник_ОКВЭД_НР!$L$10 +
  SUMPRODUCT(ISNUMBER(SEARCH(","&amp;Справочник_ОКВЭД_НР!$E$3:$E$62&amp;".",","&amp;SUBSTITUTE(F731," ","")&amp;",")))*Справочник_ОКВЭД_НР!$L$11 +
  SUMPRODUCT(ISNUMBER(SEARCH(","&amp;Справочник_ОКВЭД_НР!$G$3:$G$62&amp;".",","&amp;SUBSTITUTE(F731," ","")&amp;",")))*Справочник_ОКВЭД_НР!$L$12) /
 (SUMPRODUCT(ISNUMBER(SEARCH(","&amp;Справочник_ОКВЭД_НР!$A$3:$A$62&amp;".",","&amp;SUBSTITUTE(F731," ","")&amp;","))) +
  SUMPRODUCT(ISNUMBER(SEARCH(","&amp;Справочник_ОКВЭД_НР!$C$3:$C$62&amp;".",","&amp;SUBSTITUTE(F731," ","")&amp;","))) +
  SUMPRODUCT(ISNUMBER(SEARCH(","&amp;Справочник_ОКВЭД_НР!$E$3:$E$62&amp;".",","&amp;SUBSTITUTE(F731," ","")&amp;","))) +
  SUMPRODUCT(ISNUMBER(SEARCH(","&amp;Справочник_ОКВЭД_НР!$G$3:$G$62&amp;".",","&amp;SUBSTITUTE(F731," ","")&amp;",")))),
50)</f>
        <v>50</v>
      </c>
      <c r="K731" s="30">
        <f>IFERROR(VLOOKUP(G731,Справочник_ОКВЭД_НР!$O:$P,2,FALSE()),50)</f>
        <v>50</v>
      </c>
      <c r="L731" s="45">
        <f>(I731*Справочник_ОКВЭД_НР!$L$2+J731*Справочник_ОКВЭД_НР!$L$3+K731*Справочник_ОКВЭД_НР!$L$4)*M731</f>
        <v>80</v>
      </c>
      <c r="M731" s="47">
        <f>IF(COUNTIF(Справочник_ОКВЭД_НР!$G$3:$G$62,H731)&gt;0,0,1)</f>
        <v>1</v>
      </c>
    </row>
    <row r="732" spans="1:13" x14ac:dyDescent="0.25">
      <c r="A732" s="4">
        <f>ЛИК_дляСкорингаДП!A732</f>
        <v>1025006039222</v>
      </c>
      <c r="B732" s="4">
        <f>ЛИК_дляСкорингаДП!B732</f>
        <v>5046046818</v>
      </c>
      <c r="C732" s="4" t="str">
        <f>ЛИК_дляСкорингаДП!C732</f>
        <v>ООО "ГЕС"</v>
      </c>
      <c r="D732" s="5" t="str">
        <f>ЛИК_дляСкорингаДП!M732</f>
        <v>Разработка строительных проектов</v>
      </c>
      <c r="E732" s="4" t="str">
        <f>ЛИК_дляСкорингаДП!L732</f>
        <v>41.10</v>
      </c>
      <c r="F732" t="str">
        <f>ЛИК_дляСкорингаДП!N732</f>
        <v>33.20,41.20,42.11,42.12,42.13,42.21,42.22,42.91,42.99,43.11,43.12,43.21,43.22,43.29,43.31,43.32,43.33,43.34,43.39,43.91,66.21,68.31.5,68.31.51,68.31.52,68.32.3,69.10,69.20,70.22,71.11,71.12,71.20,74.10,74.90,74.90.2,74.90.21,74.90.22,74.90.23,74.90.24,74.90.25,74.90.26,82.99</v>
      </c>
      <c r="G732" s="25" t="str">
        <f>ЛИК_дляСкорингаДП!AG732</f>
        <v>УСН</v>
      </c>
      <c r="H732" s="55" t="str">
        <f>IF(ISNUMBER(E732),E732,
IFERROR(LEFT(E732,FIND(".",E732)-1),E732))</f>
        <v>41</v>
      </c>
      <c r="I732" s="30">
        <f>IF(COUNTIF(Справочник_ОКВЭД_НР!$A$3:$A$62,H732)&gt;0,Справочник_ОКВЭД_НР!$L$8,
 IF(COUNTIF(Справочник_ОКВЭД_НР!$C$3:$C$62,H732)&gt;0,Справочник_ОКВЭД_НР!$L$9,
  IF(COUNTIF(Справочник_ОКВЭД_НР!$E$3:$E$62,H732)&gt;0,Справочник_ОКВЭД_НР!$L$10,
   IF(COUNTIF(Справочник_ОКВЭД_НР!$G$3:$G$62,H732)&gt;0,Справочник_ОКВЭД_НР!$L$11,50))))</f>
        <v>100</v>
      </c>
      <c r="J732" s="30" cm="1">
        <f t="array" ref="J732">IFERROR(
 (SUMPRODUCT(ISNUMBER(SEARCH(","&amp;Справочник_ОКВЭД_НР!$A$3:$A$62&amp;".",","&amp;SUBSTITUTE(F732," ","")&amp;",")))*Справочник_ОКВЭД_НР!$L$9 +
  SUMPRODUCT(ISNUMBER(SEARCH(","&amp;Справочник_ОКВЭД_НР!$C$3:$C$62&amp;".",","&amp;SUBSTITUTE(F732," ","")&amp;",")))*Справочник_ОКВЭД_НР!$L$10 +
  SUMPRODUCT(ISNUMBER(SEARCH(","&amp;Справочник_ОКВЭД_НР!$E$3:$E$62&amp;".",","&amp;SUBSTITUTE(F732," ","")&amp;",")))*Справочник_ОКВЭД_НР!$L$11 +
  SUMPRODUCT(ISNUMBER(SEARCH(","&amp;Справочник_ОКВЭД_НР!$G$3:$G$62&amp;".",","&amp;SUBSTITUTE(F732," ","")&amp;",")))*Справочник_ОКВЭД_НР!$L$12) /
 (SUMPRODUCT(ISNUMBER(SEARCH(","&amp;Справочник_ОКВЭД_НР!$A$3:$A$62&amp;".",","&amp;SUBSTITUTE(F732," ","")&amp;","))) +
  SUMPRODUCT(ISNUMBER(SEARCH(","&amp;Справочник_ОКВЭД_НР!$C$3:$C$62&amp;".",","&amp;SUBSTITUTE(F732," ","")&amp;","))) +
  SUMPRODUCT(ISNUMBER(SEARCH(","&amp;Справочник_ОКВЭД_НР!$E$3:$E$62&amp;".",","&amp;SUBSTITUTE(F732," ","")&amp;","))) +
  SUMPRODUCT(ISNUMBER(SEARCH(","&amp;Справочник_ОКВЭД_НР!$G$3:$G$62&amp;".",","&amp;SUBSTITUTE(F732," ","")&amp;",")))),
50)</f>
        <v>50</v>
      </c>
      <c r="K732" s="30">
        <f>IFERROR(VLOOKUP(G732,Справочник_ОКВЭД_НР!$O:$P,2,FALSE()),50)</f>
        <v>50</v>
      </c>
      <c r="L732" s="45">
        <f>(I732*Справочник_ОКВЭД_НР!$L$2+J732*Справочник_ОКВЭД_НР!$L$3+K732*Справочник_ОКВЭД_НР!$L$4)*M732</f>
        <v>80</v>
      </c>
      <c r="M732" s="47">
        <f>IF(COUNTIF(Справочник_ОКВЭД_НР!$G$3:$G$62,H732)&gt;0,0,1)</f>
        <v>1</v>
      </c>
    </row>
    <row r="733" spans="1:13" x14ac:dyDescent="0.25">
      <c r="A733" s="4">
        <f>ЛИК_дляСкорингаДП!A733</f>
        <v>1097746105478</v>
      </c>
      <c r="B733" s="4">
        <f>ЛИК_дляСкорингаДП!B733</f>
        <v>7727685367</v>
      </c>
      <c r="C733" s="4" t="str">
        <f>ЛИК_дляСкорингаДП!C733</f>
        <v>ООО "НОРМАТИВ"</v>
      </c>
      <c r="D733" s="5" t="str">
        <f>ЛИК_дляСкорингаДП!M733</f>
        <v>Консультирование по вопросам коммерческой деятельности и управления</v>
      </c>
      <c r="E733" s="4" t="str">
        <f>ЛИК_дляСкорингаДП!L733</f>
        <v>70.22</v>
      </c>
      <c r="F733" t="str">
        <f>ЛИК_дляСкорингаДП!N733</f>
        <v>01.21,41.2,43.12,43.2,43.21,43.22,43.29,43.31,43.32,43.33,43.34,43.91,43.99,43.99.1,66.21,68.31.5,68.31.51,69.10,71.20.2,71.20.62,73.20.1,74.90,74.90.2,74.90.21,74.90.22,74.90.23,74.90.24,74.90.25,74.90.26,74.90.5,81.29.9,82.99,86.90.2,93.1</v>
      </c>
      <c r="G733" s="25" t="str">
        <f>ЛИК_дляСкорингаДП!AG733</f>
        <v>УСН</v>
      </c>
      <c r="H733" s="55" t="str">
        <f>IF(ISNUMBER(E733),E733,
IFERROR(LEFT(E733,FIND(".",E733)-1),E733))</f>
        <v>70</v>
      </c>
      <c r="I733" s="30">
        <f>IF(COUNTIF(Справочник_ОКВЭД_НР!$A$3:$A$62,H733)&gt;0,Справочник_ОКВЭД_НР!$L$8,
 IF(COUNTIF(Справочник_ОКВЭД_НР!$C$3:$C$62,H733)&gt;0,Справочник_ОКВЭД_НР!$L$9,
  IF(COUNTIF(Справочник_ОКВЭД_НР!$E$3:$E$62,H733)&gt;0,Справочник_ОКВЭД_НР!$L$10,
   IF(COUNTIF(Справочник_ОКВЭД_НР!$G$3:$G$62,H733)&gt;0,Справочник_ОКВЭД_НР!$L$11,50))))</f>
        <v>60</v>
      </c>
      <c r="J733" s="30" cm="1">
        <f t="array" ref="J733">IFERROR(
 (SUMPRODUCT(ISNUMBER(SEARCH(","&amp;Справочник_ОКВЭД_НР!$A$3:$A$62&amp;".",","&amp;SUBSTITUTE(F733," ","")&amp;",")))*Справочник_ОКВЭД_НР!$L$9 +
  SUMPRODUCT(ISNUMBER(SEARCH(","&amp;Справочник_ОКВЭД_НР!$C$3:$C$62&amp;".",","&amp;SUBSTITUTE(F733," ","")&amp;",")))*Справочник_ОКВЭД_НР!$L$10 +
  SUMPRODUCT(ISNUMBER(SEARCH(","&amp;Справочник_ОКВЭД_НР!$E$3:$E$62&amp;".",","&amp;SUBSTITUTE(F733," ","")&amp;",")))*Справочник_ОКВЭД_НР!$L$11 +
  SUMPRODUCT(ISNUMBER(SEARCH(","&amp;Справочник_ОКВЭД_НР!$G$3:$G$62&amp;".",","&amp;SUBSTITUTE(F733," ","")&amp;",")))*Справочник_ОКВЭД_НР!$L$12) /
 (SUMPRODUCT(ISNUMBER(SEARCH(","&amp;Справочник_ОКВЭД_НР!$A$3:$A$62&amp;".",","&amp;SUBSTITUTE(F733," ","")&amp;","))) +
  SUMPRODUCT(ISNUMBER(SEARCH(","&amp;Справочник_ОКВЭД_НР!$C$3:$C$62&amp;".",","&amp;SUBSTITUTE(F733," ","")&amp;","))) +
  SUMPRODUCT(ISNUMBER(SEARCH(","&amp;Справочник_ОКВЭД_НР!$E$3:$E$62&amp;".",","&amp;SUBSTITUTE(F733," ","")&amp;","))) +
  SUMPRODUCT(ISNUMBER(SEARCH(","&amp;Справочник_ОКВЭД_НР!$G$3:$G$62&amp;".",","&amp;SUBSTITUTE(F733," ","")&amp;",")))),
50)</f>
        <v>50</v>
      </c>
      <c r="K733" s="30">
        <f>IFERROR(VLOOKUP(G733,Справочник_ОКВЭД_НР!$O:$P,2,FALSE()),50)</f>
        <v>50</v>
      </c>
      <c r="L733" s="45">
        <f>(I733*Справочник_ОКВЭД_НР!$L$2+J733*Справочник_ОКВЭД_НР!$L$3+K733*Справочник_ОКВЭД_НР!$L$4)*M733</f>
        <v>56</v>
      </c>
      <c r="M733" s="47">
        <f>IF(COUNTIF(Справочник_ОКВЭД_НР!$G$3:$G$62,H733)&gt;0,0,1)</f>
        <v>1</v>
      </c>
    </row>
    <row r="734" spans="1:13" x14ac:dyDescent="0.25">
      <c r="A734" s="4">
        <f>ЛИК_дляСкорингаДП!A734</f>
        <v>1097746105621</v>
      </c>
      <c r="B734" s="4">
        <f>ЛИК_дляСкорингаДП!B734</f>
        <v>7724701099</v>
      </c>
      <c r="C734" s="4" t="str">
        <f>ЛИК_дляСкорингаДП!C734</f>
        <v>ООО "ЛАБОРАНТ-МЕД"</v>
      </c>
      <c r="D734" s="5" t="str">
        <f>ЛИК_дляСкорингаДП!M734</f>
        <v>Деятельность агентов по оптовой торговле промышленными и техническими химическими веществами, удобрениями и агрохимикатами</v>
      </c>
      <c r="E734" s="4" t="str">
        <f>ЛИК_дляСкорингаДП!L734</f>
        <v>46.12.3</v>
      </c>
      <c r="F734" t="str">
        <f>ЛИК_дляСкорингаДП!N734</f>
        <v>46.12.31,46.12.32,46.16.1,46.16.2,46.18.1,46.18.9,46.46,46.46.1,46.46.2,46.49,52.29</v>
      </c>
      <c r="G734" s="25" t="str">
        <f>ЛИК_дляСкорингаДП!AG734</f>
        <v>УСН</v>
      </c>
      <c r="H734" s="55" t="str">
        <f>IF(ISNUMBER(E734),E734,
IFERROR(LEFT(E734,FIND(".",E734)-1),E734))</f>
        <v>46</v>
      </c>
      <c r="I734" s="30">
        <f>IF(COUNTIF(Справочник_ОКВЭД_НР!$A$3:$A$62,H734)&gt;0,Справочник_ОКВЭД_НР!$L$8,
 IF(COUNTIF(Справочник_ОКВЭД_НР!$C$3:$C$62,H734)&gt;0,Справочник_ОКВЭД_НР!$L$9,
  IF(COUNTIF(Справочник_ОКВЭД_НР!$E$3:$E$62,H734)&gt;0,Справочник_ОКВЭД_НР!$L$10,
   IF(COUNTIF(Справочник_ОКВЭД_НР!$G$3:$G$62,H734)&gt;0,Справочник_ОКВЭД_НР!$L$11,50))))</f>
        <v>60</v>
      </c>
      <c r="J734" s="30" cm="1">
        <f t="array" ref="J734">IFERROR(
 (SUMPRODUCT(ISNUMBER(SEARCH(","&amp;Справочник_ОКВЭД_НР!$A$3:$A$62&amp;".",","&amp;SUBSTITUTE(F734," ","")&amp;",")))*Справочник_ОКВЭД_НР!$L$9 +
  SUMPRODUCT(ISNUMBER(SEARCH(","&amp;Справочник_ОКВЭД_НР!$C$3:$C$62&amp;".",","&amp;SUBSTITUTE(F734," ","")&amp;",")))*Справочник_ОКВЭД_НР!$L$10 +
  SUMPRODUCT(ISNUMBER(SEARCH(","&amp;Справочник_ОКВЭД_НР!$E$3:$E$62&amp;".",","&amp;SUBSTITUTE(F734," ","")&amp;",")))*Справочник_ОКВЭД_НР!$L$11 +
  SUMPRODUCT(ISNUMBER(SEARCH(","&amp;Справочник_ОКВЭД_НР!$G$3:$G$62&amp;".",","&amp;SUBSTITUTE(F734," ","")&amp;",")))*Справочник_ОКВЭД_НР!$L$12) /
 (SUMPRODUCT(ISNUMBER(SEARCH(","&amp;Справочник_ОКВЭД_НР!$A$3:$A$62&amp;".",","&amp;SUBSTITUTE(F734," ","")&amp;","))) +
  SUMPRODUCT(ISNUMBER(SEARCH(","&amp;Справочник_ОКВЭД_НР!$C$3:$C$62&amp;".",","&amp;SUBSTITUTE(F734," ","")&amp;","))) +
  SUMPRODUCT(ISNUMBER(SEARCH(","&amp;Справочник_ОКВЭД_НР!$E$3:$E$62&amp;".",","&amp;SUBSTITUTE(F734," ","")&amp;","))) +
  SUMPRODUCT(ISNUMBER(SEARCH(","&amp;Справочник_ОКВЭД_НР!$G$3:$G$62&amp;".",","&amp;SUBSTITUTE(F734," ","")&amp;",")))),
50)</f>
        <v>50</v>
      </c>
      <c r="K734" s="30">
        <f>IFERROR(VLOOKUP(G734,Справочник_ОКВЭД_НР!$O:$P,2,FALSE()),50)</f>
        <v>50</v>
      </c>
      <c r="L734" s="45">
        <f>(I734*Справочник_ОКВЭД_НР!$L$2+J734*Справочник_ОКВЭД_НР!$L$3+K734*Справочник_ОКВЭД_НР!$L$4)*M734</f>
        <v>56</v>
      </c>
      <c r="M734" s="47">
        <f>IF(COUNTIF(Справочник_ОКВЭД_НР!$G$3:$G$62,H734)&gt;0,0,1)</f>
        <v>1</v>
      </c>
    </row>
    <row r="735" spans="1:13" x14ac:dyDescent="0.25">
      <c r="A735" s="4">
        <f>ЛИК_дляСкорингаДП!A735</f>
        <v>1097746022769</v>
      </c>
      <c r="B735" s="4">
        <f>ЛИК_дляСкорингаДП!B735</f>
        <v>7732536402</v>
      </c>
      <c r="C735" s="4" t="str">
        <f>ЛИК_дляСкорингаДП!C735</f>
        <v>ООО "СИСТЕМЫ И ТЕХНОЛОГИИ БЕЗОПАСНОСТИ "БАСТИОН"</v>
      </c>
      <c r="D735" s="5" t="str">
        <f>ЛИК_дляСкорингаДП!M735</f>
        <v>Производство электромонтажных работ</v>
      </c>
      <c r="E735" s="4" t="str">
        <f>ЛИК_дляСкорингаДП!L735</f>
        <v>43.21</v>
      </c>
      <c r="F735" t="str">
        <f>ЛИК_дляСкорингаДП!N735</f>
        <v>35.12,41.20,43.22,43.29,43.99,43.99.1,46.13,46.18,46.43,46.69.5,46.73,63.91,64.99,70.22,71.11.1,71.12.45,73.20,95.22.1</v>
      </c>
      <c r="G735" s="25" t="str">
        <f>ЛИК_дляСкорингаДП!AG735</f>
        <v>УСН</v>
      </c>
      <c r="H735" s="55" t="str">
        <f>IF(ISNUMBER(E735),E735,
IFERROR(LEFT(E735,FIND(".",E735)-1),E735))</f>
        <v>43</v>
      </c>
      <c r="I735" s="30">
        <f>IF(COUNTIF(Справочник_ОКВЭД_НР!$A$3:$A$62,H735)&gt;0,Справочник_ОКВЭД_НР!$L$8,
 IF(COUNTIF(Справочник_ОКВЭД_НР!$C$3:$C$62,H735)&gt;0,Справочник_ОКВЭД_НР!$L$9,
  IF(COUNTIF(Справочник_ОКВЭД_НР!$E$3:$E$62,H735)&gt;0,Справочник_ОКВЭД_НР!$L$10,
   IF(COUNTIF(Справочник_ОКВЭД_НР!$G$3:$G$62,H735)&gt;0,Справочник_ОКВЭД_НР!$L$11,50))))</f>
        <v>100</v>
      </c>
      <c r="J735" s="30" cm="1">
        <f t="array" ref="J735">IFERROR(
 (SUMPRODUCT(ISNUMBER(SEARCH(","&amp;Справочник_ОКВЭД_НР!$A$3:$A$62&amp;".",","&amp;SUBSTITUTE(F735," ","")&amp;",")))*Справочник_ОКВЭД_НР!$L$9 +
  SUMPRODUCT(ISNUMBER(SEARCH(","&amp;Справочник_ОКВЭД_НР!$C$3:$C$62&amp;".",","&amp;SUBSTITUTE(F735," ","")&amp;",")))*Справочник_ОКВЭД_НР!$L$10 +
  SUMPRODUCT(ISNUMBER(SEARCH(","&amp;Справочник_ОКВЭД_НР!$E$3:$E$62&amp;".",","&amp;SUBSTITUTE(F735," ","")&amp;",")))*Справочник_ОКВЭД_НР!$L$11 +
  SUMPRODUCT(ISNUMBER(SEARCH(","&amp;Справочник_ОКВЭД_НР!$G$3:$G$62&amp;".",","&amp;SUBSTITUTE(F735," ","")&amp;",")))*Справочник_ОКВЭД_НР!$L$12) /
 (SUMPRODUCT(ISNUMBER(SEARCH(","&amp;Справочник_ОКВЭД_НР!$A$3:$A$62&amp;".",","&amp;SUBSTITUTE(F735," ","")&amp;","))) +
  SUMPRODUCT(ISNUMBER(SEARCH(","&amp;Справочник_ОКВЭД_НР!$C$3:$C$62&amp;".",","&amp;SUBSTITUTE(F735," ","")&amp;","))) +
  SUMPRODUCT(ISNUMBER(SEARCH(","&amp;Справочник_ОКВЭД_НР!$E$3:$E$62&amp;".",","&amp;SUBSTITUTE(F735," ","")&amp;","))) +
  SUMPRODUCT(ISNUMBER(SEARCH(","&amp;Справочник_ОКВЭД_НР!$G$3:$G$62&amp;".",","&amp;SUBSTITUTE(F735," ","")&amp;",")))),
50)</f>
        <v>50</v>
      </c>
      <c r="K735" s="30">
        <f>IFERROR(VLOOKUP(G735,Справочник_ОКВЭД_НР!$O:$P,2,FALSE()),50)</f>
        <v>50</v>
      </c>
      <c r="L735" s="45">
        <f>(I735*Справочник_ОКВЭД_НР!$L$2+J735*Справочник_ОКВЭД_НР!$L$3+K735*Справочник_ОКВЭД_НР!$L$4)*M735</f>
        <v>80</v>
      </c>
      <c r="M735" s="47">
        <f>IF(COUNTIF(Справочник_ОКВЭД_НР!$G$3:$G$62,H735)&gt;0,0,1)</f>
        <v>1</v>
      </c>
    </row>
    <row r="736" spans="1:13" x14ac:dyDescent="0.25">
      <c r="A736" s="4">
        <f>ЛИК_дляСкорингаДП!A736</f>
        <v>1025005117983</v>
      </c>
      <c r="B736" s="4">
        <f>ЛИК_дляСкорингаДП!B736</f>
        <v>5040001271</v>
      </c>
      <c r="C736" s="4" t="str">
        <f>ЛИК_дляСкорингаДП!C736</f>
        <v>ООО "СОФТСЕРВИС"</v>
      </c>
      <c r="D736" s="5" t="str">
        <f>ЛИК_дляСкорингаДП!M736</f>
        <v>Деятельность консультативная и работы в области компьютерных технологий</v>
      </c>
      <c r="E736" s="4" t="str">
        <f>ЛИК_дляСкорингаДП!L736</f>
        <v>62.02</v>
      </c>
      <c r="F736" t="str">
        <f>ЛИК_дляСкорингаДП!N736</f>
        <v>62.01,62.09,63.11,63.11.1,95.11</v>
      </c>
      <c r="G736" s="25" t="str">
        <f>ЛИК_дляСкорингаДП!AG736</f>
        <v>УСН</v>
      </c>
      <c r="H736" s="55" t="str">
        <f>IF(ISNUMBER(E736),E736,
IFERROR(LEFT(E736,FIND(".",E736)-1),E736))</f>
        <v>62</v>
      </c>
      <c r="I736" s="30">
        <f>IF(COUNTIF(Справочник_ОКВЭД_НР!$A$3:$A$62,H736)&gt;0,Справочник_ОКВЭД_НР!$L$8,
 IF(COUNTIF(Справочник_ОКВЭД_НР!$C$3:$C$62,H736)&gt;0,Справочник_ОКВЭД_НР!$L$9,
  IF(COUNTIF(Справочник_ОКВЭД_НР!$E$3:$E$62,H736)&gt;0,Справочник_ОКВЭД_НР!$L$10,
   IF(COUNTIF(Справочник_ОКВЭД_НР!$G$3:$G$62,H736)&gt;0,Справочник_ОКВЭД_НР!$L$11,50))))</f>
        <v>100</v>
      </c>
      <c r="J736" s="30" cm="1">
        <f t="array" ref="J736">IFERROR(
 (SUMPRODUCT(ISNUMBER(SEARCH(","&amp;Справочник_ОКВЭД_НР!$A$3:$A$62&amp;".",","&amp;SUBSTITUTE(F736," ","")&amp;",")))*Справочник_ОКВЭД_НР!$L$9 +
  SUMPRODUCT(ISNUMBER(SEARCH(","&amp;Справочник_ОКВЭД_НР!$C$3:$C$62&amp;".",","&amp;SUBSTITUTE(F736," ","")&amp;",")))*Справочник_ОКВЭД_НР!$L$10 +
  SUMPRODUCT(ISNUMBER(SEARCH(","&amp;Справочник_ОКВЭД_НР!$E$3:$E$62&amp;".",","&amp;SUBSTITUTE(F736," ","")&amp;",")))*Справочник_ОКВЭД_НР!$L$11 +
  SUMPRODUCT(ISNUMBER(SEARCH(","&amp;Справочник_ОКВЭД_НР!$G$3:$G$62&amp;".",","&amp;SUBSTITUTE(F736," ","")&amp;",")))*Справочник_ОКВЭД_НР!$L$12) /
 (SUMPRODUCT(ISNUMBER(SEARCH(","&amp;Справочник_ОКВЭД_НР!$A$3:$A$62&amp;".",","&amp;SUBSTITUTE(F736," ","")&amp;","))) +
  SUMPRODUCT(ISNUMBER(SEARCH(","&amp;Справочник_ОКВЭД_НР!$C$3:$C$62&amp;".",","&amp;SUBSTITUTE(F736," ","")&amp;","))) +
  SUMPRODUCT(ISNUMBER(SEARCH(","&amp;Справочник_ОКВЭД_НР!$E$3:$E$62&amp;".",","&amp;SUBSTITUTE(F736," ","")&amp;","))) +
  SUMPRODUCT(ISNUMBER(SEARCH(","&amp;Справочник_ОКВЭД_НР!$G$3:$G$62&amp;".",","&amp;SUBSTITUTE(F736," ","")&amp;",")))),
50)</f>
        <v>50</v>
      </c>
      <c r="K736" s="30">
        <f>IFERROR(VLOOKUP(G736,Справочник_ОКВЭД_НР!$O:$P,2,FALSE()),50)</f>
        <v>50</v>
      </c>
      <c r="L736" s="45">
        <f>(I736*Справочник_ОКВЭД_НР!$L$2+J736*Справочник_ОКВЭД_НР!$L$3+K736*Справочник_ОКВЭД_НР!$L$4)*M736</f>
        <v>80</v>
      </c>
      <c r="M736" s="47">
        <f>IF(COUNTIF(Справочник_ОКВЭД_НР!$G$3:$G$62,H736)&gt;0,0,1)</f>
        <v>1</v>
      </c>
    </row>
    <row r="737" spans="1:13" x14ac:dyDescent="0.25">
      <c r="A737" s="4">
        <f>ЛИК_дляСкорингаДП!A737</f>
        <v>1147746985539</v>
      </c>
      <c r="B737" s="4">
        <f>ЛИК_дляСкорингаДП!B737</f>
        <v>7731478300</v>
      </c>
      <c r="C737" s="4" t="str">
        <f>ЛИК_дляСкорингаДП!C737</f>
        <v>ООО "ПРОМИНЖИНИРИНГ"</v>
      </c>
      <c r="D737" s="5" t="str">
        <f>ЛИК_дляСкорингаДП!M737</f>
        <v>Аренда и управление собственным или арендованным нежилым недвижимым имуществом</v>
      </c>
      <c r="E737" s="4" t="str">
        <f>ЛИК_дляСкорингаДП!L737</f>
        <v>68.20.2</v>
      </c>
      <c r="F737" t="str">
        <f>ЛИК_дляСкорингаДП!N737</f>
        <v>22.21,22.22,22.23,22.29,24.10.9,24.33,46.49,52.10,64.99,68.31.1,68.31.12,68.31.2,68.31.22,68.31.3,68.31.32,68.31.4,68.31.42,68.31.5,68.32,68.32.2,73.11,81.22</v>
      </c>
      <c r="G737" s="25" t="str">
        <f>ЛИК_дляСкорингаДП!AG737</f>
        <v>УСН</v>
      </c>
      <c r="H737" s="55" t="str">
        <f>IF(ISNUMBER(E737),E737,
IFERROR(LEFT(E737,FIND(".",E737)-1),E737))</f>
        <v>68</v>
      </c>
      <c r="I737" s="30">
        <f>IF(COUNTIF(Справочник_ОКВЭД_НР!$A$3:$A$62,H737)&gt;0,Справочник_ОКВЭД_НР!$L$8,
 IF(COUNTIF(Справочник_ОКВЭД_НР!$C$3:$C$62,H737)&gt;0,Справочник_ОКВЭД_НР!$L$9,
  IF(COUNTIF(Справочник_ОКВЭД_НР!$E$3:$E$62,H737)&gt;0,Справочник_ОКВЭД_НР!$L$10,
   IF(COUNTIF(Справочник_ОКВЭД_НР!$G$3:$G$62,H737)&gt;0,Справочник_ОКВЭД_НР!$L$11,50))))</f>
        <v>100</v>
      </c>
      <c r="J737" s="30" cm="1">
        <f t="array" ref="J737">IFERROR(
 (SUMPRODUCT(ISNUMBER(SEARCH(","&amp;Справочник_ОКВЭД_НР!$A$3:$A$62&amp;".",","&amp;SUBSTITUTE(F737," ","")&amp;",")))*Справочник_ОКВЭД_НР!$L$9 +
  SUMPRODUCT(ISNUMBER(SEARCH(","&amp;Справочник_ОКВЭД_НР!$C$3:$C$62&amp;".",","&amp;SUBSTITUTE(F737," ","")&amp;",")))*Справочник_ОКВЭД_НР!$L$10 +
  SUMPRODUCT(ISNUMBER(SEARCH(","&amp;Справочник_ОКВЭД_НР!$E$3:$E$62&amp;".",","&amp;SUBSTITUTE(F737," ","")&amp;",")))*Справочник_ОКВЭД_НР!$L$11 +
  SUMPRODUCT(ISNUMBER(SEARCH(","&amp;Справочник_ОКВЭД_НР!$G$3:$G$62&amp;".",","&amp;SUBSTITUTE(F737," ","")&amp;",")))*Справочник_ОКВЭД_НР!$L$12) /
 (SUMPRODUCT(ISNUMBER(SEARCH(","&amp;Справочник_ОКВЭД_НР!$A$3:$A$62&amp;".",","&amp;SUBSTITUTE(F737," ","")&amp;","))) +
  SUMPRODUCT(ISNUMBER(SEARCH(","&amp;Справочник_ОКВЭД_НР!$C$3:$C$62&amp;".",","&amp;SUBSTITUTE(F737," ","")&amp;","))) +
  SUMPRODUCT(ISNUMBER(SEARCH(","&amp;Справочник_ОКВЭД_НР!$E$3:$E$62&amp;".",","&amp;SUBSTITUTE(F737," ","")&amp;","))) +
  SUMPRODUCT(ISNUMBER(SEARCH(","&amp;Справочник_ОКВЭД_НР!$G$3:$G$62&amp;".",","&amp;SUBSTITUTE(F737," ","")&amp;",")))),
50)</f>
        <v>50</v>
      </c>
      <c r="K737" s="30">
        <f>IFERROR(VLOOKUP(G737,Справочник_ОКВЭД_НР!$O:$P,2,FALSE()),50)</f>
        <v>50</v>
      </c>
      <c r="L737" s="45">
        <f>(I737*Справочник_ОКВЭД_НР!$L$2+J737*Справочник_ОКВЭД_НР!$L$3+K737*Справочник_ОКВЭД_НР!$L$4)*M737</f>
        <v>80</v>
      </c>
      <c r="M737" s="47">
        <f>IF(COUNTIF(Справочник_ОКВЭД_НР!$G$3:$G$62,H737)&gt;0,0,1)</f>
        <v>1</v>
      </c>
    </row>
    <row r="738" spans="1:13" x14ac:dyDescent="0.25">
      <c r="A738" s="4">
        <f>ЛИК_дляСкорингаДП!A738</f>
        <v>1025004908972</v>
      </c>
      <c r="B738" s="4">
        <f>ЛИК_дляСкорингаДП!B738</f>
        <v>5038013488</v>
      </c>
      <c r="C738" s="4" t="str">
        <f>ЛИК_дляСкорингаДП!C738</f>
        <v>ООО "АСПЕКТ"</v>
      </c>
      <c r="D738" s="5" t="str">
        <f>ЛИК_дляСкорингаДП!M738</f>
        <v>Ремонт компьютеров и периферийного компьютерного оборудования</v>
      </c>
      <c r="E738" s="4" t="str">
        <f>ЛИК_дляСкорингаДП!L738</f>
        <v>95.11</v>
      </c>
      <c r="F738" t="str">
        <f>ЛИК_дляСкорингаДП!N738</f>
        <v>26.20,33.13,33.20,46.43,46.66,47.43,47.54,47.61,47.7,62.01,62.02,62.09,95.29</v>
      </c>
      <c r="G738" s="25" t="str">
        <f>ЛИК_дляСкорингаДП!AG738</f>
        <v>УСН</v>
      </c>
      <c r="H738" s="55" t="str">
        <f>IF(ISNUMBER(E738),E738,
IFERROR(LEFT(E738,FIND(".",E738)-1),E738))</f>
        <v>95</v>
      </c>
      <c r="I738" s="30">
        <f>IF(COUNTIF(Справочник_ОКВЭД_НР!$A$3:$A$62,H738)&gt;0,Справочник_ОКВЭД_НР!$L$8,
 IF(COUNTIF(Справочник_ОКВЭД_НР!$C$3:$C$62,H738)&gt;0,Справочник_ОКВЭД_НР!$L$9,
  IF(COUNTIF(Справочник_ОКВЭД_НР!$E$3:$E$62,H738)&gt;0,Справочник_ОКВЭД_НР!$L$10,
   IF(COUNTIF(Справочник_ОКВЭД_НР!$G$3:$G$62,H738)&gt;0,Справочник_ОКВЭД_НР!$L$11,50))))</f>
        <v>30</v>
      </c>
      <c r="J738" s="30" cm="1">
        <f t="array" ref="J738">IFERROR(
 (SUMPRODUCT(ISNUMBER(SEARCH(","&amp;Справочник_ОКВЭД_НР!$A$3:$A$62&amp;".",","&amp;SUBSTITUTE(F738," ","")&amp;",")))*Справочник_ОКВЭД_НР!$L$9 +
  SUMPRODUCT(ISNUMBER(SEARCH(","&amp;Справочник_ОКВЭД_НР!$C$3:$C$62&amp;".",","&amp;SUBSTITUTE(F738," ","")&amp;",")))*Справочник_ОКВЭД_НР!$L$10 +
  SUMPRODUCT(ISNUMBER(SEARCH(","&amp;Справочник_ОКВЭД_НР!$E$3:$E$62&amp;".",","&amp;SUBSTITUTE(F738," ","")&amp;",")))*Справочник_ОКВЭД_НР!$L$11 +
  SUMPRODUCT(ISNUMBER(SEARCH(","&amp;Справочник_ОКВЭД_НР!$G$3:$G$62&amp;".",","&amp;SUBSTITUTE(F738," ","")&amp;",")))*Справочник_ОКВЭД_НР!$L$12) /
 (SUMPRODUCT(ISNUMBER(SEARCH(","&amp;Справочник_ОКВЭД_НР!$A$3:$A$62&amp;".",","&amp;SUBSTITUTE(F738," ","")&amp;","))) +
  SUMPRODUCT(ISNUMBER(SEARCH(","&amp;Справочник_ОКВЭД_НР!$C$3:$C$62&amp;".",","&amp;SUBSTITUTE(F738," ","")&amp;","))) +
  SUMPRODUCT(ISNUMBER(SEARCH(","&amp;Справочник_ОКВЭД_НР!$E$3:$E$62&amp;".",","&amp;SUBSTITUTE(F738," ","")&amp;","))) +
  SUMPRODUCT(ISNUMBER(SEARCH(","&amp;Справочник_ОКВЭД_НР!$G$3:$G$62&amp;".",","&amp;SUBSTITUTE(F738," ","")&amp;",")))),
50)</f>
        <v>50</v>
      </c>
      <c r="K738" s="30">
        <f>IFERROR(VLOOKUP(G738,Справочник_ОКВЭД_НР!$O:$P,2,FALSE()),50)</f>
        <v>50</v>
      </c>
      <c r="L738" s="45">
        <f>(I738*Справочник_ОКВЭД_НР!$L$2+J738*Справочник_ОКВЭД_НР!$L$3+K738*Справочник_ОКВЭД_НР!$L$4)*M738</f>
        <v>38</v>
      </c>
      <c r="M738" s="47">
        <f>IF(COUNTIF(Справочник_ОКВЭД_НР!$G$3:$G$62,H738)&gt;0,0,1)</f>
        <v>1</v>
      </c>
    </row>
    <row r="739" spans="1:13" x14ac:dyDescent="0.25">
      <c r="A739" s="4">
        <f>ЛИК_дляСкорингаДП!A739</f>
        <v>1097746060818</v>
      </c>
      <c r="B739" s="4">
        <f>ЛИК_дляСкорингаДП!B739</f>
        <v>7731623042</v>
      </c>
      <c r="C739" s="4" t="str">
        <f>ЛИК_дляСкорингаДП!C739</f>
        <v>ООО "АЛЬФА-ЛИФТ-СЕРВИС"</v>
      </c>
      <c r="D739" s="5" t="str">
        <f>ЛИК_дляСкорингаДП!M739</f>
        <v>Ремонт машин и оборудования</v>
      </c>
      <c r="E739" s="4" t="str">
        <f>ЛИК_дляСкорингаДП!L739</f>
        <v>33.12</v>
      </c>
      <c r="F739" t="str">
        <f>ЛИК_дляСкорингаДП!N739</f>
        <v>18.12,28.22,28.22.1,41.20,43.11,43.12,43.12.3,43.13,43.21,43.22,43.29,43.31,43.32,43.32.1,43.32.2,43.32.3,43.33,43.34,43.39,43.91,43.99,43.99.1,46.63,46.69,46.73,46.74,71.11,71.12,71.12.6,74.90,82.99</v>
      </c>
      <c r="G739" s="25" t="str">
        <f>ЛИК_дляСкорингаДП!AG739</f>
        <v>УСН</v>
      </c>
      <c r="H739" s="55" t="str">
        <f>IF(ISNUMBER(E739),E739,
IFERROR(LEFT(E739,FIND(".",E739)-1),E739))</f>
        <v>33</v>
      </c>
      <c r="I739" s="30">
        <f>IF(COUNTIF(Справочник_ОКВЭД_НР!$A$3:$A$62,H739)&gt;0,Справочник_ОКВЭД_НР!$L$8,
 IF(COUNTIF(Справочник_ОКВЭД_НР!$C$3:$C$62,H739)&gt;0,Справочник_ОКВЭД_НР!$L$9,
  IF(COUNTIF(Справочник_ОКВЭД_НР!$E$3:$E$62,H739)&gt;0,Справочник_ОКВЭД_НР!$L$10,
   IF(COUNTIF(Справочник_ОКВЭД_НР!$G$3:$G$62,H739)&gt;0,Справочник_ОКВЭД_НР!$L$11,50))))</f>
        <v>60</v>
      </c>
      <c r="J739" s="30" cm="1">
        <f t="array" ref="J739">IFERROR(
 (SUMPRODUCT(ISNUMBER(SEARCH(","&amp;Справочник_ОКВЭД_НР!$A$3:$A$62&amp;".",","&amp;SUBSTITUTE(F739," ","")&amp;",")))*Справочник_ОКВЭД_НР!$L$9 +
  SUMPRODUCT(ISNUMBER(SEARCH(","&amp;Справочник_ОКВЭД_НР!$C$3:$C$62&amp;".",","&amp;SUBSTITUTE(F739," ","")&amp;",")))*Справочник_ОКВЭД_НР!$L$10 +
  SUMPRODUCT(ISNUMBER(SEARCH(","&amp;Справочник_ОКВЭД_НР!$E$3:$E$62&amp;".",","&amp;SUBSTITUTE(F739," ","")&amp;",")))*Справочник_ОКВЭД_НР!$L$11 +
  SUMPRODUCT(ISNUMBER(SEARCH(","&amp;Справочник_ОКВЭД_НР!$G$3:$G$62&amp;".",","&amp;SUBSTITUTE(F739," ","")&amp;",")))*Справочник_ОКВЭД_НР!$L$12) /
 (SUMPRODUCT(ISNUMBER(SEARCH(","&amp;Справочник_ОКВЭД_НР!$A$3:$A$62&amp;".",","&amp;SUBSTITUTE(F739," ","")&amp;","))) +
  SUMPRODUCT(ISNUMBER(SEARCH(","&amp;Справочник_ОКВЭД_НР!$C$3:$C$62&amp;".",","&amp;SUBSTITUTE(F739," ","")&amp;","))) +
  SUMPRODUCT(ISNUMBER(SEARCH(","&amp;Справочник_ОКВЭД_НР!$E$3:$E$62&amp;".",","&amp;SUBSTITUTE(F739," ","")&amp;","))) +
  SUMPRODUCT(ISNUMBER(SEARCH(","&amp;Справочник_ОКВЭД_НР!$G$3:$G$62&amp;".",","&amp;SUBSTITUTE(F739," ","")&amp;",")))),
50)</f>
        <v>50</v>
      </c>
      <c r="K739" s="30">
        <f>IFERROR(VLOOKUP(G739,Справочник_ОКВЭД_НР!$O:$P,2,FALSE()),50)</f>
        <v>50</v>
      </c>
      <c r="L739" s="45">
        <f>(I739*Справочник_ОКВЭД_НР!$L$2+J739*Справочник_ОКВЭД_НР!$L$3+K739*Справочник_ОКВЭД_НР!$L$4)*M739</f>
        <v>56</v>
      </c>
      <c r="M739" s="47">
        <f>IF(COUNTIF(Справочник_ОКВЭД_НР!$G$3:$G$62,H739)&gt;0,0,1)</f>
        <v>1</v>
      </c>
    </row>
    <row r="740" spans="1:13" x14ac:dyDescent="0.25">
      <c r="A740" s="4">
        <f>ЛИК_дляСкорингаДП!A740</f>
        <v>1025005690269</v>
      </c>
      <c r="B740" s="4">
        <f>ЛИК_дляСкорингаДП!B740</f>
        <v>5044031140</v>
      </c>
      <c r="C740" s="4" t="str">
        <f>ЛИК_дляСкорингаДП!C740</f>
        <v>ООО "КАРЕ-КЛУБ"</v>
      </c>
      <c r="D740" s="5" t="str">
        <f>ЛИК_дляСкорингаДП!M740</f>
        <v>Деятельность ресторанов и услуги по доставке продуктов питания</v>
      </c>
      <c r="E740" s="4" t="str">
        <f>ЛИК_дляСкорингаДП!L740</f>
        <v>56.10</v>
      </c>
      <c r="F740" t="str">
        <f>ЛИК_дляСкорингаДП!N740</f>
        <v>46.39,47.11,47.19,47.25.1,47.91,47.91.2,47.99.1,55.10,56.10.1,56.10.21,56.10.22,56.10.23,56.10.24,56.10.3,56.21,56.29,56.29.1,56.29.2,56.29.3,56.29.4,56.30,73.20.1,90.01,90.04.1,92.1,93.29.9</v>
      </c>
      <c r="G740" s="25" t="str">
        <f>ЛИК_дляСкорингаДП!AG740</f>
        <v>УСН</v>
      </c>
      <c r="H740" s="55" t="str">
        <f>IF(ISNUMBER(E740),E740,
IFERROR(LEFT(E740,FIND(".",E740)-1),E740))</f>
        <v>56</v>
      </c>
      <c r="I740" s="30">
        <f>IF(COUNTIF(Справочник_ОКВЭД_НР!$A$3:$A$62,H740)&gt;0,Справочник_ОКВЭД_НР!$L$8,
 IF(COUNTIF(Справочник_ОКВЭД_НР!$C$3:$C$62,H740)&gt;0,Справочник_ОКВЭД_НР!$L$9,
  IF(COUNTIF(Справочник_ОКВЭД_НР!$E$3:$E$62,H740)&gt;0,Справочник_ОКВЭД_НР!$L$10,
   IF(COUNTIF(Справочник_ОКВЭД_НР!$G$3:$G$62,H740)&gt;0,Справочник_ОКВЭД_НР!$L$11,50))))</f>
        <v>30</v>
      </c>
      <c r="J740" s="30" cm="1">
        <f t="array" ref="J740">IFERROR(
 (SUMPRODUCT(ISNUMBER(SEARCH(","&amp;Справочник_ОКВЭД_НР!$A$3:$A$62&amp;".",","&amp;SUBSTITUTE(F740," ","")&amp;",")))*Справочник_ОКВЭД_НР!$L$9 +
  SUMPRODUCT(ISNUMBER(SEARCH(","&amp;Справочник_ОКВЭД_НР!$C$3:$C$62&amp;".",","&amp;SUBSTITUTE(F740," ","")&amp;",")))*Справочник_ОКВЭД_НР!$L$10 +
  SUMPRODUCT(ISNUMBER(SEARCH(","&amp;Справочник_ОКВЭД_НР!$E$3:$E$62&amp;".",","&amp;SUBSTITUTE(F740," ","")&amp;",")))*Справочник_ОКВЭД_НР!$L$11 +
  SUMPRODUCT(ISNUMBER(SEARCH(","&amp;Справочник_ОКВЭД_НР!$G$3:$G$62&amp;".",","&amp;SUBSTITUTE(F740," ","")&amp;",")))*Справочник_ОКВЭД_НР!$L$12) /
 (SUMPRODUCT(ISNUMBER(SEARCH(","&amp;Справочник_ОКВЭД_НР!$A$3:$A$62&amp;".",","&amp;SUBSTITUTE(F740," ","")&amp;","))) +
  SUMPRODUCT(ISNUMBER(SEARCH(","&amp;Справочник_ОКВЭД_НР!$C$3:$C$62&amp;".",","&amp;SUBSTITUTE(F740," ","")&amp;","))) +
  SUMPRODUCT(ISNUMBER(SEARCH(","&amp;Справочник_ОКВЭД_НР!$E$3:$E$62&amp;".",","&amp;SUBSTITUTE(F740," ","")&amp;","))) +
  SUMPRODUCT(ISNUMBER(SEARCH(","&amp;Справочник_ОКВЭД_НР!$G$3:$G$62&amp;".",","&amp;SUBSTITUTE(F740," ","")&amp;",")))),
50)</f>
        <v>50</v>
      </c>
      <c r="K740" s="30">
        <f>IFERROR(VLOOKUP(G740,Справочник_ОКВЭД_НР!$O:$P,2,FALSE()),50)</f>
        <v>50</v>
      </c>
      <c r="L740" s="45">
        <f>(I740*Справочник_ОКВЭД_НР!$L$2+J740*Справочник_ОКВЭД_НР!$L$3+K740*Справочник_ОКВЭД_НР!$L$4)*M740</f>
        <v>38</v>
      </c>
      <c r="M740" s="47">
        <f>IF(COUNTIF(Справочник_ОКВЭД_НР!$G$3:$G$62,H740)&gt;0,0,1)</f>
        <v>1</v>
      </c>
    </row>
    <row r="741" spans="1:13" x14ac:dyDescent="0.25">
      <c r="A741" s="4">
        <f>ЛИК_дляСкорингаДП!A741</f>
        <v>1035006469520</v>
      </c>
      <c r="B741" s="4">
        <f>ЛИК_дляСкорингаДП!B741</f>
        <v>5032060474</v>
      </c>
      <c r="C741" s="4" t="str">
        <f>ЛИК_дляСкорингаДП!C741</f>
        <v>ООО "БАРВИХА-СЕРВИС"</v>
      </c>
      <c r="D741" s="5" t="str">
        <f>ЛИК_дляСкорингаДП!M741</f>
        <v>Подготовка строительной площадки</v>
      </c>
      <c r="E741" s="4" t="str">
        <f>ЛИК_дляСкорингаДП!L741</f>
        <v>43.12</v>
      </c>
      <c r="F741" t="str">
        <f>ЛИК_дляСкорингаДП!N741</f>
        <v>41.2,41.20,42.99,43.12.3,43.2,43.91,43.99,43.99.5,43.99.6,45.20.1,45.20.2,46.1,46.49.49,46.73.3,47.52.5</v>
      </c>
      <c r="G741" s="25" t="str">
        <f>ЛИК_дляСкорингаДП!AG741</f>
        <v>УСН</v>
      </c>
      <c r="H741" s="55" t="str">
        <f>IF(ISNUMBER(E741),E741,
IFERROR(LEFT(E741,FIND(".",E741)-1),E741))</f>
        <v>43</v>
      </c>
      <c r="I741" s="30">
        <f>IF(COUNTIF(Справочник_ОКВЭД_НР!$A$3:$A$62,H741)&gt;0,Справочник_ОКВЭД_НР!$L$8,
 IF(COUNTIF(Справочник_ОКВЭД_НР!$C$3:$C$62,H741)&gt;0,Справочник_ОКВЭД_НР!$L$9,
  IF(COUNTIF(Справочник_ОКВЭД_НР!$E$3:$E$62,H741)&gt;0,Справочник_ОКВЭД_НР!$L$10,
   IF(COUNTIF(Справочник_ОКВЭД_НР!$G$3:$G$62,H741)&gt;0,Справочник_ОКВЭД_НР!$L$11,50))))</f>
        <v>100</v>
      </c>
      <c r="J741" s="30" cm="1">
        <f t="array" ref="J741">IFERROR(
 (SUMPRODUCT(ISNUMBER(SEARCH(","&amp;Справочник_ОКВЭД_НР!$A$3:$A$62&amp;".",","&amp;SUBSTITUTE(F741," ","")&amp;",")))*Справочник_ОКВЭД_НР!$L$9 +
  SUMPRODUCT(ISNUMBER(SEARCH(","&amp;Справочник_ОКВЭД_НР!$C$3:$C$62&amp;".",","&amp;SUBSTITUTE(F741," ","")&amp;",")))*Справочник_ОКВЭД_НР!$L$10 +
  SUMPRODUCT(ISNUMBER(SEARCH(","&amp;Справочник_ОКВЭД_НР!$E$3:$E$62&amp;".",","&amp;SUBSTITUTE(F741," ","")&amp;",")))*Справочник_ОКВЭД_НР!$L$11 +
  SUMPRODUCT(ISNUMBER(SEARCH(","&amp;Справочник_ОКВЭД_НР!$G$3:$G$62&amp;".",","&amp;SUBSTITUTE(F741," ","")&amp;",")))*Справочник_ОКВЭД_НР!$L$12) /
 (SUMPRODUCT(ISNUMBER(SEARCH(","&amp;Справочник_ОКВЭД_НР!$A$3:$A$62&amp;".",","&amp;SUBSTITUTE(F741," ","")&amp;","))) +
  SUMPRODUCT(ISNUMBER(SEARCH(","&amp;Справочник_ОКВЭД_НР!$C$3:$C$62&amp;".",","&amp;SUBSTITUTE(F741," ","")&amp;","))) +
  SUMPRODUCT(ISNUMBER(SEARCH(","&amp;Справочник_ОКВЭД_НР!$E$3:$E$62&amp;".",","&amp;SUBSTITUTE(F741," ","")&amp;","))) +
  SUMPRODUCT(ISNUMBER(SEARCH(","&amp;Справочник_ОКВЭД_НР!$G$3:$G$62&amp;".",","&amp;SUBSTITUTE(F741," ","")&amp;",")))),
50)</f>
        <v>50</v>
      </c>
      <c r="K741" s="30">
        <f>IFERROR(VLOOKUP(G741,Справочник_ОКВЭД_НР!$O:$P,2,FALSE()),50)</f>
        <v>50</v>
      </c>
      <c r="L741" s="45">
        <f>(I741*Справочник_ОКВЭД_НР!$L$2+J741*Справочник_ОКВЭД_НР!$L$3+K741*Справочник_ОКВЭД_НР!$L$4)*M741</f>
        <v>80</v>
      </c>
      <c r="M741" s="47">
        <f>IF(COUNTIF(Справочник_ОКВЭД_НР!$G$3:$G$62,H741)&gt;0,0,1)</f>
        <v>1</v>
      </c>
    </row>
    <row r="742" spans="1:13" x14ac:dyDescent="0.25">
      <c r="A742" s="4">
        <f>ЛИК_дляСкорингаДП!A742</f>
        <v>1025004583229</v>
      </c>
      <c r="B742" s="4">
        <f>ЛИК_дляСкорингаДП!B742</f>
        <v>5034011031</v>
      </c>
      <c r="C742" s="4" t="str">
        <f>ЛИК_дляСкорингаДП!C742</f>
        <v>ООО "О/З ТТЦ "ГАРАНТ"</v>
      </c>
      <c r="D742" s="5" t="str">
        <f>ЛИК_дляСкорингаДП!M742</f>
        <v>Деятельность в области связи на базе проводных технологий</v>
      </c>
      <c r="E742" s="4" t="str">
        <f>ЛИК_дляСкорингаДП!L742</f>
        <v>61.10</v>
      </c>
      <c r="F742" t="str">
        <f>ЛИК_дляСкорингаДП!N742</f>
        <v>46.90,47.19,47.7,95.22.1</v>
      </c>
      <c r="G742" s="25" t="str">
        <f>ЛИК_дляСкорингаДП!AG742</f>
        <v>УСН</v>
      </c>
      <c r="H742" s="55" t="str">
        <f>IF(ISNUMBER(E742),E742,
IFERROR(LEFT(E742,FIND(".",E742)-1),E742))</f>
        <v>61</v>
      </c>
      <c r="I742" s="30">
        <f>IF(COUNTIF(Справочник_ОКВЭД_НР!$A$3:$A$62,H742)&gt;0,Справочник_ОКВЭД_НР!$L$8,
 IF(COUNTIF(Справочник_ОКВЭД_НР!$C$3:$C$62,H742)&gt;0,Справочник_ОКВЭД_НР!$L$9,
  IF(COUNTIF(Справочник_ОКВЭД_НР!$E$3:$E$62,H742)&gt;0,Справочник_ОКВЭД_НР!$L$10,
   IF(COUNTIF(Справочник_ОКВЭД_НР!$G$3:$G$62,H742)&gt;0,Справочник_ОКВЭД_НР!$L$11,50))))</f>
        <v>60</v>
      </c>
      <c r="J742" s="30" cm="1">
        <f t="array" ref="J742">IFERROR(
 (SUMPRODUCT(ISNUMBER(SEARCH(","&amp;Справочник_ОКВЭД_НР!$A$3:$A$62&amp;".",","&amp;SUBSTITUTE(F742," ","")&amp;",")))*Справочник_ОКВЭД_НР!$L$9 +
  SUMPRODUCT(ISNUMBER(SEARCH(","&amp;Справочник_ОКВЭД_НР!$C$3:$C$62&amp;".",","&amp;SUBSTITUTE(F742," ","")&amp;",")))*Справочник_ОКВЭД_НР!$L$10 +
  SUMPRODUCT(ISNUMBER(SEARCH(","&amp;Справочник_ОКВЭД_НР!$E$3:$E$62&amp;".",","&amp;SUBSTITUTE(F742," ","")&amp;",")))*Справочник_ОКВЭД_НР!$L$11 +
  SUMPRODUCT(ISNUMBER(SEARCH(","&amp;Справочник_ОКВЭД_НР!$G$3:$G$62&amp;".",","&amp;SUBSTITUTE(F742," ","")&amp;",")))*Справочник_ОКВЭД_НР!$L$12) /
 (SUMPRODUCT(ISNUMBER(SEARCH(","&amp;Справочник_ОКВЭД_НР!$A$3:$A$62&amp;".",","&amp;SUBSTITUTE(F742," ","")&amp;","))) +
  SUMPRODUCT(ISNUMBER(SEARCH(","&amp;Справочник_ОКВЭД_НР!$C$3:$C$62&amp;".",","&amp;SUBSTITUTE(F742," ","")&amp;","))) +
  SUMPRODUCT(ISNUMBER(SEARCH(","&amp;Справочник_ОКВЭД_НР!$E$3:$E$62&amp;".",","&amp;SUBSTITUTE(F742," ","")&amp;","))) +
  SUMPRODUCT(ISNUMBER(SEARCH(","&amp;Справочник_ОКВЭД_НР!$G$3:$G$62&amp;".",","&amp;SUBSTITUTE(F742," ","")&amp;",")))),
50)</f>
        <v>50</v>
      </c>
      <c r="K742" s="30">
        <f>IFERROR(VLOOKUP(G742,Справочник_ОКВЭД_НР!$O:$P,2,FALSE()),50)</f>
        <v>50</v>
      </c>
      <c r="L742" s="45">
        <f>(I742*Справочник_ОКВЭД_НР!$L$2+J742*Справочник_ОКВЭД_НР!$L$3+K742*Справочник_ОКВЭД_НР!$L$4)*M742</f>
        <v>56</v>
      </c>
      <c r="M742" s="47">
        <f>IF(COUNTIF(Справочник_ОКВЭД_НР!$G$3:$G$62,H742)&gt;0,0,1)</f>
        <v>1</v>
      </c>
    </row>
    <row r="743" spans="1:13" x14ac:dyDescent="0.25">
      <c r="A743" s="4">
        <f>ЛИК_дляСкорингаДП!A743</f>
        <v>1097746111308</v>
      </c>
      <c r="B743" s="4">
        <f>ЛИК_дляСкорингаДП!B743</f>
        <v>7715749898</v>
      </c>
      <c r="C743" s="4" t="str">
        <f>ЛИК_дляСкорингаДП!C743</f>
        <v>ООО "ПИКВАРИО МЕДИА"</v>
      </c>
      <c r="D743" s="5" t="str">
        <f>ЛИК_дляСкорингаДП!M743</f>
        <v>Деятельность в области фотографии</v>
      </c>
      <c r="E743" s="4" t="str">
        <f>ЛИК_дляСкорингаДП!L743</f>
        <v>74.20</v>
      </c>
      <c r="F743" t="str">
        <f>ЛИК_дляСкорингаДП!N743</f>
        <v>47.41,47.63.2,47.99.1,62.0,62.02,62.09,63.1,63.11,63.11.1,63.91,63.99.1,68.20.2,74.90.8,82.30,85.41,95.1</v>
      </c>
      <c r="G743" s="25" t="str">
        <f>ЛИК_дляСкорингаДП!AG743</f>
        <v>УСН</v>
      </c>
      <c r="H743" s="55" t="str">
        <f>IF(ISNUMBER(E743),E743,
IFERROR(LEFT(E743,FIND(".",E743)-1),E743))</f>
        <v>74</v>
      </c>
      <c r="I743" s="30">
        <f>IF(COUNTIF(Справочник_ОКВЭД_НР!$A$3:$A$62,H743)&gt;0,Справочник_ОКВЭД_НР!$L$8,
 IF(COUNTIF(Справочник_ОКВЭД_НР!$C$3:$C$62,H743)&gt;0,Справочник_ОКВЭД_НР!$L$9,
  IF(COUNTIF(Справочник_ОКВЭД_НР!$E$3:$E$62,H743)&gt;0,Справочник_ОКВЭД_НР!$L$10,
   IF(COUNTIF(Справочник_ОКВЭД_НР!$G$3:$G$62,H743)&gt;0,Справочник_ОКВЭД_НР!$L$11,50))))</f>
        <v>30</v>
      </c>
      <c r="J743" s="30" cm="1">
        <f t="array" ref="J743">IFERROR(
 (SUMPRODUCT(ISNUMBER(SEARCH(","&amp;Справочник_ОКВЭД_НР!$A$3:$A$62&amp;".",","&amp;SUBSTITUTE(F743," ","")&amp;",")))*Справочник_ОКВЭД_НР!$L$9 +
  SUMPRODUCT(ISNUMBER(SEARCH(","&amp;Справочник_ОКВЭД_НР!$C$3:$C$62&amp;".",","&amp;SUBSTITUTE(F743," ","")&amp;",")))*Справочник_ОКВЭД_НР!$L$10 +
  SUMPRODUCT(ISNUMBER(SEARCH(","&amp;Справочник_ОКВЭД_НР!$E$3:$E$62&amp;".",","&amp;SUBSTITUTE(F743," ","")&amp;",")))*Справочник_ОКВЭД_НР!$L$11 +
  SUMPRODUCT(ISNUMBER(SEARCH(","&amp;Справочник_ОКВЭД_НР!$G$3:$G$62&amp;".",","&amp;SUBSTITUTE(F743," ","")&amp;",")))*Справочник_ОКВЭД_НР!$L$12) /
 (SUMPRODUCT(ISNUMBER(SEARCH(","&amp;Справочник_ОКВЭД_НР!$A$3:$A$62&amp;".",","&amp;SUBSTITUTE(F743," ","")&amp;","))) +
  SUMPRODUCT(ISNUMBER(SEARCH(","&amp;Справочник_ОКВЭД_НР!$C$3:$C$62&amp;".",","&amp;SUBSTITUTE(F743," ","")&amp;","))) +
  SUMPRODUCT(ISNUMBER(SEARCH(","&amp;Справочник_ОКВЭД_НР!$E$3:$E$62&amp;".",","&amp;SUBSTITUTE(F743," ","")&amp;","))) +
  SUMPRODUCT(ISNUMBER(SEARCH(","&amp;Справочник_ОКВЭД_НР!$G$3:$G$62&amp;".",","&amp;SUBSTITUTE(F743," ","")&amp;",")))),
50)</f>
        <v>50</v>
      </c>
      <c r="K743" s="30">
        <f>IFERROR(VLOOKUP(G743,Справочник_ОКВЭД_НР!$O:$P,2,FALSE()),50)</f>
        <v>50</v>
      </c>
      <c r="L743" s="45">
        <f>(I743*Справочник_ОКВЭД_НР!$L$2+J743*Справочник_ОКВЭД_НР!$L$3+K743*Справочник_ОКВЭД_НР!$L$4)*M743</f>
        <v>38</v>
      </c>
      <c r="M743" s="47">
        <f>IF(COUNTIF(Справочник_ОКВЭД_НР!$G$3:$G$62,H743)&gt;0,0,1)</f>
        <v>1</v>
      </c>
    </row>
    <row r="744" spans="1:13" x14ac:dyDescent="0.25">
      <c r="A744" s="4">
        <f>ЛИК_дляСкорингаДП!A744</f>
        <v>1097746073512</v>
      </c>
      <c r="B744" s="4">
        <f>ЛИК_дляСкорингаДП!B744</f>
        <v>7728693138</v>
      </c>
      <c r="C744" s="4" t="str">
        <f>ЛИК_дляСкорингаДП!C744</f>
        <v>ООО "ОЛИВЬЕ"</v>
      </c>
      <c r="D744" s="5" t="str">
        <f>ЛИК_дляСкорингаДП!M744</f>
        <v>Деятельность по организации отдыха и развлечений прочая</v>
      </c>
      <c r="E744" s="4" t="str">
        <f>ЛИК_дляСкорингаДП!L744</f>
        <v>93.29</v>
      </c>
      <c r="F744" t="str">
        <f>ЛИК_дляСкорингаДП!N744</f>
        <v>18.1,59.11,59.14,74.10,74.20,74.90,77.21,90.02,93.11,93.19,93.2,93.29.9,96.0,96.09</v>
      </c>
      <c r="G744" s="25" t="str">
        <f>ЛИК_дляСкорингаДП!AG744</f>
        <v>УСН</v>
      </c>
      <c r="H744" s="55" t="str">
        <f>IF(ISNUMBER(E744),E744,
IFERROR(LEFT(E744,FIND(".",E744)-1),E744))</f>
        <v>93</v>
      </c>
      <c r="I744" s="30">
        <f>IF(COUNTIF(Справочник_ОКВЭД_НР!$A$3:$A$62,H744)&gt;0,Справочник_ОКВЭД_НР!$L$8,
 IF(COUNTIF(Справочник_ОКВЭД_НР!$C$3:$C$62,H744)&gt;0,Справочник_ОКВЭД_НР!$L$9,
  IF(COUNTIF(Справочник_ОКВЭД_НР!$E$3:$E$62,H744)&gt;0,Справочник_ОКВЭД_НР!$L$10,
   IF(COUNTIF(Справочник_ОКВЭД_НР!$G$3:$G$62,H744)&gt;0,Справочник_ОКВЭД_НР!$L$11,50))))</f>
        <v>30</v>
      </c>
      <c r="J744" s="30" cm="1">
        <f t="array" ref="J744">IFERROR(
 (SUMPRODUCT(ISNUMBER(SEARCH(","&amp;Справочник_ОКВЭД_НР!$A$3:$A$62&amp;".",","&amp;SUBSTITUTE(F744," ","")&amp;",")))*Справочник_ОКВЭД_НР!$L$9 +
  SUMPRODUCT(ISNUMBER(SEARCH(","&amp;Справочник_ОКВЭД_НР!$C$3:$C$62&amp;".",","&amp;SUBSTITUTE(F744," ","")&amp;",")))*Справочник_ОКВЭД_НР!$L$10 +
  SUMPRODUCT(ISNUMBER(SEARCH(","&amp;Справочник_ОКВЭД_НР!$E$3:$E$62&amp;".",","&amp;SUBSTITUTE(F744," ","")&amp;",")))*Справочник_ОКВЭД_НР!$L$11 +
  SUMPRODUCT(ISNUMBER(SEARCH(","&amp;Справочник_ОКВЭД_НР!$G$3:$G$62&amp;".",","&amp;SUBSTITUTE(F744," ","")&amp;",")))*Справочник_ОКВЭД_НР!$L$12) /
 (SUMPRODUCT(ISNUMBER(SEARCH(","&amp;Справочник_ОКВЭД_НР!$A$3:$A$62&amp;".",","&amp;SUBSTITUTE(F744," ","")&amp;","))) +
  SUMPRODUCT(ISNUMBER(SEARCH(","&amp;Справочник_ОКВЭД_НР!$C$3:$C$62&amp;".",","&amp;SUBSTITUTE(F744," ","")&amp;","))) +
  SUMPRODUCT(ISNUMBER(SEARCH(","&amp;Справочник_ОКВЭД_НР!$E$3:$E$62&amp;".",","&amp;SUBSTITUTE(F744," ","")&amp;","))) +
  SUMPRODUCT(ISNUMBER(SEARCH(","&amp;Справочник_ОКВЭД_НР!$G$3:$G$62&amp;".",","&amp;SUBSTITUTE(F744," ","")&amp;",")))),
50)</f>
        <v>50</v>
      </c>
      <c r="K744" s="30">
        <f>IFERROR(VLOOKUP(G744,Справочник_ОКВЭД_НР!$O:$P,2,FALSE()),50)</f>
        <v>50</v>
      </c>
      <c r="L744" s="45">
        <f>(I744*Справочник_ОКВЭД_НР!$L$2+J744*Справочник_ОКВЭД_НР!$L$3+K744*Справочник_ОКВЭД_НР!$L$4)*M744</f>
        <v>38</v>
      </c>
      <c r="M744" s="47">
        <f>IF(COUNTIF(Справочник_ОКВЭД_НР!$G$3:$G$62,H744)&gt;0,0,1)</f>
        <v>1</v>
      </c>
    </row>
    <row r="745" spans="1:13" x14ac:dyDescent="0.25">
      <c r="A745" s="4">
        <f>ЛИК_дляСкорингаДП!A745</f>
        <v>1097746161468</v>
      </c>
      <c r="B745" s="4">
        <f>ЛИК_дляСкорингаДП!B745</f>
        <v>7724702695</v>
      </c>
      <c r="C745" s="4" t="str">
        <f>ЛИК_дляСкорингаДП!C745</f>
        <v>ООО "АЛЬТУС-МЕДСЕРВИС"</v>
      </c>
      <c r="D745" s="5" t="str">
        <f>ЛИК_дляСкорингаДП!M745</f>
        <v>Ремонт электронного и оптического оборудования</v>
      </c>
      <c r="E745" s="4" t="str">
        <f>ЛИК_дляСкорингаДП!L745</f>
        <v>33.13</v>
      </c>
      <c r="F745" t="str">
        <f>ЛИК_дляСкорингаДП!N745</f>
        <v>26.60.1,27.12,33.14,33.20,46.15.3,46.18.1,46.46.1,46.46.2,46.51,46.69.9,71.12.62,71.20,71.20.4,71.20.9</v>
      </c>
      <c r="G745" s="25" t="str">
        <f>ЛИК_дляСкорингаДП!AG745</f>
        <v>УСН</v>
      </c>
      <c r="H745" s="55" t="str">
        <f>IF(ISNUMBER(E745),E745,
IFERROR(LEFT(E745,FIND(".",E745)-1),E745))</f>
        <v>33</v>
      </c>
      <c r="I745" s="30">
        <f>IF(COUNTIF(Справочник_ОКВЭД_НР!$A$3:$A$62,H745)&gt;0,Справочник_ОКВЭД_НР!$L$8,
 IF(COUNTIF(Справочник_ОКВЭД_НР!$C$3:$C$62,H745)&gt;0,Справочник_ОКВЭД_НР!$L$9,
  IF(COUNTIF(Справочник_ОКВЭД_НР!$E$3:$E$62,H745)&gt;0,Справочник_ОКВЭД_НР!$L$10,
   IF(COUNTIF(Справочник_ОКВЭД_НР!$G$3:$G$62,H745)&gt;0,Справочник_ОКВЭД_НР!$L$11,50))))</f>
        <v>60</v>
      </c>
      <c r="J745" s="30" cm="1">
        <f t="array" ref="J745">IFERROR(
 (SUMPRODUCT(ISNUMBER(SEARCH(","&amp;Справочник_ОКВЭД_НР!$A$3:$A$62&amp;".",","&amp;SUBSTITUTE(F745," ","")&amp;",")))*Справочник_ОКВЭД_НР!$L$9 +
  SUMPRODUCT(ISNUMBER(SEARCH(","&amp;Справочник_ОКВЭД_НР!$C$3:$C$62&amp;".",","&amp;SUBSTITUTE(F745," ","")&amp;",")))*Справочник_ОКВЭД_НР!$L$10 +
  SUMPRODUCT(ISNUMBER(SEARCH(","&amp;Справочник_ОКВЭД_НР!$E$3:$E$62&amp;".",","&amp;SUBSTITUTE(F745," ","")&amp;",")))*Справочник_ОКВЭД_НР!$L$11 +
  SUMPRODUCT(ISNUMBER(SEARCH(","&amp;Справочник_ОКВЭД_НР!$G$3:$G$62&amp;".",","&amp;SUBSTITUTE(F745," ","")&amp;",")))*Справочник_ОКВЭД_НР!$L$12) /
 (SUMPRODUCT(ISNUMBER(SEARCH(","&amp;Справочник_ОКВЭД_НР!$A$3:$A$62&amp;".",","&amp;SUBSTITUTE(F745," ","")&amp;","))) +
  SUMPRODUCT(ISNUMBER(SEARCH(","&amp;Справочник_ОКВЭД_НР!$C$3:$C$62&amp;".",","&amp;SUBSTITUTE(F745," ","")&amp;","))) +
  SUMPRODUCT(ISNUMBER(SEARCH(","&amp;Справочник_ОКВЭД_НР!$E$3:$E$62&amp;".",","&amp;SUBSTITUTE(F745," ","")&amp;","))) +
  SUMPRODUCT(ISNUMBER(SEARCH(","&amp;Справочник_ОКВЭД_НР!$G$3:$G$62&amp;".",","&amp;SUBSTITUTE(F745," ","")&amp;",")))),
50)</f>
        <v>50</v>
      </c>
      <c r="K745" s="30">
        <f>IFERROR(VLOOKUP(G745,Справочник_ОКВЭД_НР!$O:$P,2,FALSE()),50)</f>
        <v>50</v>
      </c>
      <c r="L745" s="45">
        <f>(I745*Справочник_ОКВЭД_НР!$L$2+J745*Справочник_ОКВЭД_НР!$L$3+K745*Справочник_ОКВЭД_НР!$L$4)*M745</f>
        <v>56</v>
      </c>
      <c r="M745" s="47">
        <f>IF(COUNTIF(Справочник_ОКВЭД_НР!$G$3:$G$62,H745)&gt;0,0,1)</f>
        <v>1</v>
      </c>
    </row>
    <row r="746" spans="1:13" x14ac:dyDescent="0.25">
      <c r="A746" s="4">
        <f>ЛИК_дляСкорингаДП!A746</f>
        <v>1025004642420</v>
      </c>
      <c r="B746" s="4">
        <f>ЛИК_дляСкорингаДП!B746</f>
        <v>5035013507</v>
      </c>
      <c r="C746" s="4" t="str">
        <f>ЛИК_дляСкорингаДП!C746</f>
        <v>ООО "ЭЛЕКТРОНИКА АЗЭТ"</v>
      </c>
      <c r="D746" s="5" t="str">
        <f>ЛИК_дляСкорингаДП!M746</f>
        <v>Общая врачебная практика</v>
      </c>
      <c r="E746" s="4" t="str">
        <f>ЛИК_дляСкорингаДП!L746</f>
        <v>86.21</v>
      </c>
      <c r="F746" t="str">
        <f>ЛИК_дляСкорингаДП!N746</f>
        <v>86.10,86.22,86.23,86.90,88.91,88.99</v>
      </c>
      <c r="G746" s="25" t="str">
        <f>ЛИК_дляСкорингаДП!AG746</f>
        <v>УСН</v>
      </c>
      <c r="H746" s="55" t="str">
        <f>IF(ISNUMBER(E746),E746,
IFERROR(LEFT(E746,FIND(".",E746)-1),E746))</f>
        <v>86</v>
      </c>
      <c r="I746" s="30">
        <f>IF(COUNTIF(Справочник_ОКВЭД_НР!$A$3:$A$62,H746)&gt;0,Справочник_ОКВЭД_НР!$L$8,
 IF(COUNTIF(Справочник_ОКВЭД_НР!$C$3:$C$62,H746)&gt;0,Справочник_ОКВЭД_НР!$L$9,
  IF(COUNTIF(Справочник_ОКВЭД_НР!$E$3:$E$62,H746)&gt;0,Справочник_ОКВЭД_НР!$L$10,
   IF(COUNTIF(Справочник_ОКВЭД_НР!$G$3:$G$62,H746)&gt;0,Справочник_ОКВЭД_НР!$L$11,50))))</f>
        <v>100</v>
      </c>
      <c r="J746" s="30" cm="1">
        <f t="array" ref="J746">IFERROR(
 (SUMPRODUCT(ISNUMBER(SEARCH(","&amp;Справочник_ОКВЭД_НР!$A$3:$A$62&amp;".",","&amp;SUBSTITUTE(F746," ","")&amp;",")))*Справочник_ОКВЭД_НР!$L$9 +
  SUMPRODUCT(ISNUMBER(SEARCH(","&amp;Справочник_ОКВЭД_НР!$C$3:$C$62&amp;".",","&amp;SUBSTITUTE(F746," ","")&amp;",")))*Справочник_ОКВЭД_НР!$L$10 +
  SUMPRODUCT(ISNUMBER(SEARCH(","&amp;Справочник_ОКВЭД_НР!$E$3:$E$62&amp;".",","&amp;SUBSTITUTE(F746," ","")&amp;",")))*Справочник_ОКВЭД_НР!$L$11 +
  SUMPRODUCT(ISNUMBER(SEARCH(","&amp;Справочник_ОКВЭД_НР!$G$3:$G$62&amp;".",","&amp;SUBSTITUTE(F746," ","")&amp;",")))*Справочник_ОКВЭД_НР!$L$12) /
 (SUMPRODUCT(ISNUMBER(SEARCH(","&amp;Справочник_ОКВЭД_НР!$A$3:$A$62&amp;".",","&amp;SUBSTITUTE(F746," ","")&amp;","))) +
  SUMPRODUCT(ISNUMBER(SEARCH(","&amp;Справочник_ОКВЭД_НР!$C$3:$C$62&amp;".",","&amp;SUBSTITUTE(F746," ","")&amp;","))) +
  SUMPRODUCT(ISNUMBER(SEARCH(","&amp;Справочник_ОКВЭД_НР!$E$3:$E$62&amp;".",","&amp;SUBSTITUTE(F746," ","")&amp;","))) +
  SUMPRODUCT(ISNUMBER(SEARCH(","&amp;Справочник_ОКВЭД_НР!$G$3:$G$62&amp;".",","&amp;SUBSTITUTE(F746," ","")&amp;",")))),
50)</f>
        <v>50</v>
      </c>
      <c r="K746" s="30">
        <f>IFERROR(VLOOKUP(G746,Справочник_ОКВЭД_НР!$O:$P,2,FALSE()),50)</f>
        <v>50</v>
      </c>
      <c r="L746" s="45">
        <f>(I746*Справочник_ОКВЭД_НР!$L$2+J746*Справочник_ОКВЭД_НР!$L$3+K746*Справочник_ОКВЭД_НР!$L$4)*M746</f>
        <v>80</v>
      </c>
      <c r="M746" s="47">
        <f>IF(COUNTIF(Справочник_ОКВЭД_НР!$G$3:$G$62,H746)&gt;0,0,1)</f>
        <v>1</v>
      </c>
    </row>
    <row r="747" spans="1:13" x14ac:dyDescent="0.25">
      <c r="A747" s="4">
        <f>ЛИК_дляСкорингаДП!A747</f>
        <v>1097746117534</v>
      </c>
      <c r="B747" s="4">
        <f>ЛИК_дляСкорингаДП!B747</f>
        <v>7724701476</v>
      </c>
      <c r="C747" s="4" t="str">
        <f>ЛИК_дляСкорингаДП!C747</f>
        <v>ООО "ЛИГАЛ АРТ"</v>
      </c>
      <c r="D747" s="5" t="str">
        <f>ЛИК_дляСкорингаДП!M747</f>
        <v>Деятельность в области права</v>
      </c>
      <c r="E747" s="4" t="str">
        <f>ЛИК_дляСкорингаДП!L747</f>
        <v>69.10</v>
      </c>
      <c r="F747">
        <f>ЛИК_дляСкорингаДП!N747</f>
        <v>0</v>
      </c>
      <c r="G747" s="25" t="str">
        <f>ЛИК_дляСкорингаДП!AG747</f>
        <v>УСН</v>
      </c>
      <c r="H747" s="55" t="str">
        <f>IF(ISNUMBER(E747),E747,
IFERROR(LEFT(E747,FIND(".",E747)-1),E747))</f>
        <v>69</v>
      </c>
      <c r="I747" s="30">
        <f>IF(COUNTIF(Справочник_ОКВЭД_НР!$A$3:$A$62,H747)&gt;0,Справочник_ОКВЭД_НР!$L$8,
 IF(COUNTIF(Справочник_ОКВЭД_НР!$C$3:$C$62,H747)&gt;0,Справочник_ОКВЭД_НР!$L$9,
  IF(COUNTIF(Справочник_ОКВЭД_НР!$E$3:$E$62,H747)&gt;0,Справочник_ОКВЭД_НР!$L$10,
   IF(COUNTIF(Справочник_ОКВЭД_НР!$G$3:$G$62,H747)&gt;0,Справочник_ОКВЭД_НР!$L$11,50))))</f>
        <v>30</v>
      </c>
      <c r="J747" s="30" cm="1">
        <f t="array" ref="J747">IFERROR(
 (SUMPRODUCT(ISNUMBER(SEARCH(","&amp;Справочник_ОКВЭД_НР!$A$3:$A$62&amp;".",","&amp;SUBSTITUTE(F747," ","")&amp;",")))*Справочник_ОКВЭД_НР!$L$9 +
  SUMPRODUCT(ISNUMBER(SEARCH(","&amp;Справочник_ОКВЭД_НР!$C$3:$C$62&amp;".",","&amp;SUBSTITUTE(F747," ","")&amp;",")))*Справочник_ОКВЭД_НР!$L$10 +
  SUMPRODUCT(ISNUMBER(SEARCH(","&amp;Справочник_ОКВЭД_НР!$E$3:$E$62&amp;".",","&amp;SUBSTITUTE(F747," ","")&amp;",")))*Справочник_ОКВЭД_НР!$L$11 +
  SUMPRODUCT(ISNUMBER(SEARCH(","&amp;Справочник_ОКВЭД_НР!$G$3:$G$62&amp;".",","&amp;SUBSTITUTE(F747," ","")&amp;",")))*Справочник_ОКВЭД_НР!$L$12) /
 (SUMPRODUCT(ISNUMBER(SEARCH(","&amp;Справочник_ОКВЭД_НР!$A$3:$A$62&amp;".",","&amp;SUBSTITUTE(F747," ","")&amp;","))) +
  SUMPRODUCT(ISNUMBER(SEARCH(","&amp;Справочник_ОКВЭД_НР!$C$3:$C$62&amp;".",","&amp;SUBSTITUTE(F747," ","")&amp;","))) +
  SUMPRODUCT(ISNUMBER(SEARCH(","&amp;Справочник_ОКВЭД_НР!$E$3:$E$62&amp;".",","&amp;SUBSTITUTE(F747," ","")&amp;","))) +
  SUMPRODUCT(ISNUMBER(SEARCH(","&amp;Справочник_ОКВЭД_НР!$G$3:$G$62&amp;".",","&amp;SUBSTITUTE(F747," ","")&amp;",")))),
50)</f>
        <v>50</v>
      </c>
      <c r="K747" s="30">
        <f>IFERROR(VLOOKUP(G747,Справочник_ОКВЭД_НР!$O:$P,2,FALSE()),50)</f>
        <v>50</v>
      </c>
      <c r="L747" s="45">
        <f>(I747*Справочник_ОКВЭД_НР!$L$2+J747*Справочник_ОКВЭД_НР!$L$3+K747*Справочник_ОКВЭД_НР!$L$4)*M747</f>
        <v>38</v>
      </c>
      <c r="M747" s="47">
        <f>IF(COUNTIF(Справочник_ОКВЭД_НР!$G$3:$G$62,H747)&gt;0,0,1)</f>
        <v>1</v>
      </c>
    </row>
    <row r="748" spans="1:13" x14ac:dyDescent="0.25">
      <c r="A748" s="4">
        <f>ЛИК_дляСкорингаДП!A748</f>
        <v>1097746177781</v>
      </c>
      <c r="B748" s="4">
        <f>ЛИК_дляСкорингаДП!B748</f>
        <v>7702705808</v>
      </c>
      <c r="C748" s="4" t="str">
        <f>ЛИК_дляСкорингаДП!C748</f>
        <v>ООО "АГЕНТСТВО "БИЗНЕС-АКТИВ"</v>
      </c>
      <c r="D748" s="5" t="str">
        <f>ЛИК_дляСкорингаДП!M748</f>
        <v>Консультирование по вопросам коммерческой деятельности и управления</v>
      </c>
      <c r="E748" s="4" t="str">
        <f>ЛИК_дляСкорингаДП!L748</f>
        <v>70.22</v>
      </c>
      <c r="F748" t="str">
        <f>ЛИК_дляСкорингаДП!N748</f>
        <v>63.11.1,66.21,68.31.5,68.31.51,68.31.52,69,69.10,73.20.1,74.20,74.30,82.92,82.99,96.0,96.09</v>
      </c>
      <c r="G748" s="25" t="str">
        <f>ЛИК_дляСкорингаДП!AG748</f>
        <v>УСН</v>
      </c>
      <c r="H748" s="55" t="str">
        <f>IF(ISNUMBER(E748),E748,
IFERROR(LEFT(E748,FIND(".",E748)-1),E748))</f>
        <v>70</v>
      </c>
      <c r="I748" s="30">
        <f>IF(COUNTIF(Справочник_ОКВЭД_НР!$A$3:$A$62,H748)&gt;0,Справочник_ОКВЭД_НР!$L$8,
 IF(COUNTIF(Справочник_ОКВЭД_НР!$C$3:$C$62,H748)&gt;0,Справочник_ОКВЭД_НР!$L$9,
  IF(COUNTIF(Справочник_ОКВЭД_НР!$E$3:$E$62,H748)&gt;0,Справочник_ОКВЭД_НР!$L$10,
   IF(COUNTIF(Справочник_ОКВЭД_НР!$G$3:$G$62,H748)&gt;0,Справочник_ОКВЭД_НР!$L$11,50))))</f>
        <v>60</v>
      </c>
      <c r="J748" s="30" cm="1">
        <f t="array" ref="J748">IFERROR(
 (SUMPRODUCT(ISNUMBER(SEARCH(","&amp;Справочник_ОКВЭД_НР!$A$3:$A$62&amp;".",","&amp;SUBSTITUTE(F748," ","")&amp;",")))*Справочник_ОКВЭД_НР!$L$9 +
  SUMPRODUCT(ISNUMBER(SEARCH(","&amp;Справочник_ОКВЭД_НР!$C$3:$C$62&amp;".",","&amp;SUBSTITUTE(F748," ","")&amp;",")))*Справочник_ОКВЭД_НР!$L$10 +
  SUMPRODUCT(ISNUMBER(SEARCH(","&amp;Справочник_ОКВЭД_НР!$E$3:$E$62&amp;".",","&amp;SUBSTITUTE(F748," ","")&amp;",")))*Справочник_ОКВЭД_НР!$L$11 +
  SUMPRODUCT(ISNUMBER(SEARCH(","&amp;Справочник_ОКВЭД_НР!$G$3:$G$62&amp;".",","&amp;SUBSTITUTE(F748," ","")&amp;",")))*Справочник_ОКВЭД_НР!$L$12) /
 (SUMPRODUCT(ISNUMBER(SEARCH(","&amp;Справочник_ОКВЭД_НР!$A$3:$A$62&amp;".",","&amp;SUBSTITUTE(F748," ","")&amp;","))) +
  SUMPRODUCT(ISNUMBER(SEARCH(","&amp;Справочник_ОКВЭД_НР!$C$3:$C$62&amp;".",","&amp;SUBSTITUTE(F748," ","")&amp;","))) +
  SUMPRODUCT(ISNUMBER(SEARCH(","&amp;Справочник_ОКВЭД_НР!$E$3:$E$62&amp;".",","&amp;SUBSTITUTE(F748," ","")&amp;","))) +
  SUMPRODUCT(ISNUMBER(SEARCH(","&amp;Справочник_ОКВЭД_НР!$G$3:$G$62&amp;".",","&amp;SUBSTITUTE(F748," ","")&amp;",")))),
50)</f>
        <v>50</v>
      </c>
      <c r="K748" s="30">
        <f>IFERROR(VLOOKUP(G748,Справочник_ОКВЭД_НР!$O:$P,2,FALSE()),50)</f>
        <v>50</v>
      </c>
      <c r="L748" s="45">
        <f>(I748*Справочник_ОКВЭД_НР!$L$2+J748*Справочник_ОКВЭД_НР!$L$3+K748*Справочник_ОКВЭД_НР!$L$4)*M748</f>
        <v>56</v>
      </c>
      <c r="M748" s="47">
        <f>IF(COUNTIF(Справочник_ОКВЭД_НР!$G$3:$G$62,H748)&gt;0,0,1)</f>
        <v>1</v>
      </c>
    </row>
    <row r="749" spans="1:13" x14ac:dyDescent="0.25">
      <c r="A749" s="4">
        <f>ЛИК_дляСкорингаДП!A749</f>
        <v>1097746098097</v>
      </c>
      <c r="B749" s="4">
        <f>ЛИК_дляСкорингаДП!B749</f>
        <v>7735557961</v>
      </c>
      <c r="C749" s="4" t="str">
        <f>ЛИК_дляСкорингаДП!C749</f>
        <v>ООО "АРТ-ФАСАД"</v>
      </c>
      <c r="D749" s="5" t="str">
        <f>ЛИК_дляСкорингаДП!M749</f>
        <v>Производство строительных металлических конструкций и изделий</v>
      </c>
      <c r="E749" s="4" t="str">
        <f>ЛИК_дляСкорингаДП!L749</f>
        <v>25.1</v>
      </c>
      <c r="F749" t="str">
        <f>ЛИК_дляСкорингаДП!N749</f>
        <v>25.11,25.61,25.62,31.01,31.02,31.09,41.2,43.3,46.4,46.9,47.1,47.5,47.9</v>
      </c>
      <c r="G749" s="25" t="str">
        <f>ЛИК_дляСкорингаДП!AG749</f>
        <v>УСН</v>
      </c>
      <c r="H749" s="55" t="str">
        <f>IF(ISNUMBER(E749),E749,
IFERROR(LEFT(E749,FIND(".",E749)-1),E749))</f>
        <v>25</v>
      </c>
      <c r="I749" s="30">
        <f>IF(COUNTIF(Справочник_ОКВЭД_НР!$A$3:$A$62,H749)&gt;0,Справочник_ОКВЭД_НР!$L$8,
 IF(COUNTIF(Справочник_ОКВЭД_НР!$C$3:$C$62,H749)&gt;0,Справочник_ОКВЭД_НР!$L$9,
  IF(COUNTIF(Справочник_ОКВЭД_НР!$E$3:$E$62,H749)&gt;0,Справочник_ОКВЭД_НР!$L$10,
   IF(COUNTIF(Справочник_ОКВЭД_НР!$G$3:$G$62,H749)&gt;0,Справочник_ОКВЭД_НР!$L$11,50))))</f>
        <v>60</v>
      </c>
      <c r="J749" s="30" cm="1">
        <f t="array" ref="J749">IFERROR(
 (SUMPRODUCT(ISNUMBER(SEARCH(","&amp;Справочник_ОКВЭД_НР!$A$3:$A$62&amp;".",","&amp;SUBSTITUTE(F749," ","")&amp;",")))*Справочник_ОКВЭД_НР!$L$9 +
  SUMPRODUCT(ISNUMBER(SEARCH(","&amp;Справочник_ОКВЭД_НР!$C$3:$C$62&amp;".",","&amp;SUBSTITUTE(F749," ","")&amp;",")))*Справочник_ОКВЭД_НР!$L$10 +
  SUMPRODUCT(ISNUMBER(SEARCH(","&amp;Справочник_ОКВЭД_НР!$E$3:$E$62&amp;".",","&amp;SUBSTITUTE(F749," ","")&amp;",")))*Справочник_ОКВЭД_НР!$L$11 +
  SUMPRODUCT(ISNUMBER(SEARCH(","&amp;Справочник_ОКВЭД_НР!$G$3:$G$62&amp;".",","&amp;SUBSTITUTE(F749," ","")&amp;",")))*Справочник_ОКВЭД_НР!$L$12) /
 (SUMPRODUCT(ISNUMBER(SEARCH(","&amp;Справочник_ОКВЭД_НР!$A$3:$A$62&amp;".",","&amp;SUBSTITUTE(F749," ","")&amp;","))) +
  SUMPRODUCT(ISNUMBER(SEARCH(","&amp;Справочник_ОКВЭД_НР!$C$3:$C$62&amp;".",","&amp;SUBSTITUTE(F749," ","")&amp;","))) +
  SUMPRODUCT(ISNUMBER(SEARCH(","&amp;Справочник_ОКВЭД_НР!$E$3:$E$62&amp;".",","&amp;SUBSTITUTE(F749," ","")&amp;","))) +
  SUMPRODUCT(ISNUMBER(SEARCH(","&amp;Справочник_ОКВЭД_НР!$G$3:$G$62&amp;".",","&amp;SUBSTITUTE(F749," ","")&amp;",")))),
50)</f>
        <v>50</v>
      </c>
      <c r="K749" s="30">
        <f>IFERROR(VLOOKUP(G749,Справочник_ОКВЭД_НР!$O:$P,2,FALSE()),50)</f>
        <v>50</v>
      </c>
      <c r="L749" s="45">
        <f>(I749*Справочник_ОКВЭД_НР!$L$2+J749*Справочник_ОКВЭД_НР!$L$3+K749*Справочник_ОКВЭД_НР!$L$4)*M749</f>
        <v>56</v>
      </c>
      <c r="M749" s="47">
        <f>IF(COUNTIF(Справочник_ОКВЭД_НР!$G$3:$G$62,H749)&gt;0,0,1)</f>
        <v>1</v>
      </c>
    </row>
    <row r="750" spans="1:13" x14ac:dyDescent="0.25">
      <c r="A750" s="4">
        <f>ЛИК_дляСкорингаДП!A750</f>
        <v>1025005120360</v>
      </c>
      <c r="B750" s="4">
        <f>ЛИК_дляСкорингаДП!B750</f>
        <v>5040055686</v>
      </c>
      <c r="C750" s="4" t="str">
        <f>ЛИК_дляСкорингаДП!C750</f>
        <v>ООО "ЗОРЬКА"</v>
      </c>
      <c r="D750" s="5" t="str">
        <f>ЛИК_дляСкорингаДП!M750</f>
        <v>Аренда и управление собственным или арендованным нежилым недвижимым имуществом</v>
      </c>
      <c r="E750" s="4" t="str">
        <f>ЛИК_дляСкорингаДП!L750</f>
        <v>68.20.2</v>
      </c>
      <c r="F750" t="str">
        <f>ЛИК_дляСкорингаДП!N750</f>
        <v>45.20,46.3,46.4,47.30,47.8,47.9,52.21.24,52.29,56.1,56.29,56.3,95.2,95.22.1,95.23,96.02</v>
      </c>
      <c r="G750" s="25" t="str">
        <f>ЛИК_дляСкорингаДП!AG750</f>
        <v>УСН</v>
      </c>
      <c r="H750" s="55" t="str">
        <f>IF(ISNUMBER(E750),E750,
IFERROR(LEFT(E750,FIND(".",E750)-1),E750))</f>
        <v>68</v>
      </c>
      <c r="I750" s="30">
        <f>IF(COUNTIF(Справочник_ОКВЭД_НР!$A$3:$A$62,H750)&gt;0,Справочник_ОКВЭД_НР!$L$8,
 IF(COUNTIF(Справочник_ОКВЭД_НР!$C$3:$C$62,H750)&gt;0,Справочник_ОКВЭД_НР!$L$9,
  IF(COUNTIF(Справочник_ОКВЭД_НР!$E$3:$E$62,H750)&gt;0,Справочник_ОКВЭД_НР!$L$10,
   IF(COUNTIF(Справочник_ОКВЭД_НР!$G$3:$G$62,H750)&gt;0,Справочник_ОКВЭД_НР!$L$11,50))))</f>
        <v>100</v>
      </c>
      <c r="J750" s="30" cm="1">
        <f t="array" ref="J750">IFERROR(
 (SUMPRODUCT(ISNUMBER(SEARCH(","&amp;Справочник_ОКВЭД_НР!$A$3:$A$62&amp;".",","&amp;SUBSTITUTE(F750," ","")&amp;",")))*Справочник_ОКВЭД_НР!$L$9 +
  SUMPRODUCT(ISNUMBER(SEARCH(","&amp;Справочник_ОКВЭД_НР!$C$3:$C$62&amp;".",","&amp;SUBSTITUTE(F750," ","")&amp;",")))*Справочник_ОКВЭД_НР!$L$10 +
  SUMPRODUCT(ISNUMBER(SEARCH(","&amp;Справочник_ОКВЭД_НР!$E$3:$E$62&amp;".",","&amp;SUBSTITUTE(F750," ","")&amp;",")))*Справочник_ОКВЭД_НР!$L$11 +
  SUMPRODUCT(ISNUMBER(SEARCH(","&amp;Справочник_ОКВЭД_НР!$G$3:$G$62&amp;".",","&amp;SUBSTITUTE(F750," ","")&amp;",")))*Справочник_ОКВЭД_НР!$L$12) /
 (SUMPRODUCT(ISNUMBER(SEARCH(","&amp;Справочник_ОКВЭД_НР!$A$3:$A$62&amp;".",","&amp;SUBSTITUTE(F750," ","")&amp;","))) +
  SUMPRODUCT(ISNUMBER(SEARCH(","&amp;Справочник_ОКВЭД_НР!$C$3:$C$62&amp;".",","&amp;SUBSTITUTE(F750," ","")&amp;","))) +
  SUMPRODUCT(ISNUMBER(SEARCH(","&amp;Справочник_ОКВЭД_НР!$E$3:$E$62&amp;".",","&amp;SUBSTITUTE(F750," ","")&amp;","))) +
  SUMPRODUCT(ISNUMBER(SEARCH(","&amp;Справочник_ОКВЭД_НР!$G$3:$G$62&amp;".",","&amp;SUBSTITUTE(F750," ","")&amp;",")))),
50)</f>
        <v>50</v>
      </c>
      <c r="K750" s="30">
        <f>IFERROR(VLOOKUP(G750,Справочник_ОКВЭД_НР!$O:$P,2,FALSE()),50)</f>
        <v>50</v>
      </c>
      <c r="L750" s="45">
        <f>(I750*Справочник_ОКВЭД_НР!$L$2+J750*Справочник_ОКВЭД_НР!$L$3+K750*Справочник_ОКВЭД_НР!$L$4)*M750</f>
        <v>80</v>
      </c>
      <c r="M750" s="47">
        <f>IF(COUNTIF(Справочник_ОКВЭД_НР!$G$3:$G$62,H750)&gt;0,0,1)</f>
        <v>1</v>
      </c>
    </row>
    <row r="751" spans="1:13" x14ac:dyDescent="0.25">
      <c r="A751" s="4">
        <f>ЛИК_дляСкорингаДП!A751</f>
        <v>1097746158201</v>
      </c>
      <c r="B751" s="4">
        <f>ЛИК_дляСкорингаДП!B751</f>
        <v>7719720272</v>
      </c>
      <c r="C751" s="4" t="str">
        <f>ЛИК_дляСкорингаДП!C751</f>
        <v>ООО "ВИП СГИ"</v>
      </c>
      <c r="D751" s="5" t="str">
        <f>ЛИК_дляСкорингаДП!M751</f>
        <v>Производство электромонтажных, санитарно-технических и прочих строительно-монтажных работ</v>
      </c>
      <c r="E751" s="4" t="str">
        <f>ЛИК_дляСкорингаДП!L751</f>
        <v>43.2</v>
      </c>
      <c r="F751" t="str">
        <f>ЛИК_дляСкорингаДП!N751</f>
        <v>01.61,68.3,68.32.1,68.32.2,73.11,73.20.1,77.29,88.10,96.09</v>
      </c>
      <c r="G751" s="25" t="str">
        <f>ЛИК_дляСкорингаДП!AG751</f>
        <v>УСН</v>
      </c>
      <c r="H751" s="55" t="str">
        <f>IF(ISNUMBER(E751),E751,
IFERROR(LEFT(E751,FIND(".",E751)-1),E751))</f>
        <v>43</v>
      </c>
      <c r="I751" s="30">
        <f>IF(COUNTIF(Справочник_ОКВЭД_НР!$A$3:$A$62,H751)&gt;0,Справочник_ОКВЭД_НР!$L$8,
 IF(COUNTIF(Справочник_ОКВЭД_НР!$C$3:$C$62,H751)&gt;0,Справочник_ОКВЭД_НР!$L$9,
  IF(COUNTIF(Справочник_ОКВЭД_НР!$E$3:$E$62,H751)&gt;0,Справочник_ОКВЭД_НР!$L$10,
   IF(COUNTIF(Справочник_ОКВЭД_НР!$G$3:$G$62,H751)&gt;0,Справочник_ОКВЭД_НР!$L$11,50))))</f>
        <v>100</v>
      </c>
      <c r="J751" s="30" cm="1">
        <f t="array" ref="J751">IFERROR(
 (SUMPRODUCT(ISNUMBER(SEARCH(","&amp;Справочник_ОКВЭД_НР!$A$3:$A$62&amp;".",","&amp;SUBSTITUTE(F751," ","")&amp;",")))*Справочник_ОКВЭД_НР!$L$9 +
  SUMPRODUCT(ISNUMBER(SEARCH(","&amp;Справочник_ОКВЭД_НР!$C$3:$C$62&amp;".",","&amp;SUBSTITUTE(F751," ","")&amp;",")))*Справочник_ОКВЭД_НР!$L$10 +
  SUMPRODUCT(ISNUMBER(SEARCH(","&amp;Справочник_ОКВЭД_НР!$E$3:$E$62&amp;".",","&amp;SUBSTITUTE(F751," ","")&amp;",")))*Справочник_ОКВЭД_НР!$L$11 +
  SUMPRODUCT(ISNUMBER(SEARCH(","&amp;Справочник_ОКВЭД_НР!$G$3:$G$62&amp;".",","&amp;SUBSTITUTE(F751," ","")&amp;",")))*Справочник_ОКВЭД_НР!$L$12) /
 (SUMPRODUCT(ISNUMBER(SEARCH(","&amp;Справочник_ОКВЭД_НР!$A$3:$A$62&amp;".",","&amp;SUBSTITUTE(F751," ","")&amp;","))) +
  SUMPRODUCT(ISNUMBER(SEARCH(","&amp;Справочник_ОКВЭД_НР!$C$3:$C$62&amp;".",","&amp;SUBSTITUTE(F751," ","")&amp;","))) +
  SUMPRODUCT(ISNUMBER(SEARCH(","&amp;Справочник_ОКВЭД_НР!$E$3:$E$62&amp;".",","&amp;SUBSTITUTE(F751," ","")&amp;","))) +
  SUMPRODUCT(ISNUMBER(SEARCH(","&amp;Справочник_ОКВЭД_НР!$G$3:$G$62&amp;".",","&amp;SUBSTITUTE(F751," ","")&amp;",")))),
50)</f>
        <v>50</v>
      </c>
      <c r="K751" s="30">
        <f>IFERROR(VLOOKUP(G751,Справочник_ОКВЭД_НР!$O:$P,2,FALSE()),50)</f>
        <v>50</v>
      </c>
      <c r="L751" s="45">
        <f>(I751*Справочник_ОКВЭД_НР!$L$2+J751*Справочник_ОКВЭД_НР!$L$3+K751*Справочник_ОКВЭД_НР!$L$4)*M751</f>
        <v>80</v>
      </c>
      <c r="M751" s="47">
        <f>IF(COUNTIF(Справочник_ОКВЭД_НР!$G$3:$G$62,H751)&gt;0,0,1)</f>
        <v>1</v>
      </c>
    </row>
    <row r="752" spans="1:13" x14ac:dyDescent="0.25">
      <c r="A752" s="4">
        <f>ЛИК_дляСкорингаДП!A752</f>
        <v>1097746033571</v>
      </c>
      <c r="B752" s="4">
        <f>ЛИК_дляСкорингаДП!B752</f>
        <v>7729627466</v>
      </c>
      <c r="C752" s="4" t="str">
        <f>ЛИК_дляСкорингаДП!C752</f>
        <v>ООО "ЭКСДИБИАЙ"</v>
      </c>
      <c r="D752" s="5" t="str">
        <f>ЛИК_дляСкорингаДП!M752</f>
        <v>Разработка компьютерного программного обеспечения</v>
      </c>
      <c r="E752" s="4" t="str">
        <f>ЛИК_дляСкорингаДП!L752</f>
        <v>62.01</v>
      </c>
      <c r="F752" t="str">
        <f>ЛИК_дляСкорингаДП!N752</f>
        <v>33.12,33.13,33.14,46.14.1,46.15.4,46.18.9,46.51,46.52,46.66,46.90,47.41,58.29,61.10.1,61.90,62.02,62.03,62.09,63.11,63.11.1,74.90.9,77.33,95.11,95.12</v>
      </c>
      <c r="G752" s="25" t="str">
        <f>ЛИК_дляСкорингаДП!AG752</f>
        <v>УСН</v>
      </c>
      <c r="H752" s="55" t="str">
        <f>IF(ISNUMBER(E752),E752,
IFERROR(LEFT(E752,FIND(".",E752)-1),E752))</f>
        <v>62</v>
      </c>
      <c r="I752" s="30">
        <f>IF(COUNTIF(Справочник_ОКВЭД_НР!$A$3:$A$62,H752)&gt;0,Справочник_ОКВЭД_НР!$L$8,
 IF(COUNTIF(Справочник_ОКВЭД_НР!$C$3:$C$62,H752)&gt;0,Справочник_ОКВЭД_НР!$L$9,
  IF(COUNTIF(Справочник_ОКВЭД_НР!$E$3:$E$62,H752)&gt;0,Справочник_ОКВЭД_НР!$L$10,
   IF(COUNTIF(Справочник_ОКВЭД_НР!$G$3:$G$62,H752)&gt;0,Справочник_ОКВЭД_НР!$L$11,50))))</f>
        <v>100</v>
      </c>
      <c r="J752" s="30" cm="1">
        <f t="array" ref="J752">IFERROR(
 (SUMPRODUCT(ISNUMBER(SEARCH(","&amp;Справочник_ОКВЭД_НР!$A$3:$A$62&amp;".",","&amp;SUBSTITUTE(F752," ","")&amp;",")))*Справочник_ОКВЭД_НР!$L$9 +
  SUMPRODUCT(ISNUMBER(SEARCH(","&amp;Справочник_ОКВЭД_НР!$C$3:$C$62&amp;".",","&amp;SUBSTITUTE(F752," ","")&amp;",")))*Справочник_ОКВЭД_НР!$L$10 +
  SUMPRODUCT(ISNUMBER(SEARCH(","&amp;Справочник_ОКВЭД_НР!$E$3:$E$62&amp;".",","&amp;SUBSTITUTE(F752," ","")&amp;",")))*Справочник_ОКВЭД_НР!$L$11 +
  SUMPRODUCT(ISNUMBER(SEARCH(","&amp;Справочник_ОКВЭД_НР!$G$3:$G$62&amp;".",","&amp;SUBSTITUTE(F752," ","")&amp;",")))*Справочник_ОКВЭД_НР!$L$12) /
 (SUMPRODUCT(ISNUMBER(SEARCH(","&amp;Справочник_ОКВЭД_НР!$A$3:$A$62&amp;".",","&amp;SUBSTITUTE(F752," ","")&amp;","))) +
  SUMPRODUCT(ISNUMBER(SEARCH(","&amp;Справочник_ОКВЭД_НР!$C$3:$C$62&amp;".",","&amp;SUBSTITUTE(F752," ","")&amp;","))) +
  SUMPRODUCT(ISNUMBER(SEARCH(","&amp;Справочник_ОКВЭД_НР!$E$3:$E$62&amp;".",","&amp;SUBSTITUTE(F752," ","")&amp;","))) +
  SUMPRODUCT(ISNUMBER(SEARCH(","&amp;Справочник_ОКВЭД_НР!$G$3:$G$62&amp;".",","&amp;SUBSTITUTE(F752," ","")&amp;",")))),
50)</f>
        <v>50</v>
      </c>
      <c r="K752" s="30">
        <f>IFERROR(VLOOKUP(G752,Справочник_ОКВЭД_НР!$O:$P,2,FALSE()),50)</f>
        <v>50</v>
      </c>
      <c r="L752" s="45">
        <f>(I752*Справочник_ОКВЭД_НР!$L$2+J752*Справочник_ОКВЭД_НР!$L$3+K752*Справочник_ОКВЭД_НР!$L$4)*M752</f>
        <v>80</v>
      </c>
      <c r="M752" s="47">
        <f>IF(COUNTIF(Справочник_ОКВЭД_НР!$G$3:$G$62,H752)&gt;0,0,1)</f>
        <v>1</v>
      </c>
    </row>
    <row r="753" spans="1:13" x14ac:dyDescent="0.25">
      <c r="A753" s="4">
        <f>ЛИК_дляСкорингаДП!A753</f>
        <v>1025004910358</v>
      </c>
      <c r="B753" s="4">
        <f>ЛИК_дляСкорингаДП!B753</f>
        <v>5038012572</v>
      </c>
      <c r="C753" s="4" t="str">
        <f>ЛИК_дляСкорингаДП!C753</f>
        <v>ООО "РАССВЕТ"</v>
      </c>
      <c r="D753" s="5" t="str">
        <f>ЛИК_дляСкорингаДП!M753</f>
        <v>Производство прочих трикотажных или вязаных аксессуаров одежды, в том числе платков, шарфов, галстуков и прочих аналогичных изделий</v>
      </c>
      <c r="E753" s="4" t="str">
        <f>ЛИК_дляСкорингаДП!L753</f>
        <v>14.19.19</v>
      </c>
      <c r="F753" t="str">
        <f>ЛИК_дляСкорингаДП!N753</f>
        <v>13.91,14.13.2,14.19.4</v>
      </c>
      <c r="G753" s="25" t="str">
        <f>ЛИК_дляСкорингаДП!AG753</f>
        <v>УСН</v>
      </c>
      <c r="H753" s="55" t="str">
        <f>IF(ISNUMBER(E753),E753,
IFERROR(LEFT(E753,FIND(".",E753)-1),E753))</f>
        <v>14</v>
      </c>
      <c r="I753" s="30">
        <f>IF(COUNTIF(Справочник_ОКВЭД_НР!$A$3:$A$62,H753)&gt;0,Справочник_ОКВЭД_НР!$L$8,
 IF(COUNTIF(Справочник_ОКВЭД_НР!$C$3:$C$62,H753)&gt;0,Справочник_ОКВЭД_НР!$L$9,
  IF(COUNTIF(Справочник_ОКВЭД_НР!$E$3:$E$62,H753)&gt;0,Справочник_ОКВЭД_НР!$L$10,
   IF(COUNTIF(Справочник_ОКВЭД_НР!$G$3:$G$62,H753)&gt;0,Справочник_ОКВЭД_НР!$L$11,50))))</f>
        <v>60</v>
      </c>
      <c r="J753" s="30" cm="1">
        <f t="array" ref="J753">IFERROR(
 (SUMPRODUCT(ISNUMBER(SEARCH(","&amp;Справочник_ОКВЭД_НР!$A$3:$A$62&amp;".",","&amp;SUBSTITUTE(F753," ","")&amp;",")))*Справочник_ОКВЭД_НР!$L$9 +
  SUMPRODUCT(ISNUMBER(SEARCH(","&amp;Справочник_ОКВЭД_НР!$C$3:$C$62&amp;".",","&amp;SUBSTITUTE(F753," ","")&amp;",")))*Справочник_ОКВЭД_НР!$L$10 +
  SUMPRODUCT(ISNUMBER(SEARCH(","&amp;Справочник_ОКВЭД_НР!$E$3:$E$62&amp;".",","&amp;SUBSTITUTE(F753," ","")&amp;",")))*Справочник_ОКВЭД_НР!$L$11 +
  SUMPRODUCT(ISNUMBER(SEARCH(","&amp;Справочник_ОКВЭД_НР!$G$3:$G$62&amp;".",","&amp;SUBSTITUTE(F753," ","")&amp;",")))*Справочник_ОКВЭД_НР!$L$12) /
 (SUMPRODUCT(ISNUMBER(SEARCH(","&amp;Справочник_ОКВЭД_НР!$A$3:$A$62&amp;".",","&amp;SUBSTITUTE(F753," ","")&amp;","))) +
  SUMPRODUCT(ISNUMBER(SEARCH(","&amp;Справочник_ОКВЭД_НР!$C$3:$C$62&amp;".",","&amp;SUBSTITUTE(F753," ","")&amp;","))) +
  SUMPRODUCT(ISNUMBER(SEARCH(","&amp;Справочник_ОКВЭД_НР!$E$3:$E$62&amp;".",","&amp;SUBSTITUTE(F753," ","")&amp;","))) +
  SUMPRODUCT(ISNUMBER(SEARCH(","&amp;Справочник_ОКВЭД_НР!$G$3:$G$62&amp;".",","&amp;SUBSTITUTE(F753," ","")&amp;",")))),
50)</f>
        <v>50</v>
      </c>
      <c r="K753" s="30">
        <f>IFERROR(VLOOKUP(G753,Справочник_ОКВЭД_НР!$O:$P,2,FALSE()),50)</f>
        <v>50</v>
      </c>
      <c r="L753" s="45">
        <f>(I753*Справочник_ОКВЭД_НР!$L$2+J753*Справочник_ОКВЭД_НР!$L$3+K753*Справочник_ОКВЭД_НР!$L$4)*M753</f>
        <v>56</v>
      </c>
      <c r="M753" s="47">
        <f>IF(COUNTIF(Справочник_ОКВЭД_НР!$G$3:$G$62,H753)&gt;0,0,1)</f>
        <v>1</v>
      </c>
    </row>
    <row r="754" spans="1:13" x14ac:dyDescent="0.25">
      <c r="A754" s="4">
        <f>ЛИК_дляСкорингаДП!A754</f>
        <v>1157746543360</v>
      </c>
      <c r="B754" s="4">
        <f>ЛИК_дляСкорингаДП!B754</f>
        <v>7725277193</v>
      </c>
      <c r="C754" s="4" t="str">
        <f>ЛИК_дляСкорингаДП!C754</f>
        <v>ООО "ИНЖТЕХПРОМПРОЕКТ"</v>
      </c>
      <c r="D754" s="5" t="str">
        <f>ЛИК_дляСкорингаДП!M754</f>
        <v>Деятельность в области архитектуры, инженерных изысканий и предоставление технических консультаций в этих областях</v>
      </c>
      <c r="E754" s="4" t="str">
        <f>ЛИК_дляСкорингаДП!L754</f>
        <v>71.1</v>
      </c>
      <c r="F754" t="str">
        <f>ЛИК_дляСкорингаДП!N754</f>
        <v>41.20,42.11,42.91,42.99,43.11,43.12.3,43.13,43.21,43.22,43.29,43.31,43.32,43.33,43.34,43.39,43.91,43.99,43.99.1,71.12.5,71.12.6</v>
      </c>
      <c r="G754" s="25" t="str">
        <f>ЛИК_дляСкорингаДП!AG754</f>
        <v>УСН</v>
      </c>
      <c r="H754" s="55" t="str">
        <f>IF(ISNUMBER(E754),E754,
IFERROR(LEFT(E754,FIND(".",E754)-1),E754))</f>
        <v>71</v>
      </c>
      <c r="I754" s="30">
        <f>IF(COUNTIF(Справочник_ОКВЭД_НР!$A$3:$A$62,H754)&gt;0,Справочник_ОКВЭД_НР!$L$8,
 IF(COUNTIF(Справочник_ОКВЭД_НР!$C$3:$C$62,H754)&gt;0,Справочник_ОКВЭД_НР!$L$9,
  IF(COUNTIF(Справочник_ОКВЭД_НР!$E$3:$E$62,H754)&gt;0,Справочник_ОКВЭД_НР!$L$10,
   IF(COUNTIF(Справочник_ОКВЭД_НР!$G$3:$G$62,H754)&gt;0,Справочник_ОКВЭД_НР!$L$11,50))))</f>
        <v>100</v>
      </c>
      <c r="J754" s="30" cm="1">
        <f t="array" ref="J754">IFERROR(
 (SUMPRODUCT(ISNUMBER(SEARCH(","&amp;Справочник_ОКВЭД_НР!$A$3:$A$62&amp;".",","&amp;SUBSTITUTE(F754," ","")&amp;",")))*Справочник_ОКВЭД_НР!$L$9 +
  SUMPRODUCT(ISNUMBER(SEARCH(","&amp;Справочник_ОКВЭД_НР!$C$3:$C$62&amp;".",","&amp;SUBSTITUTE(F754," ","")&amp;",")))*Справочник_ОКВЭД_НР!$L$10 +
  SUMPRODUCT(ISNUMBER(SEARCH(","&amp;Справочник_ОКВЭД_НР!$E$3:$E$62&amp;".",","&amp;SUBSTITUTE(F754," ","")&amp;",")))*Справочник_ОКВЭД_НР!$L$11 +
  SUMPRODUCT(ISNUMBER(SEARCH(","&amp;Справочник_ОКВЭД_НР!$G$3:$G$62&amp;".",","&amp;SUBSTITUTE(F754," ","")&amp;",")))*Справочник_ОКВЭД_НР!$L$12) /
 (SUMPRODUCT(ISNUMBER(SEARCH(","&amp;Справочник_ОКВЭД_НР!$A$3:$A$62&amp;".",","&amp;SUBSTITUTE(F754," ","")&amp;","))) +
  SUMPRODUCT(ISNUMBER(SEARCH(","&amp;Справочник_ОКВЭД_НР!$C$3:$C$62&amp;".",","&amp;SUBSTITUTE(F754," ","")&amp;","))) +
  SUMPRODUCT(ISNUMBER(SEARCH(","&amp;Справочник_ОКВЭД_НР!$E$3:$E$62&amp;".",","&amp;SUBSTITUTE(F754," ","")&amp;","))) +
  SUMPRODUCT(ISNUMBER(SEARCH(","&amp;Справочник_ОКВЭД_НР!$G$3:$G$62&amp;".",","&amp;SUBSTITUTE(F754," ","")&amp;",")))),
50)</f>
        <v>50</v>
      </c>
      <c r="K754" s="30">
        <f>IFERROR(VLOOKUP(G754,Справочник_ОКВЭД_НР!$O:$P,2,FALSE()),50)</f>
        <v>50</v>
      </c>
      <c r="L754" s="45">
        <f>(I754*Справочник_ОКВЭД_НР!$L$2+J754*Справочник_ОКВЭД_НР!$L$3+K754*Справочник_ОКВЭД_НР!$L$4)*M754</f>
        <v>80</v>
      </c>
      <c r="M754" s="47">
        <f>IF(COUNTIF(Справочник_ОКВЭД_НР!$G$3:$G$62,H754)&gt;0,0,1)</f>
        <v>1</v>
      </c>
    </row>
    <row r="755" spans="1:13" x14ac:dyDescent="0.25">
      <c r="A755" s="4">
        <f>ЛИК_дляСкорингаДП!A755</f>
        <v>1157746565954</v>
      </c>
      <c r="B755" s="4">
        <f>ЛИК_дляСкорингаДП!B755</f>
        <v>7730176828</v>
      </c>
      <c r="C755" s="4" t="str">
        <f>ЛИК_дляСкорингаДП!C755</f>
        <v>ООО "НЬЮ ЛЕВЕЛ ИНЖИНИРИНГ"</v>
      </c>
      <c r="D755" s="5" t="str">
        <f>ЛИК_дляСкорингаДП!M755</f>
        <v>Строительство жилых и нежилых зданий</v>
      </c>
      <c r="E755" s="4" t="str">
        <f>ЛИК_дляСкорингаДП!L755</f>
        <v>41.20</v>
      </c>
      <c r="F755" t="str">
        <f>ЛИК_дляСкорингаДП!N755</f>
        <v>43.21,43.22,43.31,43.34,43.99,43.99.1,46.41,46.41.2,46.43,46.49,46.90,47.19,47.43,47.54,47.7,47.99,62.01,62.02,62.09,71.1,71.12.5,71.12.6</v>
      </c>
      <c r="G755" s="25" t="str">
        <f>ЛИК_дляСкорингаДП!AG755</f>
        <v>УСН</v>
      </c>
      <c r="H755" s="55" t="str">
        <f>IF(ISNUMBER(E755),E755,
IFERROR(LEFT(E755,FIND(".",E755)-1),E755))</f>
        <v>41</v>
      </c>
      <c r="I755" s="30">
        <f>IF(COUNTIF(Справочник_ОКВЭД_НР!$A$3:$A$62,H755)&gt;0,Справочник_ОКВЭД_НР!$L$8,
 IF(COUNTIF(Справочник_ОКВЭД_НР!$C$3:$C$62,H755)&gt;0,Справочник_ОКВЭД_НР!$L$9,
  IF(COUNTIF(Справочник_ОКВЭД_НР!$E$3:$E$62,H755)&gt;0,Справочник_ОКВЭД_НР!$L$10,
   IF(COUNTIF(Справочник_ОКВЭД_НР!$G$3:$G$62,H755)&gt;0,Справочник_ОКВЭД_НР!$L$11,50))))</f>
        <v>100</v>
      </c>
      <c r="J755" s="30" cm="1">
        <f t="array" ref="J755">IFERROR(
 (SUMPRODUCT(ISNUMBER(SEARCH(","&amp;Справочник_ОКВЭД_НР!$A$3:$A$62&amp;".",","&amp;SUBSTITUTE(F755," ","")&amp;",")))*Справочник_ОКВЭД_НР!$L$9 +
  SUMPRODUCT(ISNUMBER(SEARCH(","&amp;Справочник_ОКВЭД_НР!$C$3:$C$62&amp;".",","&amp;SUBSTITUTE(F755," ","")&amp;",")))*Справочник_ОКВЭД_НР!$L$10 +
  SUMPRODUCT(ISNUMBER(SEARCH(","&amp;Справочник_ОКВЭД_НР!$E$3:$E$62&amp;".",","&amp;SUBSTITUTE(F755," ","")&amp;",")))*Справочник_ОКВЭД_НР!$L$11 +
  SUMPRODUCT(ISNUMBER(SEARCH(","&amp;Справочник_ОКВЭД_НР!$G$3:$G$62&amp;".",","&amp;SUBSTITUTE(F755," ","")&amp;",")))*Справочник_ОКВЭД_НР!$L$12) /
 (SUMPRODUCT(ISNUMBER(SEARCH(","&amp;Справочник_ОКВЭД_НР!$A$3:$A$62&amp;".",","&amp;SUBSTITUTE(F755," ","")&amp;","))) +
  SUMPRODUCT(ISNUMBER(SEARCH(","&amp;Справочник_ОКВЭД_НР!$C$3:$C$62&amp;".",","&amp;SUBSTITUTE(F755," ","")&amp;","))) +
  SUMPRODUCT(ISNUMBER(SEARCH(","&amp;Справочник_ОКВЭД_НР!$E$3:$E$62&amp;".",","&amp;SUBSTITUTE(F755," ","")&amp;","))) +
  SUMPRODUCT(ISNUMBER(SEARCH(","&amp;Справочник_ОКВЭД_НР!$G$3:$G$62&amp;".",","&amp;SUBSTITUTE(F755," ","")&amp;",")))),
50)</f>
        <v>50</v>
      </c>
      <c r="K755" s="30">
        <f>IFERROR(VLOOKUP(G755,Справочник_ОКВЭД_НР!$O:$P,2,FALSE()),50)</f>
        <v>50</v>
      </c>
      <c r="L755" s="45">
        <f>(I755*Справочник_ОКВЭД_НР!$L$2+J755*Справочник_ОКВЭД_НР!$L$3+K755*Справочник_ОКВЭД_НР!$L$4)*M755</f>
        <v>80</v>
      </c>
      <c r="M755" s="47">
        <f>IF(COUNTIF(Справочник_ОКВЭД_НР!$G$3:$G$62,H755)&gt;0,0,1)</f>
        <v>1</v>
      </c>
    </row>
    <row r="756" spans="1:13" x14ac:dyDescent="0.25">
      <c r="A756" s="4">
        <f>ЛИК_дляСкорингаДП!A756</f>
        <v>1157746522152</v>
      </c>
      <c r="B756" s="4">
        <f>ЛИК_дляСкорингаДП!B756</f>
        <v>7716796675</v>
      </c>
      <c r="C756" s="4" t="str">
        <f>ЛИК_дляСкорингаДП!C756</f>
        <v>ООО АКГ "БИЗНЕСЭКСПЕРТИЗА"</v>
      </c>
      <c r="D756" s="5" t="str">
        <f>ЛИК_дляСкорингаДП!M756</f>
        <v>Деятельность по проведению финансового аудита</v>
      </c>
      <c r="E756" s="4" t="str">
        <f>ЛИК_дляСкорингаДП!L756</f>
        <v>69.20.1</v>
      </c>
      <c r="F756" t="str">
        <f>ЛИК_дляСкорингаДП!N756</f>
        <v>69.10,69.20.2,70.22,73.20.1,73.20.2,85.42.9</v>
      </c>
      <c r="G756" s="25" t="str">
        <f>ЛИК_дляСкорингаДП!AG756</f>
        <v>УСН</v>
      </c>
      <c r="H756" s="55" t="str">
        <f>IF(ISNUMBER(E756),E756,
IFERROR(LEFT(E756,FIND(".",E756)-1),E756))</f>
        <v>69</v>
      </c>
      <c r="I756" s="30">
        <f>IF(COUNTIF(Справочник_ОКВЭД_НР!$A$3:$A$62,H756)&gt;0,Справочник_ОКВЭД_НР!$L$8,
 IF(COUNTIF(Справочник_ОКВЭД_НР!$C$3:$C$62,H756)&gt;0,Справочник_ОКВЭД_НР!$L$9,
  IF(COUNTIF(Справочник_ОКВЭД_НР!$E$3:$E$62,H756)&gt;0,Справочник_ОКВЭД_НР!$L$10,
   IF(COUNTIF(Справочник_ОКВЭД_НР!$G$3:$G$62,H756)&gt;0,Справочник_ОКВЭД_НР!$L$11,50))))</f>
        <v>30</v>
      </c>
      <c r="J756" s="30" cm="1">
        <f t="array" ref="J756">IFERROR(
 (SUMPRODUCT(ISNUMBER(SEARCH(","&amp;Справочник_ОКВЭД_НР!$A$3:$A$62&amp;".",","&amp;SUBSTITUTE(F756," ","")&amp;",")))*Справочник_ОКВЭД_НР!$L$9 +
  SUMPRODUCT(ISNUMBER(SEARCH(","&amp;Справочник_ОКВЭД_НР!$C$3:$C$62&amp;".",","&amp;SUBSTITUTE(F756," ","")&amp;",")))*Справочник_ОКВЭД_НР!$L$10 +
  SUMPRODUCT(ISNUMBER(SEARCH(","&amp;Справочник_ОКВЭД_НР!$E$3:$E$62&amp;".",","&amp;SUBSTITUTE(F756," ","")&amp;",")))*Справочник_ОКВЭД_НР!$L$11 +
  SUMPRODUCT(ISNUMBER(SEARCH(","&amp;Справочник_ОКВЭД_НР!$G$3:$G$62&amp;".",","&amp;SUBSTITUTE(F756," ","")&amp;",")))*Справочник_ОКВЭД_НР!$L$12) /
 (SUMPRODUCT(ISNUMBER(SEARCH(","&amp;Справочник_ОКВЭД_НР!$A$3:$A$62&amp;".",","&amp;SUBSTITUTE(F756," ","")&amp;","))) +
  SUMPRODUCT(ISNUMBER(SEARCH(","&amp;Справочник_ОКВЭД_НР!$C$3:$C$62&amp;".",","&amp;SUBSTITUTE(F756," ","")&amp;","))) +
  SUMPRODUCT(ISNUMBER(SEARCH(","&amp;Справочник_ОКВЭД_НР!$E$3:$E$62&amp;".",","&amp;SUBSTITUTE(F756," ","")&amp;","))) +
  SUMPRODUCT(ISNUMBER(SEARCH(","&amp;Справочник_ОКВЭД_НР!$G$3:$G$62&amp;".",","&amp;SUBSTITUTE(F756," ","")&amp;",")))),
50)</f>
        <v>50</v>
      </c>
      <c r="K756" s="30">
        <f>IFERROR(VLOOKUP(G756,Справочник_ОКВЭД_НР!$O:$P,2,FALSE()),50)</f>
        <v>50</v>
      </c>
      <c r="L756" s="45">
        <f>(I756*Справочник_ОКВЭД_НР!$L$2+J756*Справочник_ОКВЭД_НР!$L$3+K756*Справочник_ОКВЭД_НР!$L$4)*M756</f>
        <v>38</v>
      </c>
      <c r="M756" s="47">
        <f>IF(COUNTIF(Справочник_ОКВЭД_НР!$G$3:$G$62,H756)&gt;0,0,1)</f>
        <v>1</v>
      </c>
    </row>
    <row r="757" spans="1:13" x14ac:dyDescent="0.25">
      <c r="A757" s="4">
        <f>ЛИК_дляСкорингаДП!A757</f>
        <v>1157746322799</v>
      </c>
      <c r="B757" s="4">
        <f>ЛИК_дляСкорингаДП!B757</f>
        <v>7707338291</v>
      </c>
      <c r="C757" s="4" t="str">
        <f>ЛИК_дляСкорингаДП!C757</f>
        <v>ООО "АЭНКОМ"</v>
      </c>
      <c r="D757" s="5" t="str">
        <f>ЛИК_дляСкорингаДП!M757</f>
        <v>Деятельность, направленная на установление рыночной или иной стоимости совокупности вещей, составляющих имущество лица, в том числе имущество определенного вида (движимое или недвижимое, в том числе предприятия)</v>
      </c>
      <c r="E757" s="4" t="str">
        <f>ЛИК_дляСкорингаДП!L757</f>
        <v>74.90.22</v>
      </c>
      <c r="F757" t="str">
        <f>ЛИК_дляСкорингаДП!N757</f>
        <v>45.11.2,45.11.3,45.19.2,45.19.3,45.20,49.4,52.21.24,52.29,56.10,58.11.1,66.21,66.29.9,68.31.1,68.31.11,68.31.2,68.31.21,68.31.3,68.31.31,68.31.4,68.31.41,68.31.5,69.10,70.22,71.20,71.20.2,71.20.9,72.19,73.20.1,79.11,82.99,93.29.9,94.99</v>
      </c>
      <c r="G757" s="25" t="str">
        <f>ЛИК_дляСкорингаДП!AG757</f>
        <v>УСН</v>
      </c>
      <c r="H757" s="55" t="str">
        <f>IF(ISNUMBER(E757),E757,
IFERROR(LEFT(E757,FIND(".",E757)-1),E757))</f>
        <v>74</v>
      </c>
      <c r="I757" s="30">
        <f>IF(COUNTIF(Справочник_ОКВЭД_НР!$A$3:$A$62,H757)&gt;0,Справочник_ОКВЭД_НР!$L$8,
 IF(COUNTIF(Справочник_ОКВЭД_НР!$C$3:$C$62,H757)&gt;0,Справочник_ОКВЭД_НР!$L$9,
  IF(COUNTIF(Справочник_ОКВЭД_НР!$E$3:$E$62,H757)&gt;0,Справочник_ОКВЭД_НР!$L$10,
   IF(COUNTIF(Справочник_ОКВЭД_НР!$G$3:$G$62,H757)&gt;0,Справочник_ОКВЭД_НР!$L$11,50))))</f>
        <v>30</v>
      </c>
      <c r="J757" s="30" cm="1">
        <f t="array" ref="J757">IFERROR(
 (SUMPRODUCT(ISNUMBER(SEARCH(","&amp;Справочник_ОКВЭД_НР!$A$3:$A$62&amp;".",","&amp;SUBSTITUTE(F757," ","")&amp;",")))*Справочник_ОКВЭД_НР!$L$9 +
  SUMPRODUCT(ISNUMBER(SEARCH(","&amp;Справочник_ОКВЭД_НР!$C$3:$C$62&amp;".",","&amp;SUBSTITUTE(F757," ","")&amp;",")))*Справочник_ОКВЭД_НР!$L$10 +
  SUMPRODUCT(ISNUMBER(SEARCH(","&amp;Справочник_ОКВЭД_НР!$E$3:$E$62&amp;".",","&amp;SUBSTITUTE(F757," ","")&amp;",")))*Справочник_ОКВЭД_НР!$L$11 +
  SUMPRODUCT(ISNUMBER(SEARCH(","&amp;Справочник_ОКВЭД_НР!$G$3:$G$62&amp;".",","&amp;SUBSTITUTE(F757," ","")&amp;",")))*Справочник_ОКВЭД_НР!$L$12) /
 (SUMPRODUCT(ISNUMBER(SEARCH(","&amp;Справочник_ОКВЭД_НР!$A$3:$A$62&amp;".",","&amp;SUBSTITUTE(F757," ","")&amp;","))) +
  SUMPRODUCT(ISNUMBER(SEARCH(","&amp;Справочник_ОКВЭД_НР!$C$3:$C$62&amp;".",","&amp;SUBSTITUTE(F757," ","")&amp;","))) +
  SUMPRODUCT(ISNUMBER(SEARCH(","&amp;Справочник_ОКВЭД_НР!$E$3:$E$62&amp;".",","&amp;SUBSTITUTE(F757," ","")&amp;","))) +
  SUMPRODUCT(ISNUMBER(SEARCH(","&amp;Справочник_ОКВЭД_НР!$G$3:$G$62&amp;".",","&amp;SUBSTITUTE(F757," ","")&amp;",")))),
50)</f>
        <v>50</v>
      </c>
      <c r="K757" s="30">
        <f>IFERROR(VLOOKUP(G757,Справочник_ОКВЭД_НР!$O:$P,2,FALSE()),50)</f>
        <v>50</v>
      </c>
      <c r="L757" s="45">
        <f>(I757*Справочник_ОКВЭД_НР!$L$2+J757*Справочник_ОКВЭД_НР!$L$3+K757*Справочник_ОКВЭД_НР!$L$4)*M757</f>
        <v>38</v>
      </c>
      <c r="M757" s="47">
        <f>IF(COUNTIF(Справочник_ОКВЭД_НР!$G$3:$G$62,H757)&gt;0,0,1)</f>
        <v>1</v>
      </c>
    </row>
    <row r="758" spans="1:13" x14ac:dyDescent="0.25">
      <c r="A758" s="4">
        <f>ЛИК_дляСкорингаДП!A758</f>
        <v>1106316002330</v>
      </c>
      <c r="B758" s="4">
        <f>ЛИК_дляСкорингаДП!B758</f>
        <v>6316152762</v>
      </c>
      <c r="C758" s="4" t="str">
        <f>ЛИК_дляСкорингаДП!C758</f>
        <v>ООО "РУСИНТЭК"</v>
      </c>
      <c r="D758" s="5" t="str">
        <f>ЛИК_дляСкорингаДП!M758</f>
        <v>Деятельность гостиниц и прочих мест для временного проживания</v>
      </c>
      <c r="E758" s="4" t="str">
        <f>ЛИК_дляСкорингаДП!L758</f>
        <v>55.10</v>
      </c>
      <c r="F758" t="str">
        <f>ЛИК_дляСкорингаДП!N758</f>
        <v>46.1,55.90,56.10.1,62.01,62.02,63.11,68.10,68.20.2,69.10,69.20,69.20.2,70.10.1,70.22,73.20.1,78.10,78.30,82.19,82.99</v>
      </c>
      <c r="G758" s="25" t="str">
        <f>ЛИК_дляСкорингаДП!AG758</f>
        <v>УСН</v>
      </c>
      <c r="H758" s="55" t="str">
        <f>IF(ISNUMBER(E758),E758,
IFERROR(LEFT(E758,FIND(".",E758)-1),E758))</f>
        <v>55</v>
      </c>
      <c r="I758" s="30">
        <f>IF(COUNTIF(Справочник_ОКВЭД_НР!$A$3:$A$62,H758)&gt;0,Справочник_ОКВЭД_НР!$L$8,
 IF(COUNTIF(Справочник_ОКВЭД_НР!$C$3:$C$62,H758)&gt;0,Справочник_ОКВЭД_НР!$L$9,
  IF(COUNTIF(Справочник_ОКВЭД_НР!$E$3:$E$62,H758)&gt;0,Справочник_ОКВЭД_НР!$L$10,
   IF(COUNTIF(Справочник_ОКВЭД_НР!$G$3:$G$62,H758)&gt;0,Справочник_ОКВЭД_НР!$L$11,50))))</f>
        <v>30</v>
      </c>
      <c r="J758" s="30" cm="1">
        <f t="array" ref="J758">IFERROR(
 (SUMPRODUCT(ISNUMBER(SEARCH(","&amp;Справочник_ОКВЭД_НР!$A$3:$A$62&amp;".",","&amp;SUBSTITUTE(F758," ","")&amp;",")))*Справочник_ОКВЭД_НР!$L$9 +
  SUMPRODUCT(ISNUMBER(SEARCH(","&amp;Справочник_ОКВЭД_НР!$C$3:$C$62&amp;".",","&amp;SUBSTITUTE(F758," ","")&amp;",")))*Справочник_ОКВЭД_НР!$L$10 +
  SUMPRODUCT(ISNUMBER(SEARCH(","&amp;Справочник_ОКВЭД_НР!$E$3:$E$62&amp;".",","&amp;SUBSTITUTE(F758," ","")&amp;",")))*Справочник_ОКВЭД_НР!$L$11 +
  SUMPRODUCT(ISNUMBER(SEARCH(","&amp;Справочник_ОКВЭД_НР!$G$3:$G$62&amp;".",","&amp;SUBSTITUTE(F758," ","")&amp;",")))*Справочник_ОКВЭД_НР!$L$12) /
 (SUMPRODUCT(ISNUMBER(SEARCH(","&amp;Справочник_ОКВЭД_НР!$A$3:$A$62&amp;".",","&amp;SUBSTITUTE(F758," ","")&amp;","))) +
  SUMPRODUCT(ISNUMBER(SEARCH(","&amp;Справочник_ОКВЭД_НР!$C$3:$C$62&amp;".",","&amp;SUBSTITUTE(F758," ","")&amp;","))) +
  SUMPRODUCT(ISNUMBER(SEARCH(","&amp;Справочник_ОКВЭД_НР!$E$3:$E$62&amp;".",","&amp;SUBSTITUTE(F758," ","")&amp;","))) +
  SUMPRODUCT(ISNUMBER(SEARCH(","&amp;Справочник_ОКВЭД_НР!$G$3:$G$62&amp;".",","&amp;SUBSTITUTE(F758," ","")&amp;",")))),
50)</f>
        <v>50</v>
      </c>
      <c r="K758" s="30">
        <f>IFERROR(VLOOKUP(G758,Справочник_ОКВЭД_НР!$O:$P,2,FALSE()),50)</f>
        <v>50</v>
      </c>
      <c r="L758" s="45">
        <f>(I758*Справочник_ОКВЭД_НР!$L$2+J758*Справочник_ОКВЭД_НР!$L$3+K758*Справочник_ОКВЭД_НР!$L$4)*M758</f>
        <v>38</v>
      </c>
      <c r="M758" s="47">
        <f>IF(COUNTIF(Справочник_ОКВЭД_НР!$G$3:$G$62,H758)&gt;0,0,1)</f>
        <v>1</v>
      </c>
    </row>
    <row r="759" spans="1:13" x14ac:dyDescent="0.25">
      <c r="A759" s="4">
        <f>ЛИК_дляСкорингаДП!A759</f>
        <v>1157746280691</v>
      </c>
      <c r="B759" s="4">
        <f>ЛИК_дляСкорингаДП!B759</f>
        <v>7703252822</v>
      </c>
      <c r="C759" s="4" t="str">
        <f>ЛИК_дляСкорингаДП!C759</f>
        <v>ООО "СМАРТВИЖЕН"</v>
      </c>
      <c r="D759" s="5" t="str">
        <f>ЛИК_дляСкорингаДП!M759</f>
        <v>Деятельность консультативная и работы в области компьютерных технологий</v>
      </c>
      <c r="E759" s="4" t="str">
        <f>ЛИК_дляСкорингаДП!L759</f>
        <v>62.02</v>
      </c>
      <c r="F759" t="str">
        <f>ЛИК_дляСкорингаДП!N759</f>
        <v>33.14,33.20,41.20,43.21,46.51,46.66,46.69.5,49.41.2,49.41.3,62.01,62.09,63.11,63.11.1,70.22,71.12,71.12.12,95.11</v>
      </c>
      <c r="G759" s="25" t="str">
        <f>ЛИК_дляСкорингаДП!AG759</f>
        <v>УСН</v>
      </c>
      <c r="H759" s="55" t="str">
        <f>IF(ISNUMBER(E759),E759,
IFERROR(LEFT(E759,FIND(".",E759)-1),E759))</f>
        <v>62</v>
      </c>
      <c r="I759" s="30">
        <f>IF(COUNTIF(Справочник_ОКВЭД_НР!$A$3:$A$62,H759)&gt;0,Справочник_ОКВЭД_НР!$L$8,
 IF(COUNTIF(Справочник_ОКВЭД_НР!$C$3:$C$62,H759)&gt;0,Справочник_ОКВЭД_НР!$L$9,
  IF(COUNTIF(Справочник_ОКВЭД_НР!$E$3:$E$62,H759)&gt;0,Справочник_ОКВЭД_НР!$L$10,
   IF(COUNTIF(Справочник_ОКВЭД_НР!$G$3:$G$62,H759)&gt;0,Справочник_ОКВЭД_НР!$L$11,50))))</f>
        <v>100</v>
      </c>
      <c r="J759" s="30" cm="1">
        <f t="array" ref="J759">IFERROR(
 (SUMPRODUCT(ISNUMBER(SEARCH(","&amp;Справочник_ОКВЭД_НР!$A$3:$A$62&amp;".",","&amp;SUBSTITUTE(F759," ","")&amp;",")))*Справочник_ОКВЭД_НР!$L$9 +
  SUMPRODUCT(ISNUMBER(SEARCH(","&amp;Справочник_ОКВЭД_НР!$C$3:$C$62&amp;".",","&amp;SUBSTITUTE(F759," ","")&amp;",")))*Справочник_ОКВЭД_НР!$L$10 +
  SUMPRODUCT(ISNUMBER(SEARCH(","&amp;Справочник_ОКВЭД_НР!$E$3:$E$62&amp;".",","&amp;SUBSTITUTE(F759," ","")&amp;",")))*Справочник_ОКВЭД_НР!$L$11 +
  SUMPRODUCT(ISNUMBER(SEARCH(","&amp;Справочник_ОКВЭД_НР!$G$3:$G$62&amp;".",","&amp;SUBSTITUTE(F759," ","")&amp;",")))*Справочник_ОКВЭД_НР!$L$12) /
 (SUMPRODUCT(ISNUMBER(SEARCH(","&amp;Справочник_ОКВЭД_НР!$A$3:$A$62&amp;".",","&amp;SUBSTITUTE(F759," ","")&amp;","))) +
  SUMPRODUCT(ISNUMBER(SEARCH(","&amp;Справочник_ОКВЭД_НР!$C$3:$C$62&amp;".",","&amp;SUBSTITUTE(F759," ","")&amp;","))) +
  SUMPRODUCT(ISNUMBER(SEARCH(","&amp;Справочник_ОКВЭД_НР!$E$3:$E$62&amp;".",","&amp;SUBSTITUTE(F759," ","")&amp;","))) +
  SUMPRODUCT(ISNUMBER(SEARCH(","&amp;Справочник_ОКВЭД_НР!$G$3:$G$62&amp;".",","&amp;SUBSTITUTE(F759," ","")&amp;",")))),
50)</f>
        <v>50</v>
      </c>
      <c r="K759" s="30">
        <f>IFERROR(VLOOKUP(G759,Справочник_ОКВЭД_НР!$O:$P,2,FALSE()),50)</f>
        <v>50</v>
      </c>
      <c r="L759" s="45">
        <f>(I759*Справочник_ОКВЭД_НР!$L$2+J759*Справочник_ОКВЭД_НР!$L$3+K759*Справочник_ОКВЭД_НР!$L$4)*M759</f>
        <v>80</v>
      </c>
      <c r="M759" s="47">
        <f>IF(COUNTIF(Справочник_ОКВЭД_НР!$G$3:$G$62,H759)&gt;0,0,1)</f>
        <v>1</v>
      </c>
    </row>
    <row r="760" spans="1:13" x14ac:dyDescent="0.25">
      <c r="A760" s="4">
        <f>ЛИК_дляСкорингаДП!A760</f>
        <v>1157746490846</v>
      </c>
      <c r="B760" s="4">
        <f>ЛИК_дляСкорингаДП!B760</f>
        <v>7733236560</v>
      </c>
      <c r="C760" s="4" t="str">
        <f>ЛИК_дляСкорингаДП!C760</f>
        <v>ООО "МИРОМЕД"</v>
      </c>
      <c r="D760" s="5" t="str">
        <f>ЛИК_дляСкорингаДП!M760</f>
        <v>Торговля розничная лекарственными средствами в специализированных магазинах (аптеках)</v>
      </c>
      <c r="E760" s="4" t="str">
        <f>ЛИК_дляСкорингаДП!L760</f>
        <v>47.73</v>
      </c>
      <c r="F760" t="str">
        <f>ЛИК_дляСкорингаДП!N760</f>
        <v>46.45.1,46.45.2,46.46.1,46.46.2,47.19,47.74,47.75.1,47.75.2,47.91.2,47.91.3,47.91.4,82.99,86.21,86.90.9,96.02,96.09</v>
      </c>
      <c r="G760" s="25" t="str">
        <f>ЛИК_дляСкорингаДП!AG760</f>
        <v>УСН</v>
      </c>
      <c r="H760" s="55" t="str">
        <f>IF(ISNUMBER(E760),E760,
IFERROR(LEFT(E760,FIND(".",E760)-1),E760))</f>
        <v>47</v>
      </c>
      <c r="I760" s="30">
        <f>IF(COUNTIF(Справочник_ОКВЭД_НР!$A$3:$A$62,H760)&gt;0,Справочник_ОКВЭД_НР!$L$8,
 IF(COUNTIF(Справочник_ОКВЭД_НР!$C$3:$C$62,H760)&gt;0,Справочник_ОКВЭД_НР!$L$9,
  IF(COUNTIF(Справочник_ОКВЭД_НР!$E$3:$E$62,H760)&gt;0,Справочник_ОКВЭД_НР!$L$10,
   IF(COUNTIF(Справочник_ОКВЭД_НР!$G$3:$G$62,H760)&gt;0,Справочник_ОКВЭД_НР!$L$11,50))))</f>
        <v>60</v>
      </c>
      <c r="J760" s="30" cm="1">
        <f t="array" ref="J760">IFERROR(
 (SUMPRODUCT(ISNUMBER(SEARCH(","&amp;Справочник_ОКВЭД_НР!$A$3:$A$62&amp;".",","&amp;SUBSTITUTE(F760," ","")&amp;",")))*Справочник_ОКВЭД_НР!$L$9 +
  SUMPRODUCT(ISNUMBER(SEARCH(","&amp;Справочник_ОКВЭД_НР!$C$3:$C$62&amp;".",","&amp;SUBSTITUTE(F760," ","")&amp;",")))*Справочник_ОКВЭД_НР!$L$10 +
  SUMPRODUCT(ISNUMBER(SEARCH(","&amp;Справочник_ОКВЭД_НР!$E$3:$E$62&amp;".",","&amp;SUBSTITUTE(F760," ","")&amp;",")))*Справочник_ОКВЭД_НР!$L$11 +
  SUMPRODUCT(ISNUMBER(SEARCH(","&amp;Справочник_ОКВЭД_НР!$G$3:$G$62&amp;".",","&amp;SUBSTITUTE(F760," ","")&amp;",")))*Справочник_ОКВЭД_НР!$L$12) /
 (SUMPRODUCT(ISNUMBER(SEARCH(","&amp;Справочник_ОКВЭД_НР!$A$3:$A$62&amp;".",","&amp;SUBSTITUTE(F760," ","")&amp;","))) +
  SUMPRODUCT(ISNUMBER(SEARCH(","&amp;Справочник_ОКВЭД_НР!$C$3:$C$62&amp;".",","&amp;SUBSTITUTE(F760," ","")&amp;","))) +
  SUMPRODUCT(ISNUMBER(SEARCH(","&amp;Справочник_ОКВЭД_НР!$E$3:$E$62&amp;".",","&amp;SUBSTITUTE(F760," ","")&amp;","))) +
  SUMPRODUCT(ISNUMBER(SEARCH(","&amp;Справочник_ОКВЭД_НР!$G$3:$G$62&amp;".",","&amp;SUBSTITUTE(F760," ","")&amp;",")))),
50)</f>
        <v>50</v>
      </c>
      <c r="K760" s="30">
        <f>IFERROR(VLOOKUP(G760,Справочник_ОКВЭД_НР!$O:$P,2,FALSE()),50)</f>
        <v>50</v>
      </c>
      <c r="L760" s="45">
        <f>(I760*Справочник_ОКВЭД_НР!$L$2+J760*Справочник_ОКВЭД_НР!$L$3+K760*Справочник_ОКВЭД_НР!$L$4)*M760</f>
        <v>56</v>
      </c>
      <c r="M760" s="47">
        <f>IF(COUNTIF(Справочник_ОКВЭД_НР!$G$3:$G$62,H760)&gt;0,0,1)</f>
        <v>1</v>
      </c>
    </row>
    <row r="761" spans="1:13" x14ac:dyDescent="0.25">
      <c r="A761" s="4">
        <f>ЛИК_дляСкорингаДП!A761</f>
        <v>1025005920114</v>
      </c>
      <c r="B761" s="4">
        <f>ЛИК_дляСкорингаДП!B761</f>
        <v>5045023374</v>
      </c>
      <c r="C761" s="4" t="str">
        <f>ЛИК_дляСкорингаДП!C761</f>
        <v>АО "АТП-3"</v>
      </c>
      <c r="D761" s="5" t="str">
        <f>ЛИК_дляСкорингаДП!M761</f>
        <v>Аренда и управление собственным или арендованным недвижимым имуществом</v>
      </c>
      <c r="E761" s="4" t="str">
        <f>ЛИК_дляСкорингаДП!L761</f>
        <v>68.20</v>
      </c>
      <c r="F761" t="str">
        <f>ЛИК_дляСкорингаДП!N761</f>
        <v>45.20,45.3,46.3,49.41.1,56.10,56.10.1,56.30,68.1,68.2,68.3,70.22</v>
      </c>
      <c r="G761" s="25" t="str">
        <f>ЛИК_дляСкорингаДП!AG761</f>
        <v>УСН</v>
      </c>
      <c r="H761" s="55" t="str">
        <f>IF(ISNUMBER(E761),E761,
IFERROR(LEFT(E761,FIND(".",E761)-1),E761))</f>
        <v>68</v>
      </c>
      <c r="I761" s="30">
        <f>IF(COUNTIF(Справочник_ОКВЭД_НР!$A$3:$A$62,H761)&gt;0,Справочник_ОКВЭД_НР!$L$8,
 IF(COUNTIF(Справочник_ОКВЭД_НР!$C$3:$C$62,H761)&gt;0,Справочник_ОКВЭД_НР!$L$9,
  IF(COUNTIF(Справочник_ОКВЭД_НР!$E$3:$E$62,H761)&gt;0,Справочник_ОКВЭД_НР!$L$10,
   IF(COUNTIF(Справочник_ОКВЭД_НР!$G$3:$G$62,H761)&gt;0,Справочник_ОКВЭД_НР!$L$11,50))))</f>
        <v>100</v>
      </c>
      <c r="J761" s="30" cm="1">
        <f t="array" ref="J761">IFERROR(
 (SUMPRODUCT(ISNUMBER(SEARCH(","&amp;Справочник_ОКВЭД_НР!$A$3:$A$62&amp;".",","&amp;SUBSTITUTE(F761," ","")&amp;",")))*Справочник_ОКВЭД_НР!$L$9 +
  SUMPRODUCT(ISNUMBER(SEARCH(","&amp;Справочник_ОКВЭД_НР!$C$3:$C$62&amp;".",","&amp;SUBSTITUTE(F761," ","")&amp;",")))*Справочник_ОКВЭД_НР!$L$10 +
  SUMPRODUCT(ISNUMBER(SEARCH(","&amp;Справочник_ОКВЭД_НР!$E$3:$E$62&amp;".",","&amp;SUBSTITUTE(F761," ","")&amp;",")))*Справочник_ОКВЭД_НР!$L$11 +
  SUMPRODUCT(ISNUMBER(SEARCH(","&amp;Справочник_ОКВЭД_НР!$G$3:$G$62&amp;".",","&amp;SUBSTITUTE(F761," ","")&amp;",")))*Справочник_ОКВЭД_НР!$L$12) /
 (SUMPRODUCT(ISNUMBER(SEARCH(","&amp;Справочник_ОКВЭД_НР!$A$3:$A$62&amp;".",","&amp;SUBSTITUTE(F761," ","")&amp;","))) +
  SUMPRODUCT(ISNUMBER(SEARCH(","&amp;Справочник_ОКВЭД_НР!$C$3:$C$62&amp;".",","&amp;SUBSTITUTE(F761," ","")&amp;","))) +
  SUMPRODUCT(ISNUMBER(SEARCH(","&amp;Справочник_ОКВЭД_НР!$E$3:$E$62&amp;".",","&amp;SUBSTITUTE(F761," ","")&amp;","))) +
  SUMPRODUCT(ISNUMBER(SEARCH(","&amp;Справочник_ОКВЭД_НР!$G$3:$G$62&amp;".",","&amp;SUBSTITUTE(F761," ","")&amp;",")))),
50)</f>
        <v>50</v>
      </c>
      <c r="K761" s="30">
        <f>IFERROR(VLOOKUP(G761,Справочник_ОКВЭД_НР!$O:$P,2,FALSE()),50)</f>
        <v>50</v>
      </c>
      <c r="L761" s="45">
        <f>(I761*Справочник_ОКВЭД_НР!$L$2+J761*Справочник_ОКВЭД_НР!$L$3+K761*Справочник_ОКВЭД_НР!$L$4)*M761</f>
        <v>80</v>
      </c>
      <c r="M761" s="47">
        <f>IF(COUNTIF(Справочник_ОКВЭД_НР!$G$3:$G$62,H761)&gt;0,0,1)</f>
        <v>1</v>
      </c>
    </row>
    <row r="762" spans="1:13" x14ac:dyDescent="0.25">
      <c r="A762" s="4">
        <f>ЛИК_дляСкорингаДП!A762</f>
        <v>1157746456295</v>
      </c>
      <c r="B762" s="4">
        <f>ЛИК_дляСкорингаДП!B762</f>
        <v>7719413899</v>
      </c>
      <c r="C762" s="4" t="str">
        <f>ЛИК_дляСкорингаДП!C762</f>
        <v>ООО "МУЗИМ"</v>
      </c>
      <c r="D762" s="5" t="str">
        <f>ЛИК_дляСкорингаДП!M762</f>
        <v>Торговля розничная музыкальными инструментами и нотными изданиями в специализированных магазинах</v>
      </c>
      <c r="E762" s="4" t="str">
        <f>ЛИК_дляСкорингаДП!L762</f>
        <v>47.59.5</v>
      </c>
      <c r="F762" t="str">
        <f>ЛИК_дляСкорингаДП!N762</f>
        <v>18.20,32.20,32.40,46.18.99,46.43.3,46.49.31,47.41,47.61,47.63.1,47.63.2,47.78.3,47.78.4,47.79,47.8,47.9,47.91.1,47.91.2,47.91.3,47.91.4,52.29,59.20,60.10,60.20,62.01,62.02,63.11,63.11.1,77.22,77.29.3,78.10,90.01,90.04,95.11,95.12,95.22.1,95.23,95.25,95.29</v>
      </c>
      <c r="G762" s="25" t="str">
        <f>ЛИК_дляСкорингаДП!AG762</f>
        <v>УСН</v>
      </c>
      <c r="H762" s="55" t="str">
        <f>IF(ISNUMBER(E762),E762,
IFERROR(LEFT(E762,FIND(".",E762)-1),E762))</f>
        <v>47</v>
      </c>
      <c r="I762" s="30">
        <f>IF(COUNTIF(Справочник_ОКВЭД_НР!$A$3:$A$62,H762)&gt;0,Справочник_ОКВЭД_НР!$L$8,
 IF(COUNTIF(Справочник_ОКВЭД_НР!$C$3:$C$62,H762)&gt;0,Справочник_ОКВЭД_НР!$L$9,
  IF(COUNTIF(Справочник_ОКВЭД_НР!$E$3:$E$62,H762)&gt;0,Справочник_ОКВЭД_НР!$L$10,
   IF(COUNTIF(Справочник_ОКВЭД_НР!$G$3:$G$62,H762)&gt;0,Справочник_ОКВЭД_НР!$L$11,50))))</f>
        <v>60</v>
      </c>
      <c r="J762" s="30" cm="1">
        <f t="array" ref="J762">IFERROR(
 (SUMPRODUCT(ISNUMBER(SEARCH(","&amp;Справочник_ОКВЭД_НР!$A$3:$A$62&amp;".",","&amp;SUBSTITUTE(F762," ","")&amp;",")))*Справочник_ОКВЭД_НР!$L$9 +
  SUMPRODUCT(ISNUMBER(SEARCH(","&amp;Справочник_ОКВЭД_НР!$C$3:$C$62&amp;".",","&amp;SUBSTITUTE(F762," ","")&amp;",")))*Справочник_ОКВЭД_НР!$L$10 +
  SUMPRODUCT(ISNUMBER(SEARCH(","&amp;Справочник_ОКВЭД_НР!$E$3:$E$62&amp;".",","&amp;SUBSTITUTE(F762," ","")&amp;",")))*Справочник_ОКВЭД_НР!$L$11 +
  SUMPRODUCT(ISNUMBER(SEARCH(","&amp;Справочник_ОКВЭД_НР!$G$3:$G$62&amp;".",","&amp;SUBSTITUTE(F762," ","")&amp;",")))*Справочник_ОКВЭД_НР!$L$12) /
 (SUMPRODUCT(ISNUMBER(SEARCH(","&amp;Справочник_ОКВЭД_НР!$A$3:$A$62&amp;".",","&amp;SUBSTITUTE(F762," ","")&amp;","))) +
  SUMPRODUCT(ISNUMBER(SEARCH(","&amp;Справочник_ОКВЭД_НР!$C$3:$C$62&amp;".",","&amp;SUBSTITUTE(F762," ","")&amp;","))) +
  SUMPRODUCT(ISNUMBER(SEARCH(","&amp;Справочник_ОКВЭД_НР!$E$3:$E$62&amp;".",","&amp;SUBSTITUTE(F762," ","")&amp;","))) +
  SUMPRODUCT(ISNUMBER(SEARCH(","&amp;Справочник_ОКВЭД_НР!$G$3:$G$62&amp;".",","&amp;SUBSTITUTE(F762," ","")&amp;",")))),
50)</f>
        <v>50</v>
      </c>
      <c r="K762" s="30">
        <f>IFERROR(VLOOKUP(G762,Справочник_ОКВЭД_НР!$O:$P,2,FALSE()),50)</f>
        <v>50</v>
      </c>
      <c r="L762" s="45">
        <f>(I762*Справочник_ОКВЭД_НР!$L$2+J762*Справочник_ОКВЭД_НР!$L$3+K762*Справочник_ОКВЭД_НР!$L$4)*M762</f>
        <v>56</v>
      </c>
      <c r="M762" s="47">
        <f>IF(COUNTIF(Справочник_ОКВЭД_НР!$G$3:$G$62,H762)&gt;0,0,1)</f>
        <v>1</v>
      </c>
    </row>
    <row r="763" spans="1:13" x14ac:dyDescent="0.25">
      <c r="A763" s="4">
        <f>ЛИК_дляСкорингаДП!A763</f>
        <v>1025004857646</v>
      </c>
      <c r="B763" s="4">
        <f>ЛИК_дляСкорингаДП!B763</f>
        <v>5037060647</v>
      </c>
      <c r="C763" s="4" t="str">
        <f>ЛИК_дляСкорингаДП!C763</f>
        <v>ООО "САНИТА"</v>
      </c>
      <c r="D763" s="5" t="str">
        <f>ЛИК_дляСкорингаДП!M763</f>
        <v>Торговля оптовая фармацевтической продукцией</v>
      </c>
      <c r="E763" s="4" t="str">
        <f>ЛИК_дляСкорингаДП!L763</f>
        <v>46.46</v>
      </c>
      <c r="F763" t="str">
        <f>ЛИК_дляСкорингаДП!N763</f>
        <v>46.41.1,46.41.2,46.42.12,46.42.2,46.43.1,46.45.2,46.47.1,46.49,46.49.33,46.49.49,46.51,46.65,46.69,46.72.23,79.11,79.90.1,79.90.2,79.90.3</v>
      </c>
      <c r="G763" s="25" t="str">
        <f>ЛИК_дляСкорингаДП!AG763</f>
        <v>УСН</v>
      </c>
      <c r="H763" s="55" t="str">
        <f>IF(ISNUMBER(E763),E763,
IFERROR(LEFT(E763,FIND(".",E763)-1),E763))</f>
        <v>46</v>
      </c>
      <c r="I763" s="30">
        <f>IF(COUNTIF(Справочник_ОКВЭД_НР!$A$3:$A$62,H763)&gt;0,Справочник_ОКВЭД_НР!$L$8,
 IF(COUNTIF(Справочник_ОКВЭД_НР!$C$3:$C$62,H763)&gt;0,Справочник_ОКВЭД_НР!$L$9,
  IF(COUNTIF(Справочник_ОКВЭД_НР!$E$3:$E$62,H763)&gt;0,Справочник_ОКВЭД_НР!$L$10,
   IF(COUNTIF(Справочник_ОКВЭД_НР!$G$3:$G$62,H763)&gt;0,Справочник_ОКВЭД_НР!$L$11,50))))</f>
        <v>60</v>
      </c>
      <c r="J763" s="30" cm="1">
        <f t="array" ref="J763">IFERROR(
 (SUMPRODUCT(ISNUMBER(SEARCH(","&amp;Справочник_ОКВЭД_НР!$A$3:$A$62&amp;".",","&amp;SUBSTITUTE(F763," ","")&amp;",")))*Справочник_ОКВЭД_НР!$L$9 +
  SUMPRODUCT(ISNUMBER(SEARCH(","&amp;Справочник_ОКВЭД_НР!$C$3:$C$62&amp;".",","&amp;SUBSTITUTE(F763," ","")&amp;",")))*Справочник_ОКВЭД_НР!$L$10 +
  SUMPRODUCT(ISNUMBER(SEARCH(","&amp;Справочник_ОКВЭД_НР!$E$3:$E$62&amp;".",","&amp;SUBSTITUTE(F763," ","")&amp;",")))*Справочник_ОКВЭД_НР!$L$11 +
  SUMPRODUCT(ISNUMBER(SEARCH(","&amp;Справочник_ОКВЭД_НР!$G$3:$G$62&amp;".",","&amp;SUBSTITUTE(F763," ","")&amp;",")))*Справочник_ОКВЭД_НР!$L$12) /
 (SUMPRODUCT(ISNUMBER(SEARCH(","&amp;Справочник_ОКВЭД_НР!$A$3:$A$62&amp;".",","&amp;SUBSTITUTE(F763," ","")&amp;","))) +
  SUMPRODUCT(ISNUMBER(SEARCH(","&amp;Справочник_ОКВЭД_НР!$C$3:$C$62&amp;".",","&amp;SUBSTITUTE(F763," ","")&amp;","))) +
  SUMPRODUCT(ISNUMBER(SEARCH(","&amp;Справочник_ОКВЭД_НР!$E$3:$E$62&amp;".",","&amp;SUBSTITUTE(F763," ","")&amp;","))) +
  SUMPRODUCT(ISNUMBER(SEARCH(","&amp;Справочник_ОКВЭД_НР!$G$3:$G$62&amp;".",","&amp;SUBSTITUTE(F763," ","")&amp;",")))),
50)</f>
        <v>50</v>
      </c>
      <c r="K763" s="30">
        <f>IFERROR(VLOOKUP(G763,Справочник_ОКВЭД_НР!$O:$P,2,FALSE()),50)</f>
        <v>50</v>
      </c>
      <c r="L763" s="45">
        <f>(I763*Справочник_ОКВЭД_НР!$L$2+J763*Справочник_ОКВЭД_НР!$L$3+K763*Справочник_ОКВЭД_НР!$L$4)*M763</f>
        <v>56</v>
      </c>
      <c r="M763" s="47">
        <f>IF(COUNTIF(Справочник_ОКВЭД_НР!$G$3:$G$62,H763)&gt;0,0,1)</f>
        <v>1</v>
      </c>
    </row>
    <row r="764" spans="1:13" x14ac:dyDescent="0.25">
      <c r="A764" s="4">
        <f>ЛИК_дляСкорингаДП!A764</f>
        <v>1157746484125</v>
      </c>
      <c r="B764" s="4">
        <f>ЛИК_дляСкорингаДП!B764</f>
        <v>7728253680</v>
      </c>
      <c r="C764" s="4" t="str">
        <f>ЛИК_дляСкорингаДП!C764</f>
        <v>ООО "ТЕБЕТ"</v>
      </c>
      <c r="D764" s="5" t="str">
        <f>ЛИК_дляСкорингаДП!M764</f>
        <v>Деятельность по дополнительному профессиональному образованию прочая, не включенная в другие группировки</v>
      </c>
      <c r="E764" s="4" t="str">
        <f>ЛИК_дляСкорингаДП!L764</f>
        <v>85.42.9</v>
      </c>
      <c r="F764" t="str">
        <f>ЛИК_дляСкорингаДП!N764</f>
        <v>58.11.1,69.20,70.22,71.12.63,71.20.9,82.99,85.30,85.41,85.41.9</v>
      </c>
      <c r="G764" s="25" t="str">
        <f>ЛИК_дляСкорингаДП!AG764</f>
        <v>УСН</v>
      </c>
      <c r="H764" s="55" t="str">
        <f>IF(ISNUMBER(E764),E764,
IFERROR(LEFT(E764,FIND(".",E764)-1),E764))</f>
        <v>85</v>
      </c>
      <c r="I764" s="30">
        <f>IF(COUNTIF(Справочник_ОКВЭД_НР!$A$3:$A$62,H764)&gt;0,Справочник_ОКВЭД_НР!$L$8,
 IF(COUNTIF(Справочник_ОКВЭД_НР!$C$3:$C$62,H764)&gt;0,Справочник_ОКВЭД_НР!$L$9,
  IF(COUNTIF(Справочник_ОКВЭД_НР!$E$3:$E$62,H764)&gt;0,Справочник_ОКВЭД_НР!$L$10,
   IF(COUNTIF(Справочник_ОКВЭД_НР!$G$3:$G$62,H764)&gt;0,Справочник_ОКВЭД_НР!$L$11,50))))</f>
        <v>30</v>
      </c>
      <c r="J764" s="30" cm="1">
        <f t="array" ref="J764">IFERROR(
 (SUMPRODUCT(ISNUMBER(SEARCH(","&amp;Справочник_ОКВЭД_НР!$A$3:$A$62&amp;".",","&amp;SUBSTITUTE(F764," ","")&amp;",")))*Справочник_ОКВЭД_НР!$L$9 +
  SUMPRODUCT(ISNUMBER(SEARCH(","&amp;Справочник_ОКВЭД_НР!$C$3:$C$62&amp;".",","&amp;SUBSTITUTE(F764," ","")&amp;",")))*Справочник_ОКВЭД_НР!$L$10 +
  SUMPRODUCT(ISNUMBER(SEARCH(","&amp;Справочник_ОКВЭД_НР!$E$3:$E$62&amp;".",","&amp;SUBSTITUTE(F764," ","")&amp;",")))*Справочник_ОКВЭД_НР!$L$11 +
  SUMPRODUCT(ISNUMBER(SEARCH(","&amp;Справочник_ОКВЭД_НР!$G$3:$G$62&amp;".",","&amp;SUBSTITUTE(F764," ","")&amp;",")))*Справочник_ОКВЭД_НР!$L$12) /
 (SUMPRODUCT(ISNUMBER(SEARCH(","&amp;Справочник_ОКВЭД_НР!$A$3:$A$62&amp;".",","&amp;SUBSTITUTE(F764," ","")&amp;","))) +
  SUMPRODUCT(ISNUMBER(SEARCH(","&amp;Справочник_ОКВЭД_НР!$C$3:$C$62&amp;".",","&amp;SUBSTITUTE(F764," ","")&amp;","))) +
  SUMPRODUCT(ISNUMBER(SEARCH(","&amp;Справочник_ОКВЭД_НР!$E$3:$E$62&amp;".",","&amp;SUBSTITUTE(F764," ","")&amp;","))) +
  SUMPRODUCT(ISNUMBER(SEARCH(","&amp;Справочник_ОКВЭД_НР!$G$3:$G$62&amp;".",","&amp;SUBSTITUTE(F764," ","")&amp;",")))),
50)</f>
        <v>50</v>
      </c>
      <c r="K764" s="30">
        <f>IFERROR(VLOOKUP(G764,Справочник_ОКВЭД_НР!$O:$P,2,FALSE()),50)</f>
        <v>50</v>
      </c>
      <c r="L764" s="45">
        <f>(I764*Справочник_ОКВЭД_НР!$L$2+J764*Справочник_ОКВЭД_НР!$L$3+K764*Справочник_ОКВЭД_НР!$L$4)*M764</f>
        <v>38</v>
      </c>
      <c r="M764" s="47">
        <f>IF(COUNTIF(Справочник_ОКВЭД_НР!$G$3:$G$62,H764)&gt;0,0,1)</f>
        <v>1</v>
      </c>
    </row>
    <row r="765" spans="1:13" x14ac:dyDescent="0.25">
      <c r="A765" s="4">
        <f>ЛИК_дляСкорингаДП!A765</f>
        <v>1025005120799</v>
      </c>
      <c r="B765" s="4">
        <f>ЛИК_дляСкорингаДП!B765</f>
        <v>5040038440</v>
      </c>
      <c r="C765" s="4" t="str">
        <f>ЛИК_дляСкорингаДП!C765</f>
        <v>ООО "ГОНЧАР И К"</v>
      </c>
      <c r="D765" s="5" t="str">
        <f>ЛИК_дляСкорингаДП!M765</f>
        <v>Торговля розничная моторным топливом в специализированных магазинах</v>
      </c>
      <c r="E765" s="4" t="str">
        <f>ЛИК_дляСкорингаДП!L765</f>
        <v>47.30</v>
      </c>
      <c r="F765" t="str">
        <f>ЛИК_дляСкорингаДП!N765</f>
        <v>41.20,45.32,46.19,46.39,46.71,47.11,52.24,52.29,68.20.2,77.39.11</v>
      </c>
      <c r="G765" s="25" t="str">
        <f>ЛИК_дляСкорингаДП!AG765</f>
        <v>УСН</v>
      </c>
      <c r="H765" s="55" t="str">
        <f>IF(ISNUMBER(E765),E765,
IFERROR(LEFT(E765,FIND(".",E765)-1),E765))</f>
        <v>47</v>
      </c>
      <c r="I765" s="30">
        <f>IF(COUNTIF(Справочник_ОКВЭД_НР!$A$3:$A$62,H765)&gt;0,Справочник_ОКВЭД_НР!$L$8,
 IF(COUNTIF(Справочник_ОКВЭД_НР!$C$3:$C$62,H765)&gt;0,Справочник_ОКВЭД_НР!$L$9,
  IF(COUNTIF(Справочник_ОКВЭД_НР!$E$3:$E$62,H765)&gt;0,Справочник_ОКВЭД_НР!$L$10,
   IF(COUNTIF(Справочник_ОКВЭД_НР!$G$3:$G$62,H765)&gt;0,Справочник_ОКВЭД_НР!$L$11,50))))</f>
        <v>60</v>
      </c>
      <c r="J765" s="30" cm="1">
        <f t="array" ref="J765">IFERROR(
 (SUMPRODUCT(ISNUMBER(SEARCH(","&amp;Справочник_ОКВЭД_НР!$A$3:$A$62&amp;".",","&amp;SUBSTITUTE(F765," ","")&amp;",")))*Справочник_ОКВЭД_НР!$L$9 +
  SUMPRODUCT(ISNUMBER(SEARCH(","&amp;Справочник_ОКВЭД_НР!$C$3:$C$62&amp;".",","&amp;SUBSTITUTE(F765," ","")&amp;",")))*Справочник_ОКВЭД_НР!$L$10 +
  SUMPRODUCT(ISNUMBER(SEARCH(","&amp;Справочник_ОКВЭД_НР!$E$3:$E$62&amp;".",","&amp;SUBSTITUTE(F765," ","")&amp;",")))*Справочник_ОКВЭД_НР!$L$11 +
  SUMPRODUCT(ISNUMBER(SEARCH(","&amp;Справочник_ОКВЭД_НР!$G$3:$G$62&amp;".",","&amp;SUBSTITUTE(F765," ","")&amp;",")))*Справочник_ОКВЭД_НР!$L$12) /
 (SUMPRODUCT(ISNUMBER(SEARCH(","&amp;Справочник_ОКВЭД_НР!$A$3:$A$62&amp;".",","&amp;SUBSTITUTE(F765," ","")&amp;","))) +
  SUMPRODUCT(ISNUMBER(SEARCH(","&amp;Справочник_ОКВЭД_НР!$C$3:$C$62&amp;".",","&amp;SUBSTITUTE(F765," ","")&amp;","))) +
  SUMPRODUCT(ISNUMBER(SEARCH(","&amp;Справочник_ОКВЭД_НР!$E$3:$E$62&amp;".",","&amp;SUBSTITUTE(F765," ","")&amp;","))) +
  SUMPRODUCT(ISNUMBER(SEARCH(","&amp;Справочник_ОКВЭД_НР!$G$3:$G$62&amp;".",","&amp;SUBSTITUTE(F765," ","")&amp;",")))),
50)</f>
        <v>50</v>
      </c>
      <c r="K765" s="30">
        <f>IFERROR(VLOOKUP(G765,Справочник_ОКВЭД_НР!$O:$P,2,FALSE()),50)</f>
        <v>50</v>
      </c>
      <c r="L765" s="45">
        <f>(I765*Справочник_ОКВЭД_НР!$L$2+J765*Справочник_ОКВЭД_НР!$L$3+K765*Справочник_ОКВЭД_НР!$L$4)*M765</f>
        <v>56</v>
      </c>
      <c r="M765" s="47">
        <f>IF(COUNTIF(Справочник_ОКВЭД_НР!$G$3:$G$62,H765)&gt;0,0,1)</f>
        <v>1</v>
      </c>
    </row>
    <row r="766" spans="1:13" x14ac:dyDescent="0.25">
      <c r="A766" s="4">
        <f>ЛИК_дляСкорингаДП!A766</f>
        <v>1157746378217</v>
      </c>
      <c r="B766" s="4">
        <f>ЛИК_дляСкорингаДП!B766</f>
        <v>7721300910</v>
      </c>
      <c r="C766" s="4" t="str">
        <f>ЛИК_дляСкорингаДП!C766</f>
        <v>ООО "АПЕКС СОБЫТИЙ"</v>
      </c>
      <c r="D766" s="5" t="str">
        <f>ЛИК_дляСкорингаДП!M766</f>
        <v>Деятельность зрелищно-развлекательная прочая, не включенная в другие группировки</v>
      </c>
      <c r="E766" s="4" t="str">
        <f>ЛИК_дляСкорингаДП!L766</f>
        <v>93.29.9</v>
      </c>
      <c r="F766" t="str">
        <f>ЛИК_дляСкорингаДП!N766</f>
        <v>18.12,46.16,46.90,56.10,60.10,73.11,77.29,79.90,79.90.31,82.30,85.41.1,85.41.9,90.01,90.02,93.11,93.19,93.29,93.29.3,96.09</v>
      </c>
      <c r="G766" s="25" t="str">
        <f>ЛИК_дляСкорингаДП!AG766</f>
        <v>УСН</v>
      </c>
      <c r="H766" s="55" t="str">
        <f>IF(ISNUMBER(E766),E766,
IFERROR(LEFT(E766,FIND(".",E766)-1),E766))</f>
        <v>93</v>
      </c>
      <c r="I766" s="30">
        <f>IF(COUNTIF(Справочник_ОКВЭД_НР!$A$3:$A$62,H766)&gt;0,Справочник_ОКВЭД_НР!$L$8,
 IF(COUNTIF(Справочник_ОКВЭД_НР!$C$3:$C$62,H766)&gt;0,Справочник_ОКВЭД_НР!$L$9,
  IF(COUNTIF(Справочник_ОКВЭД_НР!$E$3:$E$62,H766)&gt;0,Справочник_ОКВЭД_НР!$L$10,
   IF(COUNTIF(Справочник_ОКВЭД_НР!$G$3:$G$62,H766)&gt;0,Справочник_ОКВЭД_НР!$L$11,50))))</f>
        <v>30</v>
      </c>
      <c r="J766" s="30" cm="1">
        <f t="array" ref="J766">IFERROR(
 (SUMPRODUCT(ISNUMBER(SEARCH(","&amp;Справочник_ОКВЭД_НР!$A$3:$A$62&amp;".",","&amp;SUBSTITUTE(F766," ","")&amp;",")))*Справочник_ОКВЭД_НР!$L$9 +
  SUMPRODUCT(ISNUMBER(SEARCH(","&amp;Справочник_ОКВЭД_НР!$C$3:$C$62&amp;".",","&amp;SUBSTITUTE(F766," ","")&amp;",")))*Справочник_ОКВЭД_НР!$L$10 +
  SUMPRODUCT(ISNUMBER(SEARCH(","&amp;Справочник_ОКВЭД_НР!$E$3:$E$62&amp;".",","&amp;SUBSTITUTE(F766," ","")&amp;",")))*Справочник_ОКВЭД_НР!$L$11 +
  SUMPRODUCT(ISNUMBER(SEARCH(","&amp;Справочник_ОКВЭД_НР!$G$3:$G$62&amp;".",","&amp;SUBSTITUTE(F766," ","")&amp;",")))*Справочник_ОКВЭД_НР!$L$12) /
 (SUMPRODUCT(ISNUMBER(SEARCH(","&amp;Справочник_ОКВЭД_НР!$A$3:$A$62&amp;".",","&amp;SUBSTITUTE(F766," ","")&amp;","))) +
  SUMPRODUCT(ISNUMBER(SEARCH(","&amp;Справочник_ОКВЭД_НР!$C$3:$C$62&amp;".",","&amp;SUBSTITUTE(F766," ","")&amp;","))) +
  SUMPRODUCT(ISNUMBER(SEARCH(","&amp;Справочник_ОКВЭД_НР!$E$3:$E$62&amp;".",","&amp;SUBSTITUTE(F766," ","")&amp;","))) +
  SUMPRODUCT(ISNUMBER(SEARCH(","&amp;Справочник_ОКВЭД_НР!$G$3:$G$62&amp;".",","&amp;SUBSTITUTE(F766," ","")&amp;",")))),
50)</f>
        <v>50</v>
      </c>
      <c r="K766" s="30">
        <f>IFERROR(VLOOKUP(G766,Справочник_ОКВЭД_НР!$O:$P,2,FALSE()),50)</f>
        <v>50</v>
      </c>
      <c r="L766" s="45">
        <f>(I766*Справочник_ОКВЭД_НР!$L$2+J766*Справочник_ОКВЭД_НР!$L$3+K766*Справочник_ОКВЭД_НР!$L$4)*M766</f>
        <v>38</v>
      </c>
      <c r="M766" s="47">
        <f>IF(COUNTIF(Справочник_ОКВЭД_НР!$G$3:$G$62,H766)&gt;0,0,1)</f>
        <v>1</v>
      </c>
    </row>
    <row r="767" spans="1:13" x14ac:dyDescent="0.25">
      <c r="A767" s="4">
        <f>ЛИК_дляСкорингаДП!A767</f>
        <v>1165031052735</v>
      </c>
      <c r="B767" s="4">
        <f>ЛИК_дляСкорингаДП!B767</f>
        <v>5031121646</v>
      </c>
      <c r="C767" s="4" t="str">
        <f>ЛИК_дляСкорингаДП!C767</f>
        <v>ООО "ТРАДИЦИИ 2"</v>
      </c>
      <c r="D767" s="5" t="str">
        <f>ЛИК_дляСкорингаДП!M767</f>
        <v>Деятельность ресторанов и услуги по доставке продуктов питания</v>
      </c>
      <c r="E767" s="4" t="str">
        <f>ЛИК_дляСкорингаДП!L767</f>
        <v>56.10</v>
      </c>
      <c r="F767" t="str">
        <f>ЛИК_дляСкорингаДП!N767</f>
        <v>10.72,47.11,47.23,47.24,47.26,47.29,47.99,55.30,56.10.1,56.10.3,56.29,56.30,69.10,69.20,73.11,73.20,77.11,77.21,77.39.11,77.39.2,78.10,93.29.9</v>
      </c>
      <c r="G767" s="25" t="str">
        <f>ЛИК_дляСкорингаДП!AG767</f>
        <v>УСН</v>
      </c>
      <c r="H767" s="55" t="str">
        <f>IF(ISNUMBER(E767),E767,
IFERROR(LEFT(E767,FIND(".",E767)-1),E767))</f>
        <v>56</v>
      </c>
      <c r="I767" s="30">
        <f>IF(COUNTIF(Справочник_ОКВЭД_НР!$A$3:$A$62,H767)&gt;0,Справочник_ОКВЭД_НР!$L$8,
 IF(COUNTIF(Справочник_ОКВЭД_НР!$C$3:$C$62,H767)&gt;0,Справочник_ОКВЭД_НР!$L$9,
  IF(COUNTIF(Справочник_ОКВЭД_НР!$E$3:$E$62,H767)&gt;0,Справочник_ОКВЭД_НР!$L$10,
   IF(COUNTIF(Справочник_ОКВЭД_НР!$G$3:$G$62,H767)&gt;0,Справочник_ОКВЭД_НР!$L$11,50))))</f>
        <v>30</v>
      </c>
      <c r="J767" s="30" cm="1">
        <f t="array" ref="J767">IFERROR(
 (SUMPRODUCT(ISNUMBER(SEARCH(","&amp;Справочник_ОКВЭД_НР!$A$3:$A$62&amp;".",","&amp;SUBSTITUTE(F767," ","")&amp;",")))*Справочник_ОКВЭД_НР!$L$9 +
  SUMPRODUCT(ISNUMBER(SEARCH(","&amp;Справочник_ОКВЭД_НР!$C$3:$C$62&amp;".",","&amp;SUBSTITUTE(F767," ","")&amp;",")))*Справочник_ОКВЭД_НР!$L$10 +
  SUMPRODUCT(ISNUMBER(SEARCH(","&amp;Справочник_ОКВЭД_НР!$E$3:$E$62&amp;".",","&amp;SUBSTITUTE(F767," ","")&amp;",")))*Справочник_ОКВЭД_НР!$L$11 +
  SUMPRODUCT(ISNUMBER(SEARCH(","&amp;Справочник_ОКВЭД_НР!$G$3:$G$62&amp;".",","&amp;SUBSTITUTE(F767," ","")&amp;",")))*Справочник_ОКВЭД_НР!$L$12) /
 (SUMPRODUCT(ISNUMBER(SEARCH(","&amp;Справочник_ОКВЭД_НР!$A$3:$A$62&amp;".",","&amp;SUBSTITUTE(F767," ","")&amp;","))) +
  SUMPRODUCT(ISNUMBER(SEARCH(","&amp;Справочник_ОКВЭД_НР!$C$3:$C$62&amp;".",","&amp;SUBSTITUTE(F767," ","")&amp;","))) +
  SUMPRODUCT(ISNUMBER(SEARCH(","&amp;Справочник_ОКВЭД_НР!$E$3:$E$62&amp;".",","&amp;SUBSTITUTE(F767," ","")&amp;","))) +
  SUMPRODUCT(ISNUMBER(SEARCH(","&amp;Справочник_ОКВЭД_НР!$G$3:$G$62&amp;".",","&amp;SUBSTITUTE(F767," ","")&amp;",")))),
50)</f>
        <v>50</v>
      </c>
      <c r="K767" s="30">
        <f>IFERROR(VLOOKUP(G767,Справочник_ОКВЭД_НР!$O:$P,2,FALSE()),50)</f>
        <v>50</v>
      </c>
      <c r="L767" s="45">
        <f>(I767*Справочник_ОКВЭД_НР!$L$2+J767*Справочник_ОКВЭД_НР!$L$3+K767*Справочник_ОКВЭД_НР!$L$4)*M767</f>
        <v>38</v>
      </c>
      <c r="M767" s="47">
        <f>IF(COUNTIF(Справочник_ОКВЭД_НР!$G$3:$G$62,H767)&gt;0,0,1)</f>
        <v>1</v>
      </c>
    </row>
    <row r="768" spans="1:13" x14ac:dyDescent="0.25">
      <c r="A768" s="4">
        <f>ЛИК_дляСкорингаДП!A768</f>
        <v>1025004644081</v>
      </c>
      <c r="B768" s="4">
        <f>ЛИК_дляСкорингаДП!B768</f>
        <v>5035019788</v>
      </c>
      <c r="C768" s="4" t="str">
        <f>ЛИК_дляСкорингаДП!C768</f>
        <v>ООО "МЕДТЕКС"</v>
      </c>
      <c r="D768" s="5" t="str">
        <f>ЛИК_дляСкорингаДП!M768</f>
        <v>Аренда и управление собственным или арендованным нежилым недвижимым имуществом</v>
      </c>
      <c r="E768" s="4" t="str">
        <f>ЛИК_дляСкорингаДП!L768</f>
        <v>68.20.2</v>
      </c>
      <c r="F768" t="str">
        <f>ЛИК_дляСкорингаДП!N768</f>
        <v>13.10.1,25.93.1,25.94,35.12,35.13,35.30.14,35.30.2,35.30.3,36.00.2,46.11.35,46.41.1,46.46.1,46.90,47.74,68.31.1,68.31.2,68.31.3,68.31.4,68.32.2</v>
      </c>
      <c r="G768" s="25" t="str">
        <f>ЛИК_дляСкорингаДП!AG768</f>
        <v>УСН</v>
      </c>
      <c r="H768" s="55" t="str">
        <f>IF(ISNUMBER(E768),E768,
IFERROR(LEFT(E768,FIND(".",E768)-1),E768))</f>
        <v>68</v>
      </c>
      <c r="I768" s="30">
        <f>IF(COUNTIF(Справочник_ОКВЭД_НР!$A$3:$A$62,H768)&gt;0,Справочник_ОКВЭД_НР!$L$8,
 IF(COUNTIF(Справочник_ОКВЭД_НР!$C$3:$C$62,H768)&gt;0,Справочник_ОКВЭД_НР!$L$9,
  IF(COUNTIF(Справочник_ОКВЭД_НР!$E$3:$E$62,H768)&gt;0,Справочник_ОКВЭД_НР!$L$10,
   IF(COUNTIF(Справочник_ОКВЭД_НР!$G$3:$G$62,H768)&gt;0,Справочник_ОКВЭД_НР!$L$11,50))))</f>
        <v>100</v>
      </c>
      <c r="J768" s="30" cm="1">
        <f t="array" ref="J768">IFERROR(
 (SUMPRODUCT(ISNUMBER(SEARCH(","&amp;Справочник_ОКВЭД_НР!$A$3:$A$62&amp;".",","&amp;SUBSTITUTE(F768," ","")&amp;",")))*Справочник_ОКВЭД_НР!$L$9 +
  SUMPRODUCT(ISNUMBER(SEARCH(","&amp;Справочник_ОКВЭД_НР!$C$3:$C$62&amp;".",","&amp;SUBSTITUTE(F768," ","")&amp;",")))*Справочник_ОКВЭД_НР!$L$10 +
  SUMPRODUCT(ISNUMBER(SEARCH(","&amp;Справочник_ОКВЭД_НР!$E$3:$E$62&amp;".",","&amp;SUBSTITUTE(F768," ","")&amp;",")))*Справочник_ОКВЭД_НР!$L$11 +
  SUMPRODUCT(ISNUMBER(SEARCH(","&amp;Справочник_ОКВЭД_НР!$G$3:$G$62&amp;".",","&amp;SUBSTITUTE(F768," ","")&amp;",")))*Справочник_ОКВЭД_НР!$L$12) /
 (SUMPRODUCT(ISNUMBER(SEARCH(","&amp;Справочник_ОКВЭД_НР!$A$3:$A$62&amp;".",","&amp;SUBSTITUTE(F768," ","")&amp;","))) +
  SUMPRODUCT(ISNUMBER(SEARCH(","&amp;Справочник_ОКВЭД_НР!$C$3:$C$62&amp;".",","&amp;SUBSTITUTE(F768," ","")&amp;","))) +
  SUMPRODUCT(ISNUMBER(SEARCH(","&amp;Справочник_ОКВЭД_НР!$E$3:$E$62&amp;".",","&amp;SUBSTITUTE(F768," ","")&amp;","))) +
  SUMPRODUCT(ISNUMBER(SEARCH(","&amp;Справочник_ОКВЭД_НР!$G$3:$G$62&amp;".",","&amp;SUBSTITUTE(F768," ","")&amp;",")))),
50)</f>
        <v>50</v>
      </c>
      <c r="K768" s="30">
        <f>IFERROR(VLOOKUP(G768,Справочник_ОКВЭД_НР!$O:$P,2,FALSE()),50)</f>
        <v>50</v>
      </c>
      <c r="L768" s="45">
        <f>(I768*Справочник_ОКВЭД_НР!$L$2+J768*Справочник_ОКВЭД_НР!$L$3+K768*Справочник_ОКВЭД_НР!$L$4)*M768</f>
        <v>80</v>
      </c>
      <c r="M768" s="47">
        <f>IF(COUNTIF(Справочник_ОКВЭД_НР!$G$3:$G$62,H768)&gt;0,0,1)</f>
        <v>1</v>
      </c>
    </row>
    <row r="769" spans="1:13" x14ac:dyDescent="0.25">
      <c r="A769" s="4">
        <f>ЛИК_дляСкорингаДП!A769</f>
        <v>1025005916275</v>
      </c>
      <c r="B769" s="4">
        <f>ЛИК_дляСкорингаДП!B769</f>
        <v>5045028291</v>
      </c>
      <c r="C769" s="4" t="str">
        <f>ЛИК_дляСкорингаДП!C769</f>
        <v>ООО "ЛЕДА-СТ"</v>
      </c>
      <c r="D769" s="5" t="str">
        <f>ЛИК_дляСкорингаДП!M769</f>
        <v>Стирка и химическая чистка текстильных и меховых изделий</v>
      </c>
      <c r="E769" s="4" t="str">
        <f>ЛИК_дляСкорингаДП!L769</f>
        <v>96.01</v>
      </c>
      <c r="F769" t="str">
        <f>ЛИК_дляСкорингаДП!N769</f>
        <v>20.41.3,20.42,47.19,47.24.2,47.73,47.74,47.75,88.10</v>
      </c>
      <c r="G769" s="25" t="str">
        <f>ЛИК_дляСкорингаДП!AG769</f>
        <v>УСН</v>
      </c>
      <c r="H769" s="55" t="str">
        <f>IF(ISNUMBER(E769),E769,
IFERROR(LEFT(E769,FIND(".",E769)-1),E769))</f>
        <v>96</v>
      </c>
      <c r="I769" s="30">
        <f>IF(COUNTIF(Справочник_ОКВЭД_НР!$A$3:$A$62,H769)&gt;0,Справочник_ОКВЭД_НР!$L$8,
 IF(COUNTIF(Справочник_ОКВЭД_НР!$C$3:$C$62,H769)&gt;0,Справочник_ОКВЭД_НР!$L$9,
  IF(COUNTIF(Справочник_ОКВЭД_НР!$E$3:$E$62,H769)&gt;0,Справочник_ОКВЭД_НР!$L$10,
   IF(COUNTIF(Справочник_ОКВЭД_НР!$G$3:$G$62,H769)&gt;0,Справочник_ОКВЭД_НР!$L$11,50))))</f>
        <v>30</v>
      </c>
      <c r="J769" s="30" cm="1">
        <f t="array" ref="J769">IFERROR(
 (SUMPRODUCT(ISNUMBER(SEARCH(","&amp;Справочник_ОКВЭД_НР!$A$3:$A$62&amp;".",","&amp;SUBSTITUTE(F769," ","")&amp;",")))*Справочник_ОКВЭД_НР!$L$9 +
  SUMPRODUCT(ISNUMBER(SEARCH(","&amp;Справочник_ОКВЭД_НР!$C$3:$C$62&amp;".",","&amp;SUBSTITUTE(F769," ","")&amp;",")))*Справочник_ОКВЭД_НР!$L$10 +
  SUMPRODUCT(ISNUMBER(SEARCH(","&amp;Справочник_ОКВЭД_НР!$E$3:$E$62&amp;".",","&amp;SUBSTITUTE(F769," ","")&amp;",")))*Справочник_ОКВЭД_НР!$L$11 +
  SUMPRODUCT(ISNUMBER(SEARCH(","&amp;Справочник_ОКВЭД_НР!$G$3:$G$62&amp;".",","&amp;SUBSTITUTE(F769," ","")&amp;",")))*Справочник_ОКВЭД_НР!$L$12) /
 (SUMPRODUCT(ISNUMBER(SEARCH(","&amp;Справочник_ОКВЭД_НР!$A$3:$A$62&amp;".",","&amp;SUBSTITUTE(F769," ","")&amp;","))) +
  SUMPRODUCT(ISNUMBER(SEARCH(","&amp;Справочник_ОКВЭД_НР!$C$3:$C$62&amp;".",","&amp;SUBSTITUTE(F769," ","")&amp;","))) +
  SUMPRODUCT(ISNUMBER(SEARCH(","&amp;Справочник_ОКВЭД_НР!$E$3:$E$62&amp;".",","&amp;SUBSTITUTE(F769," ","")&amp;","))) +
  SUMPRODUCT(ISNUMBER(SEARCH(","&amp;Справочник_ОКВЭД_НР!$G$3:$G$62&amp;".",","&amp;SUBSTITUTE(F769," ","")&amp;",")))),
50)</f>
        <v>50</v>
      </c>
      <c r="K769" s="30">
        <f>IFERROR(VLOOKUP(G769,Справочник_ОКВЭД_НР!$O:$P,2,FALSE()),50)</f>
        <v>50</v>
      </c>
      <c r="L769" s="45">
        <f>(I769*Справочник_ОКВЭД_НР!$L$2+J769*Справочник_ОКВЭД_НР!$L$3+K769*Справочник_ОКВЭД_НР!$L$4)*M769</f>
        <v>38</v>
      </c>
      <c r="M769" s="47">
        <f>IF(COUNTIF(Справочник_ОКВЭД_НР!$G$3:$G$62,H769)&gt;0,0,1)</f>
        <v>1</v>
      </c>
    </row>
    <row r="770" spans="1:13" x14ac:dyDescent="0.25">
      <c r="A770" s="4">
        <f>ЛИК_дляСкорингаДП!A770</f>
        <v>1157746315847</v>
      </c>
      <c r="B770" s="4">
        <f>ЛИК_дляСкорингаДП!B770</f>
        <v>7726335095</v>
      </c>
      <c r="C770" s="4" t="str">
        <f>ЛИК_дляСкорингаДП!C770</f>
        <v>ООО "ПРАЙМБЮРО"</v>
      </c>
      <c r="D770" s="5" t="str">
        <f>ЛИК_дляСкорингаДП!M770</f>
        <v>Деятельность рекламных агентств</v>
      </c>
      <c r="E770" s="4" t="str">
        <f>ЛИК_дляСкорингаДП!L770</f>
        <v>73.11</v>
      </c>
      <c r="F770" t="str">
        <f>ЛИК_дляСкорингаДП!N770</f>
        <v>46.19,46.39,46.41,46.41.1,46.41.2,46.42,46.43,46.49,46.76,46.90,69.10,73.20,74.10,74.20,74.30,82.19,82.30,82.99</v>
      </c>
      <c r="G770" s="25" t="str">
        <f>ЛИК_дляСкорингаДП!AG770</f>
        <v>УСН</v>
      </c>
      <c r="H770" s="55" t="str">
        <f>IF(ISNUMBER(E770),E770,
IFERROR(LEFT(E770,FIND(".",E770)-1),E770))</f>
        <v>73</v>
      </c>
      <c r="I770" s="30">
        <f>IF(COUNTIF(Справочник_ОКВЭД_НР!$A$3:$A$62,H770)&gt;0,Справочник_ОКВЭД_НР!$L$8,
 IF(COUNTIF(Справочник_ОКВЭД_НР!$C$3:$C$62,H770)&gt;0,Справочник_ОКВЭД_НР!$L$9,
  IF(COUNTIF(Справочник_ОКВЭД_НР!$E$3:$E$62,H770)&gt;0,Справочник_ОКВЭД_НР!$L$10,
   IF(COUNTIF(Справочник_ОКВЭД_НР!$G$3:$G$62,H770)&gt;0,Справочник_ОКВЭД_НР!$L$11,50))))</f>
        <v>30</v>
      </c>
      <c r="J770" s="30" cm="1">
        <f t="array" ref="J770">IFERROR(
 (SUMPRODUCT(ISNUMBER(SEARCH(","&amp;Справочник_ОКВЭД_НР!$A$3:$A$62&amp;".",","&amp;SUBSTITUTE(F770," ","")&amp;",")))*Справочник_ОКВЭД_НР!$L$9 +
  SUMPRODUCT(ISNUMBER(SEARCH(","&amp;Справочник_ОКВЭД_НР!$C$3:$C$62&amp;".",","&amp;SUBSTITUTE(F770," ","")&amp;",")))*Справочник_ОКВЭД_НР!$L$10 +
  SUMPRODUCT(ISNUMBER(SEARCH(","&amp;Справочник_ОКВЭД_НР!$E$3:$E$62&amp;".",","&amp;SUBSTITUTE(F770," ","")&amp;",")))*Справочник_ОКВЭД_НР!$L$11 +
  SUMPRODUCT(ISNUMBER(SEARCH(","&amp;Справочник_ОКВЭД_НР!$G$3:$G$62&amp;".",","&amp;SUBSTITUTE(F770," ","")&amp;",")))*Справочник_ОКВЭД_НР!$L$12) /
 (SUMPRODUCT(ISNUMBER(SEARCH(","&amp;Справочник_ОКВЭД_НР!$A$3:$A$62&amp;".",","&amp;SUBSTITUTE(F770," ","")&amp;","))) +
  SUMPRODUCT(ISNUMBER(SEARCH(","&amp;Справочник_ОКВЭД_НР!$C$3:$C$62&amp;".",","&amp;SUBSTITUTE(F770," ","")&amp;","))) +
  SUMPRODUCT(ISNUMBER(SEARCH(","&amp;Справочник_ОКВЭД_НР!$E$3:$E$62&amp;".",","&amp;SUBSTITUTE(F770," ","")&amp;","))) +
  SUMPRODUCT(ISNUMBER(SEARCH(","&amp;Справочник_ОКВЭД_НР!$G$3:$G$62&amp;".",","&amp;SUBSTITUTE(F770," ","")&amp;",")))),
50)</f>
        <v>50</v>
      </c>
      <c r="K770" s="30">
        <f>IFERROR(VLOOKUP(G770,Справочник_ОКВЭД_НР!$O:$P,2,FALSE()),50)</f>
        <v>50</v>
      </c>
      <c r="L770" s="45">
        <f>(I770*Справочник_ОКВЭД_НР!$L$2+J770*Справочник_ОКВЭД_НР!$L$3+K770*Справочник_ОКВЭД_НР!$L$4)*M770</f>
        <v>38</v>
      </c>
      <c r="M770" s="47">
        <f>IF(COUNTIF(Справочник_ОКВЭД_НР!$G$3:$G$62,H770)&gt;0,0,1)</f>
        <v>1</v>
      </c>
    </row>
    <row r="771" spans="1:13" x14ac:dyDescent="0.25">
      <c r="A771" s="4">
        <f>ЛИК_дляСкорингаДП!A771</f>
        <v>1157746430852</v>
      </c>
      <c r="B771" s="4">
        <f>ЛИК_дляСкорингаДП!B771</f>
        <v>7710495745</v>
      </c>
      <c r="C771" s="4" t="str">
        <f>ЛИК_дляСкорингаДП!C771</f>
        <v>ООО "ПАТРИКИ"</v>
      </c>
      <c r="D771" s="5" t="str">
        <f>ЛИК_дляСкорингаДП!M771</f>
        <v>Деятельность ресторанов и услуги по доставке продуктов питания</v>
      </c>
      <c r="E771" s="4" t="str">
        <f>ЛИК_дляСкорингаДП!L771</f>
        <v>56.10</v>
      </c>
      <c r="F771" t="str">
        <f>ЛИК_дляСкорингаДП!N771</f>
        <v>10.32,10.71,10.89.3,11.07,46.19,46.34.1,46.36.3,46.36.4,46.90,47.11,47.24,47.25.2,47.78.9,47.8,47.9,47.91.2,47.91.3,47.91.4,49.4,52.10.9,52.24,52.29,56.10.1,56.10.3,56.29,70.10.1,70.10.2,70.22,73.11,73.20,78.10,82.92,82.99</v>
      </c>
      <c r="G771" s="25" t="str">
        <f>ЛИК_дляСкорингаДП!AG771</f>
        <v>УСН</v>
      </c>
      <c r="H771" s="55" t="str">
        <f>IF(ISNUMBER(E771),E771,
IFERROR(LEFT(E771,FIND(".",E771)-1),E771))</f>
        <v>56</v>
      </c>
      <c r="I771" s="30">
        <f>IF(COUNTIF(Справочник_ОКВЭД_НР!$A$3:$A$62,H771)&gt;0,Справочник_ОКВЭД_НР!$L$8,
 IF(COUNTIF(Справочник_ОКВЭД_НР!$C$3:$C$62,H771)&gt;0,Справочник_ОКВЭД_НР!$L$9,
  IF(COUNTIF(Справочник_ОКВЭД_НР!$E$3:$E$62,H771)&gt;0,Справочник_ОКВЭД_НР!$L$10,
   IF(COUNTIF(Справочник_ОКВЭД_НР!$G$3:$G$62,H771)&gt;0,Справочник_ОКВЭД_НР!$L$11,50))))</f>
        <v>30</v>
      </c>
      <c r="J771" s="30" cm="1">
        <f t="array" ref="J771">IFERROR(
 (SUMPRODUCT(ISNUMBER(SEARCH(","&amp;Справочник_ОКВЭД_НР!$A$3:$A$62&amp;".",","&amp;SUBSTITUTE(F771," ","")&amp;",")))*Справочник_ОКВЭД_НР!$L$9 +
  SUMPRODUCT(ISNUMBER(SEARCH(","&amp;Справочник_ОКВЭД_НР!$C$3:$C$62&amp;".",","&amp;SUBSTITUTE(F771," ","")&amp;",")))*Справочник_ОКВЭД_НР!$L$10 +
  SUMPRODUCT(ISNUMBER(SEARCH(","&amp;Справочник_ОКВЭД_НР!$E$3:$E$62&amp;".",","&amp;SUBSTITUTE(F771," ","")&amp;",")))*Справочник_ОКВЭД_НР!$L$11 +
  SUMPRODUCT(ISNUMBER(SEARCH(","&amp;Справочник_ОКВЭД_НР!$G$3:$G$62&amp;".",","&amp;SUBSTITUTE(F771," ","")&amp;",")))*Справочник_ОКВЭД_НР!$L$12) /
 (SUMPRODUCT(ISNUMBER(SEARCH(","&amp;Справочник_ОКВЭД_НР!$A$3:$A$62&amp;".",","&amp;SUBSTITUTE(F771," ","")&amp;","))) +
  SUMPRODUCT(ISNUMBER(SEARCH(","&amp;Справочник_ОКВЭД_НР!$C$3:$C$62&amp;".",","&amp;SUBSTITUTE(F771," ","")&amp;","))) +
  SUMPRODUCT(ISNUMBER(SEARCH(","&amp;Справочник_ОКВЭД_НР!$E$3:$E$62&amp;".",","&amp;SUBSTITUTE(F771," ","")&amp;","))) +
  SUMPRODUCT(ISNUMBER(SEARCH(","&amp;Справочник_ОКВЭД_НР!$G$3:$G$62&amp;".",","&amp;SUBSTITUTE(F771," ","")&amp;",")))),
50)</f>
        <v>50</v>
      </c>
      <c r="K771" s="30">
        <f>IFERROR(VLOOKUP(G771,Справочник_ОКВЭД_НР!$O:$P,2,FALSE()),50)</f>
        <v>50</v>
      </c>
      <c r="L771" s="45">
        <f>(I771*Справочник_ОКВЭД_НР!$L$2+J771*Справочник_ОКВЭД_НР!$L$3+K771*Справочник_ОКВЭД_НР!$L$4)*M771</f>
        <v>38</v>
      </c>
      <c r="M771" s="47">
        <f>IF(COUNTIF(Справочник_ОКВЭД_НР!$G$3:$G$62,H771)&gt;0,0,1)</f>
        <v>1</v>
      </c>
    </row>
    <row r="772" spans="1:13" x14ac:dyDescent="0.25">
      <c r="A772" s="4">
        <f>ЛИК_дляСкорингаДП!A772</f>
        <v>1157746330862</v>
      </c>
      <c r="B772" s="4">
        <f>ЛИК_дляСкорингаДП!B772</f>
        <v>7725269570</v>
      </c>
      <c r="C772" s="4" t="str">
        <f>ЛИК_дляСкорингаДП!C772</f>
        <v>ООО "МАКСИПЛЭЙС"</v>
      </c>
      <c r="D772" s="5" t="str">
        <f>ЛИК_дляСкорингаДП!M772</f>
        <v>Деятельность по созданию и использованию баз данных и информационных ресурсов</v>
      </c>
      <c r="E772" s="4" t="str">
        <f>ЛИК_дляСкорингаДП!L772</f>
        <v>63.11.1</v>
      </c>
      <c r="F772" t="str">
        <f>ЛИК_дляСкорингаДП!N772</f>
        <v>18.20,46.66,46.69,47.41,47.41.4,47.42,61.10,62.01,62.02,62.09,63.11,77.33.2,82.99,95.11</v>
      </c>
      <c r="G772" s="25" t="str">
        <f>ЛИК_дляСкорингаДП!AG772</f>
        <v>УСН</v>
      </c>
      <c r="H772" s="55" t="str">
        <f>IF(ISNUMBER(E772),E772,
IFERROR(LEFT(E772,FIND(".",E772)-1),E772))</f>
        <v>63</v>
      </c>
      <c r="I772" s="30">
        <f>IF(COUNTIF(Справочник_ОКВЭД_НР!$A$3:$A$62,H772)&gt;0,Справочник_ОКВЭД_НР!$L$8,
 IF(COUNTIF(Справочник_ОКВЭД_НР!$C$3:$C$62,H772)&gt;0,Справочник_ОКВЭД_НР!$L$9,
  IF(COUNTIF(Справочник_ОКВЭД_НР!$E$3:$E$62,H772)&gt;0,Справочник_ОКВЭД_НР!$L$10,
   IF(COUNTIF(Справочник_ОКВЭД_НР!$G$3:$G$62,H772)&gt;0,Справочник_ОКВЭД_НР!$L$11,50))))</f>
        <v>100</v>
      </c>
      <c r="J772" s="30" cm="1">
        <f t="array" ref="J772">IFERROR(
 (SUMPRODUCT(ISNUMBER(SEARCH(","&amp;Справочник_ОКВЭД_НР!$A$3:$A$62&amp;".",","&amp;SUBSTITUTE(F772," ","")&amp;",")))*Справочник_ОКВЭД_НР!$L$9 +
  SUMPRODUCT(ISNUMBER(SEARCH(","&amp;Справочник_ОКВЭД_НР!$C$3:$C$62&amp;".",","&amp;SUBSTITUTE(F772," ","")&amp;",")))*Справочник_ОКВЭД_НР!$L$10 +
  SUMPRODUCT(ISNUMBER(SEARCH(","&amp;Справочник_ОКВЭД_НР!$E$3:$E$62&amp;".",","&amp;SUBSTITUTE(F772," ","")&amp;",")))*Справочник_ОКВЭД_НР!$L$11 +
  SUMPRODUCT(ISNUMBER(SEARCH(","&amp;Справочник_ОКВЭД_НР!$G$3:$G$62&amp;".",","&amp;SUBSTITUTE(F772," ","")&amp;",")))*Справочник_ОКВЭД_НР!$L$12) /
 (SUMPRODUCT(ISNUMBER(SEARCH(","&amp;Справочник_ОКВЭД_НР!$A$3:$A$62&amp;".",","&amp;SUBSTITUTE(F772," ","")&amp;","))) +
  SUMPRODUCT(ISNUMBER(SEARCH(","&amp;Справочник_ОКВЭД_НР!$C$3:$C$62&amp;".",","&amp;SUBSTITUTE(F772," ","")&amp;","))) +
  SUMPRODUCT(ISNUMBER(SEARCH(","&amp;Справочник_ОКВЭД_НР!$E$3:$E$62&amp;".",","&amp;SUBSTITUTE(F772," ","")&amp;","))) +
  SUMPRODUCT(ISNUMBER(SEARCH(","&amp;Справочник_ОКВЭД_НР!$G$3:$G$62&amp;".",","&amp;SUBSTITUTE(F772," ","")&amp;",")))),
50)</f>
        <v>50</v>
      </c>
      <c r="K772" s="30">
        <f>IFERROR(VLOOKUP(G772,Справочник_ОКВЭД_НР!$O:$P,2,FALSE()),50)</f>
        <v>50</v>
      </c>
      <c r="L772" s="45">
        <f>(I772*Справочник_ОКВЭД_НР!$L$2+J772*Справочник_ОКВЭД_НР!$L$3+K772*Справочник_ОКВЭД_НР!$L$4)*M772</f>
        <v>80</v>
      </c>
      <c r="M772" s="47">
        <f>IF(COUNTIF(Справочник_ОКВЭД_НР!$G$3:$G$62,H772)&gt;0,0,1)</f>
        <v>1</v>
      </c>
    </row>
    <row r="773" spans="1:13" x14ac:dyDescent="0.25">
      <c r="A773" s="4">
        <f>ЛИК_дляСкорингаДП!A773</f>
        <v>1025004070080</v>
      </c>
      <c r="B773" s="4">
        <f>ЛИК_дляСкорингаДП!B773</f>
        <v>5032066028</v>
      </c>
      <c r="C773" s="4" t="str">
        <f>ЛИК_дляСкорингаДП!C773</f>
        <v>ООО "МИКРОРАЙОН-СЕРВИС"</v>
      </c>
      <c r="D773" s="5" t="str">
        <f>ЛИК_дляСкорингаДП!M773</f>
        <v>Управление эксплуатацией жилого фонда за вознаграждение или на договорной основе</v>
      </c>
      <c r="E773" s="4" t="str">
        <f>ЛИК_дляСкорингаДП!L773</f>
        <v>68.32.1</v>
      </c>
      <c r="F773" t="str">
        <f>ЛИК_дляСкорингаДП!N773</f>
        <v>35.30.3,36.00.2,41.20,43.2,43.3,81.29.9</v>
      </c>
      <c r="G773" s="25" t="str">
        <f>ЛИК_дляСкорингаДП!AG773</f>
        <v>УСН</v>
      </c>
      <c r="H773" s="55" t="str">
        <f>IF(ISNUMBER(E773),E773,
IFERROR(LEFT(E773,FIND(".",E773)-1),E773))</f>
        <v>68</v>
      </c>
      <c r="I773" s="30">
        <f>IF(COUNTIF(Справочник_ОКВЭД_НР!$A$3:$A$62,H773)&gt;0,Справочник_ОКВЭД_НР!$L$8,
 IF(COUNTIF(Справочник_ОКВЭД_НР!$C$3:$C$62,H773)&gt;0,Справочник_ОКВЭД_НР!$L$9,
  IF(COUNTIF(Справочник_ОКВЭД_НР!$E$3:$E$62,H773)&gt;0,Справочник_ОКВЭД_НР!$L$10,
   IF(COUNTIF(Справочник_ОКВЭД_НР!$G$3:$G$62,H773)&gt;0,Справочник_ОКВЭД_НР!$L$11,50))))</f>
        <v>100</v>
      </c>
      <c r="J773" s="30" cm="1">
        <f t="array" ref="J773">IFERROR(
 (SUMPRODUCT(ISNUMBER(SEARCH(","&amp;Справочник_ОКВЭД_НР!$A$3:$A$62&amp;".",","&amp;SUBSTITUTE(F773," ","")&amp;",")))*Справочник_ОКВЭД_НР!$L$9 +
  SUMPRODUCT(ISNUMBER(SEARCH(","&amp;Справочник_ОКВЭД_НР!$C$3:$C$62&amp;".",","&amp;SUBSTITUTE(F773," ","")&amp;",")))*Справочник_ОКВЭД_НР!$L$10 +
  SUMPRODUCT(ISNUMBER(SEARCH(","&amp;Справочник_ОКВЭД_НР!$E$3:$E$62&amp;".",","&amp;SUBSTITUTE(F773," ","")&amp;",")))*Справочник_ОКВЭД_НР!$L$11 +
  SUMPRODUCT(ISNUMBER(SEARCH(","&amp;Справочник_ОКВЭД_НР!$G$3:$G$62&amp;".",","&amp;SUBSTITUTE(F773," ","")&amp;",")))*Справочник_ОКВЭД_НР!$L$12) /
 (SUMPRODUCT(ISNUMBER(SEARCH(","&amp;Справочник_ОКВЭД_НР!$A$3:$A$62&amp;".",","&amp;SUBSTITUTE(F773," ","")&amp;","))) +
  SUMPRODUCT(ISNUMBER(SEARCH(","&amp;Справочник_ОКВЭД_НР!$C$3:$C$62&amp;".",","&amp;SUBSTITUTE(F773," ","")&amp;","))) +
  SUMPRODUCT(ISNUMBER(SEARCH(","&amp;Справочник_ОКВЭД_НР!$E$3:$E$62&amp;".",","&amp;SUBSTITUTE(F773," ","")&amp;","))) +
  SUMPRODUCT(ISNUMBER(SEARCH(","&amp;Справочник_ОКВЭД_НР!$G$3:$G$62&amp;".",","&amp;SUBSTITUTE(F773," ","")&amp;",")))),
50)</f>
        <v>50</v>
      </c>
      <c r="K773" s="30">
        <f>IFERROR(VLOOKUP(G773,Справочник_ОКВЭД_НР!$O:$P,2,FALSE()),50)</f>
        <v>50</v>
      </c>
      <c r="L773" s="45">
        <f>(I773*Справочник_ОКВЭД_НР!$L$2+J773*Справочник_ОКВЭД_НР!$L$3+K773*Справочник_ОКВЭД_НР!$L$4)*M773</f>
        <v>80</v>
      </c>
      <c r="M773" s="47">
        <f>IF(COUNTIF(Справочник_ОКВЭД_НР!$G$3:$G$62,H773)&gt;0,0,1)</f>
        <v>1</v>
      </c>
    </row>
    <row r="774" spans="1:13" x14ac:dyDescent="0.25">
      <c r="A774" s="4">
        <f>ЛИК_дляСкорингаДП!A774</f>
        <v>1157746502770</v>
      </c>
      <c r="B774" s="4">
        <f>ЛИК_дляСкорингаДП!B774</f>
        <v>7703381553</v>
      </c>
      <c r="C774" s="4" t="str">
        <f>ЛИК_дляСкорингаДП!C774</f>
        <v>ООО "ТУРБО ЛОДЖИСТИКС"</v>
      </c>
      <c r="D774" s="5" t="str">
        <f>ЛИК_дляСкорингаДП!M774</f>
        <v>Деятельность вспомогательная прочая, связанная с перевозками</v>
      </c>
      <c r="E774" s="4" t="str">
        <f>ЛИК_дляСкорингаДП!L774</f>
        <v>52.29</v>
      </c>
      <c r="F774" t="str">
        <f>ЛИК_дляСкорингаДП!N774</f>
        <v>45.32,46.18.13,46.18.14,46.19,46.44.2,46.45,46.49,46.69.2,47.19.1,47.75,47.89,47.91,47.99,49.10,49.20,49.3,49.32,49.4,50.10,50.20,50.30,50.40,51.21,52.10,52.21,52.22,52.23,52.24,53.20.3,63.11.1,77.11,77.34,77.35,77.39.11,81.22,81.29.9,82.92,96.09</v>
      </c>
      <c r="G774" s="25" t="str">
        <f>ЛИК_дляСкорингаДП!AG774</f>
        <v>УСН</v>
      </c>
      <c r="H774" s="55" t="str">
        <f>IF(ISNUMBER(E774),E774,
IFERROR(LEFT(E774,FIND(".",E774)-1),E774))</f>
        <v>52</v>
      </c>
      <c r="I774" s="30">
        <f>IF(COUNTIF(Справочник_ОКВЭД_НР!$A$3:$A$62,H774)&gt;0,Справочник_ОКВЭД_НР!$L$8,
 IF(COUNTIF(Справочник_ОКВЭД_НР!$C$3:$C$62,H774)&gt;0,Справочник_ОКВЭД_НР!$L$9,
  IF(COUNTIF(Справочник_ОКВЭД_НР!$E$3:$E$62,H774)&gt;0,Справочник_ОКВЭД_НР!$L$10,
   IF(COUNTIF(Справочник_ОКВЭД_НР!$G$3:$G$62,H774)&gt;0,Справочник_ОКВЭД_НР!$L$11,50))))</f>
        <v>60</v>
      </c>
      <c r="J774" s="30" cm="1">
        <f t="array" ref="J774">IFERROR(
 (SUMPRODUCT(ISNUMBER(SEARCH(","&amp;Справочник_ОКВЭД_НР!$A$3:$A$62&amp;".",","&amp;SUBSTITUTE(F774," ","")&amp;",")))*Справочник_ОКВЭД_НР!$L$9 +
  SUMPRODUCT(ISNUMBER(SEARCH(","&amp;Справочник_ОКВЭД_НР!$C$3:$C$62&amp;".",","&amp;SUBSTITUTE(F774," ","")&amp;",")))*Справочник_ОКВЭД_НР!$L$10 +
  SUMPRODUCT(ISNUMBER(SEARCH(","&amp;Справочник_ОКВЭД_НР!$E$3:$E$62&amp;".",","&amp;SUBSTITUTE(F774," ","")&amp;",")))*Справочник_ОКВЭД_НР!$L$11 +
  SUMPRODUCT(ISNUMBER(SEARCH(","&amp;Справочник_ОКВЭД_НР!$G$3:$G$62&amp;".",","&amp;SUBSTITUTE(F774," ","")&amp;",")))*Справочник_ОКВЭД_НР!$L$12) /
 (SUMPRODUCT(ISNUMBER(SEARCH(","&amp;Справочник_ОКВЭД_НР!$A$3:$A$62&amp;".",","&amp;SUBSTITUTE(F774," ","")&amp;","))) +
  SUMPRODUCT(ISNUMBER(SEARCH(","&amp;Справочник_ОКВЭД_НР!$C$3:$C$62&amp;".",","&amp;SUBSTITUTE(F774," ","")&amp;","))) +
  SUMPRODUCT(ISNUMBER(SEARCH(","&amp;Справочник_ОКВЭД_НР!$E$3:$E$62&amp;".",","&amp;SUBSTITUTE(F774," ","")&amp;","))) +
  SUMPRODUCT(ISNUMBER(SEARCH(","&amp;Справочник_ОКВЭД_НР!$G$3:$G$62&amp;".",","&amp;SUBSTITUTE(F774," ","")&amp;",")))),
50)</f>
        <v>50</v>
      </c>
      <c r="K774" s="30">
        <f>IFERROR(VLOOKUP(G774,Справочник_ОКВЭД_НР!$O:$P,2,FALSE()),50)</f>
        <v>50</v>
      </c>
      <c r="L774" s="45">
        <f>(I774*Справочник_ОКВЭД_НР!$L$2+J774*Справочник_ОКВЭД_НР!$L$3+K774*Справочник_ОКВЭД_НР!$L$4)*M774</f>
        <v>56</v>
      </c>
      <c r="M774" s="47">
        <f>IF(COUNTIF(Справочник_ОКВЭД_НР!$G$3:$G$62,H774)&gt;0,0,1)</f>
        <v>1</v>
      </c>
    </row>
    <row r="775" spans="1:13" x14ac:dyDescent="0.25">
      <c r="A775" s="4">
        <f>ЛИК_дляСкорингаДП!A775</f>
        <v>1157746282737</v>
      </c>
      <c r="B775" s="4">
        <f>ЛИК_дляСкорингаДП!B775</f>
        <v>7751003657</v>
      </c>
      <c r="C775" s="4" t="str">
        <f>ЛИК_дляСкорингаДП!C775</f>
        <v>ООО "МЕДИАГРАД"</v>
      </c>
      <c r="D775" s="5" t="str">
        <f>ЛИК_дляСкорингаДП!M775</f>
        <v>Деятельность рекламных агентств</v>
      </c>
      <c r="E775" s="4" t="str">
        <f>ЛИК_дляСкорингаДП!L775</f>
        <v>73.11</v>
      </c>
      <c r="F775" t="str">
        <f>ЛИК_дляСкорингаДП!N775</f>
        <v>18.12,18.14,43.99.7,46.43.3,46.90,47.63.1,47.7,52.29,56.10,56.10.1,56.10.3,59.20.1,63.12,74.20,77.22,79.11,90.01,93.29.9,96.09</v>
      </c>
      <c r="G775" s="25" t="str">
        <f>ЛИК_дляСкорингаДП!AG775</f>
        <v>УСН</v>
      </c>
      <c r="H775" s="55" t="str">
        <f>IF(ISNUMBER(E775),E775,
IFERROR(LEFT(E775,FIND(".",E775)-1),E775))</f>
        <v>73</v>
      </c>
      <c r="I775" s="30">
        <f>IF(COUNTIF(Справочник_ОКВЭД_НР!$A$3:$A$62,H775)&gt;0,Справочник_ОКВЭД_НР!$L$8,
 IF(COUNTIF(Справочник_ОКВЭД_НР!$C$3:$C$62,H775)&gt;0,Справочник_ОКВЭД_НР!$L$9,
  IF(COUNTIF(Справочник_ОКВЭД_НР!$E$3:$E$62,H775)&gt;0,Справочник_ОКВЭД_НР!$L$10,
   IF(COUNTIF(Справочник_ОКВЭД_НР!$G$3:$G$62,H775)&gt;0,Справочник_ОКВЭД_НР!$L$11,50))))</f>
        <v>30</v>
      </c>
      <c r="J775" s="30" cm="1">
        <f t="array" ref="J775">IFERROR(
 (SUMPRODUCT(ISNUMBER(SEARCH(","&amp;Справочник_ОКВЭД_НР!$A$3:$A$62&amp;".",","&amp;SUBSTITUTE(F775," ","")&amp;",")))*Справочник_ОКВЭД_НР!$L$9 +
  SUMPRODUCT(ISNUMBER(SEARCH(","&amp;Справочник_ОКВЭД_НР!$C$3:$C$62&amp;".",","&amp;SUBSTITUTE(F775," ","")&amp;",")))*Справочник_ОКВЭД_НР!$L$10 +
  SUMPRODUCT(ISNUMBER(SEARCH(","&amp;Справочник_ОКВЭД_НР!$E$3:$E$62&amp;".",","&amp;SUBSTITUTE(F775," ","")&amp;",")))*Справочник_ОКВЭД_НР!$L$11 +
  SUMPRODUCT(ISNUMBER(SEARCH(","&amp;Справочник_ОКВЭД_НР!$G$3:$G$62&amp;".",","&amp;SUBSTITUTE(F775," ","")&amp;",")))*Справочник_ОКВЭД_НР!$L$12) /
 (SUMPRODUCT(ISNUMBER(SEARCH(","&amp;Справочник_ОКВЭД_НР!$A$3:$A$62&amp;".",","&amp;SUBSTITUTE(F775," ","")&amp;","))) +
  SUMPRODUCT(ISNUMBER(SEARCH(","&amp;Справочник_ОКВЭД_НР!$C$3:$C$62&amp;".",","&amp;SUBSTITUTE(F775," ","")&amp;","))) +
  SUMPRODUCT(ISNUMBER(SEARCH(","&amp;Справочник_ОКВЭД_НР!$E$3:$E$62&amp;".",","&amp;SUBSTITUTE(F775," ","")&amp;","))) +
  SUMPRODUCT(ISNUMBER(SEARCH(","&amp;Справочник_ОКВЭД_НР!$G$3:$G$62&amp;".",","&amp;SUBSTITUTE(F775," ","")&amp;",")))),
50)</f>
        <v>50</v>
      </c>
      <c r="K775" s="30">
        <f>IFERROR(VLOOKUP(G775,Справочник_ОКВЭД_НР!$O:$P,2,FALSE()),50)</f>
        <v>50</v>
      </c>
      <c r="L775" s="45">
        <f>(I775*Справочник_ОКВЭД_НР!$L$2+J775*Справочник_ОКВЭД_НР!$L$3+K775*Справочник_ОКВЭД_НР!$L$4)*M775</f>
        <v>38</v>
      </c>
      <c r="M775" s="47">
        <f>IF(COUNTIF(Справочник_ОКВЭД_НР!$G$3:$G$62,H775)&gt;0,0,1)</f>
        <v>1</v>
      </c>
    </row>
    <row r="776" spans="1:13" x14ac:dyDescent="0.25">
      <c r="A776" s="4">
        <f>ЛИК_дляСкорингаДП!A776</f>
        <v>1025004905320</v>
      </c>
      <c r="B776" s="4">
        <f>ЛИК_дляСкорингаДП!B776</f>
        <v>5038024352</v>
      </c>
      <c r="C776" s="4" t="str">
        <f>ЛИК_дляСкорингаДП!C776</f>
        <v>ООО "САРРО"</v>
      </c>
      <c r="D776" s="5" t="str">
        <f>ЛИК_дляСкорингаДП!M776</f>
        <v>Аренда и управление собственным или арендованным недвижимым имуществом</v>
      </c>
      <c r="E776" s="4" t="str">
        <f>ЛИК_дляСкорингаДП!L776</f>
        <v>68.20</v>
      </c>
      <c r="F776" t="str">
        <f>ЛИК_дляСкорингаДП!N776</f>
        <v>47.11,47.25.1,52.21.24,77.39.27,92.1</v>
      </c>
      <c r="G776" s="25" t="str">
        <f>ЛИК_дляСкорингаДП!AG776</f>
        <v>УСН</v>
      </c>
      <c r="H776" s="55" t="str">
        <f>IF(ISNUMBER(E776),E776,
IFERROR(LEFT(E776,FIND(".",E776)-1),E776))</f>
        <v>68</v>
      </c>
      <c r="I776" s="30">
        <f>IF(COUNTIF(Справочник_ОКВЭД_НР!$A$3:$A$62,H776)&gt;0,Справочник_ОКВЭД_НР!$L$8,
 IF(COUNTIF(Справочник_ОКВЭД_НР!$C$3:$C$62,H776)&gt;0,Справочник_ОКВЭД_НР!$L$9,
  IF(COUNTIF(Справочник_ОКВЭД_НР!$E$3:$E$62,H776)&gt;0,Справочник_ОКВЭД_НР!$L$10,
   IF(COUNTIF(Справочник_ОКВЭД_НР!$G$3:$G$62,H776)&gt;0,Справочник_ОКВЭД_НР!$L$11,50))))</f>
        <v>100</v>
      </c>
      <c r="J776" s="30" cm="1">
        <f t="array" ref="J776">IFERROR(
 (SUMPRODUCT(ISNUMBER(SEARCH(","&amp;Справочник_ОКВЭД_НР!$A$3:$A$62&amp;".",","&amp;SUBSTITUTE(F776," ","")&amp;",")))*Справочник_ОКВЭД_НР!$L$9 +
  SUMPRODUCT(ISNUMBER(SEARCH(","&amp;Справочник_ОКВЭД_НР!$C$3:$C$62&amp;".",","&amp;SUBSTITUTE(F776," ","")&amp;",")))*Справочник_ОКВЭД_НР!$L$10 +
  SUMPRODUCT(ISNUMBER(SEARCH(","&amp;Справочник_ОКВЭД_НР!$E$3:$E$62&amp;".",","&amp;SUBSTITUTE(F776," ","")&amp;",")))*Справочник_ОКВЭД_НР!$L$11 +
  SUMPRODUCT(ISNUMBER(SEARCH(","&amp;Справочник_ОКВЭД_НР!$G$3:$G$62&amp;".",","&amp;SUBSTITUTE(F776," ","")&amp;",")))*Справочник_ОКВЭД_НР!$L$12) /
 (SUMPRODUCT(ISNUMBER(SEARCH(","&amp;Справочник_ОКВЭД_НР!$A$3:$A$62&amp;".",","&amp;SUBSTITUTE(F776," ","")&amp;","))) +
  SUMPRODUCT(ISNUMBER(SEARCH(","&amp;Справочник_ОКВЭД_НР!$C$3:$C$62&amp;".",","&amp;SUBSTITUTE(F776," ","")&amp;","))) +
  SUMPRODUCT(ISNUMBER(SEARCH(","&amp;Справочник_ОКВЭД_НР!$E$3:$E$62&amp;".",","&amp;SUBSTITUTE(F776," ","")&amp;","))) +
  SUMPRODUCT(ISNUMBER(SEARCH(","&amp;Справочник_ОКВЭД_НР!$G$3:$G$62&amp;".",","&amp;SUBSTITUTE(F776," ","")&amp;",")))),
50)</f>
        <v>50</v>
      </c>
      <c r="K776" s="30">
        <f>IFERROR(VLOOKUP(G776,Справочник_ОКВЭД_НР!$O:$P,2,FALSE()),50)</f>
        <v>50</v>
      </c>
      <c r="L776" s="45">
        <f>(I776*Справочник_ОКВЭД_НР!$L$2+J776*Справочник_ОКВЭД_НР!$L$3+K776*Справочник_ОКВЭД_НР!$L$4)*M776</f>
        <v>80</v>
      </c>
      <c r="M776" s="47">
        <f>IF(COUNTIF(Справочник_ОКВЭД_НР!$G$3:$G$62,H776)&gt;0,0,1)</f>
        <v>1</v>
      </c>
    </row>
    <row r="777" spans="1:13" x14ac:dyDescent="0.25">
      <c r="A777" s="4">
        <f>ЛИК_дляСкорингаДП!A777</f>
        <v>1125740004719</v>
      </c>
      <c r="B777" s="4">
        <f>ЛИК_дляСкорингаДП!B777</f>
        <v>5751053206</v>
      </c>
      <c r="C777" s="4" t="str">
        <f>ЛИК_дляСкорингаДП!C777</f>
        <v>ООО "МРТ-ЦЕНТР ИМЕНИ ВЫТНОВА Д.И."</v>
      </c>
      <c r="D777" s="5" t="str">
        <f>ЛИК_дляСкорингаДП!M777</f>
        <v>Деятельность больничных организаций</v>
      </c>
      <c r="E777" s="4" t="str">
        <f>ЛИК_дляСкорингаДП!L777</f>
        <v>86.10</v>
      </c>
      <c r="F777" t="str">
        <f>ЛИК_дляСкорингаДП!N777</f>
        <v>47.73,47.74,47.75,86.21,86.22,86.90.9</v>
      </c>
      <c r="G777" s="25" t="str">
        <f>ЛИК_дляСкорингаДП!AG777</f>
        <v>УСН</v>
      </c>
      <c r="H777" s="55" t="str">
        <f>IF(ISNUMBER(E777),E777,
IFERROR(LEFT(E777,FIND(".",E777)-1),E777))</f>
        <v>86</v>
      </c>
      <c r="I777" s="30">
        <f>IF(COUNTIF(Справочник_ОКВЭД_НР!$A$3:$A$62,H777)&gt;0,Справочник_ОКВЭД_НР!$L$8,
 IF(COUNTIF(Справочник_ОКВЭД_НР!$C$3:$C$62,H777)&gt;0,Справочник_ОКВЭД_НР!$L$9,
  IF(COUNTIF(Справочник_ОКВЭД_НР!$E$3:$E$62,H777)&gt;0,Справочник_ОКВЭД_НР!$L$10,
   IF(COUNTIF(Справочник_ОКВЭД_НР!$G$3:$G$62,H777)&gt;0,Справочник_ОКВЭД_НР!$L$11,50))))</f>
        <v>100</v>
      </c>
      <c r="J777" s="30" cm="1">
        <f t="array" ref="J777">IFERROR(
 (SUMPRODUCT(ISNUMBER(SEARCH(","&amp;Справочник_ОКВЭД_НР!$A$3:$A$62&amp;".",","&amp;SUBSTITUTE(F777," ","")&amp;",")))*Справочник_ОКВЭД_НР!$L$9 +
  SUMPRODUCT(ISNUMBER(SEARCH(","&amp;Справочник_ОКВЭД_НР!$C$3:$C$62&amp;".",","&amp;SUBSTITUTE(F777," ","")&amp;",")))*Справочник_ОКВЭД_НР!$L$10 +
  SUMPRODUCT(ISNUMBER(SEARCH(","&amp;Справочник_ОКВЭД_НР!$E$3:$E$62&amp;".",","&amp;SUBSTITUTE(F777," ","")&amp;",")))*Справочник_ОКВЭД_НР!$L$11 +
  SUMPRODUCT(ISNUMBER(SEARCH(","&amp;Справочник_ОКВЭД_НР!$G$3:$G$62&amp;".",","&amp;SUBSTITUTE(F777," ","")&amp;",")))*Справочник_ОКВЭД_НР!$L$12) /
 (SUMPRODUCT(ISNUMBER(SEARCH(","&amp;Справочник_ОКВЭД_НР!$A$3:$A$62&amp;".",","&amp;SUBSTITUTE(F777," ","")&amp;","))) +
  SUMPRODUCT(ISNUMBER(SEARCH(","&amp;Справочник_ОКВЭД_НР!$C$3:$C$62&amp;".",","&amp;SUBSTITUTE(F777," ","")&amp;","))) +
  SUMPRODUCT(ISNUMBER(SEARCH(","&amp;Справочник_ОКВЭД_НР!$E$3:$E$62&amp;".",","&amp;SUBSTITUTE(F777," ","")&amp;","))) +
  SUMPRODUCT(ISNUMBER(SEARCH(","&amp;Справочник_ОКВЭД_НР!$G$3:$G$62&amp;".",","&amp;SUBSTITUTE(F777," ","")&amp;",")))),
50)</f>
        <v>50</v>
      </c>
      <c r="K777" s="30">
        <f>IFERROR(VLOOKUP(G777,Справочник_ОКВЭД_НР!$O:$P,2,FALSE()),50)</f>
        <v>50</v>
      </c>
      <c r="L777" s="45">
        <f>(I777*Справочник_ОКВЭД_НР!$L$2+J777*Справочник_ОКВЭД_НР!$L$3+K777*Справочник_ОКВЭД_НР!$L$4)*M777</f>
        <v>80</v>
      </c>
      <c r="M777" s="47">
        <f>IF(COUNTIF(Справочник_ОКВЭД_НР!$G$3:$G$62,H777)&gt;0,0,1)</f>
        <v>1</v>
      </c>
    </row>
    <row r="778" spans="1:13" x14ac:dyDescent="0.25">
      <c r="A778" s="4">
        <f>ЛИК_дляСкорингаДП!A778</f>
        <v>1157746550730</v>
      </c>
      <c r="B778" s="4">
        <f>ЛИК_дляСкорингаДП!B778</f>
        <v>7728265372</v>
      </c>
      <c r="C778" s="4" t="str">
        <f>ЛИК_дляСкорингаДП!C778</f>
        <v>ООО "ИНСТИТУТ ТРАНСНЕФТЕГАЗПРОЕКТ"</v>
      </c>
      <c r="D778" s="5" t="str">
        <f>ЛИК_дляСкорингаДП!M778</f>
        <v>Деятельность в области архитектуры, инженерных изысканий и предоставление технических консультаций в этих областях</v>
      </c>
      <c r="E778" s="4" t="str">
        <f>ЛИК_дляСкорингаДП!L778</f>
        <v>71.1</v>
      </c>
      <c r="F778" t="str">
        <f>ЛИК_дляСкорингаДП!N778</f>
        <v>41.20,42.11,42.91,42.99,43.21,43.22,43.29,43.31,43.32,43.33,43.34,43.39,43.91,43.99,43.99.1,71.12.5,71.12.6</v>
      </c>
      <c r="G778" s="25" t="str">
        <f>ЛИК_дляСкорингаДП!AG778</f>
        <v>УСН</v>
      </c>
      <c r="H778" s="55" t="str">
        <f>IF(ISNUMBER(E778),E778,
IFERROR(LEFT(E778,FIND(".",E778)-1),E778))</f>
        <v>71</v>
      </c>
      <c r="I778" s="30">
        <f>IF(COUNTIF(Справочник_ОКВЭД_НР!$A$3:$A$62,H778)&gt;0,Справочник_ОКВЭД_НР!$L$8,
 IF(COUNTIF(Справочник_ОКВЭД_НР!$C$3:$C$62,H778)&gt;0,Справочник_ОКВЭД_НР!$L$9,
  IF(COUNTIF(Справочник_ОКВЭД_НР!$E$3:$E$62,H778)&gt;0,Справочник_ОКВЭД_НР!$L$10,
   IF(COUNTIF(Справочник_ОКВЭД_НР!$G$3:$G$62,H778)&gt;0,Справочник_ОКВЭД_НР!$L$11,50))))</f>
        <v>100</v>
      </c>
      <c r="J778" s="30" cm="1">
        <f t="array" ref="J778">IFERROR(
 (SUMPRODUCT(ISNUMBER(SEARCH(","&amp;Справочник_ОКВЭД_НР!$A$3:$A$62&amp;".",","&amp;SUBSTITUTE(F778," ","")&amp;",")))*Справочник_ОКВЭД_НР!$L$9 +
  SUMPRODUCT(ISNUMBER(SEARCH(","&amp;Справочник_ОКВЭД_НР!$C$3:$C$62&amp;".",","&amp;SUBSTITUTE(F778," ","")&amp;",")))*Справочник_ОКВЭД_НР!$L$10 +
  SUMPRODUCT(ISNUMBER(SEARCH(","&amp;Справочник_ОКВЭД_НР!$E$3:$E$62&amp;".",","&amp;SUBSTITUTE(F778," ","")&amp;",")))*Справочник_ОКВЭД_НР!$L$11 +
  SUMPRODUCT(ISNUMBER(SEARCH(","&amp;Справочник_ОКВЭД_НР!$G$3:$G$62&amp;".",","&amp;SUBSTITUTE(F778," ","")&amp;",")))*Справочник_ОКВЭД_НР!$L$12) /
 (SUMPRODUCT(ISNUMBER(SEARCH(","&amp;Справочник_ОКВЭД_НР!$A$3:$A$62&amp;".",","&amp;SUBSTITUTE(F778," ","")&amp;","))) +
  SUMPRODUCT(ISNUMBER(SEARCH(","&amp;Справочник_ОКВЭД_НР!$C$3:$C$62&amp;".",","&amp;SUBSTITUTE(F778," ","")&amp;","))) +
  SUMPRODUCT(ISNUMBER(SEARCH(","&amp;Справочник_ОКВЭД_НР!$E$3:$E$62&amp;".",","&amp;SUBSTITUTE(F778," ","")&amp;","))) +
  SUMPRODUCT(ISNUMBER(SEARCH(","&amp;Справочник_ОКВЭД_НР!$G$3:$G$62&amp;".",","&amp;SUBSTITUTE(F778," ","")&amp;",")))),
50)</f>
        <v>50</v>
      </c>
      <c r="K778" s="30">
        <f>IFERROR(VLOOKUP(G778,Справочник_ОКВЭД_НР!$O:$P,2,FALSE()),50)</f>
        <v>50</v>
      </c>
      <c r="L778" s="45">
        <f>(I778*Справочник_ОКВЭД_НР!$L$2+J778*Справочник_ОКВЭД_НР!$L$3+K778*Справочник_ОКВЭД_НР!$L$4)*M778</f>
        <v>80</v>
      </c>
      <c r="M778" s="47">
        <f>IF(COUNTIF(Справочник_ОКВЭД_НР!$G$3:$G$62,H778)&gt;0,0,1)</f>
        <v>1</v>
      </c>
    </row>
    <row r="779" spans="1:13" x14ac:dyDescent="0.25">
      <c r="A779" s="4">
        <f>ЛИК_дляСкорингаДП!A779</f>
        <v>1025006170848</v>
      </c>
      <c r="B779" s="4">
        <f>ЛИК_дляСкорингаДП!B779</f>
        <v>5047030994</v>
      </c>
      <c r="C779" s="4" t="str">
        <f>ЛИК_дляСкорингаДП!C779</f>
        <v>ООО "ТРИКА"</v>
      </c>
      <c r="D779" s="5" t="str">
        <f>ЛИК_дляСкорингаДП!M779</f>
        <v>Производство прочей верхней одежды</v>
      </c>
      <c r="E779" s="4" t="str">
        <f>ЛИК_дляСкорингаДП!L779</f>
        <v>14.13</v>
      </c>
      <c r="F779" t="str">
        <f>ЛИК_дляСкорингаДП!N779</f>
        <v>14.13.2,14.13.21,14.13.22,14.14.1,14.14.2,14.19,14.19.1,14.19.11,14.19.12,14.19.13,14.19.19,14.19.22,14.19.4,46.16,46.41,46.41.2,47.51,95.29</v>
      </c>
      <c r="G779" s="25" t="str">
        <f>ЛИК_дляСкорингаДП!AG779</f>
        <v>УСН</v>
      </c>
      <c r="H779" s="55" t="str">
        <f>IF(ISNUMBER(E779),E779,
IFERROR(LEFT(E779,FIND(".",E779)-1),E779))</f>
        <v>14</v>
      </c>
      <c r="I779" s="30">
        <f>IF(COUNTIF(Справочник_ОКВЭД_НР!$A$3:$A$62,H779)&gt;0,Справочник_ОКВЭД_НР!$L$8,
 IF(COUNTIF(Справочник_ОКВЭД_НР!$C$3:$C$62,H779)&gt;0,Справочник_ОКВЭД_НР!$L$9,
  IF(COUNTIF(Справочник_ОКВЭД_НР!$E$3:$E$62,H779)&gt;0,Справочник_ОКВЭД_НР!$L$10,
   IF(COUNTIF(Справочник_ОКВЭД_НР!$G$3:$G$62,H779)&gt;0,Справочник_ОКВЭД_НР!$L$11,50))))</f>
        <v>60</v>
      </c>
      <c r="J779" s="30" cm="1">
        <f t="array" ref="J779">IFERROR(
 (SUMPRODUCT(ISNUMBER(SEARCH(","&amp;Справочник_ОКВЭД_НР!$A$3:$A$62&amp;".",","&amp;SUBSTITUTE(F779," ","")&amp;",")))*Справочник_ОКВЭД_НР!$L$9 +
  SUMPRODUCT(ISNUMBER(SEARCH(","&amp;Справочник_ОКВЭД_НР!$C$3:$C$62&amp;".",","&amp;SUBSTITUTE(F779," ","")&amp;",")))*Справочник_ОКВЭД_НР!$L$10 +
  SUMPRODUCT(ISNUMBER(SEARCH(","&amp;Справочник_ОКВЭД_НР!$E$3:$E$62&amp;".",","&amp;SUBSTITUTE(F779," ","")&amp;",")))*Справочник_ОКВЭД_НР!$L$11 +
  SUMPRODUCT(ISNUMBER(SEARCH(","&amp;Справочник_ОКВЭД_НР!$G$3:$G$62&amp;".",","&amp;SUBSTITUTE(F779," ","")&amp;",")))*Справочник_ОКВЭД_НР!$L$12) /
 (SUMPRODUCT(ISNUMBER(SEARCH(","&amp;Справочник_ОКВЭД_НР!$A$3:$A$62&amp;".",","&amp;SUBSTITUTE(F779," ","")&amp;","))) +
  SUMPRODUCT(ISNUMBER(SEARCH(","&amp;Справочник_ОКВЭД_НР!$C$3:$C$62&amp;".",","&amp;SUBSTITUTE(F779," ","")&amp;","))) +
  SUMPRODUCT(ISNUMBER(SEARCH(","&amp;Справочник_ОКВЭД_НР!$E$3:$E$62&amp;".",","&amp;SUBSTITUTE(F779," ","")&amp;","))) +
  SUMPRODUCT(ISNUMBER(SEARCH(","&amp;Справочник_ОКВЭД_НР!$G$3:$G$62&amp;".",","&amp;SUBSTITUTE(F779," ","")&amp;",")))),
50)</f>
        <v>50</v>
      </c>
      <c r="K779" s="30">
        <f>IFERROR(VLOOKUP(G779,Справочник_ОКВЭД_НР!$O:$P,2,FALSE()),50)</f>
        <v>50</v>
      </c>
      <c r="L779" s="45">
        <f>(I779*Справочник_ОКВЭД_НР!$L$2+J779*Справочник_ОКВЭД_НР!$L$3+K779*Справочник_ОКВЭД_НР!$L$4)*M779</f>
        <v>56</v>
      </c>
      <c r="M779" s="47">
        <f>IF(COUNTIF(Справочник_ОКВЭД_НР!$G$3:$G$62,H779)&gt;0,0,1)</f>
        <v>1</v>
      </c>
    </row>
    <row r="780" spans="1:13" x14ac:dyDescent="0.25">
      <c r="A780" s="4">
        <f>ЛИК_дляСкорингаДП!A780</f>
        <v>1157746509436</v>
      </c>
      <c r="B780" s="4">
        <f>ЛИК_дляСкорингаДП!B780</f>
        <v>7709459911</v>
      </c>
      <c r="C780" s="4" t="str">
        <f>ЛИК_дляСкорингаДП!C780</f>
        <v>ООО "СИТИМЕД"</v>
      </c>
      <c r="D780" s="5" t="str">
        <f>ЛИК_дляСкорингаДП!M780</f>
        <v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v>
      </c>
      <c r="E780" s="4" t="str">
        <f>ЛИК_дляСкорингаДП!L780</f>
        <v>46.18.1</v>
      </c>
      <c r="F780" t="str">
        <f>ЛИК_дляСкорингаДП!N780</f>
        <v>46.15.9,46.18.9,46.90,47.51,73.11,73.20,77.29.9</v>
      </c>
      <c r="G780" s="25" t="str">
        <f>ЛИК_дляСкорингаДП!AG780</f>
        <v>УСН</v>
      </c>
      <c r="H780" s="55" t="str">
        <f>IF(ISNUMBER(E780),E780,
IFERROR(LEFT(E780,FIND(".",E780)-1),E780))</f>
        <v>46</v>
      </c>
      <c r="I780" s="30">
        <f>IF(COUNTIF(Справочник_ОКВЭД_НР!$A$3:$A$62,H780)&gt;0,Справочник_ОКВЭД_НР!$L$8,
 IF(COUNTIF(Справочник_ОКВЭД_НР!$C$3:$C$62,H780)&gt;0,Справочник_ОКВЭД_НР!$L$9,
  IF(COUNTIF(Справочник_ОКВЭД_НР!$E$3:$E$62,H780)&gt;0,Справочник_ОКВЭД_НР!$L$10,
   IF(COUNTIF(Справочник_ОКВЭД_НР!$G$3:$G$62,H780)&gt;0,Справочник_ОКВЭД_НР!$L$11,50))))</f>
        <v>60</v>
      </c>
      <c r="J780" s="30" cm="1">
        <f t="array" ref="J780">IFERROR(
 (SUMPRODUCT(ISNUMBER(SEARCH(","&amp;Справочник_ОКВЭД_НР!$A$3:$A$62&amp;".",","&amp;SUBSTITUTE(F780," ","")&amp;",")))*Справочник_ОКВЭД_НР!$L$9 +
  SUMPRODUCT(ISNUMBER(SEARCH(","&amp;Справочник_ОКВЭД_НР!$C$3:$C$62&amp;".",","&amp;SUBSTITUTE(F780," ","")&amp;",")))*Справочник_ОКВЭД_НР!$L$10 +
  SUMPRODUCT(ISNUMBER(SEARCH(","&amp;Справочник_ОКВЭД_НР!$E$3:$E$62&amp;".",","&amp;SUBSTITUTE(F780," ","")&amp;",")))*Справочник_ОКВЭД_НР!$L$11 +
  SUMPRODUCT(ISNUMBER(SEARCH(","&amp;Справочник_ОКВЭД_НР!$G$3:$G$62&amp;".",","&amp;SUBSTITUTE(F780," ","")&amp;",")))*Справочник_ОКВЭД_НР!$L$12) /
 (SUMPRODUCT(ISNUMBER(SEARCH(","&amp;Справочник_ОКВЭД_НР!$A$3:$A$62&amp;".",","&amp;SUBSTITUTE(F780," ","")&amp;","))) +
  SUMPRODUCT(ISNUMBER(SEARCH(","&amp;Справочник_ОКВЭД_НР!$C$3:$C$62&amp;".",","&amp;SUBSTITUTE(F780," ","")&amp;","))) +
  SUMPRODUCT(ISNUMBER(SEARCH(","&amp;Справочник_ОКВЭД_НР!$E$3:$E$62&amp;".",","&amp;SUBSTITUTE(F780," ","")&amp;","))) +
  SUMPRODUCT(ISNUMBER(SEARCH(","&amp;Справочник_ОКВЭД_НР!$G$3:$G$62&amp;".",","&amp;SUBSTITUTE(F780," ","")&amp;",")))),
50)</f>
        <v>50</v>
      </c>
      <c r="K780" s="30">
        <f>IFERROR(VLOOKUP(G780,Справочник_ОКВЭД_НР!$O:$P,2,FALSE()),50)</f>
        <v>50</v>
      </c>
      <c r="L780" s="45">
        <f>(I780*Справочник_ОКВЭД_НР!$L$2+J780*Справочник_ОКВЭД_НР!$L$3+K780*Справочник_ОКВЭД_НР!$L$4)*M780</f>
        <v>56</v>
      </c>
      <c r="M780" s="47">
        <f>IF(COUNTIF(Справочник_ОКВЭД_НР!$G$3:$G$62,H780)&gt;0,0,1)</f>
        <v>1</v>
      </c>
    </row>
    <row r="781" spans="1:13" x14ac:dyDescent="0.25">
      <c r="A781" s="4">
        <f>ЛИК_дляСкорингаДП!A781</f>
        <v>1055002747788</v>
      </c>
      <c r="B781" s="4">
        <f>ЛИК_дляСкорингаДП!B781</f>
        <v>5017062565</v>
      </c>
      <c r="C781" s="4" t="str">
        <f>ЛИК_дляСкорингаДП!C781</f>
        <v>ООО "СК НВ СТРОЙДОМ"</v>
      </c>
      <c r="D781" s="5" t="str">
        <f>ЛИК_дляСкорингаДП!M781</f>
        <v>Строительство жилых и нежилых зданий</v>
      </c>
      <c r="E781" s="4" t="str">
        <f>ЛИК_дляСкорингаДП!L781</f>
        <v>41.20</v>
      </c>
      <c r="F781" t="str">
        <f>ЛИК_дляСкорингаДП!N781</f>
        <v>42.11,42.12,42.13,42.21,42.22.1,42.22.2,42.99,43.12,43.2,43.21,43.22,43.29,43.3,43.91,43.99,43.99.7,46.13.1,52.10,68.1,68.2,68.3,71.11,71.12,71.12.1,71.12.11,71.12.13,71.20,72.19,77.3,77.39</v>
      </c>
      <c r="G781" s="25" t="str">
        <f>ЛИК_дляСкорингаДП!AG781</f>
        <v>УСН</v>
      </c>
      <c r="H781" s="55" t="str">
        <f>IF(ISNUMBER(E781),E781,
IFERROR(LEFT(E781,FIND(".",E781)-1),E781))</f>
        <v>41</v>
      </c>
      <c r="I781" s="30">
        <f>IF(COUNTIF(Справочник_ОКВЭД_НР!$A$3:$A$62,H781)&gt;0,Справочник_ОКВЭД_НР!$L$8,
 IF(COUNTIF(Справочник_ОКВЭД_НР!$C$3:$C$62,H781)&gt;0,Справочник_ОКВЭД_НР!$L$9,
  IF(COUNTIF(Справочник_ОКВЭД_НР!$E$3:$E$62,H781)&gt;0,Справочник_ОКВЭД_НР!$L$10,
   IF(COUNTIF(Справочник_ОКВЭД_НР!$G$3:$G$62,H781)&gt;0,Справочник_ОКВЭД_НР!$L$11,50))))</f>
        <v>100</v>
      </c>
      <c r="J781" s="30" cm="1">
        <f t="array" ref="J781">IFERROR(
 (SUMPRODUCT(ISNUMBER(SEARCH(","&amp;Справочник_ОКВЭД_НР!$A$3:$A$62&amp;".",","&amp;SUBSTITUTE(F781," ","")&amp;",")))*Справочник_ОКВЭД_НР!$L$9 +
  SUMPRODUCT(ISNUMBER(SEARCH(","&amp;Справочник_ОКВЭД_НР!$C$3:$C$62&amp;".",","&amp;SUBSTITUTE(F781," ","")&amp;",")))*Справочник_ОКВЭД_НР!$L$10 +
  SUMPRODUCT(ISNUMBER(SEARCH(","&amp;Справочник_ОКВЭД_НР!$E$3:$E$62&amp;".",","&amp;SUBSTITUTE(F781," ","")&amp;",")))*Справочник_ОКВЭД_НР!$L$11 +
  SUMPRODUCT(ISNUMBER(SEARCH(","&amp;Справочник_ОКВЭД_НР!$G$3:$G$62&amp;".",","&amp;SUBSTITUTE(F781," ","")&amp;",")))*Справочник_ОКВЭД_НР!$L$12) /
 (SUMPRODUCT(ISNUMBER(SEARCH(","&amp;Справочник_ОКВЭД_НР!$A$3:$A$62&amp;".",","&amp;SUBSTITUTE(F781," ","")&amp;","))) +
  SUMPRODUCT(ISNUMBER(SEARCH(","&amp;Справочник_ОКВЭД_НР!$C$3:$C$62&amp;".",","&amp;SUBSTITUTE(F781," ","")&amp;","))) +
  SUMPRODUCT(ISNUMBER(SEARCH(","&amp;Справочник_ОКВЭД_НР!$E$3:$E$62&amp;".",","&amp;SUBSTITUTE(F781," ","")&amp;","))) +
  SUMPRODUCT(ISNUMBER(SEARCH(","&amp;Справочник_ОКВЭД_НР!$G$3:$G$62&amp;".",","&amp;SUBSTITUTE(F781," ","")&amp;",")))),
50)</f>
        <v>50</v>
      </c>
      <c r="K781" s="30">
        <f>IFERROR(VLOOKUP(G781,Справочник_ОКВЭД_НР!$O:$P,2,FALSE()),50)</f>
        <v>50</v>
      </c>
      <c r="L781" s="45">
        <f>(I781*Справочник_ОКВЭД_НР!$L$2+J781*Справочник_ОКВЭД_НР!$L$3+K781*Справочник_ОКВЭД_НР!$L$4)*M781</f>
        <v>80</v>
      </c>
      <c r="M781" s="47">
        <f>IF(COUNTIF(Справочник_ОКВЭД_НР!$G$3:$G$62,H781)&gt;0,0,1)</f>
        <v>1</v>
      </c>
    </row>
    <row r="782" spans="1:13" x14ac:dyDescent="0.25">
      <c r="A782" s="4">
        <f>ЛИК_дляСкорингаДП!A782</f>
        <v>1157746395960</v>
      </c>
      <c r="B782" s="4">
        <f>ЛИК_дляСкорингаДП!B782</f>
        <v>7720301572</v>
      </c>
      <c r="C782" s="4" t="str">
        <f>ЛИК_дляСкорингаДП!C782</f>
        <v>ООО "КЛИНТАУН СЕРВИС"</v>
      </c>
      <c r="D782" s="5" t="str">
        <f>ЛИК_дляСкорингаДП!M782</f>
        <v>Деятельность по чистке и уборке жилых зданий и нежилых помещений прочая</v>
      </c>
      <c r="E782" s="4" t="str">
        <f>ЛИК_дляСкорингаДП!L782</f>
        <v>81.22</v>
      </c>
      <c r="F782" t="str">
        <f>ЛИК_дляСкорингаДП!N782</f>
        <v>81.29.9</v>
      </c>
      <c r="G782" s="25" t="str">
        <f>ЛИК_дляСкорингаДП!AG782</f>
        <v>УСН</v>
      </c>
      <c r="H782" s="55" t="str">
        <f>IF(ISNUMBER(E782),E782,
IFERROR(LEFT(E782,FIND(".",E782)-1),E782))</f>
        <v>81</v>
      </c>
      <c r="I782" s="30">
        <f>IF(COUNTIF(Справочник_ОКВЭД_НР!$A$3:$A$62,H782)&gt;0,Справочник_ОКВЭД_НР!$L$8,
 IF(COUNTIF(Справочник_ОКВЭД_НР!$C$3:$C$62,H782)&gt;0,Справочник_ОКВЭД_НР!$L$9,
  IF(COUNTIF(Справочник_ОКВЭД_НР!$E$3:$E$62,H782)&gt;0,Справочник_ОКВЭД_НР!$L$10,
   IF(COUNTIF(Справочник_ОКВЭД_НР!$G$3:$G$62,H782)&gt;0,Справочник_ОКВЭД_НР!$L$11,50))))</f>
        <v>30</v>
      </c>
      <c r="J782" s="30" cm="1">
        <f t="array" ref="J782">IFERROR(
 (SUMPRODUCT(ISNUMBER(SEARCH(","&amp;Справочник_ОКВЭД_НР!$A$3:$A$62&amp;".",","&amp;SUBSTITUTE(F782," ","")&amp;",")))*Справочник_ОКВЭД_НР!$L$9 +
  SUMPRODUCT(ISNUMBER(SEARCH(","&amp;Справочник_ОКВЭД_НР!$C$3:$C$62&amp;".",","&amp;SUBSTITUTE(F782," ","")&amp;",")))*Справочник_ОКВЭД_НР!$L$10 +
  SUMPRODUCT(ISNUMBER(SEARCH(","&amp;Справочник_ОКВЭД_НР!$E$3:$E$62&amp;".",","&amp;SUBSTITUTE(F782," ","")&amp;",")))*Справочник_ОКВЭД_НР!$L$11 +
  SUMPRODUCT(ISNUMBER(SEARCH(","&amp;Справочник_ОКВЭД_НР!$G$3:$G$62&amp;".",","&amp;SUBSTITUTE(F782," ","")&amp;",")))*Справочник_ОКВЭД_НР!$L$12) /
 (SUMPRODUCT(ISNUMBER(SEARCH(","&amp;Справочник_ОКВЭД_НР!$A$3:$A$62&amp;".",","&amp;SUBSTITUTE(F782," ","")&amp;","))) +
  SUMPRODUCT(ISNUMBER(SEARCH(","&amp;Справочник_ОКВЭД_НР!$C$3:$C$62&amp;".",","&amp;SUBSTITUTE(F782," ","")&amp;","))) +
  SUMPRODUCT(ISNUMBER(SEARCH(","&amp;Справочник_ОКВЭД_НР!$E$3:$E$62&amp;".",","&amp;SUBSTITUTE(F782," ","")&amp;","))) +
  SUMPRODUCT(ISNUMBER(SEARCH(","&amp;Справочник_ОКВЭД_НР!$G$3:$G$62&amp;".",","&amp;SUBSTITUTE(F782," ","")&amp;",")))),
50)</f>
        <v>50</v>
      </c>
      <c r="K782" s="30">
        <f>IFERROR(VLOOKUP(G782,Справочник_ОКВЭД_НР!$O:$P,2,FALSE()),50)</f>
        <v>50</v>
      </c>
      <c r="L782" s="45">
        <f>(I782*Справочник_ОКВЭД_НР!$L$2+J782*Справочник_ОКВЭД_НР!$L$3+K782*Справочник_ОКВЭД_НР!$L$4)*M782</f>
        <v>38</v>
      </c>
      <c r="M782" s="47">
        <f>IF(COUNTIF(Справочник_ОКВЭД_НР!$G$3:$G$62,H782)&gt;0,0,1)</f>
        <v>1</v>
      </c>
    </row>
    <row r="783" spans="1:13" x14ac:dyDescent="0.25">
      <c r="A783" s="4">
        <f>ЛИК_дляСкорингаДП!A783</f>
        <v>1125543059070</v>
      </c>
      <c r="B783" s="4">
        <f>ЛИК_дляСкорингаДП!B783</f>
        <v>5503238993</v>
      </c>
      <c r="C783" s="4" t="str">
        <f>ЛИК_дляСкорингаДП!C783</f>
        <v>ООО "ПОДОРОЖНИК"</v>
      </c>
      <c r="D783" s="5" t="str">
        <f>ЛИК_дляСкорингаДП!M783</f>
        <v>Аренда и лизинг легковых автомобилей и легких автотранспортных средств</v>
      </c>
      <c r="E783" s="4" t="str">
        <f>ЛИК_дляСкорингаДП!L783</f>
        <v>77.11</v>
      </c>
      <c r="F783" t="str">
        <f>ЛИК_дляСкорингаДП!N783</f>
        <v>49.31.2,49.32,70.22,96.09</v>
      </c>
      <c r="G783" s="25" t="str">
        <f>ЛИК_дляСкорингаДП!AG783</f>
        <v>УСН</v>
      </c>
      <c r="H783" s="55" t="str">
        <f>IF(ISNUMBER(E783),E783,
IFERROR(LEFT(E783,FIND(".",E783)-1),E783))</f>
        <v>77</v>
      </c>
      <c r="I783" s="30">
        <f>IF(COUNTIF(Справочник_ОКВЭД_НР!$A$3:$A$62,H783)&gt;0,Справочник_ОКВЭД_НР!$L$8,
 IF(COUNTIF(Справочник_ОКВЭД_НР!$C$3:$C$62,H783)&gt;0,Справочник_ОКВЭД_НР!$L$9,
  IF(COUNTIF(Справочник_ОКВЭД_НР!$E$3:$E$62,H783)&gt;0,Справочник_ОКВЭД_НР!$L$10,
   IF(COUNTIF(Справочник_ОКВЭД_НР!$G$3:$G$62,H783)&gt;0,Справочник_ОКВЭД_НР!$L$11,50))))</f>
        <v>60</v>
      </c>
      <c r="J783" s="30" cm="1">
        <f t="array" ref="J783">IFERROR(
 (SUMPRODUCT(ISNUMBER(SEARCH(","&amp;Справочник_ОКВЭД_НР!$A$3:$A$62&amp;".",","&amp;SUBSTITUTE(F783," ","")&amp;",")))*Справочник_ОКВЭД_НР!$L$9 +
  SUMPRODUCT(ISNUMBER(SEARCH(","&amp;Справочник_ОКВЭД_НР!$C$3:$C$62&amp;".",","&amp;SUBSTITUTE(F783," ","")&amp;",")))*Справочник_ОКВЭД_НР!$L$10 +
  SUMPRODUCT(ISNUMBER(SEARCH(","&amp;Справочник_ОКВЭД_НР!$E$3:$E$62&amp;".",","&amp;SUBSTITUTE(F783," ","")&amp;",")))*Справочник_ОКВЭД_НР!$L$11 +
  SUMPRODUCT(ISNUMBER(SEARCH(","&amp;Справочник_ОКВЭД_НР!$G$3:$G$62&amp;".",","&amp;SUBSTITUTE(F783," ","")&amp;",")))*Справочник_ОКВЭД_НР!$L$12) /
 (SUMPRODUCT(ISNUMBER(SEARCH(","&amp;Справочник_ОКВЭД_НР!$A$3:$A$62&amp;".",","&amp;SUBSTITUTE(F783," ","")&amp;","))) +
  SUMPRODUCT(ISNUMBER(SEARCH(","&amp;Справочник_ОКВЭД_НР!$C$3:$C$62&amp;".",","&amp;SUBSTITUTE(F783," ","")&amp;","))) +
  SUMPRODUCT(ISNUMBER(SEARCH(","&amp;Справочник_ОКВЭД_НР!$E$3:$E$62&amp;".",","&amp;SUBSTITUTE(F783," ","")&amp;","))) +
  SUMPRODUCT(ISNUMBER(SEARCH(","&amp;Справочник_ОКВЭД_НР!$G$3:$G$62&amp;".",","&amp;SUBSTITUTE(F783," ","")&amp;",")))),
50)</f>
        <v>50</v>
      </c>
      <c r="K783" s="30">
        <f>IFERROR(VLOOKUP(G783,Справочник_ОКВЭД_НР!$O:$P,2,FALSE()),50)</f>
        <v>50</v>
      </c>
      <c r="L783" s="45">
        <f>(I783*Справочник_ОКВЭД_НР!$L$2+J783*Справочник_ОКВЭД_НР!$L$3+K783*Справочник_ОКВЭД_НР!$L$4)*M783</f>
        <v>56</v>
      </c>
      <c r="M783" s="47">
        <f>IF(COUNTIF(Справочник_ОКВЭД_НР!$G$3:$G$62,H783)&gt;0,0,1)</f>
        <v>1</v>
      </c>
    </row>
    <row r="784" spans="1:13" x14ac:dyDescent="0.25">
      <c r="A784" s="4">
        <f>ЛИК_дляСкорингаДП!A784</f>
        <v>1157746552633</v>
      </c>
      <c r="B784" s="4">
        <f>ЛИК_дляСкорингаДП!B784</f>
        <v>7727186907</v>
      </c>
      <c r="C784" s="4" t="str">
        <f>ЛИК_дляСкорингаДП!C784</f>
        <v>ООО "ЛИФТСТАНДАРТ"</v>
      </c>
      <c r="D784" s="5" t="str">
        <f>ЛИК_дляСкорингаДП!M784</f>
        <v>Ремонт машин и оборудования</v>
      </c>
      <c r="E784" s="4" t="str">
        <f>ЛИК_дляСкорингаДП!L784</f>
        <v>33.12</v>
      </c>
      <c r="F784" t="str">
        <f>ЛИК_дляСкорингаДП!N784</f>
        <v>26.51,33.13,33.14,33.20,41.20,42.21,42.22.1,42.99,43.21,43.22,43.29,43.31,43.32,43.33,43.34,43.39,43.91,43.99,43.99.1,43.99.2,43.99.5,43.99.6,43.99.7,43.99.9,45.20,45.3,46.14.9,46.49,46.63,46.69,46.73,46.74,46.90,47.41,47.52.73,49.4,49.41.3,52.10,52.21,52.24,52.29,62.01,62.02,62.09,63.11,63.11.1,71.1,71.12.5,71.12.6,71.20,77.32,77.39.11,77.39.2,82.99,95.11</v>
      </c>
      <c r="G784" s="25" t="str">
        <f>ЛИК_дляСкорингаДП!AG784</f>
        <v>УСН</v>
      </c>
      <c r="H784" s="55" t="str">
        <f>IF(ISNUMBER(E784),E784,
IFERROR(LEFT(E784,FIND(".",E784)-1),E784))</f>
        <v>33</v>
      </c>
      <c r="I784" s="30">
        <f>IF(COUNTIF(Справочник_ОКВЭД_НР!$A$3:$A$62,H784)&gt;0,Справочник_ОКВЭД_НР!$L$8,
 IF(COUNTIF(Справочник_ОКВЭД_НР!$C$3:$C$62,H784)&gt;0,Справочник_ОКВЭД_НР!$L$9,
  IF(COUNTIF(Справочник_ОКВЭД_НР!$E$3:$E$62,H784)&gt;0,Справочник_ОКВЭД_НР!$L$10,
   IF(COUNTIF(Справочник_ОКВЭД_НР!$G$3:$G$62,H784)&gt;0,Справочник_ОКВЭД_НР!$L$11,50))))</f>
        <v>60</v>
      </c>
      <c r="J784" s="30" cm="1">
        <f t="array" ref="J784">IFERROR(
 (SUMPRODUCT(ISNUMBER(SEARCH(","&amp;Справочник_ОКВЭД_НР!$A$3:$A$62&amp;".",","&amp;SUBSTITUTE(F784," ","")&amp;",")))*Справочник_ОКВЭД_НР!$L$9 +
  SUMPRODUCT(ISNUMBER(SEARCH(","&amp;Справочник_ОКВЭД_НР!$C$3:$C$62&amp;".",","&amp;SUBSTITUTE(F784," ","")&amp;",")))*Справочник_ОКВЭД_НР!$L$10 +
  SUMPRODUCT(ISNUMBER(SEARCH(","&amp;Справочник_ОКВЭД_НР!$E$3:$E$62&amp;".",","&amp;SUBSTITUTE(F784," ","")&amp;",")))*Справочник_ОКВЭД_НР!$L$11 +
  SUMPRODUCT(ISNUMBER(SEARCH(","&amp;Справочник_ОКВЭД_НР!$G$3:$G$62&amp;".",","&amp;SUBSTITUTE(F784," ","")&amp;",")))*Справочник_ОКВЭД_НР!$L$12) /
 (SUMPRODUCT(ISNUMBER(SEARCH(","&amp;Справочник_ОКВЭД_НР!$A$3:$A$62&amp;".",","&amp;SUBSTITUTE(F784," ","")&amp;","))) +
  SUMPRODUCT(ISNUMBER(SEARCH(","&amp;Справочник_ОКВЭД_НР!$C$3:$C$62&amp;".",","&amp;SUBSTITUTE(F784," ","")&amp;","))) +
  SUMPRODUCT(ISNUMBER(SEARCH(","&amp;Справочник_ОКВЭД_НР!$E$3:$E$62&amp;".",","&amp;SUBSTITUTE(F784," ","")&amp;","))) +
  SUMPRODUCT(ISNUMBER(SEARCH(","&amp;Справочник_ОКВЭД_НР!$G$3:$G$62&amp;".",","&amp;SUBSTITUTE(F784," ","")&amp;",")))),
50)</f>
        <v>50</v>
      </c>
      <c r="K784" s="30">
        <f>IFERROR(VLOOKUP(G784,Справочник_ОКВЭД_НР!$O:$P,2,FALSE()),50)</f>
        <v>50</v>
      </c>
      <c r="L784" s="45">
        <f>(I784*Справочник_ОКВЭД_НР!$L$2+J784*Справочник_ОКВЭД_НР!$L$3+K784*Справочник_ОКВЭД_НР!$L$4)*M784</f>
        <v>56</v>
      </c>
      <c r="M784" s="47">
        <f>IF(COUNTIF(Справочник_ОКВЭД_НР!$G$3:$G$62,H784)&gt;0,0,1)</f>
        <v>1</v>
      </c>
    </row>
    <row r="785" spans="1:13" x14ac:dyDescent="0.25">
      <c r="A785" s="4">
        <f>ЛИК_дляСкорингаДП!A785</f>
        <v>1157746354138</v>
      </c>
      <c r="B785" s="4">
        <f>ЛИК_дляСкорингаДП!B785</f>
        <v>7710494484</v>
      </c>
      <c r="C785" s="4" t="str">
        <f>ЛИК_дляСкорингаДП!C785</f>
        <v>ООО "АВИАКОМПАНИЯ "АЛЬТАИР"</v>
      </c>
      <c r="D785" s="5" t="str">
        <f>ЛИК_дляСкорингаДП!M785</f>
        <v>Перевозка воздушным пассажирским транспортом, не подчиняющимся расписанию</v>
      </c>
      <c r="E785" s="4" t="str">
        <f>ЛИК_дляСкорингаДП!L785</f>
        <v>51.10.2</v>
      </c>
      <c r="F785" t="str">
        <f>ЛИК_дляСкорингаДП!N785</f>
        <v>51.21,51.21.3,52.10,52.23.19,52.24,85.42</v>
      </c>
      <c r="G785" s="25" t="str">
        <f>ЛИК_дляСкорингаДП!AG785</f>
        <v>УСН</v>
      </c>
      <c r="H785" s="55" t="str">
        <f>IF(ISNUMBER(E785),E785,
IFERROR(LEFT(E785,FIND(".",E785)-1),E785))</f>
        <v>51</v>
      </c>
      <c r="I785" s="30">
        <f>IF(COUNTIF(Справочник_ОКВЭД_НР!$A$3:$A$62,H785)&gt;0,Справочник_ОКВЭД_НР!$L$8,
 IF(COUNTIF(Справочник_ОКВЭД_НР!$C$3:$C$62,H785)&gt;0,Справочник_ОКВЭД_НР!$L$9,
  IF(COUNTIF(Справочник_ОКВЭД_НР!$E$3:$E$62,H785)&gt;0,Справочник_ОКВЭД_НР!$L$10,
   IF(COUNTIF(Справочник_ОКВЭД_НР!$G$3:$G$62,H785)&gt;0,Справочник_ОКВЭД_НР!$L$11,50))))</f>
        <v>60</v>
      </c>
      <c r="J785" s="30" cm="1">
        <f t="array" ref="J785">IFERROR(
 (SUMPRODUCT(ISNUMBER(SEARCH(","&amp;Справочник_ОКВЭД_НР!$A$3:$A$62&amp;".",","&amp;SUBSTITUTE(F785," ","")&amp;",")))*Справочник_ОКВЭД_НР!$L$9 +
  SUMPRODUCT(ISNUMBER(SEARCH(","&amp;Справочник_ОКВЭД_НР!$C$3:$C$62&amp;".",","&amp;SUBSTITUTE(F785," ","")&amp;",")))*Справочник_ОКВЭД_НР!$L$10 +
  SUMPRODUCT(ISNUMBER(SEARCH(","&amp;Справочник_ОКВЭД_НР!$E$3:$E$62&amp;".",","&amp;SUBSTITUTE(F785," ","")&amp;",")))*Справочник_ОКВЭД_НР!$L$11 +
  SUMPRODUCT(ISNUMBER(SEARCH(","&amp;Справочник_ОКВЭД_НР!$G$3:$G$62&amp;".",","&amp;SUBSTITUTE(F785," ","")&amp;",")))*Справочник_ОКВЭД_НР!$L$12) /
 (SUMPRODUCT(ISNUMBER(SEARCH(","&amp;Справочник_ОКВЭД_НР!$A$3:$A$62&amp;".",","&amp;SUBSTITUTE(F785," ","")&amp;","))) +
  SUMPRODUCT(ISNUMBER(SEARCH(","&amp;Справочник_ОКВЭД_НР!$C$3:$C$62&amp;".",","&amp;SUBSTITUTE(F785," ","")&amp;","))) +
  SUMPRODUCT(ISNUMBER(SEARCH(","&amp;Справочник_ОКВЭД_НР!$E$3:$E$62&amp;".",","&amp;SUBSTITUTE(F785," ","")&amp;","))) +
  SUMPRODUCT(ISNUMBER(SEARCH(","&amp;Справочник_ОКВЭД_НР!$G$3:$G$62&amp;".",","&amp;SUBSTITUTE(F785," ","")&amp;",")))),
50)</f>
        <v>50</v>
      </c>
      <c r="K785" s="30">
        <f>IFERROR(VLOOKUP(G785,Справочник_ОКВЭД_НР!$O:$P,2,FALSE()),50)</f>
        <v>50</v>
      </c>
      <c r="L785" s="45">
        <f>(I785*Справочник_ОКВЭД_НР!$L$2+J785*Справочник_ОКВЭД_НР!$L$3+K785*Справочник_ОКВЭД_НР!$L$4)*M785</f>
        <v>56</v>
      </c>
      <c r="M785" s="47">
        <f>IF(COUNTIF(Справочник_ОКВЭД_НР!$G$3:$G$62,H785)&gt;0,0,1)</f>
        <v>1</v>
      </c>
    </row>
    <row r="786" spans="1:13" x14ac:dyDescent="0.25">
      <c r="A786" s="4">
        <f>ЛИК_дляСкорингаДП!A786</f>
        <v>1157746569056</v>
      </c>
      <c r="B786" s="4">
        <f>ЛИК_дляСкорингаДП!B786</f>
        <v>7743106049</v>
      </c>
      <c r="C786" s="4" t="str">
        <f>ЛИК_дляСкорингаДП!C786</f>
        <v>ООО "ТРАНССЕРВИС"</v>
      </c>
      <c r="D786" s="5" t="str">
        <f>ЛИК_дляСкорингаДП!M786</f>
        <v>Деятельность железнодорожного транспорта: междугородные и международные пассажирские перевозки</v>
      </c>
      <c r="E786" s="4" t="str">
        <f>ЛИК_дляСкорингаДП!L786</f>
        <v>49.10</v>
      </c>
      <c r="F786" t="str">
        <f>ЛИК_дляСкорингаДП!N786</f>
        <v>30.20,30.20.1,30.20.4,30.20.9,33.17,46.18,46.49,46.90,47.19,47.7,47.78,47.9,49.20,49.3,49.32,49.4,52.10,52.21,52.24,52.29,53.20.3,77.11,82.99</v>
      </c>
      <c r="G786" s="25" t="str">
        <f>ЛИК_дляСкорингаДП!AG786</f>
        <v>УСН</v>
      </c>
      <c r="H786" s="55" t="str">
        <f>IF(ISNUMBER(E786),E786,
IFERROR(LEFT(E786,FIND(".",E786)-1),E786))</f>
        <v>49</v>
      </c>
      <c r="I786" s="30">
        <f>IF(COUNTIF(Справочник_ОКВЭД_НР!$A$3:$A$62,H786)&gt;0,Справочник_ОКВЭД_НР!$L$8,
 IF(COUNTIF(Справочник_ОКВЭД_НР!$C$3:$C$62,H786)&gt;0,Справочник_ОКВЭД_НР!$L$9,
  IF(COUNTIF(Справочник_ОКВЭД_НР!$E$3:$E$62,H786)&gt;0,Справочник_ОКВЭД_НР!$L$10,
   IF(COUNTIF(Справочник_ОКВЭД_НР!$G$3:$G$62,H786)&gt;0,Справочник_ОКВЭД_НР!$L$11,50))))</f>
        <v>60</v>
      </c>
      <c r="J786" s="30" cm="1">
        <f t="array" ref="J786">IFERROR(
 (SUMPRODUCT(ISNUMBER(SEARCH(","&amp;Справочник_ОКВЭД_НР!$A$3:$A$62&amp;".",","&amp;SUBSTITUTE(F786," ","")&amp;",")))*Справочник_ОКВЭД_НР!$L$9 +
  SUMPRODUCT(ISNUMBER(SEARCH(","&amp;Справочник_ОКВЭД_НР!$C$3:$C$62&amp;".",","&amp;SUBSTITUTE(F786," ","")&amp;",")))*Справочник_ОКВЭД_НР!$L$10 +
  SUMPRODUCT(ISNUMBER(SEARCH(","&amp;Справочник_ОКВЭД_НР!$E$3:$E$62&amp;".",","&amp;SUBSTITUTE(F786," ","")&amp;",")))*Справочник_ОКВЭД_НР!$L$11 +
  SUMPRODUCT(ISNUMBER(SEARCH(","&amp;Справочник_ОКВЭД_НР!$G$3:$G$62&amp;".",","&amp;SUBSTITUTE(F786," ","")&amp;",")))*Справочник_ОКВЭД_НР!$L$12) /
 (SUMPRODUCT(ISNUMBER(SEARCH(","&amp;Справочник_ОКВЭД_НР!$A$3:$A$62&amp;".",","&amp;SUBSTITUTE(F786," ","")&amp;","))) +
  SUMPRODUCT(ISNUMBER(SEARCH(","&amp;Справочник_ОКВЭД_НР!$C$3:$C$62&amp;".",","&amp;SUBSTITUTE(F786," ","")&amp;","))) +
  SUMPRODUCT(ISNUMBER(SEARCH(","&amp;Справочник_ОКВЭД_НР!$E$3:$E$62&amp;".",","&amp;SUBSTITUTE(F786," ","")&amp;","))) +
  SUMPRODUCT(ISNUMBER(SEARCH(","&amp;Справочник_ОКВЭД_НР!$G$3:$G$62&amp;".",","&amp;SUBSTITUTE(F786," ","")&amp;",")))),
50)</f>
        <v>50</v>
      </c>
      <c r="K786" s="30">
        <f>IFERROR(VLOOKUP(G786,Справочник_ОКВЭД_НР!$O:$P,2,FALSE()),50)</f>
        <v>50</v>
      </c>
      <c r="L786" s="45">
        <f>(I786*Справочник_ОКВЭД_НР!$L$2+J786*Справочник_ОКВЭД_НР!$L$3+K786*Справочник_ОКВЭД_НР!$L$4)*M786</f>
        <v>56</v>
      </c>
      <c r="M786" s="47">
        <f>IF(COUNTIF(Справочник_ОКВЭД_НР!$G$3:$G$62,H786)&gt;0,0,1)</f>
        <v>1</v>
      </c>
    </row>
    <row r="787" spans="1:13" x14ac:dyDescent="0.25">
      <c r="A787" s="4">
        <f>ЛИК_дляСкорингаДП!A787</f>
        <v>1157746314934</v>
      </c>
      <c r="B787" s="4">
        <f>ЛИК_дляСкорингаДП!B787</f>
        <v>7735142597</v>
      </c>
      <c r="C787" s="4" t="str">
        <f>ЛИК_дляСкорингаДП!C787</f>
        <v>ООО "БЕРГЛАНД"</v>
      </c>
      <c r="D787" s="5" t="str">
        <f>ЛИК_дляСкорингаДП!M787</f>
        <v>Деятельность ресторанов и услуги по доставке продуктов питания</v>
      </c>
      <c r="E787" s="4" t="str">
        <f>ЛИК_дляСкорингаДП!L787</f>
        <v>56.10</v>
      </c>
      <c r="F787" t="str">
        <f>ЛИК_дляСкорингаДП!N787</f>
        <v>10.32,10.39,10.71,10.72,10.82,10.89,10.89.1,10.89.5,10.89.6,10.89.7,10.89.8,10.89.9,47.24,47.24.1,47.24.2,47.24.21,47.24.22,47.24.3,47.25,47.25.11,47.25.12,47.25.2,47.26,47.29.39,47.9,47.99,56.10.1,56.10.3,56.29,56.30,82.99</v>
      </c>
      <c r="G787" s="25" t="str">
        <f>ЛИК_дляСкорингаДП!AG787</f>
        <v>УСН</v>
      </c>
      <c r="H787" s="55" t="str">
        <f>IF(ISNUMBER(E787),E787,
IFERROR(LEFT(E787,FIND(".",E787)-1),E787))</f>
        <v>56</v>
      </c>
      <c r="I787" s="30">
        <f>IF(COUNTIF(Справочник_ОКВЭД_НР!$A$3:$A$62,H787)&gt;0,Справочник_ОКВЭД_НР!$L$8,
 IF(COUNTIF(Справочник_ОКВЭД_НР!$C$3:$C$62,H787)&gt;0,Справочник_ОКВЭД_НР!$L$9,
  IF(COUNTIF(Справочник_ОКВЭД_НР!$E$3:$E$62,H787)&gt;0,Справочник_ОКВЭД_НР!$L$10,
   IF(COUNTIF(Справочник_ОКВЭД_НР!$G$3:$G$62,H787)&gt;0,Справочник_ОКВЭД_НР!$L$11,50))))</f>
        <v>30</v>
      </c>
      <c r="J787" s="30" cm="1">
        <f t="array" ref="J787">IFERROR(
 (SUMPRODUCT(ISNUMBER(SEARCH(","&amp;Справочник_ОКВЭД_НР!$A$3:$A$62&amp;".",","&amp;SUBSTITUTE(F787," ","")&amp;",")))*Справочник_ОКВЭД_НР!$L$9 +
  SUMPRODUCT(ISNUMBER(SEARCH(","&amp;Справочник_ОКВЭД_НР!$C$3:$C$62&amp;".",","&amp;SUBSTITUTE(F787," ","")&amp;",")))*Справочник_ОКВЭД_НР!$L$10 +
  SUMPRODUCT(ISNUMBER(SEARCH(","&amp;Справочник_ОКВЭД_НР!$E$3:$E$62&amp;".",","&amp;SUBSTITUTE(F787," ","")&amp;",")))*Справочник_ОКВЭД_НР!$L$11 +
  SUMPRODUCT(ISNUMBER(SEARCH(","&amp;Справочник_ОКВЭД_НР!$G$3:$G$62&amp;".",","&amp;SUBSTITUTE(F787," ","")&amp;",")))*Справочник_ОКВЭД_НР!$L$12) /
 (SUMPRODUCT(ISNUMBER(SEARCH(","&amp;Справочник_ОКВЭД_НР!$A$3:$A$62&amp;".",","&amp;SUBSTITUTE(F787," ","")&amp;","))) +
  SUMPRODUCT(ISNUMBER(SEARCH(","&amp;Справочник_ОКВЭД_НР!$C$3:$C$62&amp;".",","&amp;SUBSTITUTE(F787," ","")&amp;","))) +
  SUMPRODUCT(ISNUMBER(SEARCH(","&amp;Справочник_ОКВЭД_НР!$E$3:$E$62&amp;".",","&amp;SUBSTITUTE(F787," ","")&amp;","))) +
  SUMPRODUCT(ISNUMBER(SEARCH(","&amp;Справочник_ОКВЭД_НР!$G$3:$G$62&amp;".",","&amp;SUBSTITUTE(F787," ","")&amp;",")))),
50)</f>
        <v>50</v>
      </c>
      <c r="K787" s="30">
        <f>IFERROR(VLOOKUP(G787,Справочник_ОКВЭД_НР!$O:$P,2,FALSE()),50)</f>
        <v>50</v>
      </c>
      <c r="L787" s="45">
        <f>(I787*Справочник_ОКВЭД_НР!$L$2+J787*Справочник_ОКВЭД_НР!$L$3+K787*Справочник_ОКВЭД_НР!$L$4)*M787</f>
        <v>38</v>
      </c>
      <c r="M787" s="47">
        <f>IF(COUNTIF(Справочник_ОКВЭД_НР!$G$3:$G$62,H787)&gt;0,0,1)</f>
        <v>1</v>
      </c>
    </row>
    <row r="788" spans="1:13" x14ac:dyDescent="0.25">
      <c r="A788" s="4">
        <f>ЛИК_дляСкорингаДП!A788</f>
        <v>1157746349738</v>
      </c>
      <c r="B788" s="4">
        <f>ЛИК_дляСкорингаДП!B788</f>
        <v>7734352104</v>
      </c>
      <c r="C788" s="4" t="str">
        <f>ЛИК_дляСкорингаДП!C788</f>
        <v>ООО "НПК "КРЕАХИМ"</v>
      </c>
      <c r="D788" s="5" t="str">
        <f>ЛИК_дляСкорингаДП!M788</f>
        <v>Научные исследования и разработки в области естественных и технических наук прочие</v>
      </c>
      <c r="E788" s="4" t="str">
        <f>ЛИК_дляСкорингаДП!L788</f>
        <v>72.19</v>
      </c>
      <c r="F788" t="str">
        <f>ЛИК_дляСкорингаДП!N788</f>
        <v>20.14,20.59,25.99,26.51,28.25.1,28.29,33.20,46.12,46.69,47.99,71.12.12</v>
      </c>
      <c r="G788" s="25" t="str">
        <f>ЛИК_дляСкорингаДП!AG788</f>
        <v>УСН</v>
      </c>
      <c r="H788" s="55" t="str">
        <f>IF(ISNUMBER(E788),E788,
IFERROR(LEFT(E788,FIND(".",E788)-1),E788))</f>
        <v>72</v>
      </c>
      <c r="I788" s="30">
        <f>IF(COUNTIF(Справочник_ОКВЭД_НР!$A$3:$A$62,H788)&gt;0,Справочник_ОКВЭД_НР!$L$8,
 IF(COUNTIF(Справочник_ОКВЭД_НР!$C$3:$C$62,H788)&gt;0,Справочник_ОКВЭД_НР!$L$9,
  IF(COUNTIF(Справочник_ОКВЭД_НР!$E$3:$E$62,H788)&gt;0,Справочник_ОКВЭД_НР!$L$10,
   IF(COUNTIF(Справочник_ОКВЭД_НР!$G$3:$G$62,H788)&gt;0,Справочник_ОКВЭД_НР!$L$11,50))))</f>
        <v>60</v>
      </c>
      <c r="J788" s="30" cm="1">
        <f t="array" ref="J788">IFERROR(
 (SUMPRODUCT(ISNUMBER(SEARCH(","&amp;Справочник_ОКВЭД_НР!$A$3:$A$62&amp;".",","&amp;SUBSTITUTE(F788," ","")&amp;",")))*Справочник_ОКВЭД_НР!$L$9 +
  SUMPRODUCT(ISNUMBER(SEARCH(","&amp;Справочник_ОКВЭД_НР!$C$3:$C$62&amp;".",","&amp;SUBSTITUTE(F788," ","")&amp;",")))*Справочник_ОКВЭД_НР!$L$10 +
  SUMPRODUCT(ISNUMBER(SEARCH(","&amp;Справочник_ОКВЭД_НР!$E$3:$E$62&amp;".",","&amp;SUBSTITUTE(F788," ","")&amp;",")))*Справочник_ОКВЭД_НР!$L$11 +
  SUMPRODUCT(ISNUMBER(SEARCH(","&amp;Справочник_ОКВЭД_НР!$G$3:$G$62&amp;".",","&amp;SUBSTITUTE(F788," ","")&amp;",")))*Справочник_ОКВЭД_НР!$L$12) /
 (SUMPRODUCT(ISNUMBER(SEARCH(","&amp;Справочник_ОКВЭД_НР!$A$3:$A$62&amp;".",","&amp;SUBSTITUTE(F788," ","")&amp;","))) +
  SUMPRODUCT(ISNUMBER(SEARCH(","&amp;Справочник_ОКВЭД_НР!$C$3:$C$62&amp;".",","&amp;SUBSTITUTE(F788," ","")&amp;","))) +
  SUMPRODUCT(ISNUMBER(SEARCH(","&amp;Справочник_ОКВЭД_НР!$E$3:$E$62&amp;".",","&amp;SUBSTITUTE(F788," ","")&amp;","))) +
  SUMPRODUCT(ISNUMBER(SEARCH(","&amp;Справочник_ОКВЭД_НР!$G$3:$G$62&amp;".",","&amp;SUBSTITUTE(F788," ","")&amp;",")))),
50)</f>
        <v>50</v>
      </c>
      <c r="K788" s="30">
        <f>IFERROR(VLOOKUP(G788,Справочник_ОКВЭД_НР!$O:$P,2,FALSE()),50)</f>
        <v>50</v>
      </c>
      <c r="L788" s="45">
        <f>(I788*Справочник_ОКВЭД_НР!$L$2+J788*Справочник_ОКВЭД_НР!$L$3+K788*Справочник_ОКВЭД_НР!$L$4)*M788</f>
        <v>56</v>
      </c>
      <c r="M788" s="47">
        <f>IF(COUNTIF(Справочник_ОКВЭД_НР!$G$3:$G$62,H788)&gt;0,0,1)</f>
        <v>1</v>
      </c>
    </row>
    <row r="789" spans="1:13" x14ac:dyDescent="0.25">
      <c r="A789" s="4">
        <f>ЛИК_дляСкорингаДП!A789</f>
        <v>1157746166478</v>
      </c>
      <c r="B789" s="4">
        <f>ЛИК_дляСкорингаДП!B789</f>
        <v>7729448587</v>
      </c>
      <c r="C789" s="4" t="str">
        <f>ЛИК_дляСкорингаДП!C789</f>
        <v>ООО "ТЦ "ЛЮБИМЫЙ ЗАПАД"</v>
      </c>
      <c r="D789" s="5" t="str">
        <f>ЛИК_дляСкорингаДП!M789</f>
        <v>Аренда и управление собственным или арендованным нежилым недвижимым имуществом</v>
      </c>
      <c r="E789" s="4" t="str">
        <f>ЛИК_дляСкорингаДП!L789</f>
        <v>68.20.2</v>
      </c>
      <c r="F789" t="str">
        <f>ЛИК_дляСкорингаДП!N789</f>
        <v>46.31,46.31.11,46.39,47.24,47.25,47.7,47.9,56.10,56.10.1,56.10.3,56.30,68.10.1,68.31,93.29,93.29.9</v>
      </c>
      <c r="G789" s="25" t="str">
        <f>ЛИК_дляСкорингаДП!AG789</f>
        <v>УСН</v>
      </c>
      <c r="H789" s="55" t="str">
        <f>IF(ISNUMBER(E789),E789,
IFERROR(LEFT(E789,FIND(".",E789)-1),E789))</f>
        <v>68</v>
      </c>
      <c r="I789" s="30">
        <f>IF(COUNTIF(Справочник_ОКВЭД_НР!$A$3:$A$62,H789)&gt;0,Справочник_ОКВЭД_НР!$L$8,
 IF(COUNTIF(Справочник_ОКВЭД_НР!$C$3:$C$62,H789)&gt;0,Справочник_ОКВЭД_НР!$L$9,
  IF(COUNTIF(Справочник_ОКВЭД_НР!$E$3:$E$62,H789)&gt;0,Справочник_ОКВЭД_НР!$L$10,
   IF(COUNTIF(Справочник_ОКВЭД_НР!$G$3:$G$62,H789)&gt;0,Справочник_ОКВЭД_НР!$L$11,50))))</f>
        <v>100</v>
      </c>
      <c r="J789" s="30" cm="1">
        <f t="array" ref="J789">IFERROR(
 (SUMPRODUCT(ISNUMBER(SEARCH(","&amp;Справочник_ОКВЭД_НР!$A$3:$A$62&amp;".",","&amp;SUBSTITUTE(F789," ","")&amp;",")))*Справочник_ОКВЭД_НР!$L$9 +
  SUMPRODUCT(ISNUMBER(SEARCH(","&amp;Справочник_ОКВЭД_НР!$C$3:$C$62&amp;".",","&amp;SUBSTITUTE(F789," ","")&amp;",")))*Справочник_ОКВЭД_НР!$L$10 +
  SUMPRODUCT(ISNUMBER(SEARCH(","&amp;Справочник_ОКВЭД_НР!$E$3:$E$62&amp;".",","&amp;SUBSTITUTE(F789," ","")&amp;",")))*Справочник_ОКВЭД_НР!$L$11 +
  SUMPRODUCT(ISNUMBER(SEARCH(","&amp;Справочник_ОКВЭД_НР!$G$3:$G$62&amp;".",","&amp;SUBSTITUTE(F789," ","")&amp;",")))*Справочник_ОКВЭД_НР!$L$12) /
 (SUMPRODUCT(ISNUMBER(SEARCH(","&amp;Справочник_ОКВЭД_НР!$A$3:$A$62&amp;".",","&amp;SUBSTITUTE(F789," ","")&amp;","))) +
  SUMPRODUCT(ISNUMBER(SEARCH(","&amp;Справочник_ОКВЭД_НР!$C$3:$C$62&amp;".",","&amp;SUBSTITUTE(F789," ","")&amp;","))) +
  SUMPRODUCT(ISNUMBER(SEARCH(","&amp;Справочник_ОКВЭД_НР!$E$3:$E$62&amp;".",","&amp;SUBSTITUTE(F789," ","")&amp;","))) +
  SUMPRODUCT(ISNUMBER(SEARCH(","&amp;Справочник_ОКВЭД_НР!$G$3:$G$62&amp;".",","&amp;SUBSTITUTE(F789," ","")&amp;",")))),
50)</f>
        <v>50</v>
      </c>
      <c r="K789" s="30">
        <f>IFERROR(VLOOKUP(G789,Справочник_ОКВЭД_НР!$O:$P,2,FALSE()),50)</f>
        <v>50</v>
      </c>
      <c r="L789" s="45">
        <f>(I789*Справочник_ОКВЭД_НР!$L$2+J789*Справочник_ОКВЭД_НР!$L$3+K789*Справочник_ОКВЭД_НР!$L$4)*M789</f>
        <v>80</v>
      </c>
      <c r="M789" s="47">
        <f>IF(COUNTIF(Справочник_ОКВЭД_НР!$G$3:$G$62,H789)&gt;0,0,1)</f>
        <v>1</v>
      </c>
    </row>
    <row r="790" spans="1:13" x14ac:dyDescent="0.25">
      <c r="A790" s="4">
        <f>ЛИК_дляСкорингаДП!A790</f>
        <v>1025006392388</v>
      </c>
      <c r="B790" s="4">
        <f>ЛИК_дляСкорингаДП!B790</f>
        <v>5048009240</v>
      </c>
      <c r="C790" s="4" t="str">
        <f>ЛИК_дляСкорингаДП!C790</f>
        <v>ООО "ЛАВАНДА-НГИ"</v>
      </c>
      <c r="D790" s="5" t="str">
        <f>ЛИК_дляСкорингаДП!M790</f>
        <v>Торговля розничная лекарственными средствами в специализированных магазинах (аптеках)</v>
      </c>
      <c r="E790" s="4" t="str">
        <f>ЛИК_дляСкорингаДП!L790</f>
        <v>47.73</v>
      </c>
      <c r="F790" t="str">
        <f>ЛИК_дляСкорингаДП!N790</f>
        <v>41.20,46.19,46.38.21,46.39,47.25.2,47.29.39,47.30,47.74,47.75.1,47.75.2,86.90.9</v>
      </c>
      <c r="G790" s="25" t="str">
        <f>ЛИК_дляСкорингаДП!AG790</f>
        <v>УСН</v>
      </c>
      <c r="H790" s="55" t="str">
        <f>IF(ISNUMBER(E790),E790,
IFERROR(LEFT(E790,FIND(".",E790)-1),E790))</f>
        <v>47</v>
      </c>
      <c r="I790" s="30">
        <f>IF(COUNTIF(Справочник_ОКВЭД_НР!$A$3:$A$62,H790)&gt;0,Справочник_ОКВЭД_НР!$L$8,
 IF(COUNTIF(Справочник_ОКВЭД_НР!$C$3:$C$62,H790)&gt;0,Справочник_ОКВЭД_НР!$L$9,
  IF(COUNTIF(Справочник_ОКВЭД_НР!$E$3:$E$62,H790)&gt;0,Справочник_ОКВЭД_НР!$L$10,
   IF(COUNTIF(Справочник_ОКВЭД_НР!$G$3:$G$62,H790)&gt;0,Справочник_ОКВЭД_НР!$L$11,50))))</f>
        <v>60</v>
      </c>
      <c r="J790" s="30" cm="1">
        <f t="array" ref="J790">IFERROR(
 (SUMPRODUCT(ISNUMBER(SEARCH(","&amp;Справочник_ОКВЭД_НР!$A$3:$A$62&amp;".",","&amp;SUBSTITUTE(F790," ","")&amp;",")))*Справочник_ОКВЭД_НР!$L$9 +
  SUMPRODUCT(ISNUMBER(SEARCH(","&amp;Справочник_ОКВЭД_НР!$C$3:$C$62&amp;".",","&amp;SUBSTITUTE(F790," ","")&amp;",")))*Справочник_ОКВЭД_НР!$L$10 +
  SUMPRODUCT(ISNUMBER(SEARCH(","&amp;Справочник_ОКВЭД_НР!$E$3:$E$62&amp;".",","&amp;SUBSTITUTE(F790," ","")&amp;",")))*Справочник_ОКВЭД_НР!$L$11 +
  SUMPRODUCT(ISNUMBER(SEARCH(","&amp;Справочник_ОКВЭД_НР!$G$3:$G$62&amp;".",","&amp;SUBSTITUTE(F790," ","")&amp;",")))*Справочник_ОКВЭД_НР!$L$12) /
 (SUMPRODUCT(ISNUMBER(SEARCH(","&amp;Справочник_ОКВЭД_НР!$A$3:$A$62&amp;".",","&amp;SUBSTITUTE(F790," ","")&amp;","))) +
  SUMPRODUCT(ISNUMBER(SEARCH(","&amp;Справочник_ОКВЭД_НР!$C$3:$C$62&amp;".",","&amp;SUBSTITUTE(F790," ","")&amp;","))) +
  SUMPRODUCT(ISNUMBER(SEARCH(","&amp;Справочник_ОКВЭД_НР!$E$3:$E$62&amp;".",","&amp;SUBSTITUTE(F790," ","")&amp;","))) +
  SUMPRODUCT(ISNUMBER(SEARCH(","&amp;Справочник_ОКВЭД_НР!$G$3:$G$62&amp;".",","&amp;SUBSTITUTE(F790," ","")&amp;",")))),
50)</f>
        <v>50</v>
      </c>
      <c r="K790" s="30">
        <f>IFERROR(VLOOKUP(G790,Справочник_ОКВЭД_НР!$O:$P,2,FALSE()),50)</f>
        <v>50</v>
      </c>
      <c r="L790" s="45">
        <f>(I790*Справочник_ОКВЭД_НР!$L$2+J790*Справочник_ОКВЭД_НР!$L$3+K790*Справочник_ОКВЭД_НР!$L$4)*M790</f>
        <v>56</v>
      </c>
      <c r="M790" s="47">
        <f>IF(COUNTIF(Справочник_ОКВЭД_НР!$G$3:$G$62,H790)&gt;0,0,1)</f>
        <v>1</v>
      </c>
    </row>
    <row r="791" spans="1:13" x14ac:dyDescent="0.25">
      <c r="A791" s="4">
        <f>ЛИК_дляСкорингаДП!A791</f>
        <v>1157746390350</v>
      </c>
      <c r="B791" s="4">
        <f>ЛИК_дляСкорингаДП!B791</f>
        <v>7729458923</v>
      </c>
      <c r="C791" s="4" t="str">
        <f>ЛИК_дляСкорингаДП!C791</f>
        <v>ООО "АЙ ДЖИ ТЕХНОЛОДЖИ"</v>
      </c>
      <c r="D791" s="5" t="str">
        <f>ЛИК_дляСкорингаДП!M791</f>
        <v>Деятельность по организации отдыха и развлечений прочая</v>
      </c>
      <c r="E791" s="4" t="str">
        <f>ЛИК_дляСкорингаДП!L791</f>
        <v>93.29</v>
      </c>
      <c r="F791" t="str">
        <f>ЛИК_дляСкорингаДП!N791</f>
        <v>18.11,18.12,18.13,18.14,33.14,33.20,46.43.2,46.43.3,46.49.3,46.49.4,47.11,47.24.22,47.29,47.61,47.7,47.78,47.78.1,52.10,52.24,52.29,60.10,60.20,63.91,66.19,68.10.1,71.12.12,73.11,77.39.24,77.39.29,82.99,90.03,90.04,93.29.2,93.29.9,95.12,95.21,96.09</v>
      </c>
      <c r="G791" s="25" t="str">
        <f>ЛИК_дляСкорингаДП!AG791</f>
        <v>УСН</v>
      </c>
      <c r="H791" s="55" t="str">
        <f>IF(ISNUMBER(E791),E791,
IFERROR(LEFT(E791,FIND(".",E791)-1),E791))</f>
        <v>93</v>
      </c>
      <c r="I791" s="30">
        <f>IF(COUNTIF(Справочник_ОКВЭД_НР!$A$3:$A$62,H791)&gt;0,Справочник_ОКВЭД_НР!$L$8,
 IF(COUNTIF(Справочник_ОКВЭД_НР!$C$3:$C$62,H791)&gt;0,Справочник_ОКВЭД_НР!$L$9,
  IF(COUNTIF(Справочник_ОКВЭД_НР!$E$3:$E$62,H791)&gt;0,Справочник_ОКВЭД_НР!$L$10,
   IF(COUNTIF(Справочник_ОКВЭД_НР!$G$3:$G$62,H791)&gt;0,Справочник_ОКВЭД_НР!$L$11,50))))</f>
        <v>30</v>
      </c>
      <c r="J791" s="30" cm="1">
        <f t="array" ref="J791">IFERROR(
 (SUMPRODUCT(ISNUMBER(SEARCH(","&amp;Справочник_ОКВЭД_НР!$A$3:$A$62&amp;".",","&amp;SUBSTITUTE(F791," ","")&amp;",")))*Справочник_ОКВЭД_НР!$L$9 +
  SUMPRODUCT(ISNUMBER(SEARCH(","&amp;Справочник_ОКВЭД_НР!$C$3:$C$62&amp;".",","&amp;SUBSTITUTE(F791," ","")&amp;",")))*Справочник_ОКВЭД_НР!$L$10 +
  SUMPRODUCT(ISNUMBER(SEARCH(","&amp;Справочник_ОКВЭД_НР!$E$3:$E$62&amp;".",","&amp;SUBSTITUTE(F791," ","")&amp;",")))*Справочник_ОКВЭД_НР!$L$11 +
  SUMPRODUCT(ISNUMBER(SEARCH(","&amp;Справочник_ОКВЭД_НР!$G$3:$G$62&amp;".",","&amp;SUBSTITUTE(F791," ","")&amp;",")))*Справочник_ОКВЭД_НР!$L$12) /
 (SUMPRODUCT(ISNUMBER(SEARCH(","&amp;Справочник_ОКВЭД_НР!$A$3:$A$62&amp;".",","&amp;SUBSTITUTE(F791," ","")&amp;","))) +
  SUMPRODUCT(ISNUMBER(SEARCH(","&amp;Справочник_ОКВЭД_НР!$C$3:$C$62&amp;".",","&amp;SUBSTITUTE(F791," ","")&amp;","))) +
  SUMPRODUCT(ISNUMBER(SEARCH(","&amp;Справочник_ОКВЭД_НР!$E$3:$E$62&amp;".",","&amp;SUBSTITUTE(F791," ","")&amp;","))) +
  SUMPRODUCT(ISNUMBER(SEARCH(","&amp;Справочник_ОКВЭД_НР!$G$3:$G$62&amp;".",","&amp;SUBSTITUTE(F791," ","")&amp;",")))),
50)</f>
        <v>50</v>
      </c>
      <c r="K791" s="30">
        <f>IFERROR(VLOOKUP(G791,Справочник_ОКВЭД_НР!$O:$P,2,FALSE()),50)</f>
        <v>50</v>
      </c>
      <c r="L791" s="45">
        <f>(I791*Справочник_ОКВЭД_НР!$L$2+J791*Справочник_ОКВЭД_НР!$L$3+K791*Справочник_ОКВЭД_НР!$L$4)*M791</f>
        <v>38</v>
      </c>
      <c r="M791" s="47">
        <f>IF(COUNTIF(Справочник_ОКВЭД_НР!$G$3:$G$62,H791)&gt;0,0,1)</f>
        <v>1</v>
      </c>
    </row>
    <row r="792" spans="1:13" x14ac:dyDescent="0.25">
      <c r="A792" s="4">
        <f>ЛИК_дляСкорингаДП!A792</f>
        <v>1025005925340</v>
      </c>
      <c r="B792" s="4">
        <f>ЛИК_дляСкорингаДП!B792</f>
        <v>5045023134</v>
      </c>
      <c r="C792" s="4" t="str">
        <f>ЛИК_дляСкорингаДП!C792</f>
        <v>ООО "КОМПАНИЯ ЕРМАК"</v>
      </c>
      <c r="D792" s="5" t="str">
        <f>ЛИК_дляСкорингаДП!M792</f>
        <v>Торговля розничная преимущественно пищевыми продуктами, включая напитки, и табачными изделиями в неспециализированных магазинах</v>
      </c>
      <c r="E792" s="4" t="str">
        <f>ЛИК_дляСкорингаДП!L792</f>
        <v>47.11</v>
      </c>
      <c r="F792" t="str">
        <f>ЛИК_дляСкорингаДП!N792</f>
        <v>18.20,28.25,28.29,33.11,33.12,33.13,33.14,33.20,42.21,42.22,43.21,43.22,43.33,43.91,43.99,47.41,47.91.2,47.91.3,47.91.4,59.13,62.01,62.02,62.09,63.11,63.11.1,71.11,71.12,74.90,80.20,84.25.2,95.11,95.29</v>
      </c>
      <c r="G792" s="25" t="str">
        <f>ЛИК_дляСкорингаДП!AG792</f>
        <v>УСН</v>
      </c>
      <c r="H792" s="55" t="str">
        <f>IF(ISNUMBER(E792),E792,
IFERROR(LEFT(E792,FIND(".",E792)-1),E792))</f>
        <v>47</v>
      </c>
      <c r="I792" s="30">
        <f>IF(COUNTIF(Справочник_ОКВЭД_НР!$A$3:$A$62,H792)&gt;0,Справочник_ОКВЭД_НР!$L$8,
 IF(COUNTIF(Справочник_ОКВЭД_НР!$C$3:$C$62,H792)&gt;0,Справочник_ОКВЭД_НР!$L$9,
  IF(COUNTIF(Справочник_ОКВЭД_НР!$E$3:$E$62,H792)&gt;0,Справочник_ОКВЭД_НР!$L$10,
   IF(COUNTIF(Справочник_ОКВЭД_НР!$G$3:$G$62,H792)&gt;0,Справочник_ОКВЭД_НР!$L$11,50))))</f>
        <v>60</v>
      </c>
      <c r="J792" s="30" cm="1">
        <f t="array" ref="J792">IFERROR(
 (SUMPRODUCT(ISNUMBER(SEARCH(","&amp;Справочник_ОКВЭД_НР!$A$3:$A$62&amp;".",","&amp;SUBSTITUTE(F792," ","")&amp;",")))*Справочник_ОКВЭД_НР!$L$9 +
  SUMPRODUCT(ISNUMBER(SEARCH(","&amp;Справочник_ОКВЭД_НР!$C$3:$C$62&amp;".",","&amp;SUBSTITUTE(F792," ","")&amp;",")))*Справочник_ОКВЭД_НР!$L$10 +
  SUMPRODUCT(ISNUMBER(SEARCH(","&amp;Справочник_ОКВЭД_НР!$E$3:$E$62&amp;".",","&amp;SUBSTITUTE(F792," ","")&amp;",")))*Справочник_ОКВЭД_НР!$L$11 +
  SUMPRODUCT(ISNUMBER(SEARCH(","&amp;Справочник_ОКВЭД_НР!$G$3:$G$62&amp;".",","&amp;SUBSTITUTE(F792," ","")&amp;",")))*Справочник_ОКВЭД_НР!$L$12) /
 (SUMPRODUCT(ISNUMBER(SEARCH(","&amp;Справочник_ОКВЭД_НР!$A$3:$A$62&amp;".",","&amp;SUBSTITUTE(F792," ","")&amp;","))) +
  SUMPRODUCT(ISNUMBER(SEARCH(","&amp;Справочник_ОКВЭД_НР!$C$3:$C$62&amp;".",","&amp;SUBSTITUTE(F792," ","")&amp;","))) +
  SUMPRODUCT(ISNUMBER(SEARCH(","&amp;Справочник_ОКВЭД_НР!$E$3:$E$62&amp;".",","&amp;SUBSTITUTE(F792," ","")&amp;","))) +
  SUMPRODUCT(ISNUMBER(SEARCH(","&amp;Справочник_ОКВЭД_НР!$G$3:$G$62&amp;".",","&amp;SUBSTITUTE(F792," ","")&amp;",")))),
50)</f>
        <v>50</v>
      </c>
      <c r="K792" s="30">
        <f>IFERROR(VLOOKUP(G792,Справочник_ОКВЭД_НР!$O:$P,2,FALSE()),50)</f>
        <v>50</v>
      </c>
      <c r="L792" s="45">
        <f>(I792*Справочник_ОКВЭД_НР!$L$2+J792*Справочник_ОКВЭД_НР!$L$3+K792*Справочник_ОКВЭД_НР!$L$4)*M792</f>
        <v>56</v>
      </c>
      <c r="M792" s="47">
        <f>IF(COUNTIF(Справочник_ОКВЭД_НР!$G$3:$G$62,H792)&gt;0,0,1)</f>
        <v>1</v>
      </c>
    </row>
    <row r="793" spans="1:13" x14ac:dyDescent="0.25">
      <c r="A793" s="4">
        <f>ЛИК_дляСкорингаДП!A793</f>
        <v>1157746505916</v>
      </c>
      <c r="B793" s="4">
        <f>ЛИК_дляСкорингаДП!B793</f>
        <v>7728257847</v>
      </c>
      <c r="C793" s="4" t="str">
        <f>ЛИК_дляСкорингаДП!C793</f>
        <v>ООО "ПОДЗЕМГЕОЛОКАЦИЯ"</v>
      </c>
      <c r="D793" s="5" t="str">
        <f>ЛИК_дляСкорингаДП!M793</f>
        <v>Технические испытания, исследования, анализ и сертификация</v>
      </c>
      <c r="E793" s="4" t="str">
        <f>ЛИК_дляСкорингаДП!L793</f>
        <v>71.20</v>
      </c>
      <c r="F793" t="str">
        <f>ЛИК_дляСкорингаДП!N793</f>
        <v>09.10.9,41.20,42.21,46.13,46.14,46.19,46.63,46.66,46.69,46.73,46.90,62.09,63.11,71.1,71.12.5,71.12.6</v>
      </c>
      <c r="G793" s="25" t="str">
        <f>ЛИК_дляСкорингаДП!AG793</f>
        <v>УСН</v>
      </c>
      <c r="H793" s="55" t="str">
        <f>IF(ISNUMBER(E793),E793,
IFERROR(LEFT(E793,FIND(".",E793)-1),E793))</f>
        <v>71</v>
      </c>
      <c r="I793" s="30">
        <f>IF(COUNTIF(Справочник_ОКВЭД_НР!$A$3:$A$62,H793)&gt;0,Справочник_ОКВЭД_НР!$L$8,
 IF(COUNTIF(Справочник_ОКВЭД_НР!$C$3:$C$62,H793)&gt;0,Справочник_ОКВЭД_НР!$L$9,
  IF(COUNTIF(Справочник_ОКВЭД_НР!$E$3:$E$62,H793)&gt;0,Справочник_ОКВЭД_НР!$L$10,
   IF(COUNTIF(Справочник_ОКВЭД_НР!$G$3:$G$62,H793)&gt;0,Справочник_ОКВЭД_НР!$L$11,50))))</f>
        <v>100</v>
      </c>
      <c r="J793" s="30" cm="1">
        <f t="array" ref="J793">IFERROR(
 (SUMPRODUCT(ISNUMBER(SEARCH(","&amp;Справочник_ОКВЭД_НР!$A$3:$A$62&amp;".",","&amp;SUBSTITUTE(F793," ","")&amp;",")))*Справочник_ОКВЭД_НР!$L$9 +
  SUMPRODUCT(ISNUMBER(SEARCH(","&amp;Справочник_ОКВЭД_НР!$C$3:$C$62&amp;".",","&amp;SUBSTITUTE(F793," ","")&amp;",")))*Справочник_ОКВЭД_НР!$L$10 +
  SUMPRODUCT(ISNUMBER(SEARCH(","&amp;Справочник_ОКВЭД_НР!$E$3:$E$62&amp;".",","&amp;SUBSTITUTE(F793," ","")&amp;",")))*Справочник_ОКВЭД_НР!$L$11 +
  SUMPRODUCT(ISNUMBER(SEARCH(","&amp;Справочник_ОКВЭД_НР!$G$3:$G$62&amp;".",","&amp;SUBSTITUTE(F793," ","")&amp;",")))*Справочник_ОКВЭД_НР!$L$12) /
 (SUMPRODUCT(ISNUMBER(SEARCH(","&amp;Справочник_ОКВЭД_НР!$A$3:$A$62&amp;".",","&amp;SUBSTITUTE(F793," ","")&amp;","))) +
  SUMPRODUCT(ISNUMBER(SEARCH(","&amp;Справочник_ОКВЭД_НР!$C$3:$C$62&amp;".",","&amp;SUBSTITUTE(F793," ","")&amp;","))) +
  SUMPRODUCT(ISNUMBER(SEARCH(","&amp;Справочник_ОКВЭД_НР!$E$3:$E$62&amp;".",","&amp;SUBSTITUTE(F793," ","")&amp;","))) +
  SUMPRODUCT(ISNUMBER(SEARCH(","&amp;Справочник_ОКВЭД_НР!$G$3:$G$62&amp;".",","&amp;SUBSTITUTE(F793," ","")&amp;",")))),
50)</f>
        <v>50</v>
      </c>
      <c r="K793" s="30">
        <f>IFERROR(VLOOKUP(G793,Справочник_ОКВЭД_НР!$O:$P,2,FALSE()),50)</f>
        <v>50</v>
      </c>
      <c r="L793" s="45">
        <f>(I793*Справочник_ОКВЭД_НР!$L$2+J793*Справочник_ОКВЭД_НР!$L$3+K793*Справочник_ОКВЭД_НР!$L$4)*M793</f>
        <v>80</v>
      </c>
      <c r="M793" s="47">
        <f>IF(COUNTIF(Справочник_ОКВЭД_НР!$G$3:$G$62,H793)&gt;0,0,1)</f>
        <v>1</v>
      </c>
    </row>
    <row r="794" spans="1:13" x14ac:dyDescent="0.25">
      <c r="A794" s="4">
        <f>ЛИК_дляСкорингаДП!A794</f>
        <v>1025004911491</v>
      </c>
      <c r="B794" s="4">
        <f>ЛИК_дляСкорингаДП!B794</f>
        <v>5038029569</v>
      </c>
      <c r="C794" s="4" t="str">
        <f>ЛИК_дляСкорингаДП!C794</f>
        <v>ООО "КАРМ +"</v>
      </c>
      <c r="D794" s="5" t="str">
        <f>ЛИК_дляСкорингаДП!M794</f>
        <v>Торговля розничная спортивным оборудованием и спортивными товарами в специализированных магазинах</v>
      </c>
      <c r="E794" s="4" t="str">
        <f>ЛИК_дляСкорингаДП!L794</f>
        <v>47.64</v>
      </c>
      <c r="F794" t="str">
        <f>ЛИК_дляСкорингаДП!N794</f>
        <v>33.11,33.13,33.19,45.1,45.20,45.3,45.40,47.1,47.30,47.52.6,47.59.2,47.59.3,47.65,47.7,47.71,47.72,47.78,47.78.9,56.10,56.10.1,56.10.3,82.99</v>
      </c>
      <c r="G794" s="25" t="str">
        <f>ЛИК_дляСкорингаДП!AG794</f>
        <v>УСН</v>
      </c>
      <c r="H794" s="55" t="str">
        <f>IF(ISNUMBER(E794),E794,
IFERROR(LEFT(E794,FIND(".",E794)-1),E794))</f>
        <v>47</v>
      </c>
      <c r="I794" s="30">
        <f>IF(COUNTIF(Справочник_ОКВЭД_НР!$A$3:$A$62,H794)&gt;0,Справочник_ОКВЭД_НР!$L$8,
 IF(COUNTIF(Справочник_ОКВЭД_НР!$C$3:$C$62,H794)&gt;0,Справочник_ОКВЭД_НР!$L$9,
  IF(COUNTIF(Справочник_ОКВЭД_НР!$E$3:$E$62,H794)&gt;0,Справочник_ОКВЭД_НР!$L$10,
   IF(COUNTIF(Справочник_ОКВЭД_НР!$G$3:$G$62,H794)&gt;0,Справочник_ОКВЭД_НР!$L$11,50))))</f>
        <v>60</v>
      </c>
      <c r="J794" s="30" cm="1">
        <f t="array" ref="J794">IFERROR(
 (SUMPRODUCT(ISNUMBER(SEARCH(","&amp;Справочник_ОКВЭД_НР!$A$3:$A$62&amp;".",","&amp;SUBSTITUTE(F794," ","")&amp;",")))*Справочник_ОКВЭД_НР!$L$9 +
  SUMPRODUCT(ISNUMBER(SEARCH(","&amp;Справочник_ОКВЭД_НР!$C$3:$C$62&amp;".",","&amp;SUBSTITUTE(F794," ","")&amp;",")))*Справочник_ОКВЭД_НР!$L$10 +
  SUMPRODUCT(ISNUMBER(SEARCH(","&amp;Справочник_ОКВЭД_НР!$E$3:$E$62&amp;".",","&amp;SUBSTITUTE(F794," ","")&amp;",")))*Справочник_ОКВЭД_НР!$L$11 +
  SUMPRODUCT(ISNUMBER(SEARCH(","&amp;Справочник_ОКВЭД_НР!$G$3:$G$62&amp;".",","&amp;SUBSTITUTE(F794," ","")&amp;",")))*Справочник_ОКВЭД_НР!$L$12) /
 (SUMPRODUCT(ISNUMBER(SEARCH(","&amp;Справочник_ОКВЭД_НР!$A$3:$A$62&amp;".",","&amp;SUBSTITUTE(F794," ","")&amp;","))) +
  SUMPRODUCT(ISNUMBER(SEARCH(","&amp;Справочник_ОКВЭД_НР!$C$3:$C$62&amp;".",","&amp;SUBSTITUTE(F794," ","")&amp;","))) +
  SUMPRODUCT(ISNUMBER(SEARCH(","&amp;Справочник_ОКВЭД_НР!$E$3:$E$62&amp;".",","&amp;SUBSTITUTE(F794," ","")&amp;","))) +
  SUMPRODUCT(ISNUMBER(SEARCH(","&amp;Справочник_ОКВЭД_НР!$G$3:$G$62&amp;".",","&amp;SUBSTITUTE(F794," ","")&amp;",")))),
50)</f>
        <v>50</v>
      </c>
      <c r="K794" s="30">
        <f>IFERROR(VLOOKUP(G794,Справочник_ОКВЭД_НР!$O:$P,2,FALSE()),50)</f>
        <v>50</v>
      </c>
      <c r="L794" s="45">
        <f>(I794*Справочник_ОКВЭД_НР!$L$2+J794*Справочник_ОКВЭД_НР!$L$3+K794*Справочник_ОКВЭД_НР!$L$4)*M794</f>
        <v>56</v>
      </c>
      <c r="M794" s="47">
        <f>IF(COUNTIF(Справочник_ОКВЭД_НР!$G$3:$G$62,H794)&gt;0,0,1)</f>
        <v>1</v>
      </c>
    </row>
    <row r="795" spans="1:13" x14ac:dyDescent="0.25">
      <c r="A795" s="4">
        <f>ЛИК_дляСкорингаДП!A795</f>
        <v>1157746369660</v>
      </c>
      <c r="B795" s="4">
        <f>ЛИК_дляСкорингаДП!B795</f>
        <v>7736244440</v>
      </c>
      <c r="C795" s="4" t="str">
        <f>ЛИК_дляСкорингаДП!C795</f>
        <v>ООО "АРИГАРЕС"</v>
      </c>
      <c r="D795" s="5" t="str">
        <f>ЛИК_дляСкорингаДП!M795</f>
        <v>Деятельность в области художественного творчества</v>
      </c>
      <c r="E795" s="4" t="str">
        <f>ЛИК_дляСкорингаДП!L795</f>
        <v>90.03</v>
      </c>
      <c r="F795" t="str">
        <f>ЛИК_дляСкорингаДП!N795</f>
        <v>33.12,33.13,46.69,46.90,47.78.5,47.79.1,47.79.2,47.9,58.19,66.19.4,66.21,68.31.11,68.31.12,68.31.21,68.31.22,68.31.31,68.31.32,68.31.41,68.31.42,68.31.5,70.22,72.19,72.20,73.20.1,82.99,95.29</v>
      </c>
      <c r="G795" s="25" t="str">
        <f>ЛИК_дляСкорингаДП!AG795</f>
        <v>УСН</v>
      </c>
      <c r="H795" s="55" t="str">
        <f>IF(ISNUMBER(E795),E795,
IFERROR(LEFT(E795,FIND(".",E795)-1),E795))</f>
        <v>90</v>
      </c>
      <c r="I795" s="30">
        <f>IF(COUNTIF(Справочник_ОКВЭД_НР!$A$3:$A$62,H795)&gt;0,Справочник_ОКВЭД_НР!$L$8,
 IF(COUNTIF(Справочник_ОКВЭД_НР!$C$3:$C$62,H795)&gt;0,Справочник_ОКВЭД_НР!$L$9,
  IF(COUNTIF(Справочник_ОКВЭД_НР!$E$3:$E$62,H795)&gt;0,Справочник_ОКВЭД_НР!$L$10,
   IF(COUNTIF(Справочник_ОКВЭД_НР!$G$3:$G$62,H795)&gt;0,Справочник_ОКВЭД_НР!$L$11,50))))</f>
        <v>30</v>
      </c>
      <c r="J795" s="30" cm="1">
        <f t="array" ref="J795">IFERROR(
 (SUMPRODUCT(ISNUMBER(SEARCH(","&amp;Справочник_ОКВЭД_НР!$A$3:$A$62&amp;".",","&amp;SUBSTITUTE(F795," ","")&amp;",")))*Справочник_ОКВЭД_НР!$L$9 +
  SUMPRODUCT(ISNUMBER(SEARCH(","&amp;Справочник_ОКВЭД_НР!$C$3:$C$62&amp;".",","&amp;SUBSTITUTE(F795," ","")&amp;",")))*Справочник_ОКВЭД_НР!$L$10 +
  SUMPRODUCT(ISNUMBER(SEARCH(","&amp;Справочник_ОКВЭД_НР!$E$3:$E$62&amp;".",","&amp;SUBSTITUTE(F795," ","")&amp;",")))*Справочник_ОКВЭД_НР!$L$11 +
  SUMPRODUCT(ISNUMBER(SEARCH(","&amp;Справочник_ОКВЭД_НР!$G$3:$G$62&amp;".",","&amp;SUBSTITUTE(F795," ","")&amp;",")))*Справочник_ОКВЭД_НР!$L$12) /
 (SUMPRODUCT(ISNUMBER(SEARCH(","&amp;Справочник_ОКВЭД_НР!$A$3:$A$62&amp;".",","&amp;SUBSTITUTE(F795," ","")&amp;","))) +
  SUMPRODUCT(ISNUMBER(SEARCH(","&amp;Справочник_ОКВЭД_НР!$C$3:$C$62&amp;".",","&amp;SUBSTITUTE(F795," ","")&amp;","))) +
  SUMPRODUCT(ISNUMBER(SEARCH(","&amp;Справочник_ОКВЭД_НР!$E$3:$E$62&amp;".",","&amp;SUBSTITUTE(F795," ","")&amp;","))) +
  SUMPRODUCT(ISNUMBER(SEARCH(","&amp;Справочник_ОКВЭД_НР!$G$3:$G$62&amp;".",","&amp;SUBSTITUTE(F795," ","")&amp;",")))),
50)</f>
        <v>50</v>
      </c>
      <c r="K795" s="30">
        <f>IFERROR(VLOOKUP(G795,Справочник_ОКВЭД_НР!$O:$P,2,FALSE()),50)</f>
        <v>50</v>
      </c>
      <c r="L795" s="45">
        <f>(I795*Справочник_ОКВЭД_НР!$L$2+J795*Справочник_ОКВЭД_НР!$L$3+K795*Справочник_ОКВЭД_НР!$L$4)*M795</f>
        <v>38</v>
      </c>
      <c r="M795" s="47">
        <f>IF(COUNTIF(Справочник_ОКВЭД_НР!$G$3:$G$62,H795)&gt;0,0,1)</f>
        <v>1</v>
      </c>
    </row>
    <row r="796" spans="1:13" x14ac:dyDescent="0.25">
      <c r="A796" s="4">
        <f>ЛИК_дляСкорингаДП!A796</f>
        <v>1157746422778</v>
      </c>
      <c r="B796" s="4">
        <f>ЛИК_дляСкорингаДП!B796</f>
        <v>7733233866</v>
      </c>
      <c r="C796" s="4" t="str">
        <f>ЛИК_дляСкорингаДП!C796</f>
        <v>ООО "ПИККОНТРОЛЬ"</v>
      </c>
      <c r="D796" s="5" t="str">
        <f>ЛИК_дляСкорингаДП!M796</f>
        <v>Разработка компьютерного программного обеспечения</v>
      </c>
      <c r="E796" s="4" t="str">
        <f>ЛИК_дляСкорингаДП!L796</f>
        <v>62.01</v>
      </c>
      <c r="F796" t="str">
        <f>ЛИК_дляСкорингаДП!N796</f>
        <v>26.11,26.20,26.51,28.99,46.18,46.69,62.02,72.19,73.11,82.99,95.11</v>
      </c>
      <c r="G796" s="25" t="str">
        <f>ЛИК_дляСкорингаДП!AG796</f>
        <v>УСН</v>
      </c>
      <c r="H796" s="55" t="str">
        <f>IF(ISNUMBER(E796),E796,
IFERROR(LEFT(E796,FIND(".",E796)-1),E796))</f>
        <v>62</v>
      </c>
      <c r="I796" s="30">
        <f>IF(COUNTIF(Справочник_ОКВЭД_НР!$A$3:$A$62,H796)&gt;0,Справочник_ОКВЭД_НР!$L$8,
 IF(COUNTIF(Справочник_ОКВЭД_НР!$C$3:$C$62,H796)&gt;0,Справочник_ОКВЭД_НР!$L$9,
  IF(COUNTIF(Справочник_ОКВЭД_НР!$E$3:$E$62,H796)&gt;0,Справочник_ОКВЭД_НР!$L$10,
   IF(COUNTIF(Справочник_ОКВЭД_НР!$G$3:$G$62,H796)&gt;0,Справочник_ОКВЭД_НР!$L$11,50))))</f>
        <v>100</v>
      </c>
      <c r="J796" s="30" cm="1">
        <f t="array" ref="J796">IFERROR(
 (SUMPRODUCT(ISNUMBER(SEARCH(","&amp;Справочник_ОКВЭД_НР!$A$3:$A$62&amp;".",","&amp;SUBSTITUTE(F796," ","")&amp;",")))*Справочник_ОКВЭД_НР!$L$9 +
  SUMPRODUCT(ISNUMBER(SEARCH(","&amp;Справочник_ОКВЭД_НР!$C$3:$C$62&amp;".",","&amp;SUBSTITUTE(F796," ","")&amp;",")))*Справочник_ОКВЭД_НР!$L$10 +
  SUMPRODUCT(ISNUMBER(SEARCH(","&amp;Справочник_ОКВЭД_НР!$E$3:$E$62&amp;".",","&amp;SUBSTITUTE(F796," ","")&amp;",")))*Справочник_ОКВЭД_НР!$L$11 +
  SUMPRODUCT(ISNUMBER(SEARCH(","&amp;Справочник_ОКВЭД_НР!$G$3:$G$62&amp;".",","&amp;SUBSTITUTE(F796," ","")&amp;",")))*Справочник_ОКВЭД_НР!$L$12) /
 (SUMPRODUCT(ISNUMBER(SEARCH(","&amp;Справочник_ОКВЭД_НР!$A$3:$A$62&amp;".",","&amp;SUBSTITUTE(F796," ","")&amp;","))) +
  SUMPRODUCT(ISNUMBER(SEARCH(","&amp;Справочник_ОКВЭД_НР!$C$3:$C$62&amp;".",","&amp;SUBSTITUTE(F796," ","")&amp;","))) +
  SUMPRODUCT(ISNUMBER(SEARCH(","&amp;Справочник_ОКВЭД_НР!$E$3:$E$62&amp;".",","&amp;SUBSTITUTE(F796," ","")&amp;","))) +
  SUMPRODUCT(ISNUMBER(SEARCH(","&amp;Справочник_ОКВЭД_НР!$G$3:$G$62&amp;".",","&amp;SUBSTITUTE(F796," ","")&amp;",")))),
50)</f>
        <v>50</v>
      </c>
      <c r="K796" s="30">
        <f>IFERROR(VLOOKUP(G796,Справочник_ОКВЭД_НР!$O:$P,2,FALSE()),50)</f>
        <v>50</v>
      </c>
      <c r="L796" s="45">
        <f>(I796*Справочник_ОКВЭД_НР!$L$2+J796*Справочник_ОКВЭД_НР!$L$3+K796*Справочник_ОКВЭД_НР!$L$4)*M796</f>
        <v>80</v>
      </c>
      <c r="M796" s="47">
        <f>IF(COUNTIF(Справочник_ОКВЭД_НР!$G$3:$G$62,H796)&gt;0,0,1)</f>
        <v>1</v>
      </c>
    </row>
    <row r="797" spans="1:13" x14ac:dyDescent="0.25">
      <c r="A797" s="4">
        <f>ЛИК_дляСкорингаДП!A797</f>
        <v>1157746323900</v>
      </c>
      <c r="B797" s="4">
        <f>ЛИК_дляСкорингаДП!B797</f>
        <v>7736243742</v>
      </c>
      <c r="C797" s="4" t="str">
        <f>ЛИК_дляСкорингаДП!C797</f>
        <v>ООО "МАСТЕР ФАРМАЦЕВТ"</v>
      </c>
      <c r="D797" s="5" t="str">
        <f>ЛИК_дляСкорингаДП!M797</f>
        <v>Торговля оптовая фармацевтической продукцией</v>
      </c>
      <c r="E797" s="4" t="str">
        <f>ЛИК_дляСкорингаДП!L797</f>
        <v>46.46.1</v>
      </c>
      <c r="F797" t="str">
        <f>ЛИК_дляСкорингаДП!N797</f>
        <v>46.43.3,46.46,46.46.2,46.49</v>
      </c>
      <c r="G797" s="25" t="str">
        <f>ЛИК_дляСкорингаДП!AG797</f>
        <v>УСН</v>
      </c>
      <c r="H797" s="55" t="str">
        <f>IF(ISNUMBER(E797),E797,
IFERROR(LEFT(E797,FIND(".",E797)-1),E797))</f>
        <v>46</v>
      </c>
      <c r="I797" s="30">
        <f>IF(COUNTIF(Справочник_ОКВЭД_НР!$A$3:$A$62,H797)&gt;0,Справочник_ОКВЭД_НР!$L$8,
 IF(COUNTIF(Справочник_ОКВЭД_НР!$C$3:$C$62,H797)&gt;0,Справочник_ОКВЭД_НР!$L$9,
  IF(COUNTIF(Справочник_ОКВЭД_НР!$E$3:$E$62,H797)&gt;0,Справочник_ОКВЭД_НР!$L$10,
   IF(COUNTIF(Справочник_ОКВЭД_НР!$G$3:$G$62,H797)&gt;0,Справочник_ОКВЭД_НР!$L$11,50))))</f>
        <v>60</v>
      </c>
      <c r="J797" s="30" cm="1">
        <f t="array" ref="J797">IFERROR(
 (SUMPRODUCT(ISNUMBER(SEARCH(","&amp;Справочник_ОКВЭД_НР!$A$3:$A$62&amp;".",","&amp;SUBSTITUTE(F797," ","")&amp;",")))*Справочник_ОКВЭД_НР!$L$9 +
  SUMPRODUCT(ISNUMBER(SEARCH(","&amp;Справочник_ОКВЭД_НР!$C$3:$C$62&amp;".",","&amp;SUBSTITUTE(F797," ","")&amp;",")))*Справочник_ОКВЭД_НР!$L$10 +
  SUMPRODUCT(ISNUMBER(SEARCH(","&amp;Справочник_ОКВЭД_НР!$E$3:$E$62&amp;".",","&amp;SUBSTITUTE(F797," ","")&amp;",")))*Справочник_ОКВЭД_НР!$L$11 +
  SUMPRODUCT(ISNUMBER(SEARCH(","&amp;Справочник_ОКВЭД_НР!$G$3:$G$62&amp;".",","&amp;SUBSTITUTE(F797," ","")&amp;",")))*Справочник_ОКВЭД_НР!$L$12) /
 (SUMPRODUCT(ISNUMBER(SEARCH(","&amp;Справочник_ОКВЭД_НР!$A$3:$A$62&amp;".",","&amp;SUBSTITUTE(F797," ","")&amp;","))) +
  SUMPRODUCT(ISNUMBER(SEARCH(","&amp;Справочник_ОКВЭД_НР!$C$3:$C$62&amp;".",","&amp;SUBSTITUTE(F797," ","")&amp;","))) +
  SUMPRODUCT(ISNUMBER(SEARCH(","&amp;Справочник_ОКВЭД_НР!$E$3:$E$62&amp;".",","&amp;SUBSTITUTE(F797," ","")&amp;","))) +
  SUMPRODUCT(ISNUMBER(SEARCH(","&amp;Справочник_ОКВЭД_НР!$G$3:$G$62&amp;".",","&amp;SUBSTITUTE(F797," ","")&amp;",")))),
50)</f>
        <v>50</v>
      </c>
      <c r="K797" s="30">
        <f>IFERROR(VLOOKUP(G797,Справочник_ОКВЭД_НР!$O:$P,2,FALSE()),50)</f>
        <v>50</v>
      </c>
      <c r="L797" s="45">
        <f>(I797*Справочник_ОКВЭД_НР!$L$2+J797*Справочник_ОКВЭД_НР!$L$3+K797*Справочник_ОКВЭД_НР!$L$4)*M797</f>
        <v>56</v>
      </c>
      <c r="M797" s="47">
        <f>IF(COUNTIF(Справочник_ОКВЭД_НР!$G$3:$G$62,H797)&gt;0,0,1)</f>
        <v>1</v>
      </c>
    </row>
    <row r="798" spans="1:13" x14ac:dyDescent="0.25">
      <c r="A798" s="4">
        <f>ЛИК_дляСкорингаДП!A798</f>
        <v>1157746420182</v>
      </c>
      <c r="B798" s="4">
        <f>ЛИК_дляСкорингаДП!B798</f>
        <v>7718161470</v>
      </c>
      <c r="C798" s="4" t="str">
        <f>ЛИК_дляСкорингаДП!C798</f>
        <v>ООО "ИНСОЛ ТЕЛЕКОМ"</v>
      </c>
      <c r="D798" s="5" t="str">
        <f>ЛИК_дляСкорингаДП!M798</f>
        <v>Производство электромонтажных работ</v>
      </c>
      <c r="E798" s="4" t="str">
        <f>ЛИК_дляСкорингаДП!L798</f>
        <v>43.21</v>
      </c>
      <c r="F798" t="str">
        <f>ЛИК_дляСкорингаДП!N798</f>
        <v>33.14,33.20,41.20,41.20,42.21,42.21,42.22.1,42.22.2,42.99,43.11,43.12.3,43.13,43.22,43.29,43.31,43.32,43.33,43.34,43.39,43.91,43.99,43.99,43.99.1,43.99.5,43.99.9,46.13.2,46.15.4,46.15.4,46.41,46.41.2,46.43,46.49,46.63,46.73,46.90,47.43,47.54,47.99,50.10,50.20,52.24,52.29,58.11,61.10,61.10.1,61.10.9,62.01,62.02,62.09,63.11,63.11.1,64.99,68.31,69.10,69.20,70.22,71.1,71.12.5,71.12.6,72.19,73.11,78.10,82.99</v>
      </c>
      <c r="G798" s="25" t="str">
        <f>ЛИК_дляСкорингаДП!AG798</f>
        <v>УСН</v>
      </c>
      <c r="H798" s="55" t="str">
        <f>IF(ISNUMBER(E798),E798,
IFERROR(LEFT(E798,FIND(".",E798)-1),E798))</f>
        <v>43</v>
      </c>
      <c r="I798" s="30">
        <f>IF(COUNTIF(Справочник_ОКВЭД_НР!$A$3:$A$62,H798)&gt;0,Справочник_ОКВЭД_НР!$L$8,
 IF(COUNTIF(Справочник_ОКВЭД_НР!$C$3:$C$62,H798)&gt;0,Справочник_ОКВЭД_НР!$L$9,
  IF(COUNTIF(Справочник_ОКВЭД_НР!$E$3:$E$62,H798)&gt;0,Справочник_ОКВЭД_НР!$L$10,
   IF(COUNTIF(Справочник_ОКВЭД_НР!$G$3:$G$62,H798)&gt;0,Справочник_ОКВЭД_НР!$L$11,50))))</f>
        <v>100</v>
      </c>
      <c r="J798" s="30" cm="1">
        <f t="array" ref="J798">IFERROR(
 (SUMPRODUCT(ISNUMBER(SEARCH(","&amp;Справочник_ОКВЭД_НР!$A$3:$A$62&amp;".",","&amp;SUBSTITUTE(F798," ","")&amp;",")))*Справочник_ОКВЭД_НР!$L$9 +
  SUMPRODUCT(ISNUMBER(SEARCH(","&amp;Справочник_ОКВЭД_НР!$C$3:$C$62&amp;".",","&amp;SUBSTITUTE(F798," ","")&amp;",")))*Справочник_ОКВЭД_НР!$L$10 +
  SUMPRODUCT(ISNUMBER(SEARCH(","&amp;Справочник_ОКВЭД_НР!$E$3:$E$62&amp;".",","&amp;SUBSTITUTE(F798," ","")&amp;",")))*Справочник_ОКВЭД_НР!$L$11 +
  SUMPRODUCT(ISNUMBER(SEARCH(","&amp;Справочник_ОКВЭД_НР!$G$3:$G$62&amp;".",","&amp;SUBSTITUTE(F798," ","")&amp;",")))*Справочник_ОКВЭД_НР!$L$12) /
 (SUMPRODUCT(ISNUMBER(SEARCH(","&amp;Справочник_ОКВЭД_НР!$A$3:$A$62&amp;".",","&amp;SUBSTITUTE(F798," ","")&amp;","))) +
  SUMPRODUCT(ISNUMBER(SEARCH(","&amp;Справочник_ОКВЭД_НР!$C$3:$C$62&amp;".",","&amp;SUBSTITUTE(F798," ","")&amp;","))) +
  SUMPRODUCT(ISNUMBER(SEARCH(","&amp;Справочник_ОКВЭД_НР!$E$3:$E$62&amp;".",","&amp;SUBSTITUTE(F798," ","")&amp;","))) +
  SUMPRODUCT(ISNUMBER(SEARCH(","&amp;Справочник_ОКВЭД_НР!$G$3:$G$62&amp;".",","&amp;SUBSTITUTE(F798," ","")&amp;",")))),
50)</f>
        <v>50</v>
      </c>
      <c r="K798" s="30">
        <f>IFERROR(VLOOKUP(G798,Справочник_ОКВЭД_НР!$O:$P,2,FALSE()),50)</f>
        <v>50</v>
      </c>
      <c r="L798" s="45">
        <f>(I798*Справочник_ОКВЭД_НР!$L$2+J798*Справочник_ОКВЭД_НР!$L$3+K798*Справочник_ОКВЭД_НР!$L$4)*M798</f>
        <v>80</v>
      </c>
      <c r="M798" s="47">
        <f>IF(COUNTIF(Справочник_ОКВЭД_НР!$G$3:$G$62,H798)&gt;0,0,1)</f>
        <v>1</v>
      </c>
    </row>
    <row r="799" spans="1:13" x14ac:dyDescent="0.25">
      <c r="A799" s="4">
        <f>ЛИК_дляСкорингаДП!A799</f>
        <v>1157746479758</v>
      </c>
      <c r="B799" s="4">
        <f>ЛИК_дляСкорингаДП!B799</f>
        <v>7718201316</v>
      </c>
      <c r="C799" s="4" t="str">
        <f>ЛИК_дляСкорингаДП!C799</f>
        <v>ООО "НАВИГАЦИОННЫЕ НОСИТЕЛИ"</v>
      </c>
      <c r="D799" s="5" t="str">
        <f>ЛИК_дляСкорингаДП!M799</f>
        <v>Производство прочих пластмассовых изделий</v>
      </c>
      <c r="E799" s="4" t="str">
        <f>ЛИК_дляСкорингаДП!L799</f>
        <v>22.29</v>
      </c>
      <c r="F799" t="str">
        <f>ЛИК_дляСкорингаДП!N799</f>
        <v>18.12,22.21,22.22,22.23,41.20,46.19,46.39,46.90,47.9,71.1,71.12.5,71.12.6,73.11</v>
      </c>
      <c r="G799" s="25" t="str">
        <f>ЛИК_дляСкорингаДП!AG799</f>
        <v>УСН</v>
      </c>
      <c r="H799" s="55" t="str">
        <f>IF(ISNUMBER(E799),E799,
IFERROR(LEFT(E799,FIND(".",E799)-1),E799))</f>
        <v>22</v>
      </c>
      <c r="I799" s="30">
        <f>IF(COUNTIF(Справочник_ОКВЭД_НР!$A$3:$A$62,H799)&gt;0,Справочник_ОКВЭД_НР!$L$8,
 IF(COUNTIF(Справочник_ОКВЭД_НР!$C$3:$C$62,H799)&gt;0,Справочник_ОКВЭД_НР!$L$9,
  IF(COUNTIF(Справочник_ОКВЭД_НР!$E$3:$E$62,H799)&gt;0,Справочник_ОКВЭД_НР!$L$10,
   IF(COUNTIF(Справочник_ОКВЭД_НР!$G$3:$G$62,H799)&gt;0,Справочник_ОКВЭД_НР!$L$11,50))))</f>
        <v>60</v>
      </c>
      <c r="J799" s="30" cm="1">
        <f t="array" ref="J799">IFERROR(
 (SUMPRODUCT(ISNUMBER(SEARCH(","&amp;Справочник_ОКВЭД_НР!$A$3:$A$62&amp;".",","&amp;SUBSTITUTE(F799," ","")&amp;",")))*Справочник_ОКВЭД_НР!$L$9 +
  SUMPRODUCT(ISNUMBER(SEARCH(","&amp;Справочник_ОКВЭД_НР!$C$3:$C$62&amp;".",","&amp;SUBSTITUTE(F799," ","")&amp;",")))*Справочник_ОКВЭД_НР!$L$10 +
  SUMPRODUCT(ISNUMBER(SEARCH(","&amp;Справочник_ОКВЭД_НР!$E$3:$E$62&amp;".",","&amp;SUBSTITUTE(F799," ","")&amp;",")))*Справочник_ОКВЭД_НР!$L$11 +
  SUMPRODUCT(ISNUMBER(SEARCH(","&amp;Справочник_ОКВЭД_НР!$G$3:$G$62&amp;".",","&amp;SUBSTITUTE(F799," ","")&amp;",")))*Справочник_ОКВЭД_НР!$L$12) /
 (SUMPRODUCT(ISNUMBER(SEARCH(","&amp;Справочник_ОКВЭД_НР!$A$3:$A$62&amp;".",","&amp;SUBSTITUTE(F799," ","")&amp;","))) +
  SUMPRODUCT(ISNUMBER(SEARCH(","&amp;Справочник_ОКВЭД_НР!$C$3:$C$62&amp;".",","&amp;SUBSTITUTE(F799," ","")&amp;","))) +
  SUMPRODUCT(ISNUMBER(SEARCH(","&amp;Справочник_ОКВЭД_НР!$E$3:$E$62&amp;".",","&amp;SUBSTITUTE(F799," ","")&amp;","))) +
  SUMPRODUCT(ISNUMBER(SEARCH(","&amp;Справочник_ОКВЭД_НР!$G$3:$G$62&amp;".",","&amp;SUBSTITUTE(F799," ","")&amp;",")))),
50)</f>
        <v>50</v>
      </c>
      <c r="K799" s="30">
        <f>IFERROR(VLOOKUP(G799,Справочник_ОКВЭД_НР!$O:$P,2,FALSE()),50)</f>
        <v>50</v>
      </c>
      <c r="L799" s="45">
        <f>(I799*Справочник_ОКВЭД_НР!$L$2+J799*Справочник_ОКВЭД_НР!$L$3+K799*Справочник_ОКВЭД_НР!$L$4)*M799</f>
        <v>56</v>
      </c>
      <c r="M799" s="47">
        <f>IF(COUNTIF(Справочник_ОКВЭД_НР!$G$3:$G$62,H799)&gt;0,0,1)</f>
        <v>1</v>
      </c>
    </row>
    <row r="800" spans="1:13" x14ac:dyDescent="0.25">
      <c r="A800" s="4">
        <f>ЛИК_дляСкорингаДП!A800</f>
        <v>1025005598310</v>
      </c>
      <c r="B800" s="4">
        <f>ЛИК_дляСкорингаДП!B800</f>
        <v>5043021646</v>
      </c>
      <c r="C800" s="4" t="str">
        <f>ЛИК_дляСкорингаДП!C800</f>
        <v>ООО "СТРОЙКОМПЛЕКТ-С"</v>
      </c>
      <c r="D800" s="5" t="str">
        <f>ЛИК_дляСкорингаДП!M800</f>
        <v>Производство деревянных строительных конструкций и столярных изделий</v>
      </c>
      <c r="E800" s="4" t="str">
        <f>ЛИК_дляСкорингаДП!L800</f>
        <v>16.23.1</v>
      </c>
      <c r="F800" t="str">
        <f>ЛИК_дляСкорингаДП!N800</f>
        <v>16.23,41.10,41.20,42.21,43.11,43.12,43.21,43.22,43.29,43.31,43.32,43.33,43.34,43.39,43.91,43.99,46.13,46.19,46.31,46.41,46.61,46.73,46.90,47.21,47.51,49.41,49.42,52.10,52.24,56.10,68.31,68.32,71.11,71.12,81.29,81.30,82.99</v>
      </c>
      <c r="G800" s="25" t="str">
        <f>ЛИК_дляСкорингаДП!AG800</f>
        <v>УСН</v>
      </c>
      <c r="H800" s="55" t="str">
        <f>IF(ISNUMBER(E800),E800,
IFERROR(LEFT(E800,FIND(".",E800)-1),E800))</f>
        <v>16</v>
      </c>
      <c r="I800" s="30">
        <f>IF(COUNTIF(Справочник_ОКВЭД_НР!$A$3:$A$62,H800)&gt;0,Справочник_ОКВЭД_НР!$L$8,
 IF(COUNTIF(Справочник_ОКВЭД_НР!$C$3:$C$62,H800)&gt;0,Справочник_ОКВЭД_НР!$L$9,
  IF(COUNTIF(Справочник_ОКВЭД_НР!$E$3:$E$62,H800)&gt;0,Справочник_ОКВЭД_НР!$L$10,
   IF(COUNTIF(Справочник_ОКВЭД_НР!$G$3:$G$62,H800)&gt;0,Справочник_ОКВЭД_НР!$L$11,50))))</f>
        <v>60</v>
      </c>
      <c r="J800" s="30" cm="1">
        <f t="array" ref="J800">IFERROR(
 (SUMPRODUCT(ISNUMBER(SEARCH(","&amp;Справочник_ОКВЭД_НР!$A$3:$A$62&amp;".",","&amp;SUBSTITUTE(F800," ","")&amp;",")))*Справочник_ОКВЭД_НР!$L$9 +
  SUMPRODUCT(ISNUMBER(SEARCH(","&amp;Справочник_ОКВЭД_НР!$C$3:$C$62&amp;".",","&amp;SUBSTITUTE(F800," ","")&amp;",")))*Справочник_ОКВЭД_НР!$L$10 +
  SUMPRODUCT(ISNUMBER(SEARCH(","&amp;Справочник_ОКВЭД_НР!$E$3:$E$62&amp;".",","&amp;SUBSTITUTE(F800," ","")&amp;",")))*Справочник_ОКВЭД_НР!$L$11 +
  SUMPRODUCT(ISNUMBER(SEARCH(","&amp;Справочник_ОКВЭД_НР!$G$3:$G$62&amp;".",","&amp;SUBSTITUTE(F800," ","")&amp;",")))*Справочник_ОКВЭД_НР!$L$12) /
 (SUMPRODUCT(ISNUMBER(SEARCH(","&amp;Справочник_ОКВЭД_НР!$A$3:$A$62&amp;".",","&amp;SUBSTITUTE(F800," ","")&amp;","))) +
  SUMPRODUCT(ISNUMBER(SEARCH(","&amp;Справочник_ОКВЭД_НР!$C$3:$C$62&amp;".",","&amp;SUBSTITUTE(F800," ","")&amp;","))) +
  SUMPRODUCT(ISNUMBER(SEARCH(","&amp;Справочник_ОКВЭД_НР!$E$3:$E$62&amp;".",","&amp;SUBSTITUTE(F800," ","")&amp;","))) +
  SUMPRODUCT(ISNUMBER(SEARCH(","&amp;Справочник_ОКВЭД_НР!$G$3:$G$62&amp;".",","&amp;SUBSTITUTE(F800," ","")&amp;",")))),
50)</f>
        <v>50</v>
      </c>
      <c r="K800" s="30">
        <f>IFERROR(VLOOKUP(G800,Справочник_ОКВЭД_НР!$O:$P,2,FALSE()),50)</f>
        <v>50</v>
      </c>
      <c r="L800" s="45">
        <f>(I800*Справочник_ОКВЭД_НР!$L$2+J800*Справочник_ОКВЭД_НР!$L$3+K800*Справочник_ОКВЭД_НР!$L$4)*M800</f>
        <v>56</v>
      </c>
      <c r="M800" s="47">
        <f>IF(COUNTIF(Справочник_ОКВЭД_НР!$G$3:$G$62,H800)&gt;0,0,1)</f>
        <v>1</v>
      </c>
    </row>
    <row r="801" spans="1:13" x14ac:dyDescent="0.25">
      <c r="A801" s="4">
        <f>ЛИК_дляСкорингаДП!A801</f>
        <v>1157746527124</v>
      </c>
      <c r="B801" s="4">
        <f>ЛИК_дляСкорингаДП!B801</f>
        <v>7717291405</v>
      </c>
      <c r="C801" s="4" t="str">
        <f>ЛИК_дляСкорингаДП!C801</f>
        <v>ООО "ЦЕНТР САНИТАРИИ И ЭПИДЕМИОЛОГИИ"</v>
      </c>
      <c r="D801" s="5" t="str">
        <f>ЛИК_дляСкорингаДП!M801</f>
        <v>Деятельность организаций санитарно-эпидемиологической службы</v>
      </c>
      <c r="E801" s="4" t="str">
        <f>ЛИК_дляСкорингаДП!L801</f>
        <v>86.90.1</v>
      </c>
      <c r="F801" t="str">
        <f>ЛИК_дляСкорингаДП!N801</f>
        <v>71.20,71.20.9,72.19</v>
      </c>
      <c r="G801" s="25" t="str">
        <f>ЛИК_дляСкорингаДП!AG801</f>
        <v>УСН</v>
      </c>
      <c r="H801" s="55" t="str">
        <f>IF(ISNUMBER(E801),E801,
IFERROR(LEFT(E801,FIND(".",E801)-1),E801))</f>
        <v>86</v>
      </c>
      <c r="I801" s="30">
        <f>IF(COUNTIF(Справочник_ОКВЭД_НР!$A$3:$A$62,H801)&gt;0,Справочник_ОКВЭД_НР!$L$8,
 IF(COUNTIF(Справочник_ОКВЭД_НР!$C$3:$C$62,H801)&gt;0,Справочник_ОКВЭД_НР!$L$9,
  IF(COUNTIF(Справочник_ОКВЭД_НР!$E$3:$E$62,H801)&gt;0,Справочник_ОКВЭД_НР!$L$10,
   IF(COUNTIF(Справочник_ОКВЭД_НР!$G$3:$G$62,H801)&gt;0,Справочник_ОКВЭД_НР!$L$11,50))))</f>
        <v>100</v>
      </c>
      <c r="J801" s="30" cm="1">
        <f t="array" ref="J801">IFERROR(
 (SUMPRODUCT(ISNUMBER(SEARCH(","&amp;Справочник_ОКВЭД_НР!$A$3:$A$62&amp;".",","&amp;SUBSTITUTE(F801," ","")&amp;",")))*Справочник_ОКВЭД_НР!$L$9 +
  SUMPRODUCT(ISNUMBER(SEARCH(","&amp;Справочник_ОКВЭД_НР!$C$3:$C$62&amp;".",","&amp;SUBSTITUTE(F801," ","")&amp;",")))*Справочник_ОКВЭД_НР!$L$10 +
  SUMPRODUCT(ISNUMBER(SEARCH(","&amp;Справочник_ОКВЭД_НР!$E$3:$E$62&amp;".",","&amp;SUBSTITUTE(F801," ","")&amp;",")))*Справочник_ОКВЭД_НР!$L$11 +
  SUMPRODUCT(ISNUMBER(SEARCH(","&amp;Справочник_ОКВЭД_НР!$G$3:$G$62&amp;".",","&amp;SUBSTITUTE(F801," ","")&amp;",")))*Справочник_ОКВЭД_НР!$L$12) /
 (SUMPRODUCT(ISNUMBER(SEARCH(","&amp;Справочник_ОКВЭД_НР!$A$3:$A$62&amp;".",","&amp;SUBSTITUTE(F801," ","")&amp;","))) +
  SUMPRODUCT(ISNUMBER(SEARCH(","&amp;Справочник_ОКВЭД_НР!$C$3:$C$62&amp;".",","&amp;SUBSTITUTE(F801," ","")&amp;","))) +
  SUMPRODUCT(ISNUMBER(SEARCH(","&amp;Справочник_ОКВЭД_НР!$E$3:$E$62&amp;".",","&amp;SUBSTITUTE(F801," ","")&amp;","))) +
  SUMPRODUCT(ISNUMBER(SEARCH(","&amp;Справочник_ОКВЭД_НР!$G$3:$G$62&amp;".",","&amp;SUBSTITUTE(F801," ","")&amp;",")))),
50)</f>
        <v>50</v>
      </c>
      <c r="K801" s="30">
        <f>IFERROR(VLOOKUP(G801,Справочник_ОКВЭД_НР!$O:$P,2,FALSE()),50)</f>
        <v>50</v>
      </c>
      <c r="L801" s="45">
        <f>(I801*Справочник_ОКВЭД_НР!$L$2+J801*Справочник_ОКВЭД_НР!$L$3+K801*Справочник_ОКВЭД_НР!$L$4)*M801</f>
        <v>80</v>
      </c>
      <c r="M801" s="47">
        <f>IF(COUNTIF(Справочник_ОКВЭД_НР!$G$3:$G$62,H801)&gt;0,0,1)</f>
        <v>1</v>
      </c>
    </row>
    <row r="802" spans="1:13" x14ac:dyDescent="0.25">
      <c r="A802" s="4">
        <f>ЛИК_дляСкорингаДП!A802</f>
        <v>1025005600586</v>
      </c>
      <c r="B802" s="4">
        <f>ЛИК_дляСкорингаДП!B802</f>
        <v>5037042415</v>
      </c>
      <c r="C802" s="4" t="str">
        <f>ЛИК_дляСкорингаДП!C802</f>
        <v>ООО "ОХОТНИК ПОДМОСКОВЬЯ"</v>
      </c>
      <c r="D802" s="5" t="str">
        <f>ЛИК_дляСкорингаДП!M802</f>
        <v>Торговля розничная прочая в специализированных магазинах</v>
      </c>
      <c r="E802" s="4" t="str">
        <f>ЛИК_дляСкорингаДП!L802</f>
        <v>47.78</v>
      </c>
      <c r="F802" t="str">
        <f>ЛИК_дляСкорингаДП!N802</f>
        <v>46.49,47.19,47.64,47.91,47.99,52.10,53.20,62.09,68.20,73.11,82.92</v>
      </c>
      <c r="G802" s="25" t="str">
        <f>ЛИК_дляСкорингаДП!AG802</f>
        <v>УСН</v>
      </c>
      <c r="H802" s="55" t="str">
        <f>IF(ISNUMBER(E802),E802,
IFERROR(LEFT(E802,FIND(".",E802)-1),E802))</f>
        <v>47</v>
      </c>
      <c r="I802" s="30">
        <f>IF(COUNTIF(Справочник_ОКВЭД_НР!$A$3:$A$62,H802)&gt;0,Справочник_ОКВЭД_НР!$L$8,
 IF(COUNTIF(Справочник_ОКВЭД_НР!$C$3:$C$62,H802)&gt;0,Справочник_ОКВЭД_НР!$L$9,
  IF(COUNTIF(Справочник_ОКВЭД_НР!$E$3:$E$62,H802)&gt;0,Справочник_ОКВЭД_НР!$L$10,
   IF(COUNTIF(Справочник_ОКВЭД_НР!$G$3:$G$62,H802)&gt;0,Справочник_ОКВЭД_НР!$L$11,50))))</f>
        <v>60</v>
      </c>
      <c r="J802" s="30" cm="1">
        <f t="array" ref="J802">IFERROR(
 (SUMPRODUCT(ISNUMBER(SEARCH(","&amp;Справочник_ОКВЭД_НР!$A$3:$A$62&amp;".",","&amp;SUBSTITUTE(F802," ","")&amp;",")))*Справочник_ОКВЭД_НР!$L$9 +
  SUMPRODUCT(ISNUMBER(SEARCH(","&amp;Справочник_ОКВЭД_НР!$C$3:$C$62&amp;".",","&amp;SUBSTITUTE(F802," ","")&amp;",")))*Справочник_ОКВЭД_НР!$L$10 +
  SUMPRODUCT(ISNUMBER(SEARCH(","&amp;Справочник_ОКВЭД_НР!$E$3:$E$62&amp;".",","&amp;SUBSTITUTE(F802," ","")&amp;",")))*Справочник_ОКВЭД_НР!$L$11 +
  SUMPRODUCT(ISNUMBER(SEARCH(","&amp;Справочник_ОКВЭД_НР!$G$3:$G$62&amp;".",","&amp;SUBSTITUTE(F802," ","")&amp;",")))*Справочник_ОКВЭД_НР!$L$12) /
 (SUMPRODUCT(ISNUMBER(SEARCH(","&amp;Справочник_ОКВЭД_НР!$A$3:$A$62&amp;".",","&amp;SUBSTITUTE(F802," ","")&amp;","))) +
  SUMPRODUCT(ISNUMBER(SEARCH(","&amp;Справочник_ОКВЭД_НР!$C$3:$C$62&amp;".",","&amp;SUBSTITUTE(F802," ","")&amp;","))) +
  SUMPRODUCT(ISNUMBER(SEARCH(","&amp;Справочник_ОКВЭД_НР!$E$3:$E$62&amp;".",","&amp;SUBSTITUTE(F802," ","")&amp;","))) +
  SUMPRODUCT(ISNUMBER(SEARCH(","&amp;Справочник_ОКВЭД_НР!$G$3:$G$62&amp;".",","&amp;SUBSTITUTE(F802," ","")&amp;",")))),
50)</f>
        <v>50</v>
      </c>
      <c r="K802" s="30">
        <f>IFERROR(VLOOKUP(G802,Справочник_ОКВЭД_НР!$O:$P,2,FALSE()),50)</f>
        <v>50</v>
      </c>
      <c r="L802" s="45">
        <f>(I802*Справочник_ОКВЭД_НР!$L$2+J802*Справочник_ОКВЭД_НР!$L$3+K802*Справочник_ОКВЭД_НР!$L$4)*M802</f>
        <v>56</v>
      </c>
      <c r="M802" s="47">
        <f>IF(COUNTIF(Справочник_ОКВЭД_НР!$G$3:$G$62,H802)&gt;0,0,1)</f>
        <v>1</v>
      </c>
    </row>
    <row r="803" spans="1:13" x14ac:dyDescent="0.25">
      <c r="A803" s="4">
        <f>ЛИК_дляСкорингаДП!A803</f>
        <v>1025006174038</v>
      </c>
      <c r="B803" s="4">
        <f>ЛИК_дляСкорингаДП!B803</f>
        <v>5047008170</v>
      </c>
      <c r="C803" s="4" t="str">
        <f>ЛИК_дляСкорингаДП!C803</f>
        <v>ООО ПРЕДПРИЯТИЕ "СЭСМА"</v>
      </c>
      <c r="D803" s="5" t="str">
        <f>ЛИК_дляСкорингаДП!M803</f>
        <v>Аренда и управление собственным или арендованным недвижимым имуществом</v>
      </c>
      <c r="E803" s="4" t="str">
        <f>ЛИК_дляСкорингаДП!L803</f>
        <v>68.20</v>
      </c>
      <c r="F803" t="str">
        <f>ЛИК_дляСкорингаДП!N803</f>
        <v>35.12,43.3,43.99.3,46.42,47.19,68.1,69.10,69.20,82.11</v>
      </c>
      <c r="G803" s="25" t="str">
        <f>ЛИК_дляСкорингаДП!AG803</f>
        <v>УСН</v>
      </c>
      <c r="H803" s="55" t="str">
        <f>IF(ISNUMBER(E803),E803,
IFERROR(LEFT(E803,FIND(".",E803)-1),E803))</f>
        <v>68</v>
      </c>
      <c r="I803" s="30">
        <f>IF(COUNTIF(Справочник_ОКВЭД_НР!$A$3:$A$62,H803)&gt;0,Справочник_ОКВЭД_НР!$L$8,
 IF(COUNTIF(Справочник_ОКВЭД_НР!$C$3:$C$62,H803)&gt;0,Справочник_ОКВЭД_НР!$L$9,
  IF(COUNTIF(Справочник_ОКВЭД_НР!$E$3:$E$62,H803)&gt;0,Справочник_ОКВЭД_НР!$L$10,
   IF(COUNTIF(Справочник_ОКВЭД_НР!$G$3:$G$62,H803)&gt;0,Справочник_ОКВЭД_НР!$L$11,50))))</f>
        <v>100</v>
      </c>
      <c r="J803" s="30" cm="1">
        <f t="array" ref="J803">IFERROR(
 (SUMPRODUCT(ISNUMBER(SEARCH(","&amp;Справочник_ОКВЭД_НР!$A$3:$A$62&amp;".",","&amp;SUBSTITUTE(F803," ","")&amp;",")))*Справочник_ОКВЭД_НР!$L$9 +
  SUMPRODUCT(ISNUMBER(SEARCH(","&amp;Справочник_ОКВЭД_НР!$C$3:$C$62&amp;".",","&amp;SUBSTITUTE(F803," ","")&amp;",")))*Справочник_ОКВЭД_НР!$L$10 +
  SUMPRODUCT(ISNUMBER(SEARCH(","&amp;Справочник_ОКВЭД_НР!$E$3:$E$62&amp;".",","&amp;SUBSTITUTE(F803," ","")&amp;",")))*Справочник_ОКВЭД_НР!$L$11 +
  SUMPRODUCT(ISNUMBER(SEARCH(","&amp;Справочник_ОКВЭД_НР!$G$3:$G$62&amp;".",","&amp;SUBSTITUTE(F803," ","")&amp;",")))*Справочник_ОКВЭД_НР!$L$12) /
 (SUMPRODUCT(ISNUMBER(SEARCH(","&amp;Справочник_ОКВЭД_НР!$A$3:$A$62&amp;".",","&amp;SUBSTITUTE(F803," ","")&amp;","))) +
  SUMPRODUCT(ISNUMBER(SEARCH(","&amp;Справочник_ОКВЭД_НР!$C$3:$C$62&amp;".",","&amp;SUBSTITUTE(F803," ","")&amp;","))) +
  SUMPRODUCT(ISNUMBER(SEARCH(","&amp;Справочник_ОКВЭД_НР!$E$3:$E$62&amp;".",","&amp;SUBSTITUTE(F803," ","")&amp;","))) +
  SUMPRODUCT(ISNUMBER(SEARCH(","&amp;Справочник_ОКВЭД_НР!$G$3:$G$62&amp;".",","&amp;SUBSTITUTE(F803," ","")&amp;",")))),
50)</f>
        <v>50</v>
      </c>
      <c r="K803" s="30">
        <f>IFERROR(VLOOKUP(G803,Справочник_ОКВЭД_НР!$O:$P,2,FALSE()),50)</f>
        <v>50</v>
      </c>
      <c r="L803" s="45">
        <f>(I803*Справочник_ОКВЭД_НР!$L$2+J803*Справочник_ОКВЭД_НР!$L$3+K803*Справочник_ОКВЭД_НР!$L$4)*M803</f>
        <v>80</v>
      </c>
      <c r="M803" s="47">
        <f>IF(COUNTIF(Справочник_ОКВЭД_НР!$G$3:$G$62,H803)&gt;0,0,1)</f>
        <v>1</v>
      </c>
    </row>
    <row r="804" spans="1:13" x14ac:dyDescent="0.25">
      <c r="A804" s="4">
        <f>ЛИК_дляСкорингаДП!A804</f>
        <v>1157746501208</v>
      </c>
      <c r="B804" s="4">
        <f>ЛИК_дляСкорингаДП!B804</f>
        <v>7731284343</v>
      </c>
      <c r="C804" s="4" t="str">
        <f>ЛИК_дляСкорингаДП!C804</f>
        <v>ООО "АСКЛЕПИУС"</v>
      </c>
      <c r="D804" s="5" t="str">
        <f>ЛИК_дляСкорингаДП!M804</f>
        <v>Разработка компьютерного программного обеспечения</v>
      </c>
      <c r="E804" s="4" t="str">
        <f>ЛИК_дляСкорингаДП!L804</f>
        <v>62.01</v>
      </c>
      <c r="F804" t="str">
        <f>ЛИК_дляСкорингаДП!N804</f>
        <v>35.12,43.21,43.22,43.29,43.99.1,46.66,47.7,47.74,47.99,49.32,49.4,62.02,62.09,63.11,63.11.1,73.11,95.11</v>
      </c>
      <c r="G804" s="25" t="str">
        <f>ЛИК_дляСкорингаДП!AG804</f>
        <v>УСН</v>
      </c>
      <c r="H804" s="55" t="str">
        <f>IF(ISNUMBER(E804),E804,
IFERROR(LEFT(E804,FIND(".",E804)-1),E804))</f>
        <v>62</v>
      </c>
      <c r="I804" s="30">
        <f>IF(COUNTIF(Справочник_ОКВЭД_НР!$A$3:$A$62,H804)&gt;0,Справочник_ОКВЭД_НР!$L$8,
 IF(COUNTIF(Справочник_ОКВЭД_НР!$C$3:$C$62,H804)&gt;0,Справочник_ОКВЭД_НР!$L$9,
  IF(COUNTIF(Справочник_ОКВЭД_НР!$E$3:$E$62,H804)&gt;0,Справочник_ОКВЭД_НР!$L$10,
   IF(COUNTIF(Справочник_ОКВЭД_НР!$G$3:$G$62,H804)&gt;0,Справочник_ОКВЭД_НР!$L$11,50))))</f>
        <v>100</v>
      </c>
      <c r="J804" s="30" cm="1">
        <f t="array" ref="J804">IFERROR(
 (SUMPRODUCT(ISNUMBER(SEARCH(","&amp;Справочник_ОКВЭД_НР!$A$3:$A$62&amp;".",","&amp;SUBSTITUTE(F804," ","")&amp;",")))*Справочник_ОКВЭД_НР!$L$9 +
  SUMPRODUCT(ISNUMBER(SEARCH(","&amp;Справочник_ОКВЭД_НР!$C$3:$C$62&amp;".",","&amp;SUBSTITUTE(F804," ","")&amp;",")))*Справочник_ОКВЭД_НР!$L$10 +
  SUMPRODUCT(ISNUMBER(SEARCH(","&amp;Справочник_ОКВЭД_НР!$E$3:$E$62&amp;".",","&amp;SUBSTITUTE(F804," ","")&amp;",")))*Справочник_ОКВЭД_НР!$L$11 +
  SUMPRODUCT(ISNUMBER(SEARCH(","&amp;Справочник_ОКВЭД_НР!$G$3:$G$62&amp;".",","&amp;SUBSTITUTE(F804," ","")&amp;",")))*Справочник_ОКВЭД_НР!$L$12) /
 (SUMPRODUCT(ISNUMBER(SEARCH(","&amp;Справочник_ОКВЭД_НР!$A$3:$A$62&amp;".",","&amp;SUBSTITUTE(F804," ","")&amp;","))) +
  SUMPRODUCT(ISNUMBER(SEARCH(","&amp;Справочник_ОКВЭД_НР!$C$3:$C$62&amp;".",","&amp;SUBSTITUTE(F804," ","")&amp;","))) +
  SUMPRODUCT(ISNUMBER(SEARCH(","&amp;Справочник_ОКВЭД_НР!$E$3:$E$62&amp;".",","&amp;SUBSTITUTE(F804," ","")&amp;","))) +
  SUMPRODUCT(ISNUMBER(SEARCH(","&amp;Справочник_ОКВЭД_НР!$G$3:$G$62&amp;".",","&amp;SUBSTITUTE(F804," ","")&amp;",")))),
50)</f>
        <v>50</v>
      </c>
      <c r="K804" s="30">
        <f>IFERROR(VLOOKUP(G804,Справочник_ОКВЭД_НР!$O:$P,2,FALSE()),50)</f>
        <v>50</v>
      </c>
      <c r="L804" s="45">
        <f>(I804*Справочник_ОКВЭД_НР!$L$2+J804*Справочник_ОКВЭД_НР!$L$3+K804*Справочник_ОКВЭД_НР!$L$4)*M804</f>
        <v>80</v>
      </c>
      <c r="M804" s="47">
        <f>IF(COUNTIF(Справочник_ОКВЭД_НР!$G$3:$G$62,H804)&gt;0,0,1)</f>
        <v>1</v>
      </c>
    </row>
    <row r="805" spans="1:13" x14ac:dyDescent="0.25">
      <c r="A805" s="4">
        <f>ЛИК_дляСкорингаДП!A805</f>
        <v>1157746261750</v>
      </c>
      <c r="B805" s="4">
        <f>ЛИК_дляСкорингаДП!B805</f>
        <v>7730122117</v>
      </c>
      <c r="C805" s="4" t="str">
        <f>ЛИК_дляСкорингаДП!C805</f>
        <v>ООО "МЕДИЦИНСКИЙ ЦЕНТР А.Г. ГРИЦЕНКО"</v>
      </c>
      <c r="D805" s="5" t="str">
        <f>ЛИК_дляСкорингаДП!M805</f>
        <v>Деятельность больничных организаций</v>
      </c>
      <c r="E805" s="4" t="str">
        <f>ЛИК_дляСкорингаДП!L805</f>
        <v>86.10</v>
      </c>
      <c r="F805" t="str">
        <f>ЛИК_дляСкорингаДП!N805</f>
        <v>20.13,20.16,20.59,21.20,21.20.1,21.20.2,36.00,37.00,38.32.5,38.32.59,46.46,47.19,47.59.9,47.73,47.75,47.91.1,47.91.2,47.91.3,47.91.4,47.99,55.10,55.90,56.10,56.10.1,56.10.3,56.29,68.10,68.10.21,68.10.22,68.10.23,68.20,68.20.1,68.20.2,68.31.11,68.31.12,68.31.21,68.31.22,68.31.31,68.31.32,68.31.41,68.31.42,71.20.9,72.19,73.11,75.00,82.99,85.23,86.21,86.23,86.90.9,96.02,96.04</v>
      </c>
      <c r="G805" s="25" t="str">
        <f>ЛИК_дляСкорингаДП!AG805</f>
        <v>УСН</v>
      </c>
      <c r="H805" s="55" t="str">
        <f>IF(ISNUMBER(E805),E805,
IFERROR(LEFT(E805,FIND(".",E805)-1),E805))</f>
        <v>86</v>
      </c>
      <c r="I805" s="30">
        <f>IF(COUNTIF(Справочник_ОКВЭД_НР!$A$3:$A$62,H805)&gt;0,Справочник_ОКВЭД_НР!$L$8,
 IF(COUNTIF(Справочник_ОКВЭД_НР!$C$3:$C$62,H805)&gt;0,Справочник_ОКВЭД_НР!$L$9,
  IF(COUNTIF(Справочник_ОКВЭД_НР!$E$3:$E$62,H805)&gt;0,Справочник_ОКВЭД_НР!$L$10,
   IF(COUNTIF(Справочник_ОКВЭД_НР!$G$3:$G$62,H805)&gt;0,Справочник_ОКВЭД_НР!$L$11,50))))</f>
        <v>100</v>
      </c>
      <c r="J805" s="30" cm="1">
        <f t="array" ref="J805">IFERROR(
 (SUMPRODUCT(ISNUMBER(SEARCH(","&amp;Справочник_ОКВЭД_НР!$A$3:$A$62&amp;".",","&amp;SUBSTITUTE(F805," ","")&amp;",")))*Справочник_ОКВЭД_НР!$L$9 +
  SUMPRODUCT(ISNUMBER(SEARCH(","&amp;Справочник_ОКВЭД_НР!$C$3:$C$62&amp;".",","&amp;SUBSTITUTE(F805," ","")&amp;",")))*Справочник_ОКВЭД_НР!$L$10 +
  SUMPRODUCT(ISNUMBER(SEARCH(","&amp;Справочник_ОКВЭД_НР!$E$3:$E$62&amp;".",","&amp;SUBSTITUTE(F805," ","")&amp;",")))*Справочник_ОКВЭД_НР!$L$11 +
  SUMPRODUCT(ISNUMBER(SEARCH(","&amp;Справочник_ОКВЭД_НР!$G$3:$G$62&amp;".",","&amp;SUBSTITUTE(F805," ","")&amp;",")))*Справочник_ОКВЭД_НР!$L$12) /
 (SUMPRODUCT(ISNUMBER(SEARCH(","&amp;Справочник_ОКВЭД_НР!$A$3:$A$62&amp;".",","&amp;SUBSTITUTE(F805," ","")&amp;","))) +
  SUMPRODUCT(ISNUMBER(SEARCH(","&amp;Справочник_ОКВЭД_НР!$C$3:$C$62&amp;".",","&amp;SUBSTITUTE(F805," ","")&amp;","))) +
  SUMPRODUCT(ISNUMBER(SEARCH(","&amp;Справочник_ОКВЭД_НР!$E$3:$E$62&amp;".",","&amp;SUBSTITUTE(F805," ","")&amp;","))) +
  SUMPRODUCT(ISNUMBER(SEARCH(","&amp;Справочник_ОКВЭД_НР!$G$3:$G$62&amp;".",","&amp;SUBSTITUTE(F805," ","")&amp;",")))),
50)</f>
        <v>50</v>
      </c>
      <c r="K805" s="30">
        <f>IFERROR(VLOOKUP(G805,Справочник_ОКВЭД_НР!$O:$P,2,FALSE()),50)</f>
        <v>50</v>
      </c>
      <c r="L805" s="45">
        <f>(I805*Справочник_ОКВЭД_НР!$L$2+J805*Справочник_ОКВЭД_НР!$L$3+K805*Справочник_ОКВЭД_НР!$L$4)*M805</f>
        <v>80</v>
      </c>
      <c r="M805" s="47">
        <f>IF(COUNTIF(Справочник_ОКВЭД_НР!$G$3:$G$62,H805)&gt;0,0,1)</f>
        <v>1</v>
      </c>
    </row>
    <row r="806" spans="1:13" x14ac:dyDescent="0.25">
      <c r="A806" s="4">
        <f>ЛИК_дляСкорингаДП!A806</f>
        <v>1025007392486</v>
      </c>
      <c r="B806" s="4">
        <f>ЛИК_дляСкорингаДП!B806</f>
        <v>5072709677</v>
      </c>
      <c r="C806" s="4" t="str">
        <f>ЛИК_дляСкорингаДП!C806</f>
        <v>ООО "СОЮЗ"</v>
      </c>
      <c r="D806" s="5" t="str">
        <f>ЛИК_дляСкорингаДП!M806</f>
        <v>Аренда и управление собственным или арендованным нежилым недвижимым имуществом</v>
      </c>
      <c r="E806" s="4" t="str">
        <f>ЛИК_дляСкорингаДП!L806</f>
        <v>68.20.2</v>
      </c>
      <c r="F806">
        <f>ЛИК_дляСкорингаДП!N806</f>
        <v>0</v>
      </c>
      <c r="G806" s="25" t="str">
        <f>ЛИК_дляСкорингаДП!AG806</f>
        <v>УСН</v>
      </c>
      <c r="H806" s="55" t="str">
        <f>IF(ISNUMBER(E806),E806,
IFERROR(LEFT(E806,FIND(".",E806)-1),E806))</f>
        <v>68</v>
      </c>
      <c r="I806" s="30">
        <f>IF(COUNTIF(Справочник_ОКВЭД_НР!$A$3:$A$62,H806)&gt;0,Справочник_ОКВЭД_НР!$L$8,
 IF(COUNTIF(Справочник_ОКВЭД_НР!$C$3:$C$62,H806)&gt;0,Справочник_ОКВЭД_НР!$L$9,
  IF(COUNTIF(Справочник_ОКВЭД_НР!$E$3:$E$62,H806)&gt;0,Справочник_ОКВЭД_НР!$L$10,
   IF(COUNTIF(Справочник_ОКВЭД_НР!$G$3:$G$62,H806)&gt;0,Справочник_ОКВЭД_НР!$L$11,50))))</f>
        <v>100</v>
      </c>
      <c r="J806" s="30" cm="1">
        <f t="array" ref="J806">IFERROR(
 (SUMPRODUCT(ISNUMBER(SEARCH(","&amp;Справочник_ОКВЭД_НР!$A$3:$A$62&amp;".",","&amp;SUBSTITUTE(F806," ","")&amp;",")))*Справочник_ОКВЭД_НР!$L$9 +
  SUMPRODUCT(ISNUMBER(SEARCH(","&amp;Справочник_ОКВЭД_НР!$C$3:$C$62&amp;".",","&amp;SUBSTITUTE(F806," ","")&amp;",")))*Справочник_ОКВЭД_НР!$L$10 +
  SUMPRODUCT(ISNUMBER(SEARCH(","&amp;Справочник_ОКВЭД_НР!$E$3:$E$62&amp;".",","&amp;SUBSTITUTE(F806," ","")&amp;",")))*Справочник_ОКВЭД_НР!$L$11 +
  SUMPRODUCT(ISNUMBER(SEARCH(","&amp;Справочник_ОКВЭД_НР!$G$3:$G$62&amp;".",","&amp;SUBSTITUTE(F806," ","")&amp;",")))*Справочник_ОКВЭД_НР!$L$12) /
 (SUMPRODUCT(ISNUMBER(SEARCH(","&amp;Справочник_ОКВЭД_НР!$A$3:$A$62&amp;".",","&amp;SUBSTITUTE(F806," ","")&amp;","))) +
  SUMPRODUCT(ISNUMBER(SEARCH(","&amp;Справочник_ОКВЭД_НР!$C$3:$C$62&amp;".",","&amp;SUBSTITUTE(F806," ","")&amp;","))) +
  SUMPRODUCT(ISNUMBER(SEARCH(","&amp;Справочник_ОКВЭД_НР!$E$3:$E$62&amp;".",","&amp;SUBSTITUTE(F806," ","")&amp;","))) +
  SUMPRODUCT(ISNUMBER(SEARCH(","&amp;Справочник_ОКВЭД_НР!$G$3:$G$62&amp;".",","&amp;SUBSTITUTE(F806," ","")&amp;",")))),
50)</f>
        <v>50</v>
      </c>
      <c r="K806" s="30">
        <f>IFERROR(VLOOKUP(G806,Справочник_ОКВЭД_НР!$O:$P,2,FALSE()),50)</f>
        <v>50</v>
      </c>
      <c r="L806" s="45">
        <f>(I806*Справочник_ОКВЭД_НР!$L$2+J806*Справочник_ОКВЭД_НР!$L$3+K806*Справочник_ОКВЭД_НР!$L$4)*M806</f>
        <v>80</v>
      </c>
      <c r="M806" s="47">
        <f>IF(COUNTIF(Справочник_ОКВЭД_НР!$G$3:$G$62,H806)&gt;0,0,1)</f>
        <v>1</v>
      </c>
    </row>
    <row r="807" spans="1:13" x14ac:dyDescent="0.25">
      <c r="A807" s="4">
        <f>ЛИК_дляСкорингаДП!A807</f>
        <v>1157746537123</v>
      </c>
      <c r="B807" s="4">
        <f>ЛИК_дляСкорингаДП!B807</f>
        <v>7733237941</v>
      </c>
      <c r="C807" s="4" t="str">
        <f>ЛИК_дляСкорингаДП!C807</f>
        <v>ООО "ТПК "ВЕЛЕС-ГРУПП"</v>
      </c>
      <c r="D807" s="5" t="str">
        <f>ЛИК_дляСкорингаДП!M807</f>
        <v>Торговля розничная скобяными изделиями, лакокрасочными материалами и стеклом в специализированных магазинах</v>
      </c>
      <c r="E807" s="4" t="str">
        <f>ЛИК_дляСкорингаДП!L807</f>
        <v>47.52</v>
      </c>
      <c r="F807" t="str">
        <f>ЛИК_дляСкорингаДП!N807</f>
        <v>25.11,25.12,25.50,25.61,25.62,25.72,25.93,25.94,25.99,33.12,43.21,43.29,43.32,43.39,43.99,46.74,46.90,49.4,82.99</v>
      </c>
      <c r="G807" s="25" t="str">
        <f>ЛИК_дляСкорингаДП!AG807</f>
        <v>УСН</v>
      </c>
      <c r="H807" s="55" t="str">
        <f>IF(ISNUMBER(E807),E807,
IFERROR(LEFT(E807,FIND(".",E807)-1),E807))</f>
        <v>47</v>
      </c>
      <c r="I807" s="30">
        <f>IF(COUNTIF(Справочник_ОКВЭД_НР!$A$3:$A$62,H807)&gt;0,Справочник_ОКВЭД_НР!$L$8,
 IF(COUNTIF(Справочник_ОКВЭД_НР!$C$3:$C$62,H807)&gt;0,Справочник_ОКВЭД_НР!$L$9,
  IF(COUNTIF(Справочник_ОКВЭД_НР!$E$3:$E$62,H807)&gt;0,Справочник_ОКВЭД_НР!$L$10,
   IF(COUNTIF(Справочник_ОКВЭД_НР!$G$3:$G$62,H807)&gt;0,Справочник_ОКВЭД_НР!$L$11,50))))</f>
        <v>60</v>
      </c>
      <c r="J807" s="30" cm="1">
        <f t="array" ref="J807">IFERROR(
 (SUMPRODUCT(ISNUMBER(SEARCH(","&amp;Справочник_ОКВЭД_НР!$A$3:$A$62&amp;".",","&amp;SUBSTITUTE(F807," ","")&amp;",")))*Справочник_ОКВЭД_НР!$L$9 +
  SUMPRODUCT(ISNUMBER(SEARCH(","&amp;Справочник_ОКВЭД_НР!$C$3:$C$62&amp;".",","&amp;SUBSTITUTE(F807," ","")&amp;",")))*Справочник_ОКВЭД_НР!$L$10 +
  SUMPRODUCT(ISNUMBER(SEARCH(","&amp;Справочник_ОКВЭД_НР!$E$3:$E$62&amp;".",","&amp;SUBSTITUTE(F807," ","")&amp;",")))*Справочник_ОКВЭД_НР!$L$11 +
  SUMPRODUCT(ISNUMBER(SEARCH(","&amp;Справочник_ОКВЭД_НР!$G$3:$G$62&amp;".",","&amp;SUBSTITUTE(F807," ","")&amp;",")))*Справочник_ОКВЭД_НР!$L$12) /
 (SUMPRODUCT(ISNUMBER(SEARCH(","&amp;Справочник_ОКВЭД_НР!$A$3:$A$62&amp;".",","&amp;SUBSTITUTE(F807," ","")&amp;","))) +
  SUMPRODUCT(ISNUMBER(SEARCH(","&amp;Справочник_ОКВЭД_НР!$C$3:$C$62&amp;".",","&amp;SUBSTITUTE(F807," ","")&amp;","))) +
  SUMPRODUCT(ISNUMBER(SEARCH(","&amp;Справочник_ОКВЭД_НР!$E$3:$E$62&amp;".",","&amp;SUBSTITUTE(F807," ","")&amp;","))) +
  SUMPRODUCT(ISNUMBER(SEARCH(","&amp;Справочник_ОКВЭД_НР!$G$3:$G$62&amp;".",","&amp;SUBSTITUTE(F807," ","")&amp;",")))),
50)</f>
        <v>50</v>
      </c>
      <c r="K807" s="30">
        <f>IFERROR(VLOOKUP(G807,Справочник_ОКВЭД_НР!$O:$P,2,FALSE()),50)</f>
        <v>50</v>
      </c>
      <c r="L807" s="45">
        <f>(I807*Справочник_ОКВЭД_НР!$L$2+J807*Справочник_ОКВЭД_НР!$L$3+K807*Справочник_ОКВЭД_НР!$L$4)*M807</f>
        <v>56</v>
      </c>
      <c r="M807" s="47">
        <f>IF(COUNTIF(Справочник_ОКВЭД_НР!$G$3:$G$62,H807)&gt;0,0,1)</f>
        <v>1</v>
      </c>
    </row>
    <row r="808" spans="1:13" x14ac:dyDescent="0.25">
      <c r="A808" s="4">
        <f>ЛИК_дляСкорингаДП!A808</f>
        <v>1157746424175</v>
      </c>
      <c r="B808" s="4">
        <f>ЛИК_дляСкорингаДП!B808</f>
        <v>7730161243</v>
      </c>
      <c r="C808" s="4" t="str">
        <f>ЛИК_дляСкорингаДП!C808</f>
        <v>ООО "ВЕДАНА"</v>
      </c>
      <c r="D808" s="5" t="str">
        <f>ЛИК_дляСкорингаДП!M808</f>
        <v>Образование профессиональное дополнительное</v>
      </c>
      <c r="E808" s="4" t="str">
        <f>ЛИК_дляСкорингаДП!L808</f>
        <v>85.42</v>
      </c>
      <c r="F808" t="str">
        <f>ЛИК_дляСкорингаДП!N808</f>
        <v>69.10,69.20,71.12.61,71.12.63,71.20,71.20.8,74.30,79.11,85.41,85.41.9,85.42.9,96.09</v>
      </c>
      <c r="G808" s="25" t="str">
        <f>ЛИК_дляСкорингаДП!AG808</f>
        <v>УСН</v>
      </c>
      <c r="H808" s="55" t="str">
        <f>IF(ISNUMBER(E808),E808,
IFERROR(LEFT(E808,FIND(".",E808)-1),E808))</f>
        <v>85</v>
      </c>
      <c r="I808" s="30">
        <f>IF(COUNTIF(Справочник_ОКВЭД_НР!$A$3:$A$62,H808)&gt;0,Справочник_ОКВЭД_НР!$L$8,
 IF(COUNTIF(Справочник_ОКВЭД_НР!$C$3:$C$62,H808)&gt;0,Справочник_ОКВЭД_НР!$L$9,
  IF(COUNTIF(Справочник_ОКВЭД_НР!$E$3:$E$62,H808)&gt;0,Справочник_ОКВЭД_НР!$L$10,
   IF(COUNTIF(Справочник_ОКВЭД_НР!$G$3:$G$62,H808)&gt;0,Справочник_ОКВЭД_НР!$L$11,50))))</f>
        <v>30</v>
      </c>
      <c r="J808" s="30" cm="1">
        <f t="array" ref="J808">IFERROR(
 (SUMPRODUCT(ISNUMBER(SEARCH(","&amp;Справочник_ОКВЭД_НР!$A$3:$A$62&amp;".",","&amp;SUBSTITUTE(F808," ","")&amp;",")))*Справочник_ОКВЭД_НР!$L$9 +
  SUMPRODUCT(ISNUMBER(SEARCH(","&amp;Справочник_ОКВЭД_НР!$C$3:$C$62&amp;".",","&amp;SUBSTITUTE(F808," ","")&amp;",")))*Справочник_ОКВЭД_НР!$L$10 +
  SUMPRODUCT(ISNUMBER(SEARCH(","&amp;Справочник_ОКВЭД_НР!$E$3:$E$62&amp;".",","&amp;SUBSTITUTE(F808," ","")&amp;",")))*Справочник_ОКВЭД_НР!$L$11 +
  SUMPRODUCT(ISNUMBER(SEARCH(","&amp;Справочник_ОКВЭД_НР!$G$3:$G$62&amp;".",","&amp;SUBSTITUTE(F808," ","")&amp;",")))*Справочник_ОКВЭД_НР!$L$12) /
 (SUMPRODUCT(ISNUMBER(SEARCH(","&amp;Справочник_ОКВЭД_НР!$A$3:$A$62&amp;".",","&amp;SUBSTITUTE(F808," ","")&amp;","))) +
  SUMPRODUCT(ISNUMBER(SEARCH(","&amp;Справочник_ОКВЭД_НР!$C$3:$C$62&amp;".",","&amp;SUBSTITUTE(F808," ","")&amp;","))) +
  SUMPRODUCT(ISNUMBER(SEARCH(","&amp;Справочник_ОКВЭД_НР!$E$3:$E$62&amp;".",","&amp;SUBSTITUTE(F808," ","")&amp;","))) +
  SUMPRODUCT(ISNUMBER(SEARCH(","&amp;Справочник_ОКВЭД_НР!$G$3:$G$62&amp;".",","&amp;SUBSTITUTE(F808," ","")&amp;",")))),
50)</f>
        <v>50</v>
      </c>
      <c r="K808" s="30">
        <f>IFERROR(VLOOKUP(G808,Справочник_ОКВЭД_НР!$O:$P,2,FALSE()),50)</f>
        <v>50</v>
      </c>
      <c r="L808" s="45">
        <f>(I808*Справочник_ОКВЭД_НР!$L$2+J808*Справочник_ОКВЭД_НР!$L$3+K808*Справочник_ОКВЭД_НР!$L$4)*M808</f>
        <v>38</v>
      </c>
      <c r="M808" s="47">
        <f>IF(COUNTIF(Справочник_ОКВЭД_НР!$G$3:$G$62,H808)&gt;0,0,1)</f>
        <v>1</v>
      </c>
    </row>
    <row r="809" spans="1:13" x14ac:dyDescent="0.25">
      <c r="A809" s="4">
        <f>ЛИК_дляСкорингаДП!A809</f>
        <v>1025007390760</v>
      </c>
      <c r="B809" s="4">
        <f>ЛИК_дляСкорингаДП!B809</f>
        <v>5072000665</v>
      </c>
      <c r="C809" s="4" t="str">
        <f>ЛИК_дляСкорингаДП!C809</f>
        <v>ООО "РАНОРД"</v>
      </c>
      <c r="D809" s="5" t="str">
        <f>ЛИК_дляСкорингаДП!M809</f>
        <v>Производство земляных работ</v>
      </c>
      <c r="E809" s="4" t="str">
        <f>ЛИК_дляСкорингаДП!L809</f>
        <v>43.12.3</v>
      </c>
      <c r="F809" t="str">
        <f>ЛИК_дляСкорингаДП!N809</f>
        <v>01.61,02.10,02.40,41.20,42.11,42.12,42.21,42.22.2,42.91.2,42.91.4,42.99,43.11,43.12.1,43.12.2,43.99,49.41.3,68.20.2,77.11,77.31,77.32,81.29.2,81.30</v>
      </c>
      <c r="G809" s="25" t="str">
        <f>ЛИК_дляСкорингаДП!AG809</f>
        <v>УСН</v>
      </c>
      <c r="H809" s="55" t="str">
        <f>IF(ISNUMBER(E809),E809,
IFERROR(LEFT(E809,FIND(".",E809)-1),E809))</f>
        <v>43</v>
      </c>
      <c r="I809" s="30">
        <f>IF(COUNTIF(Справочник_ОКВЭД_НР!$A$3:$A$62,H809)&gt;0,Справочник_ОКВЭД_НР!$L$8,
 IF(COUNTIF(Справочник_ОКВЭД_НР!$C$3:$C$62,H809)&gt;0,Справочник_ОКВЭД_НР!$L$9,
  IF(COUNTIF(Справочник_ОКВЭД_НР!$E$3:$E$62,H809)&gt;0,Справочник_ОКВЭД_НР!$L$10,
   IF(COUNTIF(Справочник_ОКВЭД_НР!$G$3:$G$62,H809)&gt;0,Справочник_ОКВЭД_НР!$L$11,50))))</f>
        <v>100</v>
      </c>
      <c r="J809" s="30" cm="1">
        <f t="array" ref="J809">IFERROR(
 (SUMPRODUCT(ISNUMBER(SEARCH(","&amp;Справочник_ОКВЭД_НР!$A$3:$A$62&amp;".",","&amp;SUBSTITUTE(F809," ","")&amp;",")))*Справочник_ОКВЭД_НР!$L$9 +
  SUMPRODUCT(ISNUMBER(SEARCH(","&amp;Справочник_ОКВЭД_НР!$C$3:$C$62&amp;".",","&amp;SUBSTITUTE(F809," ","")&amp;",")))*Справочник_ОКВЭД_НР!$L$10 +
  SUMPRODUCT(ISNUMBER(SEARCH(","&amp;Справочник_ОКВЭД_НР!$E$3:$E$62&amp;".",","&amp;SUBSTITUTE(F809," ","")&amp;",")))*Справочник_ОКВЭД_НР!$L$11 +
  SUMPRODUCT(ISNUMBER(SEARCH(","&amp;Справочник_ОКВЭД_НР!$G$3:$G$62&amp;".",","&amp;SUBSTITUTE(F809," ","")&amp;",")))*Справочник_ОКВЭД_НР!$L$12) /
 (SUMPRODUCT(ISNUMBER(SEARCH(","&amp;Справочник_ОКВЭД_НР!$A$3:$A$62&amp;".",","&amp;SUBSTITUTE(F809," ","")&amp;","))) +
  SUMPRODUCT(ISNUMBER(SEARCH(","&amp;Справочник_ОКВЭД_НР!$C$3:$C$62&amp;".",","&amp;SUBSTITUTE(F809," ","")&amp;","))) +
  SUMPRODUCT(ISNUMBER(SEARCH(","&amp;Справочник_ОКВЭД_НР!$E$3:$E$62&amp;".",","&amp;SUBSTITUTE(F809," ","")&amp;","))) +
  SUMPRODUCT(ISNUMBER(SEARCH(","&amp;Справочник_ОКВЭД_НР!$G$3:$G$62&amp;".",","&amp;SUBSTITUTE(F809," ","")&amp;",")))),
50)</f>
        <v>50</v>
      </c>
      <c r="K809" s="30">
        <f>IFERROR(VLOOKUP(G809,Справочник_ОКВЭД_НР!$O:$P,2,FALSE()),50)</f>
        <v>50</v>
      </c>
      <c r="L809" s="45">
        <f>(I809*Справочник_ОКВЭД_НР!$L$2+J809*Справочник_ОКВЭД_НР!$L$3+K809*Справочник_ОКВЭД_НР!$L$4)*M809</f>
        <v>80</v>
      </c>
      <c r="M809" s="47">
        <f>IF(COUNTIF(Справочник_ОКВЭД_НР!$G$3:$G$62,H809)&gt;0,0,1)</f>
        <v>1</v>
      </c>
    </row>
    <row r="810" spans="1:13" x14ac:dyDescent="0.25">
      <c r="A810" s="4">
        <f>ЛИК_дляСкорингаДП!A810</f>
        <v>1157746289030</v>
      </c>
      <c r="B810" s="4">
        <f>ЛИК_дляСкорингаДП!B810</f>
        <v>7743095118</v>
      </c>
      <c r="C810" s="4" t="str">
        <f>ЛИК_дляСкорингаДП!C810</f>
        <v>ООО  "СПАЙДЕР"</v>
      </c>
      <c r="D810" s="5" t="str">
        <f>ЛИК_дляСкорингаДП!M810</f>
        <v>Торговля оптовая программным обеспечением</v>
      </c>
      <c r="E810" s="4" t="str">
        <f>ЛИК_дляСкорингаДП!L810</f>
        <v>46.51.2</v>
      </c>
      <c r="F810" t="str">
        <f>ЛИК_дляСкорингаДП!N810</f>
        <v>69.10,69.20,70.10.1,70.10.2,70.22,71.1,71.12.5,71.12.6,71.20,72.19,72.20,73.11,73.20,74.20,74.30,78.10,80.10,80.20,80.30,82.19,82.92,91.01</v>
      </c>
      <c r="G810" s="25" t="str">
        <f>ЛИК_дляСкорингаДП!AG810</f>
        <v>УСН</v>
      </c>
      <c r="H810" s="55" t="str">
        <f>IF(ISNUMBER(E810),E810,
IFERROR(LEFT(E810,FIND(".",E810)-1),E810))</f>
        <v>46</v>
      </c>
      <c r="I810" s="30">
        <f>IF(COUNTIF(Справочник_ОКВЭД_НР!$A$3:$A$62,H810)&gt;0,Справочник_ОКВЭД_НР!$L$8,
 IF(COUNTIF(Справочник_ОКВЭД_НР!$C$3:$C$62,H810)&gt;0,Справочник_ОКВЭД_НР!$L$9,
  IF(COUNTIF(Справочник_ОКВЭД_НР!$E$3:$E$62,H810)&gt;0,Справочник_ОКВЭД_НР!$L$10,
   IF(COUNTIF(Справочник_ОКВЭД_НР!$G$3:$G$62,H810)&gt;0,Справочник_ОКВЭД_НР!$L$11,50))))</f>
        <v>60</v>
      </c>
      <c r="J810" s="30" cm="1">
        <f t="array" ref="J810">IFERROR(
 (SUMPRODUCT(ISNUMBER(SEARCH(","&amp;Справочник_ОКВЭД_НР!$A$3:$A$62&amp;".",","&amp;SUBSTITUTE(F810," ","")&amp;",")))*Справочник_ОКВЭД_НР!$L$9 +
  SUMPRODUCT(ISNUMBER(SEARCH(","&amp;Справочник_ОКВЭД_НР!$C$3:$C$62&amp;".",","&amp;SUBSTITUTE(F810," ","")&amp;",")))*Справочник_ОКВЭД_НР!$L$10 +
  SUMPRODUCT(ISNUMBER(SEARCH(","&amp;Справочник_ОКВЭД_НР!$E$3:$E$62&amp;".",","&amp;SUBSTITUTE(F810," ","")&amp;",")))*Справочник_ОКВЭД_НР!$L$11 +
  SUMPRODUCT(ISNUMBER(SEARCH(","&amp;Справочник_ОКВЭД_НР!$G$3:$G$62&amp;".",","&amp;SUBSTITUTE(F810," ","")&amp;",")))*Справочник_ОКВЭД_НР!$L$12) /
 (SUMPRODUCT(ISNUMBER(SEARCH(","&amp;Справочник_ОКВЭД_НР!$A$3:$A$62&amp;".",","&amp;SUBSTITUTE(F810," ","")&amp;","))) +
  SUMPRODUCT(ISNUMBER(SEARCH(","&amp;Справочник_ОКВЭД_НР!$C$3:$C$62&amp;".",","&amp;SUBSTITUTE(F810," ","")&amp;","))) +
  SUMPRODUCT(ISNUMBER(SEARCH(","&amp;Справочник_ОКВЭД_НР!$E$3:$E$62&amp;".",","&amp;SUBSTITUTE(F810," ","")&amp;","))) +
  SUMPRODUCT(ISNUMBER(SEARCH(","&amp;Справочник_ОКВЭД_НР!$G$3:$G$62&amp;".",","&amp;SUBSTITUTE(F810," ","")&amp;",")))),
50)</f>
        <v>50</v>
      </c>
      <c r="K810" s="30">
        <f>IFERROR(VLOOKUP(G810,Справочник_ОКВЭД_НР!$O:$P,2,FALSE()),50)</f>
        <v>50</v>
      </c>
      <c r="L810" s="45">
        <f>(I810*Справочник_ОКВЭД_НР!$L$2+J810*Справочник_ОКВЭД_НР!$L$3+K810*Справочник_ОКВЭД_НР!$L$4)*M810</f>
        <v>56</v>
      </c>
      <c r="M810" s="47">
        <f>IF(COUNTIF(Справочник_ОКВЭД_НР!$G$3:$G$62,H810)&gt;0,0,1)</f>
        <v>1</v>
      </c>
    </row>
    <row r="811" spans="1:13" x14ac:dyDescent="0.25">
      <c r="A811" s="4">
        <f>ЛИК_дляСкорингаДП!A811</f>
        <v>1247700264987</v>
      </c>
      <c r="B811" s="4">
        <f>ЛИК_дляСкорингаДП!B811</f>
        <v>9727072861</v>
      </c>
      <c r="C811" s="4" t="str">
        <f>ЛИК_дляСкорингаДП!C811</f>
        <v>ООО "ВИП АВТО"</v>
      </c>
      <c r="D811" s="5" t="str">
        <f>ЛИК_дляСкорингаДП!M811</f>
        <v>Торговля легковыми автомобилями и грузовыми автомобилями малой грузоподъемности</v>
      </c>
      <c r="E811" s="4" t="str">
        <f>ЛИК_дляСкорингаДП!L811</f>
        <v>45.11</v>
      </c>
      <c r="F811" t="str">
        <f>ЛИК_дляСкорингаДП!N811</f>
        <v>45.11.1,45.11.3,45.11.4,45.19,45.19.1,45.19.2,45.19.3,45.19.4,45.31,45.32,45.40,52.21.24,64.91,64.99,66.19.4,66.22,77.11,77.12,77.31,77.32,77.34,77.35,77.39,77.39.1,77.39.11</v>
      </c>
      <c r="G811" s="25" t="str">
        <f>ЛИК_дляСкорингаДП!AG811</f>
        <v>УСН</v>
      </c>
      <c r="H811" s="55" t="str">
        <f>IF(ISNUMBER(E811),E811,
IFERROR(LEFT(E811,FIND(".",E811)-1),E811))</f>
        <v>45</v>
      </c>
      <c r="I811" s="30">
        <f>IF(COUNTIF(Справочник_ОКВЭД_НР!$A$3:$A$62,H811)&gt;0,Справочник_ОКВЭД_НР!$L$8,
 IF(COUNTIF(Справочник_ОКВЭД_НР!$C$3:$C$62,H811)&gt;0,Справочник_ОКВЭД_НР!$L$9,
  IF(COUNTIF(Справочник_ОКВЭД_НР!$E$3:$E$62,H811)&gt;0,Справочник_ОКВЭД_НР!$L$10,
   IF(COUNTIF(Справочник_ОКВЭД_НР!$G$3:$G$62,H811)&gt;0,Справочник_ОКВЭД_НР!$L$11,50))))</f>
        <v>60</v>
      </c>
      <c r="J811" s="30" cm="1">
        <f t="array" ref="J811">IFERROR(
 (SUMPRODUCT(ISNUMBER(SEARCH(","&amp;Справочник_ОКВЭД_НР!$A$3:$A$62&amp;".",","&amp;SUBSTITUTE(F811," ","")&amp;",")))*Справочник_ОКВЭД_НР!$L$9 +
  SUMPRODUCT(ISNUMBER(SEARCH(","&amp;Справочник_ОКВЭД_НР!$C$3:$C$62&amp;".",","&amp;SUBSTITUTE(F811," ","")&amp;",")))*Справочник_ОКВЭД_НР!$L$10 +
  SUMPRODUCT(ISNUMBER(SEARCH(","&amp;Справочник_ОКВЭД_НР!$E$3:$E$62&amp;".",","&amp;SUBSTITUTE(F811," ","")&amp;",")))*Справочник_ОКВЭД_НР!$L$11 +
  SUMPRODUCT(ISNUMBER(SEARCH(","&amp;Справочник_ОКВЭД_НР!$G$3:$G$62&amp;".",","&amp;SUBSTITUTE(F811," ","")&amp;",")))*Справочник_ОКВЭД_НР!$L$12) /
 (SUMPRODUCT(ISNUMBER(SEARCH(","&amp;Справочник_ОКВЭД_НР!$A$3:$A$62&amp;".",","&amp;SUBSTITUTE(F811," ","")&amp;","))) +
  SUMPRODUCT(ISNUMBER(SEARCH(","&amp;Справочник_ОКВЭД_НР!$C$3:$C$62&amp;".",","&amp;SUBSTITUTE(F811," ","")&amp;","))) +
  SUMPRODUCT(ISNUMBER(SEARCH(","&amp;Справочник_ОКВЭД_НР!$E$3:$E$62&amp;".",","&amp;SUBSTITUTE(F811," ","")&amp;","))) +
  SUMPRODUCT(ISNUMBER(SEARCH(","&amp;Справочник_ОКВЭД_НР!$G$3:$G$62&amp;".",","&amp;SUBSTITUTE(F811," ","")&amp;",")))),
50)</f>
        <v>50</v>
      </c>
      <c r="K811" s="30">
        <f>IFERROR(VLOOKUP(G811,Справочник_ОКВЭД_НР!$O:$P,2,FALSE()),50)</f>
        <v>50</v>
      </c>
      <c r="L811" s="45">
        <f>(I811*Справочник_ОКВЭД_НР!$L$2+J811*Справочник_ОКВЭД_НР!$L$3+K811*Справочник_ОКВЭД_НР!$L$4)*M811</f>
        <v>56</v>
      </c>
      <c r="M811" s="47">
        <f>IF(COUNTIF(Справочник_ОКВЭД_НР!$G$3:$G$62,H811)&gt;0,0,1)</f>
        <v>1</v>
      </c>
    </row>
    <row r="812" spans="1:13" x14ac:dyDescent="0.25">
      <c r="A812" s="4">
        <f>ЛИК_дляСкорингаДП!A812</f>
        <v>1167746297553</v>
      </c>
      <c r="B812" s="4">
        <f>ЛИК_дляСкорингаДП!B812</f>
        <v>7719441984</v>
      </c>
      <c r="C812" s="4" t="str">
        <f>ЛИК_дляСкорингаДП!C812</f>
        <v>ООО "БЕЛАЯ ЛИНИЯ +"</v>
      </c>
      <c r="D812" s="5" t="str">
        <f>ЛИК_дляСкорингаДП!M812</f>
        <v>Стоматологическая практика</v>
      </c>
      <c r="E812" s="4" t="str">
        <f>ЛИК_дляСкорингаДП!L812</f>
        <v>86.23</v>
      </c>
      <c r="F812" t="str">
        <f>ЛИК_дляСкорингаДП!N812</f>
        <v>26.60.1,46.46.1,46.46.2,86.90.9</v>
      </c>
      <c r="G812" s="25" t="str">
        <f>ЛИК_дляСкорингаДП!AG812</f>
        <v>УСН</v>
      </c>
      <c r="H812" s="55" t="str">
        <f>IF(ISNUMBER(E812),E812,
IFERROR(LEFT(E812,FIND(".",E812)-1),E812))</f>
        <v>86</v>
      </c>
      <c r="I812" s="30">
        <f>IF(COUNTIF(Справочник_ОКВЭД_НР!$A$3:$A$62,H812)&gt;0,Справочник_ОКВЭД_НР!$L$8,
 IF(COUNTIF(Справочник_ОКВЭД_НР!$C$3:$C$62,H812)&gt;0,Справочник_ОКВЭД_НР!$L$9,
  IF(COUNTIF(Справочник_ОКВЭД_НР!$E$3:$E$62,H812)&gt;0,Справочник_ОКВЭД_НР!$L$10,
   IF(COUNTIF(Справочник_ОКВЭД_НР!$G$3:$G$62,H812)&gt;0,Справочник_ОКВЭД_НР!$L$11,50))))</f>
        <v>100</v>
      </c>
      <c r="J812" s="30" cm="1">
        <f t="array" ref="J812">IFERROR(
 (SUMPRODUCT(ISNUMBER(SEARCH(","&amp;Справочник_ОКВЭД_НР!$A$3:$A$62&amp;".",","&amp;SUBSTITUTE(F812," ","")&amp;",")))*Справочник_ОКВЭД_НР!$L$9 +
  SUMPRODUCT(ISNUMBER(SEARCH(","&amp;Справочник_ОКВЭД_НР!$C$3:$C$62&amp;".",","&amp;SUBSTITUTE(F812," ","")&amp;",")))*Справочник_ОКВЭД_НР!$L$10 +
  SUMPRODUCT(ISNUMBER(SEARCH(","&amp;Справочник_ОКВЭД_НР!$E$3:$E$62&amp;".",","&amp;SUBSTITUTE(F812," ","")&amp;",")))*Справочник_ОКВЭД_НР!$L$11 +
  SUMPRODUCT(ISNUMBER(SEARCH(","&amp;Справочник_ОКВЭД_НР!$G$3:$G$62&amp;".",","&amp;SUBSTITUTE(F812," ","")&amp;",")))*Справочник_ОКВЭД_НР!$L$12) /
 (SUMPRODUCT(ISNUMBER(SEARCH(","&amp;Справочник_ОКВЭД_НР!$A$3:$A$62&amp;".",","&amp;SUBSTITUTE(F812," ","")&amp;","))) +
  SUMPRODUCT(ISNUMBER(SEARCH(","&amp;Справочник_ОКВЭД_НР!$C$3:$C$62&amp;".",","&amp;SUBSTITUTE(F812," ","")&amp;","))) +
  SUMPRODUCT(ISNUMBER(SEARCH(","&amp;Справочник_ОКВЭД_НР!$E$3:$E$62&amp;".",","&amp;SUBSTITUTE(F812," ","")&amp;","))) +
  SUMPRODUCT(ISNUMBER(SEARCH(","&amp;Справочник_ОКВЭД_НР!$G$3:$G$62&amp;".",","&amp;SUBSTITUTE(F812," ","")&amp;",")))),
50)</f>
        <v>50</v>
      </c>
      <c r="K812" s="30">
        <f>IFERROR(VLOOKUP(G812,Справочник_ОКВЭД_НР!$O:$P,2,FALSE()),50)</f>
        <v>50</v>
      </c>
      <c r="L812" s="45">
        <f>(I812*Справочник_ОКВЭД_НР!$L$2+J812*Справочник_ОКВЭД_НР!$L$3+K812*Справочник_ОКВЭД_НР!$L$4)*M812</f>
        <v>80</v>
      </c>
      <c r="M812" s="47">
        <f>IF(COUNTIF(Справочник_ОКВЭД_НР!$G$3:$G$62,H812)&gt;0,0,1)</f>
        <v>1</v>
      </c>
    </row>
    <row r="813" spans="1:13" x14ac:dyDescent="0.25">
      <c r="A813" s="4">
        <f>ЛИК_дляСкорингаДП!A813</f>
        <v>1125658038648</v>
      </c>
      <c r="B813" s="4">
        <f>ЛИК_дляСкорингаДП!B813</f>
        <v>5610149917</v>
      </c>
      <c r="C813" s="4" t="str">
        <f>ЛИК_дляСкорингаДП!C813</f>
        <v>ООО "ТЕЛЕКОМИНФОРМ ПЛЮС"</v>
      </c>
      <c r="D813" s="5" t="str">
        <f>ЛИК_дляСкорингаДП!M813</f>
        <v>Деятельность по созданию и использованию баз данных и информационных ресурсов</v>
      </c>
      <c r="E813" s="4" t="str">
        <f>ЛИК_дляСкорингаДП!L813</f>
        <v>63.11.1</v>
      </c>
      <c r="F813" t="str">
        <f>ЛИК_дляСкорингаДП!N813</f>
        <v>62.09,69.10,69.20,73.1,73.20</v>
      </c>
      <c r="G813" s="25" t="str">
        <f>ЛИК_дляСкорингаДП!AG813</f>
        <v>УСН</v>
      </c>
      <c r="H813" s="55" t="str">
        <f>IF(ISNUMBER(E813),E813,
IFERROR(LEFT(E813,FIND(".",E813)-1),E813))</f>
        <v>63</v>
      </c>
      <c r="I813" s="30">
        <f>IF(COUNTIF(Справочник_ОКВЭД_НР!$A$3:$A$62,H813)&gt;0,Справочник_ОКВЭД_НР!$L$8,
 IF(COUNTIF(Справочник_ОКВЭД_НР!$C$3:$C$62,H813)&gt;0,Справочник_ОКВЭД_НР!$L$9,
  IF(COUNTIF(Справочник_ОКВЭД_НР!$E$3:$E$62,H813)&gt;0,Справочник_ОКВЭД_НР!$L$10,
   IF(COUNTIF(Справочник_ОКВЭД_НР!$G$3:$G$62,H813)&gt;0,Справочник_ОКВЭД_НР!$L$11,50))))</f>
        <v>100</v>
      </c>
      <c r="J813" s="30" cm="1">
        <f t="array" ref="J813">IFERROR(
 (SUMPRODUCT(ISNUMBER(SEARCH(","&amp;Справочник_ОКВЭД_НР!$A$3:$A$62&amp;".",","&amp;SUBSTITUTE(F813," ","")&amp;",")))*Справочник_ОКВЭД_НР!$L$9 +
  SUMPRODUCT(ISNUMBER(SEARCH(","&amp;Справочник_ОКВЭД_НР!$C$3:$C$62&amp;".",","&amp;SUBSTITUTE(F813," ","")&amp;",")))*Справочник_ОКВЭД_НР!$L$10 +
  SUMPRODUCT(ISNUMBER(SEARCH(","&amp;Справочник_ОКВЭД_НР!$E$3:$E$62&amp;".",","&amp;SUBSTITUTE(F813," ","")&amp;",")))*Справочник_ОКВЭД_НР!$L$11 +
  SUMPRODUCT(ISNUMBER(SEARCH(","&amp;Справочник_ОКВЭД_НР!$G$3:$G$62&amp;".",","&amp;SUBSTITUTE(F813," ","")&amp;",")))*Справочник_ОКВЭД_НР!$L$12) /
 (SUMPRODUCT(ISNUMBER(SEARCH(","&amp;Справочник_ОКВЭД_НР!$A$3:$A$62&amp;".",","&amp;SUBSTITUTE(F813," ","")&amp;","))) +
  SUMPRODUCT(ISNUMBER(SEARCH(","&amp;Справочник_ОКВЭД_НР!$C$3:$C$62&amp;".",","&amp;SUBSTITUTE(F813," ","")&amp;","))) +
  SUMPRODUCT(ISNUMBER(SEARCH(","&amp;Справочник_ОКВЭД_НР!$E$3:$E$62&amp;".",","&amp;SUBSTITUTE(F813," ","")&amp;","))) +
  SUMPRODUCT(ISNUMBER(SEARCH(","&amp;Справочник_ОКВЭД_НР!$G$3:$G$62&amp;".",","&amp;SUBSTITUTE(F813," ","")&amp;",")))),
50)</f>
        <v>50</v>
      </c>
      <c r="K813" s="30">
        <f>IFERROR(VLOOKUP(G813,Справочник_ОКВЭД_НР!$O:$P,2,FALSE()),50)</f>
        <v>50</v>
      </c>
      <c r="L813" s="45">
        <f>(I813*Справочник_ОКВЭД_НР!$L$2+J813*Справочник_ОКВЭД_НР!$L$3+K813*Справочник_ОКВЭД_НР!$L$4)*M813</f>
        <v>80</v>
      </c>
      <c r="M813" s="47">
        <f>IF(COUNTIF(Справочник_ОКВЭД_НР!$G$3:$G$62,H813)&gt;0,0,1)</f>
        <v>1</v>
      </c>
    </row>
    <row r="814" spans="1:13" x14ac:dyDescent="0.25">
      <c r="A814" s="4">
        <f>ЛИК_дляСкорингаДП!A814</f>
        <v>1157746283870</v>
      </c>
      <c r="B814" s="4">
        <f>ЛИК_дляСкорингаДП!B814</f>
        <v>7704311358</v>
      </c>
      <c r="C814" s="4" t="str">
        <f>ЛИК_дляСкорингаДП!C814</f>
        <v>ООО "КИС"</v>
      </c>
      <c r="D814" s="5" t="str">
        <f>ЛИК_дляСкорингаДП!M814</f>
        <v>Деятельность систем обеспечения безопасности</v>
      </c>
      <c r="E814" s="4" t="str">
        <f>ЛИК_дляСкорингаДП!L814</f>
        <v>80.20</v>
      </c>
      <c r="F814" t="str">
        <f>ЛИК_дляСкорингаДП!N814</f>
        <v>43.21,43.22,43.29,46.90,47.91.2,47.91.3,47.91.4,68.32.1,68.32.2,68.32.3,69.10,70.22,71.11.1,71.12.61,71.20,74.20,81.22</v>
      </c>
      <c r="G814" s="25" t="str">
        <f>ЛИК_дляСкорингаДП!AG814</f>
        <v>УСН</v>
      </c>
      <c r="H814" s="55" t="str">
        <f>IF(ISNUMBER(E814),E814,
IFERROR(LEFT(E814,FIND(".",E814)-1),E814))</f>
        <v>80</v>
      </c>
      <c r="I814" s="30">
        <f>IF(COUNTIF(Справочник_ОКВЭД_НР!$A$3:$A$62,H814)&gt;0,Справочник_ОКВЭД_НР!$L$8,
 IF(COUNTIF(Справочник_ОКВЭД_НР!$C$3:$C$62,H814)&gt;0,Справочник_ОКВЭД_НР!$L$9,
  IF(COUNTIF(Справочник_ОКВЭД_НР!$E$3:$E$62,H814)&gt;0,Справочник_ОКВЭД_НР!$L$10,
   IF(COUNTIF(Справочник_ОКВЭД_НР!$G$3:$G$62,H814)&gt;0,Справочник_ОКВЭД_НР!$L$11,50))))</f>
        <v>30</v>
      </c>
      <c r="J814" s="30" cm="1">
        <f t="array" ref="J814">IFERROR(
 (SUMPRODUCT(ISNUMBER(SEARCH(","&amp;Справочник_ОКВЭД_НР!$A$3:$A$62&amp;".",","&amp;SUBSTITUTE(F814," ","")&amp;",")))*Справочник_ОКВЭД_НР!$L$9 +
  SUMPRODUCT(ISNUMBER(SEARCH(","&amp;Справочник_ОКВЭД_НР!$C$3:$C$62&amp;".",","&amp;SUBSTITUTE(F814," ","")&amp;",")))*Справочник_ОКВЭД_НР!$L$10 +
  SUMPRODUCT(ISNUMBER(SEARCH(","&amp;Справочник_ОКВЭД_НР!$E$3:$E$62&amp;".",","&amp;SUBSTITUTE(F814," ","")&amp;",")))*Справочник_ОКВЭД_НР!$L$11 +
  SUMPRODUCT(ISNUMBER(SEARCH(","&amp;Справочник_ОКВЭД_НР!$G$3:$G$62&amp;".",","&amp;SUBSTITUTE(F814," ","")&amp;",")))*Справочник_ОКВЭД_НР!$L$12) /
 (SUMPRODUCT(ISNUMBER(SEARCH(","&amp;Справочник_ОКВЭД_НР!$A$3:$A$62&amp;".",","&amp;SUBSTITUTE(F814," ","")&amp;","))) +
  SUMPRODUCT(ISNUMBER(SEARCH(","&amp;Справочник_ОКВЭД_НР!$C$3:$C$62&amp;".",","&amp;SUBSTITUTE(F814," ","")&amp;","))) +
  SUMPRODUCT(ISNUMBER(SEARCH(","&amp;Справочник_ОКВЭД_НР!$E$3:$E$62&amp;".",","&amp;SUBSTITUTE(F814," ","")&amp;","))) +
  SUMPRODUCT(ISNUMBER(SEARCH(","&amp;Справочник_ОКВЭД_НР!$G$3:$G$62&amp;".",","&amp;SUBSTITUTE(F814," ","")&amp;",")))),
50)</f>
        <v>50</v>
      </c>
      <c r="K814" s="30">
        <f>IFERROR(VLOOKUP(G814,Справочник_ОКВЭД_НР!$O:$P,2,FALSE()),50)</f>
        <v>50</v>
      </c>
      <c r="L814" s="45">
        <f>(I814*Справочник_ОКВЭД_НР!$L$2+J814*Справочник_ОКВЭД_НР!$L$3+K814*Справочник_ОКВЭД_НР!$L$4)*M814</f>
        <v>38</v>
      </c>
      <c r="M814" s="47">
        <f>IF(COUNTIF(Справочник_ОКВЭД_НР!$G$3:$G$62,H814)&gt;0,0,1)</f>
        <v>1</v>
      </c>
    </row>
    <row r="815" spans="1:13" x14ac:dyDescent="0.25">
      <c r="A815" s="4">
        <f>ЛИК_дляСкорингаДП!A815</f>
        <v>1025007516115</v>
      </c>
      <c r="B815" s="4">
        <f>ЛИК_дляСкорингаДП!B815</f>
        <v>5074020674</v>
      </c>
      <c r="C815" s="4" t="str">
        <f>ЛИК_дляСкорингаДП!C815</f>
        <v>ООО "ДИКЕЙ"</v>
      </c>
      <c r="D815" s="5" t="str">
        <f>ЛИК_дляСкорингаДП!M815</f>
        <v>Техническое обслуживание и ремонт автотранспортных средств</v>
      </c>
      <c r="E815" s="4" t="str">
        <f>ЛИК_дляСкорингаДП!L815</f>
        <v>45.20</v>
      </c>
      <c r="F815" t="str">
        <f>ЛИК_дляСкорингаДП!N815</f>
        <v>20.30.2,20.52,20.59.6,23.99.3,41.20,43.11,43.12.3,43.99,45.3,46.12,46.71,46.90,47.30,47.52.2,47.52.7,47.78.6,49.4,52.24,52.29,68.20,77.11,77.12,77.32,77.39</v>
      </c>
      <c r="G815" s="25" t="str">
        <f>ЛИК_дляСкорингаДП!AG815</f>
        <v>УСН</v>
      </c>
      <c r="H815" s="55" t="str">
        <f>IF(ISNUMBER(E815),E815,
IFERROR(LEFT(E815,FIND(".",E815)-1),E815))</f>
        <v>45</v>
      </c>
      <c r="I815" s="30">
        <f>IF(COUNTIF(Справочник_ОКВЭД_НР!$A$3:$A$62,H815)&gt;0,Справочник_ОКВЭД_НР!$L$8,
 IF(COUNTIF(Справочник_ОКВЭД_НР!$C$3:$C$62,H815)&gt;0,Справочник_ОКВЭД_НР!$L$9,
  IF(COUNTIF(Справочник_ОКВЭД_НР!$E$3:$E$62,H815)&gt;0,Справочник_ОКВЭД_НР!$L$10,
   IF(COUNTIF(Справочник_ОКВЭД_НР!$G$3:$G$62,H815)&gt;0,Справочник_ОКВЭД_НР!$L$11,50))))</f>
        <v>60</v>
      </c>
      <c r="J815" s="30" cm="1">
        <f t="array" ref="J815">IFERROR(
 (SUMPRODUCT(ISNUMBER(SEARCH(","&amp;Справочник_ОКВЭД_НР!$A$3:$A$62&amp;".",","&amp;SUBSTITUTE(F815," ","")&amp;",")))*Справочник_ОКВЭД_НР!$L$9 +
  SUMPRODUCT(ISNUMBER(SEARCH(","&amp;Справочник_ОКВЭД_НР!$C$3:$C$62&amp;".",","&amp;SUBSTITUTE(F815," ","")&amp;",")))*Справочник_ОКВЭД_НР!$L$10 +
  SUMPRODUCT(ISNUMBER(SEARCH(","&amp;Справочник_ОКВЭД_НР!$E$3:$E$62&amp;".",","&amp;SUBSTITUTE(F815," ","")&amp;",")))*Справочник_ОКВЭД_НР!$L$11 +
  SUMPRODUCT(ISNUMBER(SEARCH(","&amp;Справочник_ОКВЭД_НР!$G$3:$G$62&amp;".",","&amp;SUBSTITUTE(F815," ","")&amp;",")))*Справочник_ОКВЭД_НР!$L$12) /
 (SUMPRODUCT(ISNUMBER(SEARCH(","&amp;Справочник_ОКВЭД_НР!$A$3:$A$62&amp;".",","&amp;SUBSTITUTE(F815," ","")&amp;","))) +
  SUMPRODUCT(ISNUMBER(SEARCH(","&amp;Справочник_ОКВЭД_НР!$C$3:$C$62&amp;".",","&amp;SUBSTITUTE(F815," ","")&amp;","))) +
  SUMPRODUCT(ISNUMBER(SEARCH(","&amp;Справочник_ОКВЭД_НР!$E$3:$E$62&amp;".",","&amp;SUBSTITUTE(F815," ","")&amp;","))) +
  SUMPRODUCT(ISNUMBER(SEARCH(","&amp;Справочник_ОКВЭД_НР!$G$3:$G$62&amp;".",","&amp;SUBSTITUTE(F815," ","")&amp;",")))),
50)</f>
        <v>50</v>
      </c>
      <c r="K815" s="30">
        <f>IFERROR(VLOOKUP(G815,Справочник_ОКВЭД_НР!$O:$P,2,FALSE()),50)</f>
        <v>50</v>
      </c>
      <c r="L815" s="45">
        <f>(I815*Справочник_ОКВЭД_НР!$L$2+J815*Справочник_ОКВЭД_НР!$L$3+K815*Справочник_ОКВЭД_НР!$L$4)*M815</f>
        <v>56</v>
      </c>
      <c r="M815" s="47">
        <f>IF(COUNTIF(Справочник_ОКВЭД_НР!$G$3:$G$62,H815)&gt;0,0,1)</f>
        <v>1</v>
      </c>
    </row>
    <row r="816" spans="1:13" x14ac:dyDescent="0.25">
      <c r="A816" s="4">
        <f>ЛИК_дляСкорингаДП!A816</f>
        <v>1157746337110</v>
      </c>
      <c r="B816" s="4">
        <f>ЛИК_дляСкорингаДП!B816</f>
        <v>7731242128</v>
      </c>
      <c r="C816" s="4" t="str">
        <f>ЛИК_дляСкорингаДП!C816</f>
        <v>ООО "ДЕТИМИ"</v>
      </c>
      <c r="D816" s="5" t="str">
        <f>ЛИК_дляСкорингаДП!M816</f>
        <v>Торговля оптовая прочими бытовыми товарами</v>
      </c>
      <c r="E816" s="4" t="str">
        <f>ЛИК_дляСкорингаДП!L816</f>
        <v>46.49</v>
      </c>
      <c r="F816" t="str">
        <f>ЛИК_дляСкорингаДП!N816</f>
        <v>45.31.1,45.40.1,46.13,46.14,46.15,46.16,46.18,46.18.1,46.19,46.22,46.24,46.35,46.41,46.41.2,46.42,46.43,46.44,46.45,46.46,46.46.2,46.61,46.63,46.66,46.69,46.73,46.74,46.76,46.77,46.90,47.19,47.52.5,47.74,47.91,47.91.2,52.10,52.29,77.29.9</v>
      </c>
      <c r="G816" s="25" t="str">
        <f>ЛИК_дляСкорингаДП!AG816</f>
        <v>УСН</v>
      </c>
      <c r="H816" s="55" t="str">
        <f>IF(ISNUMBER(E816),E816,
IFERROR(LEFT(E816,FIND(".",E816)-1),E816))</f>
        <v>46</v>
      </c>
      <c r="I816" s="30">
        <f>IF(COUNTIF(Справочник_ОКВЭД_НР!$A$3:$A$62,H816)&gt;0,Справочник_ОКВЭД_НР!$L$8,
 IF(COUNTIF(Справочник_ОКВЭД_НР!$C$3:$C$62,H816)&gt;0,Справочник_ОКВЭД_НР!$L$9,
  IF(COUNTIF(Справочник_ОКВЭД_НР!$E$3:$E$62,H816)&gt;0,Справочник_ОКВЭД_НР!$L$10,
   IF(COUNTIF(Справочник_ОКВЭД_НР!$G$3:$G$62,H816)&gt;0,Справочник_ОКВЭД_НР!$L$11,50))))</f>
        <v>60</v>
      </c>
      <c r="J816" s="30" cm="1">
        <f t="array" ref="J816">IFERROR(
 (SUMPRODUCT(ISNUMBER(SEARCH(","&amp;Справочник_ОКВЭД_НР!$A$3:$A$62&amp;".",","&amp;SUBSTITUTE(F816," ","")&amp;",")))*Справочник_ОКВЭД_НР!$L$9 +
  SUMPRODUCT(ISNUMBER(SEARCH(","&amp;Справочник_ОКВЭД_НР!$C$3:$C$62&amp;".",","&amp;SUBSTITUTE(F816," ","")&amp;",")))*Справочник_ОКВЭД_НР!$L$10 +
  SUMPRODUCT(ISNUMBER(SEARCH(","&amp;Справочник_ОКВЭД_НР!$E$3:$E$62&amp;".",","&amp;SUBSTITUTE(F816," ","")&amp;",")))*Справочник_ОКВЭД_НР!$L$11 +
  SUMPRODUCT(ISNUMBER(SEARCH(","&amp;Справочник_ОКВЭД_НР!$G$3:$G$62&amp;".",","&amp;SUBSTITUTE(F816," ","")&amp;",")))*Справочник_ОКВЭД_НР!$L$12) /
 (SUMPRODUCT(ISNUMBER(SEARCH(","&amp;Справочник_ОКВЭД_НР!$A$3:$A$62&amp;".",","&amp;SUBSTITUTE(F816," ","")&amp;","))) +
  SUMPRODUCT(ISNUMBER(SEARCH(","&amp;Справочник_ОКВЭД_НР!$C$3:$C$62&amp;".",","&amp;SUBSTITUTE(F816," ","")&amp;","))) +
  SUMPRODUCT(ISNUMBER(SEARCH(","&amp;Справочник_ОКВЭД_НР!$E$3:$E$62&amp;".",","&amp;SUBSTITUTE(F816," ","")&amp;","))) +
  SUMPRODUCT(ISNUMBER(SEARCH(","&amp;Справочник_ОКВЭД_НР!$G$3:$G$62&amp;".",","&amp;SUBSTITUTE(F816," ","")&amp;",")))),
50)</f>
        <v>50</v>
      </c>
      <c r="K816" s="30">
        <f>IFERROR(VLOOKUP(G816,Справочник_ОКВЭД_НР!$O:$P,2,FALSE()),50)</f>
        <v>50</v>
      </c>
      <c r="L816" s="45">
        <f>(I816*Справочник_ОКВЭД_НР!$L$2+J816*Справочник_ОКВЭД_НР!$L$3+K816*Справочник_ОКВЭД_НР!$L$4)*M816</f>
        <v>56</v>
      </c>
      <c r="M816" s="47">
        <f>IF(COUNTIF(Справочник_ОКВЭД_НР!$G$3:$G$62,H816)&gt;0,0,1)</f>
        <v>1</v>
      </c>
    </row>
    <row r="817" spans="1:13" x14ac:dyDescent="0.25">
      <c r="A817" s="4">
        <f>ЛИК_дляСкорингаДП!A817</f>
        <v>1157746455019</v>
      </c>
      <c r="B817" s="4">
        <f>ЛИК_дляСкорингаДП!B817</f>
        <v>9705039363</v>
      </c>
      <c r="C817" s="4" t="str">
        <f>ЛИК_дляСкорингаДП!C817</f>
        <v>ООО "ЛЕОН С"</v>
      </c>
      <c r="D817" s="5" t="str">
        <f>ЛИК_дляСкорингаДП!M817</f>
        <v>Деятельность ресторанов и услуги по доставке продуктов питания</v>
      </c>
      <c r="E817" s="4" t="str">
        <f>ЛИК_дляСкорингаДП!L817</f>
        <v>56.10</v>
      </c>
      <c r="F817" t="str">
        <f>ЛИК_дляСкорингаДП!N817</f>
        <v>09.10,10.32,10.52,10.71,10.85,10.89,10.89.2,10.89.9,11.05,41.20,43.11,43.12.3,43.13,43.21,43.22,43.29,43.31,43.32,43.33,43.34,43.39,43.91,43.99,43.99.1,46.34,47.11,47.19,47.25,47.25.1,47.25.12,47.29,56.10.1,56.29,71.1,71.12.5,71.12.6</v>
      </c>
      <c r="G817" s="25" t="str">
        <f>ЛИК_дляСкорингаДП!AG817</f>
        <v>УСН</v>
      </c>
      <c r="H817" s="55" t="str">
        <f>IF(ISNUMBER(E817),E817,
IFERROR(LEFT(E817,FIND(".",E817)-1),E817))</f>
        <v>56</v>
      </c>
      <c r="I817" s="30">
        <f>IF(COUNTIF(Справочник_ОКВЭД_НР!$A$3:$A$62,H817)&gt;0,Справочник_ОКВЭД_НР!$L$8,
 IF(COUNTIF(Справочник_ОКВЭД_НР!$C$3:$C$62,H817)&gt;0,Справочник_ОКВЭД_НР!$L$9,
  IF(COUNTIF(Справочник_ОКВЭД_НР!$E$3:$E$62,H817)&gt;0,Справочник_ОКВЭД_НР!$L$10,
   IF(COUNTIF(Справочник_ОКВЭД_НР!$G$3:$G$62,H817)&gt;0,Справочник_ОКВЭД_НР!$L$11,50))))</f>
        <v>30</v>
      </c>
      <c r="J817" s="30" cm="1">
        <f t="array" ref="J817">IFERROR(
 (SUMPRODUCT(ISNUMBER(SEARCH(","&amp;Справочник_ОКВЭД_НР!$A$3:$A$62&amp;".",","&amp;SUBSTITUTE(F817," ","")&amp;",")))*Справочник_ОКВЭД_НР!$L$9 +
  SUMPRODUCT(ISNUMBER(SEARCH(","&amp;Справочник_ОКВЭД_НР!$C$3:$C$62&amp;".",","&amp;SUBSTITUTE(F817," ","")&amp;",")))*Справочник_ОКВЭД_НР!$L$10 +
  SUMPRODUCT(ISNUMBER(SEARCH(","&amp;Справочник_ОКВЭД_НР!$E$3:$E$62&amp;".",","&amp;SUBSTITUTE(F817," ","")&amp;",")))*Справочник_ОКВЭД_НР!$L$11 +
  SUMPRODUCT(ISNUMBER(SEARCH(","&amp;Справочник_ОКВЭД_НР!$G$3:$G$62&amp;".",","&amp;SUBSTITUTE(F817," ","")&amp;",")))*Справочник_ОКВЭД_НР!$L$12) /
 (SUMPRODUCT(ISNUMBER(SEARCH(","&amp;Справочник_ОКВЭД_НР!$A$3:$A$62&amp;".",","&amp;SUBSTITUTE(F817," ","")&amp;","))) +
  SUMPRODUCT(ISNUMBER(SEARCH(","&amp;Справочник_ОКВЭД_НР!$C$3:$C$62&amp;".",","&amp;SUBSTITUTE(F817," ","")&amp;","))) +
  SUMPRODUCT(ISNUMBER(SEARCH(","&amp;Справочник_ОКВЭД_НР!$E$3:$E$62&amp;".",","&amp;SUBSTITUTE(F817," ","")&amp;","))) +
  SUMPRODUCT(ISNUMBER(SEARCH(","&amp;Справочник_ОКВЭД_НР!$G$3:$G$62&amp;".",","&amp;SUBSTITUTE(F817," ","")&amp;",")))),
50)</f>
        <v>50</v>
      </c>
      <c r="K817" s="30">
        <f>IFERROR(VLOOKUP(G817,Справочник_ОКВЭД_НР!$O:$P,2,FALSE()),50)</f>
        <v>50</v>
      </c>
      <c r="L817" s="45">
        <f>(I817*Справочник_ОКВЭД_НР!$L$2+J817*Справочник_ОКВЭД_НР!$L$3+K817*Справочник_ОКВЭД_НР!$L$4)*M817</f>
        <v>38</v>
      </c>
      <c r="M817" s="47">
        <f>IF(COUNTIF(Справочник_ОКВЭД_НР!$G$3:$G$62,H817)&gt;0,0,1)</f>
        <v>1</v>
      </c>
    </row>
    <row r="818" spans="1:13" x14ac:dyDescent="0.25">
      <c r="A818" s="4">
        <f>ЛИК_дляСкорингаДП!A818</f>
        <v>5147746372736</v>
      </c>
      <c r="B818" s="4">
        <f>ЛИК_дляСкорингаДП!B818</f>
        <v>7718308757</v>
      </c>
      <c r="C818" s="4" t="str">
        <f>ЛИК_дляСкорингаДП!C818</f>
        <v>ООО "ОИК СОКОЛЬНИКИ"</v>
      </c>
      <c r="D818" s="5" t="str">
        <f>ЛИК_дляСкорингаДП!M818</f>
        <v>Деятельность по комплексному обслуживанию помещений</v>
      </c>
      <c r="E818" s="4" t="str">
        <f>ЛИК_дляСкорингаДП!L818</f>
        <v>81.10</v>
      </c>
      <c r="F818" t="str">
        <f>ЛИК_дляСкорингаДП!N818</f>
        <v>35.30.4,35.30.5,68.10.1,68.20.1,68.20.2,68.31,68.31.1,68.31.2,68.31.3,68.31.4,68.31.5,68.32.1,68.32.2</v>
      </c>
      <c r="G818" s="25" t="str">
        <f>ЛИК_дляСкорингаДП!AG818</f>
        <v>УСН</v>
      </c>
      <c r="H818" s="55" t="str">
        <f>IF(ISNUMBER(E818),E818,
IFERROR(LEFT(E818,FIND(".",E818)-1),E818))</f>
        <v>81</v>
      </c>
      <c r="I818" s="30">
        <f>IF(COUNTIF(Справочник_ОКВЭД_НР!$A$3:$A$62,H818)&gt;0,Справочник_ОКВЭД_НР!$L$8,
 IF(COUNTIF(Справочник_ОКВЭД_НР!$C$3:$C$62,H818)&gt;0,Справочник_ОКВЭД_НР!$L$9,
  IF(COUNTIF(Справочник_ОКВЭД_НР!$E$3:$E$62,H818)&gt;0,Справочник_ОКВЭД_НР!$L$10,
   IF(COUNTIF(Справочник_ОКВЭД_НР!$G$3:$G$62,H818)&gt;0,Справочник_ОКВЭД_НР!$L$11,50))))</f>
        <v>30</v>
      </c>
      <c r="J818" s="30" cm="1">
        <f t="array" ref="J818">IFERROR(
 (SUMPRODUCT(ISNUMBER(SEARCH(","&amp;Справочник_ОКВЭД_НР!$A$3:$A$62&amp;".",","&amp;SUBSTITUTE(F818," ","")&amp;",")))*Справочник_ОКВЭД_НР!$L$9 +
  SUMPRODUCT(ISNUMBER(SEARCH(","&amp;Справочник_ОКВЭД_НР!$C$3:$C$62&amp;".",","&amp;SUBSTITUTE(F818," ","")&amp;",")))*Справочник_ОКВЭД_НР!$L$10 +
  SUMPRODUCT(ISNUMBER(SEARCH(","&amp;Справочник_ОКВЭД_НР!$E$3:$E$62&amp;".",","&amp;SUBSTITUTE(F818," ","")&amp;",")))*Справочник_ОКВЭД_НР!$L$11 +
  SUMPRODUCT(ISNUMBER(SEARCH(","&amp;Справочник_ОКВЭД_НР!$G$3:$G$62&amp;".",","&amp;SUBSTITUTE(F818," ","")&amp;",")))*Справочник_ОКВЭД_НР!$L$12) /
 (SUMPRODUCT(ISNUMBER(SEARCH(","&amp;Справочник_ОКВЭД_НР!$A$3:$A$62&amp;".",","&amp;SUBSTITUTE(F818," ","")&amp;","))) +
  SUMPRODUCT(ISNUMBER(SEARCH(","&amp;Справочник_ОКВЭД_НР!$C$3:$C$62&amp;".",","&amp;SUBSTITUTE(F818," ","")&amp;","))) +
  SUMPRODUCT(ISNUMBER(SEARCH(","&amp;Справочник_ОКВЭД_НР!$E$3:$E$62&amp;".",","&amp;SUBSTITUTE(F818," ","")&amp;","))) +
  SUMPRODUCT(ISNUMBER(SEARCH(","&amp;Справочник_ОКВЭД_НР!$G$3:$G$62&amp;".",","&amp;SUBSTITUTE(F818," ","")&amp;",")))),
50)</f>
        <v>50</v>
      </c>
      <c r="K818" s="30">
        <f>IFERROR(VLOOKUP(G818,Справочник_ОКВЭД_НР!$O:$P,2,FALSE()),50)</f>
        <v>50</v>
      </c>
      <c r="L818" s="45">
        <f>(I818*Справочник_ОКВЭД_НР!$L$2+J818*Справочник_ОКВЭД_НР!$L$3+K818*Справочник_ОКВЭД_НР!$L$4)*M818</f>
        <v>38</v>
      </c>
      <c r="M818" s="47">
        <f>IF(COUNTIF(Справочник_ОКВЭД_НР!$G$3:$G$62,H818)&gt;0,0,1)</f>
        <v>1</v>
      </c>
    </row>
    <row r="819" spans="1:13" x14ac:dyDescent="0.25">
      <c r="A819" s="4">
        <f>ЛИК_дляСкорингаДП!A819</f>
        <v>1167746626805</v>
      </c>
      <c r="B819" s="4">
        <f>ЛИК_дляСкорингаДП!B819</f>
        <v>7709496487</v>
      </c>
      <c r="C819" s="4" t="str">
        <f>ЛИК_дляСкорингаДП!C819</f>
        <v>ООО "ЭЛЬФ-1"</v>
      </c>
      <c r="D819" s="5" t="str">
        <f>ЛИК_дляСкорингаДП!M819</f>
        <v>Деятельность ресторанов и услуги по доставке продуктов питания</v>
      </c>
      <c r="E819" s="4" t="str">
        <f>ЛИК_дляСкорингаДП!L819</f>
        <v>56.10</v>
      </c>
      <c r="F819" t="str">
        <f>ЛИК_дляСкорингаДП!N819</f>
        <v>47.25.11,47.26,56.10.1,56.10.3,56.30,68.20.2</v>
      </c>
      <c r="G819" s="25" t="str">
        <f>ЛИК_дляСкорингаДП!AG819</f>
        <v>УСН</v>
      </c>
      <c r="H819" s="55" t="str">
        <f>IF(ISNUMBER(E819),E819,
IFERROR(LEFT(E819,FIND(".",E819)-1),E819))</f>
        <v>56</v>
      </c>
      <c r="I819" s="30">
        <f>IF(COUNTIF(Справочник_ОКВЭД_НР!$A$3:$A$62,H819)&gt;0,Справочник_ОКВЭД_НР!$L$8,
 IF(COUNTIF(Справочник_ОКВЭД_НР!$C$3:$C$62,H819)&gt;0,Справочник_ОКВЭД_НР!$L$9,
  IF(COUNTIF(Справочник_ОКВЭД_НР!$E$3:$E$62,H819)&gt;0,Справочник_ОКВЭД_НР!$L$10,
   IF(COUNTIF(Справочник_ОКВЭД_НР!$G$3:$G$62,H819)&gt;0,Справочник_ОКВЭД_НР!$L$11,50))))</f>
        <v>30</v>
      </c>
      <c r="J819" s="30" cm="1">
        <f t="array" ref="J819">IFERROR(
 (SUMPRODUCT(ISNUMBER(SEARCH(","&amp;Справочник_ОКВЭД_НР!$A$3:$A$62&amp;".",","&amp;SUBSTITUTE(F819," ","")&amp;",")))*Справочник_ОКВЭД_НР!$L$9 +
  SUMPRODUCT(ISNUMBER(SEARCH(","&amp;Справочник_ОКВЭД_НР!$C$3:$C$62&amp;".",","&amp;SUBSTITUTE(F819," ","")&amp;",")))*Справочник_ОКВЭД_НР!$L$10 +
  SUMPRODUCT(ISNUMBER(SEARCH(","&amp;Справочник_ОКВЭД_НР!$E$3:$E$62&amp;".",","&amp;SUBSTITUTE(F819," ","")&amp;",")))*Справочник_ОКВЭД_НР!$L$11 +
  SUMPRODUCT(ISNUMBER(SEARCH(","&amp;Справочник_ОКВЭД_НР!$G$3:$G$62&amp;".",","&amp;SUBSTITUTE(F819," ","")&amp;",")))*Справочник_ОКВЭД_НР!$L$12) /
 (SUMPRODUCT(ISNUMBER(SEARCH(","&amp;Справочник_ОКВЭД_НР!$A$3:$A$62&amp;".",","&amp;SUBSTITUTE(F819," ","")&amp;","))) +
  SUMPRODUCT(ISNUMBER(SEARCH(","&amp;Справочник_ОКВЭД_НР!$C$3:$C$62&amp;".",","&amp;SUBSTITUTE(F819," ","")&amp;","))) +
  SUMPRODUCT(ISNUMBER(SEARCH(","&amp;Справочник_ОКВЭД_НР!$E$3:$E$62&amp;".",","&amp;SUBSTITUTE(F819," ","")&amp;","))) +
  SUMPRODUCT(ISNUMBER(SEARCH(","&amp;Справочник_ОКВЭД_НР!$G$3:$G$62&amp;".",","&amp;SUBSTITUTE(F819," ","")&amp;",")))),
50)</f>
        <v>50</v>
      </c>
      <c r="K819" s="30">
        <f>IFERROR(VLOOKUP(G819,Справочник_ОКВЭД_НР!$O:$P,2,FALSE()),50)</f>
        <v>50</v>
      </c>
      <c r="L819" s="45">
        <f>(I819*Справочник_ОКВЭД_НР!$L$2+J819*Справочник_ОКВЭД_НР!$L$3+K819*Справочник_ОКВЭД_НР!$L$4)*M819</f>
        <v>38</v>
      </c>
      <c r="M819" s="47">
        <f>IF(COUNTIF(Справочник_ОКВЭД_НР!$G$3:$G$62,H819)&gt;0,0,1)</f>
        <v>1</v>
      </c>
    </row>
    <row r="820" spans="1:13" x14ac:dyDescent="0.25">
      <c r="A820" s="4">
        <f>ЛИК_дляСкорингаДП!A820</f>
        <v>1157746465667</v>
      </c>
      <c r="B820" s="4">
        <f>ЛИК_дляСкорингаДП!B820</f>
        <v>7727176391</v>
      </c>
      <c r="C820" s="4" t="str">
        <f>ЛИК_дляСкорингаДП!C820</f>
        <v>ООО "БКГ"</v>
      </c>
      <c r="D820" s="5" t="str">
        <f>ЛИК_дляСкорингаДП!M820</f>
        <v>Консультирование по вопросам коммерческой деятельности и управления</v>
      </c>
      <c r="E820" s="4" t="str">
        <f>ЛИК_дляСкорингаДП!L820</f>
        <v>70.22</v>
      </c>
      <c r="F820" t="str">
        <f>ЛИК_дляСкорингаДП!N820</f>
        <v>18.12,18.13,18.14,18.20,53.10.4,53.10.9,53.20.1,53.20.3,56.10,56.10.1,56.10.3,59.11,59.13,59.14,60.10,60.20,61.10,61.10.1,61.10.4,61.10.9,62.01,62.02,62.09,63.11,63.11.1,63.91,64.19,64.20,64.91,64.92.3,64.99,64.99.11,64.99.3,66.19,66.19.1,66.19.4,68.31.1,68.31.2,68.31.3,68.31.4,68.32,69.10,69.20,69.20.1,69.20.2,69.20.3,70.10.1,70.10.2,70.21,72.11,72.19,72.19.9,72.20,72.20.1,72.20.2,73.11,73.12,73.20,73.20.1,73.20.2,74.30,82.19,82.92,82.99,84.11,84.11.4,84.11.5,84.11.6,84.11.8,84.13,85.41,85.42.9,90.03,93.29,93.29.9,95.11</v>
      </c>
      <c r="G820" s="25" t="str">
        <f>ЛИК_дляСкорингаДП!AG820</f>
        <v>УСН</v>
      </c>
      <c r="H820" s="55" t="str">
        <f>IF(ISNUMBER(E820),E820,
IFERROR(LEFT(E820,FIND(".",E820)-1),E820))</f>
        <v>70</v>
      </c>
      <c r="I820" s="30">
        <f>IF(COUNTIF(Справочник_ОКВЭД_НР!$A$3:$A$62,H820)&gt;0,Справочник_ОКВЭД_НР!$L$8,
 IF(COUNTIF(Справочник_ОКВЭД_НР!$C$3:$C$62,H820)&gt;0,Справочник_ОКВЭД_НР!$L$9,
  IF(COUNTIF(Справочник_ОКВЭД_НР!$E$3:$E$62,H820)&gt;0,Справочник_ОКВЭД_НР!$L$10,
   IF(COUNTIF(Справочник_ОКВЭД_НР!$G$3:$G$62,H820)&gt;0,Справочник_ОКВЭД_НР!$L$11,50))))</f>
        <v>60</v>
      </c>
      <c r="J820" s="30" cm="1">
        <f t="array" ref="J820">IFERROR(
 (SUMPRODUCT(ISNUMBER(SEARCH(","&amp;Справочник_ОКВЭД_НР!$A$3:$A$62&amp;".",","&amp;SUBSTITUTE(F820," ","")&amp;",")))*Справочник_ОКВЭД_НР!$L$9 +
  SUMPRODUCT(ISNUMBER(SEARCH(","&amp;Справочник_ОКВЭД_НР!$C$3:$C$62&amp;".",","&amp;SUBSTITUTE(F820," ","")&amp;",")))*Справочник_ОКВЭД_НР!$L$10 +
  SUMPRODUCT(ISNUMBER(SEARCH(","&amp;Справочник_ОКВЭД_НР!$E$3:$E$62&amp;".",","&amp;SUBSTITUTE(F820," ","")&amp;",")))*Справочник_ОКВЭД_НР!$L$11 +
  SUMPRODUCT(ISNUMBER(SEARCH(","&amp;Справочник_ОКВЭД_НР!$G$3:$G$62&amp;".",","&amp;SUBSTITUTE(F820," ","")&amp;",")))*Справочник_ОКВЭД_НР!$L$12) /
 (SUMPRODUCT(ISNUMBER(SEARCH(","&amp;Справочник_ОКВЭД_НР!$A$3:$A$62&amp;".",","&amp;SUBSTITUTE(F820," ","")&amp;","))) +
  SUMPRODUCT(ISNUMBER(SEARCH(","&amp;Справочник_ОКВЭД_НР!$C$3:$C$62&amp;".",","&amp;SUBSTITUTE(F820," ","")&amp;","))) +
  SUMPRODUCT(ISNUMBER(SEARCH(","&amp;Справочник_ОКВЭД_НР!$E$3:$E$62&amp;".",","&amp;SUBSTITUTE(F820," ","")&amp;","))) +
  SUMPRODUCT(ISNUMBER(SEARCH(","&amp;Справочник_ОКВЭД_НР!$G$3:$G$62&amp;".",","&amp;SUBSTITUTE(F820," ","")&amp;",")))),
50)</f>
        <v>50</v>
      </c>
      <c r="K820" s="30">
        <f>IFERROR(VLOOKUP(G820,Справочник_ОКВЭД_НР!$O:$P,2,FALSE()),50)</f>
        <v>50</v>
      </c>
      <c r="L820" s="45">
        <f>(I820*Справочник_ОКВЭД_НР!$L$2+J820*Справочник_ОКВЭД_НР!$L$3+K820*Справочник_ОКВЭД_НР!$L$4)*M820</f>
        <v>56</v>
      </c>
      <c r="M820" s="47">
        <f>IF(COUNTIF(Справочник_ОКВЭД_НР!$G$3:$G$62,H820)&gt;0,0,1)</f>
        <v>1</v>
      </c>
    </row>
    <row r="821" spans="1:13" x14ac:dyDescent="0.25">
      <c r="A821" s="4">
        <f>ЛИК_дляСкорингаДП!A821</f>
        <v>1157746517015</v>
      </c>
      <c r="B821" s="4">
        <f>ЛИК_дляСкорингаДП!B821</f>
        <v>7727183409</v>
      </c>
      <c r="C821" s="4" t="str">
        <f>ЛИК_дляСкорингаДП!C821</f>
        <v>ООО "ЗУБР"</v>
      </c>
      <c r="D821" s="5" t="str">
        <f>ЛИК_дляСкорингаДП!M821</f>
        <v>Стоматологическая практика</v>
      </c>
      <c r="E821" s="4" t="str">
        <f>ЛИК_дляСкорингаДП!L821</f>
        <v>86.23</v>
      </c>
      <c r="F821" t="str">
        <f>ЛИК_дляСкорингаДП!N821</f>
        <v>26.60.1,82.99,86.90.9</v>
      </c>
      <c r="G821" s="25" t="str">
        <f>ЛИК_дляСкорингаДП!AG821</f>
        <v>УСН</v>
      </c>
      <c r="H821" s="55" t="str">
        <f>IF(ISNUMBER(E821),E821,
IFERROR(LEFT(E821,FIND(".",E821)-1),E821))</f>
        <v>86</v>
      </c>
      <c r="I821" s="30">
        <f>IF(COUNTIF(Справочник_ОКВЭД_НР!$A$3:$A$62,H821)&gt;0,Справочник_ОКВЭД_НР!$L$8,
 IF(COUNTIF(Справочник_ОКВЭД_НР!$C$3:$C$62,H821)&gt;0,Справочник_ОКВЭД_НР!$L$9,
  IF(COUNTIF(Справочник_ОКВЭД_НР!$E$3:$E$62,H821)&gt;0,Справочник_ОКВЭД_НР!$L$10,
   IF(COUNTIF(Справочник_ОКВЭД_НР!$G$3:$G$62,H821)&gt;0,Справочник_ОКВЭД_НР!$L$11,50))))</f>
        <v>100</v>
      </c>
      <c r="J821" s="30" cm="1">
        <f t="array" ref="J821">IFERROR(
 (SUMPRODUCT(ISNUMBER(SEARCH(","&amp;Справочник_ОКВЭД_НР!$A$3:$A$62&amp;".",","&amp;SUBSTITUTE(F821," ","")&amp;",")))*Справочник_ОКВЭД_НР!$L$9 +
  SUMPRODUCT(ISNUMBER(SEARCH(","&amp;Справочник_ОКВЭД_НР!$C$3:$C$62&amp;".",","&amp;SUBSTITUTE(F821," ","")&amp;",")))*Справочник_ОКВЭД_НР!$L$10 +
  SUMPRODUCT(ISNUMBER(SEARCH(","&amp;Справочник_ОКВЭД_НР!$E$3:$E$62&amp;".",","&amp;SUBSTITUTE(F821," ","")&amp;",")))*Справочник_ОКВЭД_НР!$L$11 +
  SUMPRODUCT(ISNUMBER(SEARCH(","&amp;Справочник_ОКВЭД_НР!$G$3:$G$62&amp;".",","&amp;SUBSTITUTE(F821," ","")&amp;",")))*Справочник_ОКВЭД_НР!$L$12) /
 (SUMPRODUCT(ISNUMBER(SEARCH(","&amp;Справочник_ОКВЭД_НР!$A$3:$A$62&amp;".",","&amp;SUBSTITUTE(F821," ","")&amp;","))) +
  SUMPRODUCT(ISNUMBER(SEARCH(","&amp;Справочник_ОКВЭД_НР!$C$3:$C$62&amp;".",","&amp;SUBSTITUTE(F821," ","")&amp;","))) +
  SUMPRODUCT(ISNUMBER(SEARCH(","&amp;Справочник_ОКВЭД_НР!$E$3:$E$62&amp;".",","&amp;SUBSTITUTE(F821," ","")&amp;","))) +
  SUMPRODUCT(ISNUMBER(SEARCH(","&amp;Справочник_ОКВЭД_НР!$G$3:$G$62&amp;".",","&amp;SUBSTITUTE(F821," ","")&amp;",")))),
50)</f>
        <v>50</v>
      </c>
      <c r="K821" s="30">
        <f>IFERROR(VLOOKUP(G821,Справочник_ОКВЭД_НР!$O:$P,2,FALSE()),50)</f>
        <v>50</v>
      </c>
      <c r="L821" s="45">
        <f>(I821*Справочник_ОКВЭД_НР!$L$2+J821*Справочник_ОКВЭД_НР!$L$3+K821*Справочник_ОКВЭД_НР!$L$4)*M821</f>
        <v>80</v>
      </c>
      <c r="M821" s="47">
        <f>IF(COUNTIF(Справочник_ОКВЭД_НР!$G$3:$G$62,H821)&gt;0,0,1)</f>
        <v>1</v>
      </c>
    </row>
    <row r="822" spans="1:13" x14ac:dyDescent="0.25">
      <c r="A822" s="4">
        <f>ЛИК_дляСкорингаДП!A822</f>
        <v>1167746094560</v>
      </c>
      <c r="B822" s="4">
        <f>ЛИК_дляСкорингаДП!B822</f>
        <v>7718295106</v>
      </c>
      <c r="C822" s="4" t="str">
        <f>ЛИК_дляСкорингаДП!C822</f>
        <v>ООО "ЕВРОРЕМОНТ"</v>
      </c>
      <c r="D822" s="5" t="str">
        <f>ЛИК_дляСкорингаДП!M822</f>
        <v>Строительство жилых и нежилых зданий</v>
      </c>
      <c r="E822" s="4" t="str">
        <f>ЛИК_дляСкорингаДП!L822</f>
        <v>41.20</v>
      </c>
      <c r="F822" t="str">
        <f>ЛИК_дляСкорингаДП!N822</f>
        <v>42.21,42.22.2,42.99,43.21,43.22,43.29,43.31,43.32,43.33,43.34,43.39,43.91,43.99,43.99.1,43.99.7,46.31,46.31.11,46.32,46.32.3,46.33,46.34,46.35,46.36,46.37,46.38,46.39,46.41,46.41.2,46.42,46.45,46.49,46.90,47.11,47.19,47.21,47.22,47.23,47.24,47.25,47.26,47.29,47.51,47.61,47.7,47.71,47.72,47.75,47.9,47.99,95.29</v>
      </c>
      <c r="G822" s="25" t="str">
        <f>ЛИК_дляСкорингаДП!AG822</f>
        <v>УСН</v>
      </c>
      <c r="H822" s="55" t="str">
        <f>IF(ISNUMBER(E822),E822,
IFERROR(LEFT(E822,FIND(".",E822)-1),E822))</f>
        <v>41</v>
      </c>
      <c r="I822" s="30">
        <f>IF(COUNTIF(Справочник_ОКВЭД_НР!$A$3:$A$62,H822)&gt;0,Справочник_ОКВЭД_НР!$L$8,
 IF(COUNTIF(Справочник_ОКВЭД_НР!$C$3:$C$62,H822)&gt;0,Справочник_ОКВЭД_НР!$L$9,
  IF(COUNTIF(Справочник_ОКВЭД_НР!$E$3:$E$62,H822)&gt;0,Справочник_ОКВЭД_НР!$L$10,
   IF(COUNTIF(Справочник_ОКВЭД_НР!$G$3:$G$62,H822)&gt;0,Справочник_ОКВЭД_НР!$L$11,50))))</f>
        <v>100</v>
      </c>
      <c r="J822" s="30" cm="1">
        <f t="array" ref="J822">IFERROR(
 (SUMPRODUCT(ISNUMBER(SEARCH(","&amp;Справочник_ОКВЭД_НР!$A$3:$A$62&amp;".",","&amp;SUBSTITUTE(F822," ","")&amp;",")))*Справочник_ОКВЭД_НР!$L$9 +
  SUMPRODUCT(ISNUMBER(SEARCH(","&amp;Справочник_ОКВЭД_НР!$C$3:$C$62&amp;".",","&amp;SUBSTITUTE(F822," ","")&amp;",")))*Справочник_ОКВЭД_НР!$L$10 +
  SUMPRODUCT(ISNUMBER(SEARCH(","&amp;Справочник_ОКВЭД_НР!$E$3:$E$62&amp;".",","&amp;SUBSTITUTE(F822," ","")&amp;",")))*Справочник_ОКВЭД_НР!$L$11 +
  SUMPRODUCT(ISNUMBER(SEARCH(","&amp;Справочник_ОКВЭД_НР!$G$3:$G$62&amp;".",","&amp;SUBSTITUTE(F822," ","")&amp;",")))*Справочник_ОКВЭД_НР!$L$12) /
 (SUMPRODUCT(ISNUMBER(SEARCH(","&amp;Справочник_ОКВЭД_НР!$A$3:$A$62&amp;".",","&amp;SUBSTITUTE(F822," ","")&amp;","))) +
  SUMPRODUCT(ISNUMBER(SEARCH(","&amp;Справочник_ОКВЭД_НР!$C$3:$C$62&amp;".",","&amp;SUBSTITUTE(F822," ","")&amp;","))) +
  SUMPRODUCT(ISNUMBER(SEARCH(","&amp;Справочник_ОКВЭД_НР!$E$3:$E$62&amp;".",","&amp;SUBSTITUTE(F822," ","")&amp;","))) +
  SUMPRODUCT(ISNUMBER(SEARCH(","&amp;Справочник_ОКВЭД_НР!$G$3:$G$62&amp;".",","&amp;SUBSTITUTE(F822," ","")&amp;",")))),
50)</f>
        <v>50</v>
      </c>
      <c r="K822" s="30">
        <f>IFERROR(VLOOKUP(G822,Справочник_ОКВЭД_НР!$O:$P,2,FALSE()),50)</f>
        <v>50</v>
      </c>
      <c r="L822" s="45">
        <f>(I822*Справочник_ОКВЭД_НР!$L$2+J822*Справочник_ОКВЭД_НР!$L$3+K822*Справочник_ОКВЭД_НР!$L$4)*M822</f>
        <v>80</v>
      </c>
      <c r="M822" s="47">
        <f>IF(COUNTIF(Справочник_ОКВЭД_НР!$G$3:$G$62,H822)&gt;0,0,1)</f>
        <v>1</v>
      </c>
    </row>
    <row r="823" spans="1:13" x14ac:dyDescent="0.25">
      <c r="A823" s="4">
        <f>ЛИК_дляСкорингаДП!A823</f>
        <v>1157746373080</v>
      </c>
      <c r="B823" s="4">
        <f>ЛИК_дляСкорингаДП!B823</f>
        <v>7733231770</v>
      </c>
      <c r="C823" s="4" t="str">
        <f>ЛИК_дляСкорингаДП!C823</f>
        <v>ООО "ОФЛОРЕС"</v>
      </c>
      <c r="D823" s="5" t="str">
        <f>ЛИК_дляСкорингаДП!M823</f>
        <v>Производство средств для ароматизации и дезодорирования воздуха и восков</v>
      </c>
      <c r="E823" s="4" t="str">
        <f>ЛИК_дляСкорингаДП!L823</f>
        <v>20.41.4</v>
      </c>
      <c r="F823" t="str">
        <f>ЛИК_дляСкорингаДП!N823</f>
        <v>46.49,46.75,46.90,47.76.1,47.78,47.78.3,47.78.4,47.9,53.20.3,81.22,81.29.9</v>
      </c>
      <c r="G823" s="25" t="str">
        <f>ЛИК_дляСкорингаДП!AG823</f>
        <v>УСН</v>
      </c>
      <c r="H823" s="55" t="str">
        <f>IF(ISNUMBER(E823),E823,
IFERROR(LEFT(E823,FIND(".",E823)-1),E823))</f>
        <v>20</v>
      </c>
      <c r="I823" s="30">
        <f>IF(COUNTIF(Справочник_ОКВЭД_НР!$A$3:$A$62,H823)&gt;0,Справочник_ОКВЭД_НР!$L$8,
 IF(COUNTIF(Справочник_ОКВЭД_НР!$C$3:$C$62,H823)&gt;0,Справочник_ОКВЭД_НР!$L$9,
  IF(COUNTIF(Справочник_ОКВЭД_НР!$E$3:$E$62,H823)&gt;0,Справочник_ОКВЭД_НР!$L$10,
   IF(COUNTIF(Справочник_ОКВЭД_НР!$G$3:$G$62,H823)&gt;0,Справочник_ОКВЭД_НР!$L$11,50))))</f>
        <v>60</v>
      </c>
      <c r="J823" s="30" cm="1">
        <f t="array" ref="J823">IFERROR(
 (SUMPRODUCT(ISNUMBER(SEARCH(","&amp;Справочник_ОКВЭД_НР!$A$3:$A$62&amp;".",","&amp;SUBSTITUTE(F823," ","")&amp;",")))*Справочник_ОКВЭД_НР!$L$9 +
  SUMPRODUCT(ISNUMBER(SEARCH(","&amp;Справочник_ОКВЭД_НР!$C$3:$C$62&amp;".",","&amp;SUBSTITUTE(F823," ","")&amp;",")))*Справочник_ОКВЭД_НР!$L$10 +
  SUMPRODUCT(ISNUMBER(SEARCH(","&amp;Справочник_ОКВЭД_НР!$E$3:$E$62&amp;".",","&amp;SUBSTITUTE(F823," ","")&amp;",")))*Справочник_ОКВЭД_НР!$L$11 +
  SUMPRODUCT(ISNUMBER(SEARCH(","&amp;Справочник_ОКВЭД_НР!$G$3:$G$62&amp;".",","&amp;SUBSTITUTE(F823," ","")&amp;",")))*Справочник_ОКВЭД_НР!$L$12) /
 (SUMPRODUCT(ISNUMBER(SEARCH(","&amp;Справочник_ОКВЭД_НР!$A$3:$A$62&amp;".",","&amp;SUBSTITUTE(F823," ","")&amp;","))) +
  SUMPRODUCT(ISNUMBER(SEARCH(","&amp;Справочник_ОКВЭД_НР!$C$3:$C$62&amp;".",","&amp;SUBSTITUTE(F823," ","")&amp;","))) +
  SUMPRODUCT(ISNUMBER(SEARCH(","&amp;Справочник_ОКВЭД_НР!$E$3:$E$62&amp;".",","&amp;SUBSTITUTE(F823," ","")&amp;","))) +
  SUMPRODUCT(ISNUMBER(SEARCH(","&amp;Справочник_ОКВЭД_НР!$G$3:$G$62&amp;".",","&amp;SUBSTITUTE(F823," ","")&amp;",")))),
50)</f>
        <v>50</v>
      </c>
      <c r="K823" s="30">
        <f>IFERROR(VLOOKUP(G823,Справочник_ОКВЭД_НР!$O:$P,2,FALSE()),50)</f>
        <v>50</v>
      </c>
      <c r="L823" s="45">
        <f>(I823*Справочник_ОКВЭД_НР!$L$2+J823*Справочник_ОКВЭД_НР!$L$3+K823*Справочник_ОКВЭД_НР!$L$4)*M823</f>
        <v>56</v>
      </c>
      <c r="M823" s="47">
        <f>IF(COUNTIF(Справочник_ОКВЭД_НР!$G$3:$G$62,H823)&gt;0,0,1)</f>
        <v>1</v>
      </c>
    </row>
    <row r="824" spans="1:13" x14ac:dyDescent="0.25">
      <c r="A824" s="4">
        <f>ЛИК_дляСкорингаДП!A824</f>
        <v>1157746411800</v>
      </c>
      <c r="B824" s="4">
        <f>ЛИК_дляСкорингаДП!B824</f>
        <v>7704315514</v>
      </c>
      <c r="C824" s="4" t="str">
        <f>ЛИК_дляСкорингаДП!C824</f>
        <v>ООО "ВТМ"</v>
      </c>
      <c r="D824" s="5" t="str">
        <f>ЛИК_дляСкорингаДП!M824</f>
        <v>Ремонт машин и оборудования</v>
      </c>
      <c r="E824" s="4" t="str">
        <f>ЛИК_дляСкорингаДП!L824</f>
        <v>33.12</v>
      </c>
      <c r="F824" t="str">
        <f>ЛИК_дляСкорингаДП!N824</f>
        <v>23.61,23.69,25.11,28.22,28.22.6,41.20,43.21,43.29,43.39,43.99,43.99.1,43.99.2,43.99.5,71.1,71.11,71.11.1,71.12,71.12.11,71.12.12,71.12.13,71.12.45,71.12.5,71.12.6,71.20.62,85.30,85.42</v>
      </c>
      <c r="G824" s="25" t="str">
        <f>ЛИК_дляСкорингаДП!AG824</f>
        <v>УСН</v>
      </c>
      <c r="H824" s="55" t="str">
        <f>IF(ISNUMBER(E824),E824,
IFERROR(LEFT(E824,FIND(".",E824)-1),E824))</f>
        <v>33</v>
      </c>
      <c r="I824" s="30">
        <f>IF(COUNTIF(Справочник_ОКВЭД_НР!$A$3:$A$62,H824)&gt;0,Справочник_ОКВЭД_НР!$L$8,
 IF(COUNTIF(Справочник_ОКВЭД_НР!$C$3:$C$62,H824)&gt;0,Справочник_ОКВЭД_НР!$L$9,
  IF(COUNTIF(Справочник_ОКВЭД_НР!$E$3:$E$62,H824)&gt;0,Справочник_ОКВЭД_НР!$L$10,
   IF(COUNTIF(Справочник_ОКВЭД_НР!$G$3:$G$62,H824)&gt;0,Справочник_ОКВЭД_НР!$L$11,50))))</f>
        <v>60</v>
      </c>
      <c r="J824" s="30" cm="1">
        <f t="array" ref="J824">IFERROR(
 (SUMPRODUCT(ISNUMBER(SEARCH(","&amp;Справочник_ОКВЭД_НР!$A$3:$A$62&amp;".",","&amp;SUBSTITUTE(F824," ","")&amp;",")))*Справочник_ОКВЭД_НР!$L$9 +
  SUMPRODUCT(ISNUMBER(SEARCH(","&amp;Справочник_ОКВЭД_НР!$C$3:$C$62&amp;".",","&amp;SUBSTITUTE(F824," ","")&amp;",")))*Справочник_ОКВЭД_НР!$L$10 +
  SUMPRODUCT(ISNUMBER(SEARCH(","&amp;Справочник_ОКВЭД_НР!$E$3:$E$62&amp;".",","&amp;SUBSTITUTE(F824," ","")&amp;",")))*Справочник_ОКВЭД_НР!$L$11 +
  SUMPRODUCT(ISNUMBER(SEARCH(","&amp;Справочник_ОКВЭД_НР!$G$3:$G$62&amp;".",","&amp;SUBSTITUTE(F824," ","")&amp;",")))*Справочник_ОКВЭД_НР!$L$12) /
 (SUMPRODUCT(ISNUMBER(SEARCH(","&amp;Справочник_ОКВЭД_НР!$A$3:$A$62&amp;".",","&amp;SUBSTITUTE(F824," ","")&amp;","))) +
  SUMPRODUCT(ISNUMBER(SEARCH(","&amp;Справочник_ОКВЭД_НР!$C$3:$C$62&amp;".",","&amp;SUBSTITUTE(F824," ","")&amp;","))) +
  SUMPRODUCT(ISNUMBER(SEARCH(","&amp;Справочник_ОКВЭД_НР!$E$3:$E$62&amp;".",","&amp;SUBSTITUTE(F824," ","")&amp;","))) +
  SUMPRODUCT(ISNUMBER(SEARCH(","&amp;Справочник_ОКВЭД_НР!$G$3:$G$62&amp;".",","&amp;SUBSTITUTE(F824," ","")&amp;",")))),
50)</f>
        <v>50</v>
      </c>
      <c r="K824" s="30">
        <f>IFERROR(VLOOKUP(G824,Справочник_ОКВЭД_НР!$O:$P,2,FALSE()),50)</f>
        <v>50</v>
      </c>
      <c r="L824" s="45">
        <f>(I824*Справочник_ОКВЭД_НР!$L$2+J824*Справочник_ОКВЭД_НР!$L$3+K824*Справочник_ОКВЭД_НР!$L$4)*M824</f>
        <v>56</v>
      </c>
      <c r="M824" s="47">
        <f>IF(COUNTIF(Справочник_ОКВЭД_НР!$G$3:$G$62,H824)&gt;0,0,1)</f>
        <v>1</v>
      </c>
    </row>
    <row r="825" spans="1:13" x14ac:dyDescent="0.25">
      <c r="A825" s="4">
        <f>ЛИК_дляСкорингаДП!A825</f>
        <v>1157746489405</v>
      </c>
      <c r="B825" s="4">
        <f>ЛИК_дляСкорингаДП!B825</f>
        <v>7723393412</v>
      </c>
      <c r="C825" s="4" t="str">
        <f>ЛИК_дляСкорингаДП!C825</f>
        <v>ООО "КОМПАНИЯ ЩУКИН"</v>
      </c>
      <c r="D825" s="5" t="str">
        <f>ЛИК_дляСкорингаДП!M825</f>
        <v>Производство прочей мебели</v>
      </c>
      <c r="E825" s="4" t="str">
        <f>ЛИК_дляСкорингаДП!L825</f>
        <v>31.09</v>
      </c>
      <c r="F825" t="str">
        <f>ЛИК_дляСкорингаДП!N825</f>
        <v>13.92,13.92.2,31.01,31.02,31.02.2,31.09.2,43.21,43.22,43.29,43.31,43.32,43.32.1,43.32.3,43.33,43.34.1,43.39,46.73.4,71.11,71.11.1,71.11.2,71.11.3,74.10,95.24,95.24.1</v>
      </c>
      <c r="G825" s="25" t="str">
        <f>ЛИК_дляСкорингаДП!AG825</f>
        <v>УСН</v>
      </c>
      <c r="H825" s="55" t="str">
        <f>IF(ISNUMBER(E825),E825,
IFERROR(LEFT(E825,FIND(".",E825)-1),E825))</f>
        <v>31</v>
      </c>
      <c r="I825" s="30">
        <f>IF(COUNTIF(Справочник_ОКВЭД_НР!$A$3:$A$62,H825)&gt;0,Справочник_ОКВЭД_НР!$L$8,
 IF(COUNTIF(Справочник_ОКВЭД_НР!$C$3:$C$62,H825)&gt;0,Справочник_ОКВЭД_НР!$L$9,
  IF(COUNTIF(Справочник_ОКВЭД_НР!$E$3:$E$62,H825)&gt;0,Справочник_ОКВЭД_НР!$L$10,
   IF(COUNTIF(Справочник_ОКВЭД_НР!$G$3:$G$62,H825)&gt;0,Справочник_ОКВЭД_НР!$L$11,50))))</f>
        <v>30</v>
      </c>
      <c r="J825" s="30" cm="1">
        <f t="array" ref="J825">IFERROR(
 (SUMPRODUCT(ISNUMBER(SEARCH(","&amp;Справочник_ОКВЭД_НР!$A$3:$A$62&amp;".",","&amp;SUBSTITUTE(F825," ","")&amp;",")))*Справочник_ОКВЭД_НР!$L$9 +
  SUMPRODUCT(ISNUMBER(SEARCH(","&amp;Справочник_ОКВЭД_НР!$C$3:$C$62&amp;".",","&amp;SUBSTITUTE(F825," ","")&amp;",")))*Справочник_ОКВЭД_НР!$L$10 +
  SUMPRODUCT(ISNUMBER(SEARCH(","&amp;Справочник_ОКВЭД_НР!$E$3:$E$62&amp;".",","&amp;SUBSTITUTE(F825," ","")&amp;",")))*Справочник_ОКВЭД_НР!$L$11 +
  SUMPRODUCT(ISNUMBER(SEARCH(","&amp;Справочник_ОКВЭД_НР!$G$3:$G$62&amp;".",","&amp;SUBSTITUTE(F825," ","")&amp;",")))*Справочник_ОКВЭД_НР!$L$12) /
 (SUMPRODUCT(ISNUMBER(SEARCH(","&amp;Справочник_ОКВЭД_НР!$A$3:$A$62&amp;".",","&amp;SUBSTITUTE(F825," ","")&amp;","))) +
  SUMPRODUCT(ISNUMBER(SEARCH(","&amp;Справочник_ОКВЭД_НР!$C$3:$C$62&amp;".",","&amp;SUBSTITUTE(F825," ","")&amp;","))) +
  SUMPRODUCT(ISNUMBER(SEARCH(","&amp;Справочник_ОКВЭД_НР!$E$3:$E$62&amp;".",","&amp;SUBSTITUTE(F825," ","")&amp;","))) +
  SUMPRODUCT(ISNUMBER(SEARCH(","&amp;Справочник_ОКВЭД_НР!$G$3:$G$62&amp;".",","&amp;SUBSTITUTE(F825," ","")&amp;",")))),
50)</f>
        <v>50</v>
      </c>
      <c r="K825" s="30">
        <f>IFERROR(VLOOKUP(G825,Справочник_ОКВЭД_НР!$O:$P,2,FALSE()),50)</f>
        <v>50</v>
      </c>
      <c r="L825" s="45">
        <f>(I825*Справочник_ОКВЭД_НР!$L$2+J825*Справочник_ОКВЭД_НР!$L$3+K825*Справочник_ОКВЭД_НР!$L$4)*M825</f>
        <v>38</v>
      </c>
      <c r="M825" s="47">
        <f>IF(COUNTIF(Справочник_ОКВЭД_НР!$G$3:$G$62,H825)&gt;0,0,1)</f>
        <v>1</v>
      </c>
    </row>
    <row r="826" spans="1:13" x14ac:dyDescent="0.25">
      <c r="A826" s="4">
        <f>ЛИК_дляСкорингаДП!A826</f>
        <v>1157746341280</v>
      </c>
      <c r="B826" s="4">
        <f>ЛИК_дляСкорингаДП!B826</f>
        <v>7723387049</v>
      </c>
      <c r="C826" s="4" t="str">
        <f>ЛИК_дляСкорингаДП!C826</f>
        <v>ООО "АВК-РЕМСТРОЙ"</v>
      </c>
      <c r="D826" s="5" t="str">
        <f>ЛИК_дляСкорингаДП!M826</f>
        <v>Строительство жилых и нежилых зданий</v>
      </c>
      <c r="E826" s="4" t="str">
        <f>ЛИК_дляСкорингаДП!L826</f>
        <v>41.20</v>
      </c>
      <c r="F826" t="str">
        <f>ЛИК_дляСкорингаДП!N826</f>
        <v>42.11,42.21,42.91,42.99,43.11,43.12.3,43.21,43.22,43.29,43.31,43.32,43.33,43.34,43.39,43.91,43.99,43.99.1,43.99.2,43.99.3,43.99.4,43.99.5,43.99.6,43.99.7,43.99.9,46.73,46.74,46.90,71.11,71.11.1,71.11.2,71.11.3,71.12,71.12.1,71.12.11,71.12.12,71.12.13,71.12.14,71.12.2,71.12.3,71.12.4,71.12.41,71.12.42,71.12.43,71.12.44,71.12.45,71.12.52,71.20,71.20.1,71.20.3,71.20.4,71.20.6,71.20.61,71.20.62,71.20.9,74.10,77.32,81.22,81.29.9,82.99</v>
      </c>
      <c r="G826" s="25" t="str">
        <f>ЛИК_дляСкорингаДП!AG826</f>
        <v>УСН</v>
      </c>
      <c r="H826" s="55" t="str">
        <f>IF(ISNUMBER(E826),E826,
IFERROR(LEFT(E826,FIND(".",E826)-1),E826))</f>
        <v>41</v>
      </c>
      <c r="I826" s="30">
        <f>IF(COUNTIF(Справочник_ОКВЭД_НР!$A$3:$A$62,H826)&gt;0,Справочник_ОКВЭД_НР!$L$8,
 IF(COUNTIF(Справочник_ОКВЭД_НР!$C$3:$C$62,H826)&gt;0,Справочник_ОКВЭД_НР!$L$9,
  IF(COUNTIF(Справочник_ОКВЭД_НР!$E$3:$E$62,H826)&gt;0,Справочник_ОКВЭД_НР!$L$10,
   IF(COUNTIF(Справочник_ОКВЭД_НР!$G$3:$G$62,H826)&gt;0,Справочник_ОКВЭД_НР!$L$11,50))))</f>
        <v>100</v>
      </c>
      <c r="J826" s="30" cm="1">
        <f t="array" ref="J826">IFERROR(
 (SUMPRODUCT(ISNUMBER(SEARCH(","&amp;Справочник_ОКВЭД_НР!$A$3:$A$62&amp;".",","&amp;SUBSTITUTE(F826," ","")&amp;",")))*Справочник_ОКВЭД_НР!$L$9 +
  SUMPRODUCT(ISNUMBER(SEARCH(","&amp;Справочник_ОКВЭД_НР!$C$3:$C$62&amp;".",","&amp;SUBSTITUTE(F826," ","")&amp;",")))*Справочник_ОКВЭД_НР!$L$10 +
  SUMPRODUCT(ISNUMBER(SEARCH(","&amp;Справочник_ОКВЭД_НР!$E$3:$E$62&amp;".",","&amp;SUBSTITUTE(F826," ","")&amp;",")))*Справочник_ОКВЭД_НР!$L$11 +
  SUMPRODUCT(ISNUMBER(SEARCH(","&amp;Справочник_ОКВЭД_НР!$G$3:$G$62&amp;".",","&amp;SUBSTITUTE(F826," ","")&amp;",")))*Справочник_ОКВЭД_НР!$L$12) /
 (SUMPRODUCT(ISNUMBER(SEARCH(","&amp;Справочник_ОКВЭД_НР!$A$3:$A$62&amp;".",","&amp;SUBSTITUTE(F826," ","")&amp;","))) +
  SUMPRODUCT(ISNUMBER(SEARCH(","&amp;Справочник_ОКВЭД_НР!$C$3:$C$62&amp;".",","&amp;SUBSTITUTE(F826," ","")&amp;","))) +
  SUMPRODUCT(ISNUMBER(SEARCH(","&amp;Справочник_ОКВЭД_НР!$E$3:$E$62&amp;".",","&amp;SUBSTITUTE(F826," ","")&amp;","))) +
  SUMPRODUCT(ISNUMBER(SEARCH(","&amp;Справочник_ОКВЭД_НР!$G$3:$G$62&amp;".",","&amp;SUBSTITUTE(F826," ","")&amp;",")))),
50)</f>
        <v>50</v>
      </c>
      <c r="K826" s="30">
        <f>IFERROR(VLOOKUP(G826,Справочник_ОКВЭД_НР!$O:$P,2,FALSE()),50)</f>
        <v>50</v>
      </c>
      <c r="L826" s="45">
        <f>(I826*Справочник_ОКВЭД_НР!$L$2+J826*Справочник_ОКВЭД_НР!$L$3+K826*Справочник_ОКВЭД_НР!$L$4)*M826</f>
        <v>80</v>
      </c>
      <c r="M826" s="47">
        <f>IF(COUNTIF(Справочник_ОКВЭД_НР!$G$3:$G$62,H826)&gt;0,0,1)</f>
        <v>1</v>
      </c>
    </row>
    <row r="827" spans="1:13" x14ac:dyDescent="0.25">
      <c r="A827" s="4">
        <f>ЛИК_дляСкорингаДП!A827</f>
        <v>1157746454898</v>
      </c>
      <c r="B827" s="4">
        <f>ЛИК_дляСкорингаДП!B827</f>
        <v>7724319179</v>
      </c>
      <c r="C827" s="4" t="str">
        <f>ЛИК_дляСкорингаДП!C827</f>
        <v>ООО "СПОРТИВНОЕ РЕШЕНИЕ"</v>
      </c>
      <c r="D827" s="5" t="str">
        <f>ЛИК_дляСкорингаДП!M827</f>
        <v>Торговля розничная, осуществляемая непосредственно при помощи информационно-коммуникационной сети Интернет</v>
      </c>
      <c r="E827" s="4" t="str">
        <f>ЛИК_дляСкорингаДП!L827</f>
        <v>47.91.2</v>
      </c>
      <c r="F827" t="str">
        <f>ЛИК_дляСкорингаДП!N827</f>
        <v>45.40.2,45.40.3,47.59.1,47.64,47.71.5,47.78,47.91.1,47.91.3,47.91.4,47.99,53.10,53.10.2,53.20.3,82.99</v>
      </c>
      <c r="G827" s="25" t="str">
        <f>ЛИК_дляСкорингаДП!AG827</f>
        <v>УСН</v>
      </c>
      <c r="H827" s="55" t="str">
        <f>IF(ISNUMBER(E827),E827,
IFERROR(LEFT(E827,FIND(".",E827)-1),E827))</f>
        <v>47</v>
      </c>
      <c r="I827" s="30">
        <f>IF(COUNTIF(Справочник_ОКВЭД_НР!$A$3:$A$62,H827)&gt;0,Справочник_ОКВЭД_НР!$L$8,
 IF(COUNTIF(Справочник_ОКВЭД_НР!$C$3:$C$62,H827)&gt;0,Справочник_ОКВЭД_НР!$L$9,
  IF(COUNTIF(Справочник_ОКВЭД_НР!$E$3:$E$62,H827)&gt;0,Справочник_ОКВЭД_НР!$L$10,
   IF(COUNTIF(Справочник_ОКВЭД_НР!$G$3:$G$62,H827)&gt;0,Справочник_ОКВЭД_НР!$L$11,50))))</f>
        <v>60</v>
      </c>
      <c r="J827" s="30" cm="1">
        <f t="array" ref="J827">IFERROR(
 (SUMPRODUCT(ISNUMBER(SEARCH(","&amp;Справочник_ОКВЭД_НР!$A$3:$A$62&amp;".",","&amp;SUBSTITUTE(F827," ","")&amp;",")))*Справочник_ОКВЭД_НР!$L$9 +
  SUMPRODUCT(ISNUMBER(SEARCH(","&amp;Справочник_ОКВЭД_НР!$C$3:$C$62&amp;".",","&amp;SUBSTITUTE(F827," ","")&amp;",")))*Справочник_ОКВЭД_НР!$L$10 +
  SUMPRODUCT(ISNUMBER(SEARCH(","&amp;Справочник_ОКВЭД_НР!$E$3:$E$62&amp;".",","&amp;SUBSTITUTE(F827," ","")&amp;",")))*Справочник_ОКВЭД_НР!$L$11 +
  SUMPRODUCT(ISNUMBER(SEARCH(","&amp;Справочник_ОКВЭД_НР!$G$3:$G$62&amp;".",","&amp;SUBSTITUTE(F827," ","")&amp;",")))*Справочник_ОКВЭД_НР!$L$12) /
 (SUMPRODUCT(ISNUMBER(SEARCH(","&amp;Справочник_ОКВЭД_НР!$A$3:$A$62&amp;".",","&amp;SUBSTITUTE(F827," ","")&amp;","))) +
  SUMPRODUCT(ISNUMBER(SEARCH(","&amp;Справочник_ОКВЭД_НР!$C$3:$C$62&amp;".",","&amp;SUBSTITUTE(F827," ","")&amp;","))) +
  SUMPRODUCT(ISNUMBER(SEARCH(","&amp;Справочник_ОКВЭД_НР!$E$3:$E$62&amp;".",","&amp;SUBSTITUTE(F827," ","")&amp;","))) +
  SUMPRODUCT(ISNUMBER(SEARCH(","&amp;Справочник_ОКВЭД_НР!$G$3:$G$62&amp;".",","&amp;SUBSTITUTE(F827," ","")&amp;",")))),
50)</f>
        <v>50</v>
      </c>
      <c r="K827" s="30">
        <f>IFERROR(VLOOKUP(G827,Справочник_ОКВЭД_НР!$O:$P,2,FALSE()),50)</f>
        <v>50</v>
      </c>
      <c r="L827" s="45">
        <f>(I827*Справочник_ОКВЭД_НР!$L$2+J827*Справочник_ОКВЭД_НР!$L$3+K827*Справочник_ОКВЭД_НР!$L$4)*M827</f>
        <v>56</v>
      </c>
      <c r="M827" s="47">
        <f>IF(COUNTIF(Справочник_ОКВЭД_НР!$G$3:$G$62,H827)&gt;0,0,1)</f>
        <v>1</v>
      </c>
    </row>
    <row r="828" spans="1:13" x14ac:dyDescent="0.25">
      <c r="A828" s="4">
        <f>ЛИК_дляСкорингаДП!A828</f>
        <v>1157746286587</v>
      </c>
      <c r="B828" s="4">
        <f>ЛИК_дляСкорингаДП!B828</f>
        <v>7724312335</v>
      </c>
      <c r="C828" s="4" t="str">
        <f>ЛИК_дляСкорингаДП!C828</f>
        <v>ООО "СИБ"</v>
      </c>
      <c r="D828" s="5" t="str">
        <f>ЛИК_дляСкорингаДП!M828</f>
        <v>Производство электромонтажных работ</v>
      </c>
      <c r="E828" s="4" t="str">
        <f>ЛИК_дляСкорингаДП!L828</f>
        <v>43.21</v>
      </c>
      <c r="F828" t="str">
        <f>ЛИК_дляСкорингаДП!N828</f>
        <v>33.14,33.20,43.22,43.29,46.90,71.11,71.11.1,71.12,80.20,95.12</v>
      </c>
      <c r="G828" s="25" t="str">
        <f>ЛИК_дляСкорингаДП!AG828</f>
        <v>УСН</v>
      </c>
      <c r="H828" s="55" t="str">
        <f>IF(ISNUMBER(E828),E828,
IFERROR(LEFT(E828,FIND(".",E828)-1),E828))</f>
        <v>43</v>
      </c>
      <c r="I828" s="30">
        <f>IF(COUNTIF(Справочник_ОКВЭД_НР!$A$3:$A$62,H828)&gt;0,Справочник_ОКВЭД_НР!$L$8,
 IF(COUNTIF(Справочник_ОКВЭД_НР!$C$3:$C$62,H828)&gt;0,Справочник_ОКВЭД_НР!$L$9,
  IF(COUNTIF(Справочник_ОКВЭД_НР!$E$3:$E$62,H828)&gt;0,Справочник_ОКВЭД_НР!$L$10,
   IF(COUNTIF(Справочник_ОКВЭД_НР!$G$3:$G$62,H828)&gt;0,Справочник_ОКВЭД_НР!$L$11,50))))</f>
        <v>100</v>
      </c>
      <c r="J828" s="30" cm="1">
        <f t="array" ref="J828">IFERROR(
 (SUMPRODUCT(ISNUMBER(SEARCH(","&amp;Справочник_ОКВЭД_НР!$A$3:$A$62&amp;".",","&amp;SUBSTITUTE(F828," ","")&amp;",")))*Справочник_ОКВЭД_НР!$L$9 +
  SUMPRODUCT(ISNUMBER(SEARCH(","&amp;Справочник_ОКВЭД_НР!$C$3:$C$62&amp;".",","&amp;SUBSTITUTE(F828," ","")&amp;",")))*Справочник_ОКВЭД_НР!$L$10 +
  SUMPRODUCT(ISNUMBER(SEARCH(","&amp;Справочник_ОКВЭД_НР!$E$3:$E$62&amp;".",","&amp;SUBSTITUTE(F828," ","")&amp;",")))*Справочник_ОКВЭД_НР!$L$11 +
  SUMPRODUCT(ISNUMBER(SEARCH(","&amp;Справочник_ОКВЭД_НР!$G$3:$G$62&amp;".",","&amp;SUBSTITUTE(F828," ","")&amp;",")))*Справочник_ОКВЭД_НР!$L$12) /
 (SUMPRODUCT(ISNUMBER(SEARCH(","&amp;Справочник_ОКВЭД_НР!$A$3:$A$62&amp;".",","&amp;SUBSTITUTE(F828," ","")&amp;","))) +
  SUMPRODUCT(ISNUMBER(SEARCH(","&amp;Справочник_ОКВЭД_НР!$C$3:$C$62&amp;".",","&amp;SUBSTITUTE(F828," ","")&amp;","))) +
  SUMPRODUCT(ISNUMBER(SEARCH(","&amp;Справочник_ОКВЭД_НР!$E$3:$E$62&amp;".",","&amp;SUBSTITUTE(F828," ","")&amp;","))) +
  SUMPRODUCT(ISNUMBER(SEARCH(","&amp;Справочник_ОКВЭД_НР!$G$3:$G$62&amp;".",","&amp;SUBSTITUTE(F828," ","")&amp;",")))),
50)</f>
        <v>50</v>
      </c>
      <c r="K828" s="30">
        <f>IFERROR(VLOOKUP(G828,Справочник_ОКВЭД_НР!$O:$P,2,FALSE()),50)</f>
        <v>50</v>
      </c>
      <c r="L828" s="45">
        <f>(I828*Справочник_ОКВЭД_НР!$L$2+J828*Справочник_ОКВЭД_НР!$L$3+K828*Справочник_ОКВЭД_НР!$L$4)*M828</f>
        <v>80</v>
      </c>
      <c r="M828" s="47">
        <f>IF(COUNTIF(Справочник_ОКВЭД_НР!$G$3:$G$62,H828)&gt;0,0,1)</f>
        <v>1</v>
      </c>
    </row>
    <row r="829" spans="1:13" x14ac:dyDescent="0.25">
      <c r="A829" s="4">
        <f>ЛИК_дляСкорингаДП!A829</f>
        <v>1025006394137</v>
      </c>
      <c r="B829" s="4">
        <f>ЛИК_дляСкорингаДП!B829</f>
        <v>5046059140</v>
      </c>
      <c r="C829" s="4" t="str">
        <f>ЛИК_дляСкорингаДП!C829</f>
        <v>ООО "КОНТИНЕНТ ПЛЮС"</v>
      </c>
      <c r="D829" s="5" t="str">
        <f>ЛИК_дляСкорингаДП!M829</f>
        <v>Аренда и управление собственным или арендованным нежилым недвижимым имуществом</v>
      </c>
      <c r="E829" s="4" t="str">
        <f>ЛИК_дляСкорингаДП!L829</f>
        <v>68.20.2</v>
      </c>
      <c r="F829" t="str">
        <f>ЛИК_дляСкорингаДП!N829</f>
        <v>47.19,47.52,47.52.7,47.52.71,47.52.72,47.52.73,47.52.74,47.89,52.21.2,52.21.24,68.10.22,68.10.23,68.31.1,68.31.2,68.31.3,68.31.4,68.32.2,82.99</v>
      </c>
      <c r="G829" s="25" t="str">
        <f>ЛИК_дляСкорингаДП!AG829</f>
        <v>УСН</v>
      </c>
      <c r="H829" s="55" t="str">
        <f>IF(ISNUMBER(E829),E829,
IFERROR(LEFT(E829,FIND(".",E829)-1),E829))</f>
        <v>68</v>
      </c>
      <c r="I829" s="30">
        <f>IF(COUNTIF(Справочник_ОКВЭД_НР!$A$3:$A$62,H829)&gt;0,Справочник_ОКВЭД_НР!$L$8,
 IF(COUNTIF(Справочник_ОКВЭД_НР!$C$3:$C$62,H829)&gt;0,Справочник_ОКВЭД_НР!$L$9,
  IF(COUNTIF(Справочник_ОКВЭД_НР!$E$3:$E$62,H829)&gt;0,Справочник_ОКВЭД_НР!$L$10,
   IF(COUNTIF(Справочник_ОКВЭД_НР!$G$3:$G$62,H829)&gt;0,Справочник_ОКВЭД_НР!$L$11,50))))</f>
        <v>100</v>
      </c>
      <c r="J829" s="30" cm="1">
        <f t="array" ref="J829">IFERROR(
 (SUMPRODUCT(ISNUMBER(SEARCH(","&amp;Справочник_ОКВЭД_НР!$A$3:$A$62&amp;".",","&amp;SUBSTITUTE(F829," ","")&amp;",")))*Справочник_ОКВЭД_НР!$L$9 +
  SUMPRODUCT(ISNUMBER(SEARCH(","&amp;Справочник_ОКВЭД_НР!$C$3:$C$62&amp;".",","&amp;SUBSTITUTE(F829," ","")&amp;",")))*Справочник_ОКВЭД_НР!$L$10 +
  SUMPRODUCT(ISNUMBER(SEARCH(","&amp;Справочник_ОКВЭД_НР!$E$3:$E$62&amp;".",","&amp;SUBSTITUTE(F829," ","")&amp;",")))*Справочник_ОКВЭД_НР!$L$11 +
  SUMPRODUCT(ISNUMBER(SEARCH(","&amp;Справочник_ОКВЭД_НР!$G$3:$G$62&amp;".",","&amp;SUBSTITUTE(F829," ","")&amp;",")))*Справочник_ОКВЭД_НР!$L$12) /
 (SUMPRODUCT(ISNUMBER(SEARCH(","&amp;Справочник_ОКВЭД_НР!$A$3:$A$62&amp;".",","&amp;SUBSTITUTE(F829," ","")&amp;","))) +
  SUMPRODUCT(ISNUMBER(SEARCH(","&amp;Справочник_ОКВЭД_НР!$C$3:$C$62&amp;".",","&amp;SUBSTITUTE(F829," ","")&amp;","))) +
  SUMPRODUCT(ISNUMBER(SEARCH(","&amp;Справочник_ОКВЭД_НР!$E$3:$E$62&amp;".",","&amp;SUBSTITUTE(F829," ","")&amp;","))) +
  SUMPRODUCT(ISNUMBER(SEARCH(","&amp;Справочник_ОКВЭД_НР!$G$3:$G$62&amp;".",","&amp;SUBSTITUTE(F829," ","")&amp;",")))),
50)</f>
        <v>50</v>
      </c>
      <c r="K829" s="30">
        <f>IFERROR(VLOOKUP(G829,Справочник_ОКВЭД_НР!$O:$P,2,FALSE()),50)</f>
        <v>50</v>
      </c>
      <c r="L829" s="45">
        <f>(I829*Справочник_ОКВЭД_НР!$L$2+J829*Справочник_ОКВЭД_НР!$L$3+K829*Справочник_ОКВЭД_НР!$L$4)*M829</f>
        <v>80</v>
      </c>
      <c r="M829" s="47">
        <f>IF(COUNTIF(Справочник_ОКВЭД_НР!$G$3:$G$62,H829)&gt;0,0,1)</f>
        <v>1</v>
      </c>
    </row>
    <row r="830" spans="1:13" x14ac:dyDescent="0.25">
      <c r="A830" s="4">
        <f>ЛИК_дляСкорингаДП!A830</f>
        <v>1157746343270</v>
      </c>
      <c r="B830" s="4">
        <f>ЛИК_дляСкорингаДП!B830</f>
        <v>7718143544</v>
      </c>
      <c r="C830" s="4" t="str">
        <f>ЛИК_дляСкорингаДП!C830</f>
        <v>ООО "ПРОВЕНДИНГ"</v>
      </c>
      <c r="D830" s="5" t="str">
        <f>ЛИК_дляСкорингаДП!M830</f>
        <v>Торговля розничная вне магазинов, палаток, рынков</v>
      </c>
      <c r="E830" s="4" t="str">
        <f>ЛИК_дляСкорингаДП!L830</f>
        <v>47.9</v>
      </c>
      <c r="F830" t="str">
        <f>ЛИК_дляСкорингаДП!N830</f>
        <v>11.07.2,33.12,46.19,46.37,46.38.29,46.49,46.90,47.19,47.29.39,63.11.1,73.11,73.20.1</v>
      </c>
      <c r="G830" s="25" t="str">
        <f>ЛИК_дляСкорингаДП!AG830</f>
        <v>УСН</v>
      </c>
      <c r="H830" s="55" t="str">
        <f>IF(ISNUMBER(E830),E830,
IFERROR(LEFT(E830,FIND(".",E830)-1),E830))</f>
        <v>47</v>
      </c>
      <c r="I830" s="30">
        <f>IF(COUNTIF(Справочник_ОКВЭД_НР!$A$3:$A$62,H830)&gt;0,Справочник_ОКВЭД_НР!$L$8,
 IF(COUNTIF(Справочник_ОКВЭД_НР!$C$3:$C$62,H830)&gt;0,Справочник_ОКВЭД_НР!$L$9,
  IF(COUNTIF(Справочник_ОКВЭД_НР!$E$3:$E$62,H830)&gt;0,Справочник_ОКВЭД_НР!$L$10,
   IF(COUNTIF(Справочник_ОКВЭД_НР!$G$3:$G$62,H830)&gt;0,Справочник_ОКВЭД_НР!$L$11,50))))</f>
        <v>60</v>
      </c>
      <c r="J830" s="30" cm="1">
        <f t="array" ref="J830">IFERROR(
 (SUMPRODUCT(ISNUMBER(SEARCH(","&amp;Справочник_ОКВЭД_НР!$A$3:$A$62&amp;".",","&amp;SUBSTITUTE(F830," ","")&amp;",")))*Справочник_ОКВЭД_НР!$L$9 +
  SUMPRODUCT(ISNUMBER(SEARCH(","&amp;Справочник_ОКВЭД_НР!$C$3:$C$62&amp;".",","&amp;SUBSTITUTE(F830," ","")&amp;",")))*Справочник_ОКВЭД_НР!$L$10 +
  SUMPRODUCT(ISNUMBER(SEARCH(","&amp;Справочник_ОКВЭД_НР!$E$3:$E$62&amp;".",","&amp;SUBSTITUTE(F830," ","")&amp;",")))*Справочник_ОКВЭД_НР!$L$11 +
  SUMPRODUCT(ISNUMBER(SEARCH(","&amp;Справочник_ОКВЭД_НР!$G$3:$G$62&amp;".",","&amp;SUBSTITUTE(F830," ","")&amp;",")))*Справочник_ОКВЭД_НР!$L$12) /
 (SUMPRODUCT(ISNUMBER(SEARCH(","&amp;Справочник_ОКВЭД_НР!$A$3:$A$62&amp;".",","&amp;SUBSTITUTE(F830," ","")&amp;","))) +
  SUMPRODUCT(ISNUMBER(SEARCH(","&amp;Справочник_ОКВЭД_НР!$C$3:$C$62&amp;".",","&amp;SUBSTITUTE(F830," ","")&amp;","))) +
  SUMPRODUCT(ISNUMBER(SEARCH(","&amp;Справочник_ОКВЭД_НР!$E$3:$E$62&amp;".",","&amp;SUBSTITUTE(F830," ","")&amp;","))) +
  SUMPRODUCT(ISNUMBER(SEARCH(","&amp;Справочник_ОКВЭД_НР!$G$3:$G$62&amp;".",","&amp;SUBSTITUTE(F830," ","")&amp;",")))),
50)</f>
        <v>50</v>
      </c>
      <c r="K830" s="30">
        <f>IFERROR(VLOOKUP(G830,Справочник_ОКВЭД_НР!$O:$P,2,FALSE()),50)</f>
        <v>50</v>
      </c>
      <c r="L830" s="45">
        <f>(I830*Справочник_ОКВЭД_НР!$L$2+J830*Справочник_ОКВЭД_НР!$L$3+K830*Справочник_ОКВЭД_НР!$L$4)*M830</f>
        <v>56</v>
      </c>
      <c r="M830" s="47">
        <f>IF(COUNTIF(Справочник_ОКВЭД_НР!$G$3:$G$62,H830)&gt;0,0,1)</f>
        <v>1</v>
      </c>
    </row>
    <row r="831" spans="1:13" x14ac:dyDescent="0.25">
      <c r="A831" s="4">
        <f>ЛИК_дляСкорингаДП!A831</f>
        <v>1157746385554</v>
      </c>
      <c r="B831" s="4">
        <f>ЛИК_дляСкорингаДП!B831</f>
        <v>7701343400</v>
      </c>
      <c r="C831" s="4" t="str">
        <f>ЛИК_дляСкорингаДП!C831</f>
        <v>ООО "РЕСПЕКТ"</v>
      </c>
      <c r="D831" s="5" t="str">
        <f>ЛИК_дляСкорингаДП!M831</f>
        <v>Деятельность ресторанов и услуги по доставке продуктов питания</v>
      </c>
      <c r="E831" s="4" t="str">
        <f>ЛИК_дляСкорингаДП!L831</f>
        <v>56.10</v>
      </c>
      <c r="F831" t="str">
        <f>ЛИК_дляСкорингаДП!N831</f>
        <v>18.12,45.1,45.20,45.3,46.11,46.12,46.17,46.18,46.31,46.31.11,46.32,46.32.3,46.33,46.34,46.35,46.36,46.37,46.38,46.39,47.11,47.19,47.21,47.22,47.23,47.24,47.25,47.26,47.29,47.9,52.21,52.24,52.29,56.10.1,56.10.3,56.29,56.30,58.11,58.13,58.14,58.19,59.20,62.09,68.31,68.32,70.22,73.11,79.11,82.99,90.0,90.04,93.29,93.29.9</v>
      </c>
      <c r="G831" s="25" t="str">
        <f>ЛИК_дляСкорингаДП!AG831</f>
        <v>УСН</v>
      </c>
      <c r="H831" s="55" t="str">
        <f>IF(ISNUMBER(E831),E831,
IFERROR(LEFT(E831,FIND(".",E831)-1),E831))</f>
        <v>56</v>
      </c>
      <c r="I831" s="30">
        <f>IF(COUNTIF(Справочник_ОКВЭД_НР!$A$3:$A$62,H831)&gt;0,Справочник_ОКВЭД_НР!$L$8,
 IF(COUNTIF(Справочник_ОКВЭД_НР!$C$3:$C$62,H831)&gt;0,Справочник_ОКВЭД_НР!$L$9,
  IF(COUNTIF(Справочник_ОКВЭД_НР!$E$3:$E$62,H831)&gt;0,Справочник_ОКВЭД_НР!$L$10,
   IF(COUNTIF(Справочник_ОКВЭД_НР!$G$3:$G$62,H831)&gt;0,Справочник_ОКВЭД_НР!$L$11,50))))</f>
        <v>30</v>
      </c>
      <c r="J831" s="30" cm="1">
        <f t="array" ref="J831">IFERROR(
 (SUMPRODUCT(ISNUMBER(SEARCH(","&amp;Справочник_ОКВЭД_НР!$A$3:$A$62&amp;".",","&amp;SUBSTITUTE(F831," ","")&amp;",")))*Справочник_ОКВЭД_НР!$L$9 +
  SUMPRODUCT(ISNUMBER(SEARCH(","&amp;Справочник_ОКВЭД_НР!$C$3:$C$62&amp;".",","&amp;SUBSTITUTE(F831," ","")&amp;",")))*Справочник_ОКВЭД_НР!$L$10 +
  SUMPRODUCT(ISNUMBER(SEARCH(","&amp;Справочник_ОКВЭД_НР!$E$3:$E$62&amp;".",","&amp;SUBSTITUTE(F831," ","")&amp;",")))*Справочник_ОКВЭД_НР!$L$11 +
  SUMPRODUCT(ISNUMBER(SEARCH(","&amp;Справочник_ОКВЭД_НР!$G$3:$G$62&amp;".",","&amp;SUBSTITUTE(F831," ","")&amp;",")))*Справочник_ОКВЭД_НР!$L$12) /
 (SUMPRODUCT(ISNUMBER(SEARCH(","&amp;Справочник_ОКВЭД_НР!$A$3:$A$62&amp;".",","&amp;SUBSTITUTE(F831," ","")&amp;","))) +
  SUMPRODUCT(ISNUMBER(SEARCH(","&amp;Справочник_ОКВЭД_НР!$C$3:$C$62&amp;".",","&amp;SUBSTITUTE(F831," ","")&amp;","))) +
  SUMPRODUCT(ISNUMBER(SEARCH(","&amp;Справочник_ОКВЭД_НР!$E$3:$E$62&amp;".",","&amp;SUBSTITUTE(F831," ","")&amp;","))) +
  SUMPRODUCT(ISNUMBER(SEARCH(","&amp;Справочник_ОКВЭД_НР!$G$3:$G$62&amp;".",","&amp;SUBSTITUTE(F831," ","")&amp;",")))),
50)</f>
        <v>50</v>
      </c>
      <c r="K831" s="30">
        <f>IFERROR(VLOOKUP(G831,Справочник_ОКВЭД_НР!$O:$P,2,FALSE()),50)</f>
        <v>50</v>
      </c>
      <c r="L831" s="45">
        <f>(I831*Справочник_ОКВЭД_НР!$L$2+J831*Справочник_ОКВЭД_НР!$L$3+K831*Справочник_ОКВЭД_НР!$L$4)*M831</f>
        <v>38</v>
      </c>
      <c r="M831" s="47">
        <f>IF(COUNTIF(Справочник_ОКВЭД_НР!$G$3:$G$62,H831)&gt;0,0,1)</f>
        <v>1</v>
      </c>
    </row>
    <row r="832" spans="1:13" x14ac:dyDescent="0.25">
      <c r="A832" s="4">
        <f>ЛИК_дляСкорингаДП!A832</f>
        <v>1137746090371</v>
      </c>
      <c r="B832" s="4">
        <f>ЛИК_дляСкорингаДП!B832</f>
        <v>7743877771</v>
      </c>
      <c r="C832" s="4" t="str">
        <f>ЛИК_дляСкорингаДП!C832</f>
        <v>ООО "АВАЛОН"</v>
      </c>
      <c r="D832" s="5" t="str">
        <f>ЛИК_дляСкорингаДП!M832</f>
        <v>Производство пластмассовых изделий, используемых в строительстве</v>
      </c>
      <c r="E832" s="4" t="str">
        <f>ЛИК_дляСкорингаДП!L832</f>
        <v>22.23</v>
      </c>
      <c r="F832" t="str">
        <f>ЛИК_дляСкорингаДП!N832</f>
        <v>13.9,13.92,14.19,47.5,62.09</v>
      </c>
      <c r="G832" s="25" t="str">
        <f>ЛИК_дляСкорингаДП!AG832</f>
        <v>УСН</v>
      </c>
      <c r="H832" s="55" t="str">
        <f>IF(ISNUMBER(E832),E832,
IFERROR(LEFT(E832,FIND(".",E832)-1),E832))</f>
        <v>22</v>
      </c>
      <c r="I832" s="30">
        <f>IF(COUNTIF(Справочник_ОКВЭД_НР!$A$3:$A$62,H832)&gt;0,Справочник_ОКВЭД_НР!$L$8,
 IF(COUNTIF(Справочник_ОКВЭД_НР!$C$3:$C$62,H832)&gt;0,Справочник_ОКВЭД_НР!$L$9,
  IF(COUNTIF(Справочник_ОКВЭД_НР!$E$3:$E$62,H832)&gt;0,Справочник_ОКВЭД_НР!$L$10,
   IF(COUNTIF(Справочник_ОКВЭД_НР!$G$3:$G$62,H832)&gt;0,Справочник_ОКВЭД_НР!$L$11,50))))</f>
        <v>60</v>
      </c>
      <c r="J832" s="30" cm="1">
        <f t="array" ref="J832">IFERROR(
 (SUMPRODUCT(ISNUMBER(SEARCH(","&amp;Справочник_ОКВЭД_НР!$A$3:$A$62&amp;".",","&amp;SUBSTITUTE(F832," ","")&amp;",")))*Справочник_ОКВЭД_НР!$L$9 +
  SUMPRODUCT(ISNUMBER(SEARCH(","&amp;Справочник_ОКВЭД_НР!$C$3:$C$62&amp;".",","&amp;SUBSTITUTE(F832," ","")&amp;",")))*Справочник_ОКВЭД_НР!$L$10 +
  SUMPRODUCT(ISNUMBER(SEARCH(","&amp;Справочник_ОКВЭД_НР!$E$3:$E$62&amp;".",","&amp;SUBSTITUTE(F832," ","")&amp;",")))*Справочник_ОКВЭД_НР!$L$11 +
  SUMPRODUCT(ISNUMBER(SEARCH(","&amp;Справочник_ОКВЭД_НР!$G$3:$G$62&amp;".",","&amp;SUBSTITUTE(F832," ","")&amp;",")))*Справочник_ОКВЭД_НР!$L$12) /
 (SUMPRODUCT(ISNUMBER(SEARCH(","&amp;Справочник_ОКВЭД_НР!$A$3:$A$62&amp;".",","&amp;SUBSTITUTE(F832," ","")&amp;","))) +
  SUMPRODUCT(ISNUMBER(SEARCH(","&amp;Справочник_ОКВЭД_НР!$C$3:$C$62&amp;".",","&amp;SUBSTITUTE(F832," ","")&amp;","))) +
  SUMPRODUCT(ISNUMBER(SEARCH(","&amp;Справочник_ОКВЭД_НР!$E$3:$E$62&amp;".",","&amp;SUBSTITUTE(F832," ","")&amp;","))) +
  SUMPRODUCT(ISNUMBER(SEARCH(","&amp;Справочник_ОКВЭД_НР!$G$3:$G$62&amp;".",","&amp;SUBSTITUTE(F832," ","")&amp;",")))),
50)</f>
        <v>50</v>
      </c>
      <c r="K832" s="30">
        <f>IFERROR(VLOOKUP(G832,Справочник_ОКВЭД_НР!$O:$P,2,FALSE()),50)</f>
        <v>50</v>
      </c>
      <c r="L832" s="45">
        <f>(I832*Справочник_ОКВЭД_НР!$L$2+J832*Справочник_ОКВЭД_НР!$L$3+K832*Справочник_ОКВЭД_НР!$L$4)*M832</f>
        <v>56</v>
      </c>
      <c r="M832" s="47">
        <f>IF(COUNTIF(Справочник_ОКВЭД_НР!$G$3:$G$62,H832)&gt;0,0,1)</f>
        <v>1</v>
      </c>
    </row>
    <row r="833" spans="1:13" x14ac:dyDescent="0.25">
      <c r="A833" s="4">
        <f>ЛИК_дляСкорингаДП!A833</f>
        <v>1157746558551</v>
      </c>
      <c r="B833" s="4">
        <f>ЛИК_дляСкорингаДП!B833</f>
        <v>7727188132</v>
      </c>
      <c r="C833" s="4" t="str">
        <f>ЛИК_дляСкорингаДП!C833</f>
        <v>ООО "САФАГА-Н"</v>
      </c>
      <c r="D833" s="5" t="str">
        <f>ЛИК_дляСкорингаДП!M833</f>
        <v>Торговля розничная мебелью, осветительными приборами и прочими бытовыми изделиями в специализированных магазинах</v>
      </c>
      <c r="E833" s="4" t="str">
        <f>ЛИК_дляСкорингаДП!L833</f>
        <v>47.59</v>
      </c>
      <c r="F833" t="str">
        <f>ЛИК_дляСкорингаДП!N833</f>
        <v>46.15,46.15.3,46.18.9,46.47,46.49,46.65,46.66,46.90,47.19,47.59.1,47.59.2,47.59.3,47.59.4,47.9,52.10,52.29,64.99.12,71.11,73.11,82.99,96.09</v>
      </c>
      <c r="G833" s="25" t="str">
        <f>ЛИК_дляСкорингаДП!AG833</f>
        <v>УСН</v>
      </c>
      <c r="H833" s="55" t="str">
        <f>IF(ISNUMBER(E833),E833,
IFERROR(LEFT(E833,FIND(".",E833)-1),E833))</f>
        <v>47</v>
      </c>
      <c r="I833" s="30">
        <f>IF(COUNTIF(Справочник_ОКВЭД_НР!$A$3:$A$62,H833)&gt;0,Справочник_ОКВЭД_НР!$L$8,
 IF(COUNTIF(Справочник_ОКВЭД_НР!$C$3:$C$62,H833)&gt;0,Справочник_ОКВЭД_НР!$L$9,
  IF(COUNTIF(Справочник_ОКВЭД_НР!$E$3:$E$62,H833)&gt;0,Справочник_ОКВЭД_НР!$L$10,
   IF(COUNTIF(Справочник_ОКВЭД_НР!$G$3:$G$62,H833)&gt;0,Справочник_ОКВЭД_НР!$L$11,50))))</f>
        <v>60</v>
      </c>
      <c r="J833" s="30" cm="1">
        <f t="array" ref="J833">IFERROR(
 (SUMPRODUCT(ISNUMBER(SEARCH(","&amp;Справочник_ОКВЭД_НР!$A$3:$A$62&amp;".",","&amp;SUBSTITUTE(F833," ","")&amp;",")))*Справочник_ОКВЭД_НР!$L$9 +
  SUMPRODUCT(ISNUMBER(SEARCH(","&amp;Справочник_ОКВЭД_НР!$C$3:$C$62&amp;".",","&amp;SUBSTITUTE(F833," ","")&amp;",")))*Справочник_ОКВЭД_НР!$L$10 +
  SUMPRODUCT(ISNUMBER(SEARCH(","&amp;Справочник_ОКВЭД_НР!$E$3:$E$62&amp;".",","&amp;SUBSTITUTE(F833," ","")&amp;",")))*Справочник_ОКВЭД_НР!$L$11 +
  SUMPRODUCT(ISNUMBER(SEARCH(","&amp;Справочник_ОКВЭД_НР!$G$3:$G$62&amp;".",","&amp;SUBSTITUTE(F833," ","")&amp;",")))*Справочник_ОКВЭД_НР!$L$12) /
 (SUMPRODUCT(ISNUMBER(SEARCH(","&amp;Справочник_ОКВЭД_НР!$A$3:$A$62&amp;".",","&amp;SUBSTITUTE(F833," ","")&amp;","))) +
  SUMPRODUCT(ISNUMBER(SEARCH(","&amp;Справочник_ОКВЭД_НР!$C$3:$C$62&amp;".",","&amp;SUBSTITUTE(F833," ","")&amp;","))) +
  SUMPRODUCT(ISNUMBER(SEARCH(","&amp;Справочник_ОКВЭД_НР!$E$3:$E$62&amp;".",","&amp;SUBSTITUTE(F833," ","")&amp;","))) +
  SUMPRODUCT(ISNUMBER(SEARCH(","&amp;Справочник_ОКВЭД_НР!$G$3:$G$62&amp;".",","&amp;SUBSTITUTE(F833," ","")&amp;",")))),
50)</f>
        <v>50</v>
      </c>
      <c r="K833" s="30">
        <f>IFERROR(VLOOKUP(G833,Справочник_ОКВЭД_НР!$O:$P,2,FALSE()),50)</f>
        <v>50</v>
      </c>
      <c r="L833" s="45">
        <f>(I833*Справочник_ОКВЭД_НР!$L$2+J833*Справочник_ОКВЭД_НР!$L$3+K833*Справочник_ОКВЭД_НР!$L$4)*M833</f>
        <v>56</v>
      </c>
      <c r="M833" s="47">
        <f>IF(COUNTIF(Справочник_ОКВЭД_НР!$G$3:$G$62,H833)&gt;0,0,1)</f>
        <v>1</v>
      </c>
    </row>
    <row r="834" spans="1:13" x14ac:dyDescent="0.25">
      <c r="A834" s="4">
        <f>ЛИК_дляСкорингаДП!A834</f>
        <v>1025007117486</v>
      </c>
      <c r="B834" s="4">
        <f>ЛИК_дляСкорингаДП!B834</f>
        <v>5053013620</v>
      </c>
      <c r="C834" s="4" t="str">
        <f>ЛИК_дляСкорингаДП!C834</f>
        <v>ООО "БАСТИС"</v>
      </c>
      <c r="D834" s="5" t="str">
        <f>ЛИК_дляСкорингаДП!M834</f>
        <v>Деятельность ветеринарная</v>
      </c>
      <c r="E834" s="4" t="str">
        <f>ЛИК_дляСкорингаДП!L834</f>
        <v>75.00</v>
      </c>
      <c r="F834" t="str">
        <f>ЛИК_дляСкорингаДП!N834</f>
        <v>46.18.2,46.48.2,47.19,47.64,47.65,47.73,47.74,47.76.2,47.77,75.00.1,75.00.2,96.09</v>
      </c>
      <c r="G834" s="25" t="str">
        <f>ЛИК_дляСкорингаДП!AG834</f>
        <v>УСН</v>
      </c>
      <c r="H834" s="55" t="str">
        <f>IF(ISNUMBER(E834),E834,
IFERROR(LEFT(E834,FIND(".",E834)-1),E834))</f>
        <v>75</v>
      </c>
      <c r="I834" s="30">
        <f>IF(COUNTIF(Справочник_ОКВЭД_НР!$A$3:$A$62,H834)&gt;0,Справочник_ОКВЭД_НР!$L$8,
 IF(COUNTIF(Справочник_ОКВЭД_НР!$C$3:$C$62,H834)&gt;0,Справочник_ОКВЭД_НР!$L$9,
  IF(COUNTIF(Справочник_ОКВЭД_НР!$E$3:$E$62,H834)&gt;0,Справочник_ОКВЭД_НР!$L$10,
   IF(COUNTIF(Справочник_ОКВЭД_НР!$G$3:$G$62,H834)&gt;0,Справочник_ОКВЭД_НР!$L$11,50))))</f>
        <v>30</v>
      </c>
      <c r="J834" s="30" cm="1">
        <f t="array" ref="J834">IFERROR(
 (SUMPRODUCT(ISNUMBER(SEARCH(","&amp;Справочник_ОКВЭД_НР!$A$3:$A$62&amp;".",","&amp;SUBSTITUTE(F834," ","")&amp;",")))*Справочник_ОКВЭД_НР!$L$9 +
  SUMPRODUCT(ISNUMBER(SEARCH(","&amp;Справочник_ОКВЭД_НР!$C$3:$C$62&amp;".",","&amp;SUBSTITUTE(F834," ","")&amp;",")))*Справочник_ОКВЭД_НР!$L$10 +
  SUMPRODUCT(ISNUMBER(SEARCH(","&amp;Справочник_ОКВЭД_НР!$E$3:$E$62&amp;".",","&amp;SUBSTITUTE(F834," ","")&amp;",")))*Справочник_ОКВЭД_НР!$L$11 +
  SUMPRODUCT(ISNUMBER(SEARCH(","&amp;Справочник_ОКВЭД_НР!$G$3:$G$62&amp;".",","&amp;SUBSTITUTE(F834," ","")&amp;",")))*Справочник_ОКВЭД_НР!$L$12) /
 (SUMPRODUCT(ISNUMBER(SEARCH(","&amp;Справочник_ОКВЭД_НР!$A$3:$A$62&amp;".",","&amp;SUBSTITUTE(F834," ","")&amp;","))) +
  SUMPRODUCT(ISNUMBER(SEARCH(","&amp;Справочник_ОКВЭД_НР!$C$3:$C$62&amp;".",","&amp;SUBSTITUTE(F834," ","")&amp;","))) +
  SUMPRODUCT(ISNUMBER(SEARCH(","&amp;Справочник_ОКВЭД_НР!$E$3:$E$62&amp;".",","&amp;SUBSTITUTE(F834," ","")&amp;","))) +
  SUMPRODUCT(ISNUMBER(SEARCH(","&amp;Справочник_ОКВЭД_НР!$G$3:$G$62&amp;".",","&amp;SUBSTITUTE(F834," ","")&amp;",")))),
50)</f>
        <v>50</v>
      </c>
      <c r="K834" s="30">
        <f>IFERROR(VLOOKUP(G834,Справочник_ОКВЭД_НР!$O:$P,2,FALSE()),50)</f>
        <v>50</v>
      </c>
      <c r="L834" s="45">
        <f>(I834*Справочник_ОКВЭД_НР!$L$2+J834*Справочник_ОКВЭД_НР!$L$3+K834*Справочник_ОКВЭД_НР!$L$4)*M834</f>
        <v>38</v>
      </c>
      <c r="M834" s="47">
        <f>IF(COUNTIF(Справочник_ОКВЭД_НР!$G$3:$G$62,H834)&gt;0,0,1)</f>
        <v>1</v>
      </c>
    </row>
    <row r="835" spans="1:13" x14ac:dyDescent="0.25">
      <c r="A835" s="4">
        <f>ЛИК_дляСкорингаДП!A835</f>
        <v>1157746360551</v>
      </c>
      <c r="B835" s="4">
        <f>ЛИК_дляСкорингаДП!B835</f>
        <v>7715472861</v>
      </c>
      <c r="C835" s="4" t="str">
        <f>ЛИК_дляСкорингаДП!C835</f>
        <v>ООО "ЭСКАЛИБУР ЛТД"</v>
      </c>
      <c r="D835" s="5" t="str">
        <f>ЛИК_дляСкорингаДП!M835</f>
        <v>Деятельность ресторанов и услуги по доставке продуктов питания</v>
      </c>
      <c r="E835" s="4" t="str">
        <f>ЛИК_дляСкорингаДП!L835</f>
        <v>56.10</v>
      </c>
      <c r="F835" t="str">
        <f>ЛИК_дляСкорингаДП!N835</f>
        <v>45.20,45.3,46.90,47.19,47.24,47.24.3,47.25,47.25.1,47.25.2,47.29,47.62.1,47.7,47.75,56.10.1,56.10.3,56.29,56.30,68.20,68.31,68.31.1,68.31.2,68.31.3,68.31.4,68.32,77.33,77.39.2,81.22,81.29.9,82.99,93.29.2,93.29.9,96.04</v>
      </c>
      <c r="G835" s="25" t="str">
        <f>ЛИК_дляСкорингаДП!AG835</f>
        <v>УСН</v>
      </c>
      <c r="H835" s="55" t="str">
        <f>IF(ISNUMBER(E835),E835,
IFERROR(LEFT(E835,FIND(".",E835)-1),E835))</f>
        <v>56</v>
      </c>
      <c r="I835" s="30">
        <f>IF(COUNTIF(Справочник_ОКВЭД_НР!$A$3:$A$62,H835)&gt;0,Справочник_ОКВЭД_НР!$L$8,
 IF(COUNTIF(Справочник_ОКВЭД_НР!$C$3:$C$62,H835)&gt;0,Справочник_ОКВЭД_НР!$L$9,
  IF(COUNTIF(Справочник_ОКВЭД_НР!$E$3:$E$62,H835)&gt;0,Справочник_ОКВЭД_НР!$L$10,
   IF(COUNTIF(Справочник_ОКВЭД_НР!$G$3:$G$62,H835)&gt;0,Справочник_ОКВЭД_НР!$L$11,50))))</f>
        <v>30</v>
      </c>
      <c r="J835" s="30" cm="1">
        <f t="array" ref="J835">IFERROR(
 (SUMPRODUCT(ISNUMBER(SEARCH(","&amp;Справочник_ОКВЭД_НР!$A$3:$A$62&amp;".",","&amp;SUBSTITUTE(F835," ","")&amp;",")))*Справочник_ОКВЭД_НР!$L$9 +
  SUMPRODUCT(ISNUMBER(SEARCH(","&amp;Справочник_ОКВЭД_НР!$C$3:$C$62&amp;".",","&amp;SUBSTITUTE(F835," ","")&amp;",")))*Справочник_ОКВЭД_НР!$L$10 +
  SUMPRODUCT(ISNUMBER(SEARCH(","&amp;Справочник_ОКВЭД_НР!$E$3:$E$62&amp;".",","&amp;SUBSTITUTE(F835," ","")&amp;",")))*Справочник_ОКВЭД_НР!$L$11 +
  SUMPRODUCT(ISNUMBER(SEARCH(","&amp;Справочник_ОКВЭД_НР!$G$3:$G$62&amp;".",","&amp;SUBSTITUTE(F835," ","")&amp;",")))*Справочник_ОКВЭД_НР!$L$12) /
 (SUMPRODUCT(ISNUMBER(SEARCH(","&amp;Справочник_ОКВЭД_НР!$A$3:$A$62&amp;".",","&amp;SUBSTITUTE(F835," ","")&amp;","))) +
  SUMPRODUCT(ISNUMBER(SEARCH(","&amp;Справочник_ОКВЭД_НР!$C$3:$C$62&amp;".",","&amp;SUBSTITUTE(F835," ","")&amp;","))) +
  SUMPRODUCT(ISNUMBER(SEARCH(","&amp;Справочник_ОКВЭД_НР!$E$3:$E$62&amp;".",","&amp;SUBSTITUTE(F835," ","")&amp;","))) +
  SUMPRODUCT(ISNUMBER(SEARCH(","&amp;Справочник_ОКВЭД_НР!$G$3:$G$62&amp;".",","&amp;SUBSTITUTE(F835," ","")&amp;",")))),
50)</f>
        <v>50</v>
      </c>
      <c r="K835" s="30">
        <f>IFERROR(VLOOKUP(G835,Справочник_ОКВЭД_НР!$O:$P,2,FALSE()),50)</f>
        <v>50</v>
      </c>
      <c r="L835" s="45">
        <f>(I835*Справочник_ОКВЭД_НР!$L$2+J835*Справочник_ОКВЭД_НР!$L$3+K835*Справочник_ОКВЭД_НР!$L$4)*M835</f>
        <v>38</v>
      </c>
      <c r="M835" s="47">
        <f>IF(COUNTIF(Справочник_ОКВЭД_НР!$G$3:$G$62,H835)&gt;0,0,1)</f>
        <v>1</v>
      </c>
    </row>
    <row r="836" spans="1:13" x14ac:dyDescent="0.25">
      <c r="A836" s="4">
        <f>ЛИК_дляСкорингаДП!A836</f>
        <v>1157746375720</v>
      </c>
      <c r="B836" s="4">
        <f>ЛИК_дляСкорингаДП!B836</f>
        <v>7718149850</v>
      </c>
      <c r="C836" s="4" t="str">
        <f>ЛИК_дляСкорингаДП!C836</f>
        <v>ООО "СПЕЦСТРОЙМОНТАЖ"</v>
      </c>
      <c r="D836" s="5" t="str">
        <f>ЛИК_дляСкорингаДП!M836</f>
        <v>Строительство жилых и нежилых зданий</v>
      </c>
      <c r="E836" s="4" t="str">
        <f>ЛИК_дляСкорингаДП!L836</f>
        <v>41.20</v>
      </c>
      <c r="F836" t="str">
        <f>ЛИК_дляСкорингаДП!N836</f>
        <v>43.11,43.12.3,43.13,43.21,43.22,43.29,43.31,43.32,43.33,43.34,43.39,43.91,43.99,43.99.1,46.11,46.12,46.13,46.14,46.15,46.16,46.17,46.18,46.19,46.73,46.74,46.75,46.76,46.77,49.10,49.20,49.31,49.4,50.10,50.20,50.30,50.40,51.10.1,51.21,51.21.1,52.10,52.21,52.22,52.23,52.24,52.29,71.1,71.12.5,71.12.6,77.11,77.31,77.32,77.34,77.35,77.39.11,77.39.2</v>
      </c>
      <c r="G836" s="25" t="str">
        <f>ЛИК_дляСкорингаДП!AG836</f>
        <v>УСН</v>
      </c>
      <c r="H836" s="55" t="str">
        <f>IF(ISNUMBER(E836),E836,
IFERROR(LEFT(E836,FIND(".",E836)-1),E836))</f>
        <v>41</v>
      </c>
      <c r="I836" s="30">
        <f>IF(COUNTIF(Справочник_ОКВЭД_НР!$A$3:$A$62,H836)&gt;0,Справочник_ОКВЭД_НР!$L$8,
 IF(COUNTIF(Справочник_ОКВЭД_НР!$C$3:$C$62,H836)&gt;0,Справочник_ОКВЭД_НР!$L$9,
  IF(COUNTIF(Справочник_ОКВЭД_НР!$E$3:$E$62,H836)&gt;0,Справочник_ОКВЭД_НР!$L$10,
   IF(COUNTIF(Справочник_ОКВЭД_НР!$G$3:$G$62,H836)&gt;0,Справочник_ОКВЭД_НР!$L$11,50))))</f>
        <v>100</v>
      </c>
      <c r="J836" s="30" cm="1">
        <f t="array" ref="J836">IFERROR(
 (SUMPRODUCT(ISNUMBER(SEARCH(","&amp;Справочник_ОКВЭД_НР!$A$3:$A$62&amp;".",","&amp;SUBSTITUTE(F836," ","")&amp;",")))*Справочник_ОКВЭД_НР!$L$9 +
  SUMPRODUCT(ISNUMBER(SEARCH(","&amp;Справочник_ОКВЭД_НР!$C$3:$C$62&amp;".",","&amp;SUBSTITUTE(F836," ","")&amp;",")))*Справочник_ОКВЭД_НР!$L$10 +
  SUMPRODUCT(ISNUMBER(SEARCH(","&amp;Справочник_ОКВЭД_НР!$E$3:$E$62&amp;".",","&amp;SUBSTITUTE(F836," ","")&amp;",")))*Справочник_ОКВЭД_НР!$L$11 +
  SUMPRODUCT(ISNUMBER(SEARCH(","&amp;Справочник_ОКВЭД_НР!$G$3:$G$62&amp;".",","&amp;SUBSTITUTE(F836," ","")&amp;",")))*Справочник_ОКВЭД_НР!$L$12) /
 (SUMPRODUCT(ISNUMBER(SEARCH(","&amp;Справочник_ОКВЭД_НР!$A$3:$A$62&amp;".",","&amp;SUBSTITUTE(F836," ","")&amp;","))) +
  SUMPRODUCT(ISNUMBER(SEARCH(","&amp;Справочник_ОКВЭД_НР!$C$3:$C$62&amp;".",","&amp;SUBSTITUTE(F836," ","")&amp;","))) +
  SUMPRODUCT(ISNUMBER(SEARCH(","&amp;Справочник_ОКВЭД_НР!$E$3:$E$62&amp;".",","&amp;SUBSTITUTE(F836," ","")&amp;","))) +
  SUMPRODUCT(ISNUMBER(SEARCH(","&amp;Справочник_ОКВЭД_НР!$G$3:$G$62&amp;".",","&amp;SUBSTITUTE(F836," ","")&amp;",")))),
50)</f>
        <v>50</v>
      </c>
      <c r="K836" s="30">
        <f>IFERROR(VLOOKUP(G836,Справочник_ОКВЭД_НР!$O:$P,2,FALSE()),50)</f>
        <v>50</v>
      </c>
      <c r="L836" s="45">
        <f>(I836*Справочник_ОКВЭД_НР!$L$2+J836*Справочник_ОКВЭД_НР!$L$3+K836*Справочник_ОКВЭД_НР!$L$4)*M836</f>
        <v>80</v>
      </c>
      <c r="M836" s="47">
        <f>IF(COUNTIF(Справочник_ОКВЭД_НР!$G$3:$G$62,H836)&gt;0,0,1)</f>
        <v>1</v>
      </c>
    </row>
    <row r="837" spans="1:13" x14ac:dyDescent="0.25">
      <c r="A837" s="4">
        <f>ЛИК_дляСкорингаДП!A837</f>
        <v>1025006520054</v>
      </c>
      <c r="B837" s="4">
        <f>ЛИК_дляСкорингаДП!B837</f>
        <v>5050040960</v>
      </c>
      <c r="C837" s="4" t="str">
        <f>ЛИК_дляСкорингаДП!C837</f>
        <v>ООО "ОМЕГА 2002"</v>
      </c>
      <c r="D837" s="5" t="str">
        <f>ЛИК_дляСкорингаДП!M837</f>
        <v>Деятельность гостиниц и прочих мест для временного проживания</v>
      </c>
      <c r="E837" s="4" t="str">
        <f>ЛИК_дляСкорингаДП!L837</f>
        <v>55.10</v>
      </c>
      <c r="F837" t="str">
        <f>ЛИК_дляСкорингаДП!N837</f>
        <v>46.3,47.2,47.22,47.25,47.29,56.10,56.10.1,56.10.3,56.30,68.20.2</v>
      </c>
      <c r="G837" s="25" t="str">
        <f>ЛИК_дляСкорингаДП!AG837</f>
        <v>УСН</v>
      </c>
      <c r="H837" s="55" t="str">
        <f>IF(ISNUMBER(E837),E837,
IFERROR(LEFT(E837,FIND(".",E837)-1),E837))</f>
        <v>55</v>
      </c>
      <c r="I837" s="30">
        <f>IF(COUNTIF(Справочник_ОКВЭД_НР!$A$3:$A$62,H837)&gt;0,Справочник_ОКВЭД_НР!$L$8,
 IF(COUNTIF(Справочник_ОКВЭД_НР!$C$3:$C$62,H837)&gt;0,Справочник_ОКВЭД_НР!$L$9,
  IF(COUNTIF(Справочник_ОКВЭД_НР!$E$3:$E$62,H837)&gt;0,Справочник_ОКВЭД_НР!$L$10,
   IF(COUNTIF(Справочник_ОКВЭД_НР!$G$3:$G$62,H837)&gt;0,Справочник_ОКВЭД_НР!$L$11,50))))</f>
        <v>30</v>
      </c>
      <c r="J837" s="30" cm="1">
        <f t="array" ref="J837">IFERROR(
 (SUMPRODUCT(ISNUMBER(SEARCH(","&amp;Справочник_ОКВЭД_НР!$A$3:$A$62&amp;".",","&amp;SUBSTITUTE(F837," ","")&amp;",")))*Справочник_ОКВЭД_НР!$L$9 +
  SUMPRODUCT(ISNUMBER(SEARCH(","&amp;Справочник_ОКВЭД_НР!$C$3:$C$62&amp;".",","&amp;SUBSTITUTE(F837," ","")&amp;",")))*Справочник_ОКВЭД_НР!$L$10 +
  SUMPRODUCT(ISNUMBER(SEARCH(","&amp;Справочник_ОКВЭД_НР!$E$3:$E$62&amp;".",","&amp;SUBSTITUTE(F837," ","")&amp;",")))*Справочник_ОКВЭД_НР!$L$11 +
  SUMPRODUCT(ISNUMBER(SEARCH(","&amp;Справочник_ОКВЭД_НР!$G$3:$G$62&amp;".",","&amp;SUBSTITUTE(F837," ","")&amp;",")))*Справочник_ОКВЭД_НР!$L$12) /
 (SUMPRODUCT(ISNUMBER(SEARCH(","&amp;Справочник_ОКВЭД_НР!$A$3:$A$62&amp;".",","&amp;SUBSTITUTE(F837," ","")&amp;","))) +
  SUMPRODUCT(ISNUMBER(SEARCH(","&amp;Справочник_ОКВЭД_НР!$C$3:$C$62&amp;".",","&amp;SUBSTITUTE(F837," ","")&amp;","))) +
  SUMPRODUCT(ISNUMBER(SEARCH(","&amp;Справочник_ОКВЭД_НР!$E$3:$E$62&amp;".",","&amp;SUBSTITUTE(F837," ","")&amp;","))) +
  SUMPRODUCT(ISNUMBER(SEARCH(","&amp;Справочник_ОКВЭД_НР!$G$3:$G$62&amp;".",","&amp;SUBSTITUTE(F837," ","")&amp;",")))),
50)</f>
        <v>50</v>
      </c>
      <c r="K837" s="30">
        <f>IFERROR(VLOOKUP(G837,Справочник_ОКВЭД_НР!$O:$P,2,FALSE()),50)</f>
        <v>50</v>
      </c>
      <c r="L837" s="45">
        <f>(I837*Справочник_ОКВЭД_НР!$L$2+J837*Справочник_ОКВЭД_НР!$L$3+K837*Справочник_ОКВЭД_НР!$L$4)*M837</f>
        <v>38</v>
      </c>
      <c r="M837" s="47">
        <f>IF(COUNTIF(Справочник_ОКВЭД_НР!$G$3:$G$62,H837)&gt;0,0,1)</f>
        <v>1</v>
      </c>
    </row>
    <row r="838" spans="1:13" x14ac:dyDescent="0.25">
      <c r="A838" s="4">
        <f>ЛИК_дляСкорингаДП!A838</f>
        <v>1157746431358</v>
      </c>
      <c r="B838" s="4">
        <f>ЛИК_дляСкорингаДП!B838</f>
        <v>7714339433</v>
      </c>
      <c r="C838" s="4" t="str">
        <f>ЛИК_дляСкорингаДП!C838</f>
        <v>ООО "СЕРВИСБЫТМАШ"</v>
      </c>
      <c r="D838" s="5" t="str">
        <f>ЛИК_дляСкорингаДП!M838</f>
        <v>Ремонт машин и оборудования</v>
      </c>
      <c r="E838" s="4" t="str">
        <f>ЛИК_дляСкорингаДП!L838</f>
        <v>33.12</v>
      </c>
      <c r="F838" t="str">
        <f>ЛИК_дляСкорингаДП!N838</f>
        <v>41.20,42.11,42.21,42.22.2,42.99,43.21,43.22,43.29,43.99.5,43.99.9,46.69.2,46.69.9,46.90,47.7,52.29,64.99,71.1,71.12.5,71.12.6</v>
      </c>
      <c r="G838" s="25" t="str">
        <f>ЛИК_дляСкорингаДП!AG838</f>
        <v>УСН</v>
      </c>
      <c r="H838" s="55" t="str">
        <f>IF(ISNUMBER(E838),E838,
IFERROR(LEFT(E838,FIND(".",E838)-1),E838))</f>
        <v>33</v>
      </c>
      <c r="I838" s="30">
        <f>IF(COUNTIF(Справочник_ОКВЭД_НР!$A$3:$A$62,H838)&gt;0,Справочник_ОКВЭД_НР!$L$8,
 IF(COUNTIF(Справочник_ОКВЭД_НР!$C$3:$C$62,H838)&gt;0,Справочник_ОКВЭД_НР!$L$9,
  IF(COUNTIF(Справочник_ОКВЭД_НР!$E$3:$E$62,H838)&gt;0,Справочник_ОКВЭД_НР!$L$10,
   IF(COUNTIF(Справочник_ОКВЭД_НР!$G$3:$G$62,H838)&gt;0,Справочник_ОКВЭД_НР!$L$11,50))))</f>
        <v>60</v>
      </c>
      <c r="J838" s="30" cm="1">
        <f t="array" ref="J838">IFERROR(
 (SUMPRODUCT(ISNUMBER(SEARCH(","&amp;Справочник_ОКВЭД_НР!$A$3:$A$62&amp;".",","&amp;SUBSTITUTE(F838," ","")&amp;",")))*Справочник_ОКВЭД_НР!$L$9 +
  SUMPRODUCT(ISNUMBER(SEARCH(","&amp;Справочник_ОКВЭД_НР!$C$3:$C$62&amp;".",","&amp;SUBSTITUTE(F838," ","")&amp;",")))*Справочник_ОКВЭД_НР!$L$10 +
  SUMPRODUCT(ISNUMBER(SEARCH(","&amp;Справочник_ОКВЭД_НР!$E$3:$E$62&amp;".",","&amp;SUBSTITUTE(F838," ","")&amp;",")))*Справочник_ОКВЭД_НР!$L$11 +
  SUMPRODUCT(ISNUMBER(SEARCH(","&amp;Справочник_ОКВЭД_НР!$G$3:$G$62&amp;".",","&amp;SUBSTITUTE(F838," ","")&amp;",")))*Справочник_ОКВЭД_НР!$L$12) /
 (SUMPRODUCT(ISNUMBER(SEARCH(","&amp;Справочник_ОКВЭД_НР!$A$3:$A$62&amp;".",","&amp;SUBSTITUTE(F838," ","")&amp;","))) +
  SUMPRODUCT(ISNUMBER(SEARCH(","&amp;Справочник_ОКВЭД_НР!$C$3:$C$62&amp;".",","&amp;SUBSTITUTE(F838," ","")&amp;","))) +
  SUMPRODUCT(ISNUMBER(SEARCH(","&amp;Справочник_ОКВЭД_НР!$E$3:$E$62&amp;".",","&amp;SUBSTITUTE(F838," ","")&amp;","))) +
  SUMPRODUCT(ISNUMBER(SEARCH(","&amp;Справочник_ОКВЭД_НР!$G$3:$G$62&amp;".",","&amp;SUBSTITUTE(F838," ","")&amp;",")))),
50)</f>
        <v>50</v>
      </c>
      <c r="K838" s="30">
        <f>IFERROR(VLOOKUP(G838,Справочник_ОКВЭД_НР!$O:$P,2,FALSE()),50)</f>
        <v>50</v>
      </c>
      <c r="L838" s="45">
        <f>(I838*Справочник_ОКВЭД_НР!$L$2+J838*Справочник_ОКВЭД_НР!$L$3+K838*Справочник_ОКВЭД_НР!$L$4)*M838</f>
        <v>56</v>
      </c>
      <c r="M838" s="47">
        <f>IF(COUNTIF(Справочник_ОКВЭД_НР!$G$3:$G$62,H838)&gt;0,0,1)</f>
        <v>1</v>
      </c>
    </row>
    <row r="839" spans="1:13" x14ac:dyDescent="0.25">
      <c r="A839" s="4">
        <f>ЛИК_дляСкорингаДП!A839</f>
        <v>1157746557946</v>
      </c>
      <c r="B839" s="4">
        <f>ЛИК_дляСкорингаДП!B839</f>
        <v>7701355036</v>
      </c>
      <c r="C839" s="4" t="str">
        <f>ЛИК_дляСкорингаДП!C839</f>
        <v>ООО "АРХОНТ КОНСАЛТИНГ"</v>
      </c>
      <c r="D839" s="5" t="str">
        <f>ЛИК_дляСкорингаДП!M839</f>
        <v>Предоставление посреднических услуг при оценке недвижимого имущества за вознаграждение или на договорной основе</v>
      </c>
      <c r="E839" s="4" t="str">
        <f>ЛИК_дляСкорингаДП!L839</f>
        <v>68.31.5</v>
      </c>
      <c r="F839" t="str">
        <f>ЛИК_дляСкорингаДП!N839</f>
        <v>68.31,70.22,73.20,82.99</v>
      </c>
      <c r="G839" s="25" t="str">
        <f>ЛИК_дляСкорингаДП!AG839</f>
        <v>УСН</v>
      </c>
      <c r="H839" s="55" t="str">
        <f>IF(ISNUMBER(E839),E839,
IFERROR(LEFT(E839,FIND(".",E839)-1),E839))</f>
        <v>68</v>
      </c>
      <c r="I839" s="30">
        <f>IF(COUNTIF(Справочник_ОКВЭД_НР!$A$3:$A$62,H839)&gt;0,Справочник_ОКВЭД_НР!$L$8,
 IF(COUNTIF(Справочник_ОКВЭД_НР!$C$3:$C$62,H839)&gt;0,Справочник_ОКВЭД_НР!$L$9,
  IF(COUNTIF(Справочник_ОКВЭД_НР!$E$3:$E$62,H839)&gt;0,Справочник_ОКВЭД_НР!$L$10,
   IF(COUNTIF(Справочник_ОКВЭД_НР!$G$3:$G$62,H839)&gt;0,Справочник_ОКВЭД_НР!$L$11,50))))</f>
        <v>100</v>
      </c>
      <c r="J839" s="30" cm="1">
        <f t="array" ref="J839">IFERROR(
 (SUMPRODUCT(ISNUMBER(SEARCH(","&amp;Справочник_ОКВЭД_НР!$A$3:$A$62&amp;".",","&amp;SUBSTITUTE(F839," ","")&amp;",")))*Справочник_ОКВЭД_НР!$L$9 +
  SUMPRODUCT(ISNUMBER(SEARCH(","&amp;Справочник_ОКВЭД_НР!$C$3:$C$62&amp;".",","&amp;SUBSTITUTE(F839," ","")&amp;",")))*Справочник_ОКВЭД_НР!$L$10 +
  SUMPRODUCT(ISNUMBER(SEARCH(","&amp;Справочник_ОКВЭД_НР!$E$3:$E$62&amp;".",","&amp;SUBSTITUTE(F839," ","")&amp;",")))*Справочник_ОКВЭД_НР!$L$11 +
  SUMPRODUCT(ISNUMBER(SEARCH(","&amp;Справочник_ОКВЭД_НР!$G$3:$G$62&amp;".",","&amp;SUBSTITUTE(F839," ","")&amp;",")))*Справочник_ОКВЭД_НР!$L$12) /
 (SUMPRODUCT(ISNUMBER(SEARCH(","&amp;Справочник_ОКВЭД_НР!$A$3:$A$62&amp;".",","&amp;SUBSTITUTE(F839," ","")&amp;","))) +
  SUMPRODUCT(ISNUMBER(SEARCH(","&amp;Справочник_ОКВЭД_НР!$C$3:$C$62&amp;".",","&amp;SUBSTITUTE(F839," ","")&amp;","))) +
  SUMPRODUCT(ISNUMBER(SEARCH(","&amp;Справочник_ОКВЭД_НР!$E$3:$E$62&amp;".",","&amp;SUBSTITUTE(F839," ","")&amp;","))) +
  SUMPRODUCT(ISNUMBER(SEARCH(","&amp;Справочник_ОКВЭД_НР!$G$3:$G$62&amp;".",","&amp;SUBSTITUTE(F839," ","")&amp;",")))),
50)</f>
        <v>50</v>
      </c>
      <c r="K839" s="30">
        <f>IFERROR(VLOOKUP(G839,Справочник_ОКВЭД_НР!$O:$P,2,FALSE()),50)</f>
        <v>50</v>
      </c>
      <c r="L839" s="45">
        <f>(I839*Справочник_ОКВЭД_НР!$L$2+J839*Справочник_ОКВЭД_НР!$L$3+K839*Справочник_ОКВЭД_НР!$L$4)*M839</f>
        <v>80</v>
      </c>
      <c r="M839" s="47">
        <f>IF(COUNTIF(Справочник_ОКВЭД_НР!$G$3:$G$62,H839)&gt;0,0,1)</f>
        <v>1</v>
      </c>
    </row>
    <row r="840" spans="1:13" x14ac:dyDescent="0.25">
      <c r="A840" s="4">
        <f>ЛИК_дляСкорингаДП!A840</f>
        <v>1157746359374</v>
      </c>
      <c r="B840" s="4">
        <f>ЛИК_дляСкорингаДП!B840</f>
        <v>7701330031</v>
      </c>
      <c r="C840" s="4" t="str">
        <f>ЛИК_дляСкорингаДП!C840</f>
        <v>ООО "АТОМСЕЙСМОПРОЕКТ"</v>
      </c>
      <c r="D840" s="5" t="str">
        <f>ЛИК_дляСкорингаДП!M840</f>
        <v>Технические испытания, исследования, анализ и сертификация</v>
      </c>
      <c r="E840" s="4" t="str">
        <f>ЛИК_дляСкорингаДП!L840</f>
        <v>71.20</v>
      </c>
      <c r="F840" t="str">
        <f>ЛИК_дляСкорингаДП!N840</f>
        <v>28.99,35.11.3,35.11.4,43.99.7,46.69,46.69.2,46.90,52.10,52.29,71.12,71.12.1,71.12.45,71.20.3,71.20.4,71.20.6,71.20.8,71.20.9,72.19,82.99</v>
      </c>
      <c r="G840" s="25" t="str">
        <f>ЛИК_дляСкорингаДП!AG840</f>
        <v>УСН</v>
      </c>
      <c r="H840" s="55" t="str">
        <f>IF(ISNUMBER(E840),E840,
IFERROR(LEFT(E840,FIND(".",E840)-1),E840))</f>
        <v>71</v>
      </c>
      <c r="I840" s="30">
        <f>IF(COUNTIF(Справочник_ОКВЭД_НР!$A$3:$A$62,H840)&gt;0,Справочник_ОКВЭД_НР!$L$8,
 IF(COUNTIF(Справочник_ОКВЭД_НР!$C$3:$C$62,H840)&gt;0,Справочник_ОКВЭД_НР!$L$9,
  IF(COUNTIF(Справочник_ОКВЭД_НР!$E$3:$E$62,H840)&gt;0,Справочник_ОКВЭД_НР!$L$10,
   IF(COUNTIF(Справочник_ОКВЭД_НР!$G$3:$G$62,H840)&gt;0,Справочник_ОКВЭД_НР!$L$11,50))))</f>
        <v>100</v>
      </c>
      <c r="J840" s="30" cm="1">
        <f t="array" ref="J840">IFERROR(
 (SUMPRODUCT(ISNUMBER(SEARCH(","&amp;Справочник_ОКВЭД_НР!$A$3:$A$62&amp;".",","&amp;SUBSTITUTE(F840," ","")&amp;",")))*Справочник_ОКВЭД_НР!$L$9 +
  SUMPRODUCT(ISNUMBER(SEARCH(","&amp;Справочник_ОКВЭД_НР!$C$3:$C$62&amp;".",","&amp;SUBSTITUTE(F840," ","")&amp;",")))*Справочник_ОКВЭД_НР!$L$10 +
  SUMPRODUCT(ISNUMBER(SEARCH(","&amp;Справочник_ОКВЭД_НР!$E$3:$E$62&amp;".",","&amp;SUBSTITUTE(F840," ","")&amp;",")))*Справочник_ОКВЭД_НР!$L$11 +
  SUMPRODUCT(ISNUMBER(SEARCH(","&amp;Справочник_ОКВЭД_НР!$G$3:$G$62&amp;".",","&amp;SUBSTITUTE(F840," ","")&amp;",")))*Справочник_ОКВЭД_НР!$L$12) /
 (SUMPRODUCT(ISNUMBER(SEARCH(","&amp;Справочник_ОКВЭД_НР!$A$3:$A$62&amp;".",","&amp;SUBSTITUTE(F840," ","")&amp;","))) +
  SUMPRODUCT(ISNUMBER(SEARCH(","&amp;Справочник_ОКВЭД_НР!$C$3:$C$62&amp;".",","&amp;SUBSTITUTE(F840," ","")&amp;","))) +
  SUMPRODUCT(ISNUMBER(SEARCH(","&amp;Справочник_ОКВЭД_НР!$E$3:$E$62&amp;".",","&amp;SUBSTITUTE(F840," ","")&amp;","))) +
  SUMPRODUCT(ISNUMBER(SEARCH(","&amp;Справочник_ОКВЭД_НР!$G$3:$G$62&amp;".",","&amp;SUBSTITUTE(F840," ","")&amp;",")))),
50)</f>
        <v>50</v>
      </c>
      <c r="K840" s="30">
        <f>IFERROR(VLOOKUP(G840,Справочник_ОКВЭД_НР!$O:$P,2,FALSE()),50)</f>
        <v>50</v>
      </c>
      <c r="L840" s="45">
        <f>(I840*Справочник_ОКВЭД_НР!$L$2+J840*Справочник_ОКВЭД_НР!$L$3+K840*Справочник_ОКВЭД_НР!$L$4)*M840</f>
        <v>80</v>
      </c>
      <c r="M840" s="47">
        <f>IF(COUNTIF(Справочник_ОКВЭД_НР!$G$3:$G$62,H840)&gt;0,0,1)</f>
        <v>1</v>
      </c>
    </row>
    <row r="841" spans="1:13" x14ac:dyDescent="0.25">
      <c r="A841" s="4">
        <f>ЛИК_дляСкорингаДП!A841</f>
        <v>1167746222874</v>
      </c>
      <c r="B841" s="4">
        <f>ЛИК_дляСкорингаДП!B841</f>
        <v>7728332484</v>
      </c>
      <c r="C841" s="4" t="str">
        <f>ЛИК_дляСкорингаДП!C841</f>
        <v>ООО "ФИЛИМЕД"</v>
      </c>
      <c r="D841" s="5" t="str">
        <f>ЛИК_дляСкорингаДП!M841</f>
        <v>Общая врачебная практика</v>
      </c>
      <c r="E841" s="4" t="str">
        <f>ЛИК_дляСкорингаДП!L841</f>
        <v>86.21</v>
      </c>
      <c r="F841" t="str">
        <f>ЛИК_дляСкорингаДП!N841</f>
        <v>86.10,86.23,86.90.9</v>
      </c>
      <c r="G841" s="25" t="str">
        <f>ЛИК_дляСкорингаДП!AG841</f>
        <v>УСН</v>
      </c>
      <c r="H841" s="55" t="str">
        <f>IF(ISNUMBER(E841),E841,
IFERROR(LEFT(E841,FIND(".",E841)-1),E841))</f>
        <v>86</v>
      </c>
      <c r="I841" s="30">
        <f>IF(COUNTIF(Справочник_ОКВЭД_НР!$A$3:$A$62,H841)&gt;0,Справочник_ОКВЭД_НР!$L$8,
 IF(COUNTIF(Справочник_ОКВЭД_НР!$C$3:$C$62,H841)&gt;0,Справочник_ОКВЭД_НР!$L$9,
  IF(COUNTIF(Справочник_ОКВЭД_НР!$E$3:$E$62,H841)&gt;0,Справочник_ОКВЭД_НР!$L$10,
   IF(COUNTIF(Справочник_ОКВЭД_НР!$G$3:$G$62,H841)&gt;0,Справочник_ОКВЭД_НР!$L$11,50))))</f>
        <v>100</v>
      </c>
      <c r="J841" s="30" cm="1">
        <f t="array" ref="J841">IFERROR(
 (SUMPRODUCT(ISNUMBER(SEARCH(","&amp;Справочник_ОКВЭД_НР!$A$3:$A$62&amp;".",","&amp;SUBSTITUTE(F841," ","")&amp;",")))*Справочник_ОКВЭД_НР!$L$9 +
  SUMPRODUCT(ISNUMBER(SEARCH(","&amp;Справочник_ОКВЭД_НР!$C$3:$C$62&amp;".",","&amp;SUBSTITUTE(F841," ","")&amp;",")))*Справочник_ОКВЭД_НР!$L$10 +
  SUMPRODUCT(ISNUMBER(SEARCH(","&amp;Справочник_ОКВЭД_НР!$E$3:$E$62&amp;".",","&amp;SUBSTITUTE(F841," ","")&amp;",")))*Справочник_ОКВЭД_НР!$L$11 +
  SUMPRODUCT(ISNUMBER(SEARCH(","&amp;Справочник_ОКВЭД_НР!$G$3:$G$62&amp;".",","&amp;SUBSTITUTE(F841," ","")&amp;",")))*Справочник_ОКВЭД_НР!$L$12) /
 (SUMPRODUCT(ISNUMBER(SEARCH(","&amp;Справочник_ОКВЭД_НР!$A$3:$A$62&amp;".",","&amp;SUBSTITUTE(F841," ","")&amp;","))) +
  SUMPRODUCT(ISNUMBER(SEARCH(","&amp;Справочник_ОКВЭД_НР!$C$3:$C$62&amp;".",","&amp;SUBSTITUTE(F841," ","")&amp;","))) +
  SUMPRODUCT(ISNUMBER(SEARCH(","&amp;Справочник_ОКВЭД_НР!$E$3:$E$62&amp;".",","&amp;SUBSTITUTE(F841," ","")&amp;","))) +
  SUMPRODUCT(ISNUMBER(SEARCH(","&amp;Справочник_ОКВЭД_НР!$G$3:$G$62&amp;".",","&amp;SUBSTITUTE(F841," ","")&amp;",")))),
50)</f>
        <v>50</v>
      </c>
      <c r="K841" s="30">
        <f>IFERROR(VLOOKUP(G841,Справочник_ОКВЭД_НР!$O:$P,2,FALSE()),50)</f>
        <v>50</v>
      </c>
      <c r="L841" s="45">
        <f>(I841*Справочник_ОКВЭД_НР!$L$2+J841*Справочник_ОКВЭД_НР!$L$3+K841*Справочник_ОКВЭД_НР!$L$4)*M841</f>
        <v>80</v>
      </c>
      <c r="M841" s="47">
        <f>IF(COUNTIF(Справочник_ОКВЭД_НР!$G$3:$G$62,H841)&gt;0,0,1)</f>
        <v>1</v>
      </c>
    </row>
    <row r="842" spans="1:13" x14ac:dyDescent="0.25">
      <c r="A842" s="4">
        <f>ЛИК_дляСкорингаДП!A842</f>
        <v>1157746417729</v>
      </c>
      <c r="B842" s="4">
        <f>ЛИК_дляСкорингаДП!B842</f>
        <v>7710495463</v>
      </c>
      <c r="C842" s="4" t="str">
        <f>ЛИК_дляСкорингаДП!C842</f>
        <v>ООО "БЮРО ПУТЕШЕСТВИЙ "НА СЕМИ ХОЛМАХ"</v>
      </c>
      <c r="D842" s="5" t="str">
        <f>ЛИК_дляСкорингаДП!M842</f>
        <v>Деятельность туристических агентств</v>
      </c>
      <c r="E842" s="4" t="str">
        <f>ЛИК_дляСкорингаДП!L842</f>
        <v>79.11</v>
      </c>
      <c r="F842" t="str">
        <f>ЛИК_дляСкорингаДП!N842</f>
        <v>68.31.12,68.31.22,68.31.32,68.31.42,79.90.1,79.90.2,79.90.3</v>
      </c>
      <c r="G842" s="25" t="str">
        <f>ЛИК_дляСкорингаДП!AG842</f>
        <v>УСН</v>
      </c>
      <c r="H842" s="55" t="str">
        <f>IF(ISNUMBER(E842),E842,
IFERROR(LEFT(E842,FIND(".",E842)-1),E842))</f>
        <v>79</v>
      </c>
      <c r="I842" s="30">
        <f>IF(COUNTIF(Справочник_ОКВЭД_НР!$A$3:$A$62,H842)&gt;0,Справочник_ОКВЭД_НР!$L$8,
 IF(COUNTIF(Справочник_ОКВЭД_НР!$C$3:$C$62,H842)&gt;0,Справочник_ОКВЭД_НР!$L$9,
  IF(COUNTIF(Справочник_ОКВЭД_НР!$E$3:$E$62,H842)&gt;0,Справочник_ОКВЭД_НР!$L$10,
   IF(COUNTIF(Справочник_ОКВЭД_НР!$G$3:$G$62,H842)&gt;0,Справочник_ОКВЭД_НР!$L$11,50))))</f>
        <v>30</v>
      </c>
      <c r="J842" s="30" cm="1">
        <f t="array" ref="J842">IFERROR(
 (SUMPRODUCT(ISNUMBER(SEARCH(","&amp;Справочник_ОКВЭД_НР!$A$3:$A$62&amp;".",","&amp;SUBSTITUTE(F842," ","")&amp;",")))*Справочник_ОКВЭД_НР!$L$9 +
  SUMPRODUCT(ISNUMBER(SEARCH(","&amp;Справочник_ОКВЭД_НР!$C$3:$C$62&amp;".",","&amp;SUBSTITUTE(F842," ","")&amp;",")))*Справочник_ОКВЭД_НР!$L$10 +
  SUMPRODUCT(ISNUMBER(SEARCH(","&amp;Справочник_ОКВЭД_НР!$E$3:$E$62&amp;".",","&amp;SUBSTITUTE(F842," ","")&amp;",")))*Справочник_ОКВЭД_НР!$L$11 +
  SUMPRODUCT(ISNUMBER(SEARCH(","&amp;Справочник_ОКВЭД_НР!$G$3:$G$62&amp;".",","&amp;SUBSTITUTE(F842," ","")&amp;",")))*Справочник_ОКВЭД_НР!$L$12) /
 (SUMPRODUCT(ISNUMBER(SEARCH(","&amp;Справочник_ОКВЭД_НР!$A$3:$A$62&amp;".",","&amp;SUBSTITUTE(F842," ","")&amp;","))) +
  SUMPRODUCT(ISNUMBER(SEARCH(","&amp;Справочник_ОКВЭД_НР!$C$3:$C$62&amp;".",","&amp;SUBSTITUTE(F842," ","")&amp;","))) +
  SUMPRODUCT(ISNUMBER(SEARCH(","&amp;Справочник_ОКВЭД_НР!$E$3:$E$62&amp;".",","&amp;SUBSTITUTE(F842," ","")&amp;","))) +
  SUMPRODUCT(ISNUMBER(SEARCH(","&amp;Справочник_ОКВЭД_НР!$G$3:$G$62&amp;".",","&amp;SUBSTITUTE(F842," ","")&amp;",")))),
50)</f>
        <v>50</v>
      </c>
      <c r="K842" s="30">
        <f>IFERROR(VLOOKUP(G842,Справочник_ОКВЭД_НР!$O:$P,2,FALSE()),50)</f>
        <v>50</v>
      </c>
      <c r="L842" s="45">
        <f>(I842*Справочник_ОКВЭД_НР!$L$2+J842*Справочник_ОКВЭД_НР!$L$3+K842*Справочник_ОКВЭД_НР!$L$4)*M842</f>
        <v>38</v>
      </c>
      <c r="M842" s="47">
        <f>IF(COUNTIF(Справочник_ОКВЭД_НР!$G$3:$G$62,H842)&gt;0,0,1)</f>
        <v>1</v>
      </c>
    </row>
    <row r="843" spans="1:13" x14ac:dyDescent="0.25">
      <c r="A843" s="4">
        <f>ЛИК_дляСкорингаДП!A843</f>
        <v>1025007270342</v>
      </c>
      <c r="B843" s="4">
        <f>ЛИК_дляСкорингаДП!B843</f>
        <v>5056001936</v>
      </c>
      <c r="C843" s="4" t="str">
        <f>ЛИК_дляСкорингаДП!C843</f>
        <v>"АГРОФИРМА "ФЛОРА" ООО</v>
      </c>
      <c r="D843" s="5" t="str">
        <f>ЛИК_дляСкорингаДП!M843</f>
        <v>Аренда и управление собственным или арендованным недвижимым имуществом</v>
      </c>
      <c r="E843" s="4" t="str">
        <f>ЛИК_дляСкорингаДП!L843</f>
        <v>68.20</v>
      </c>
      <c r="F843" t="str">
        <f>ЛИК_дляСкорингаДП!N843</f>
        <v>01.19,01.30,33.12,45.20,46.21,46.22,46.90,47.11,52.10,52.21.24,52.29,56.10,56.29,64.92,68.10</v>
      </c>
      <c r="G843" s="25" t="str">
        <f>ЛИК_дляСкорингаДП!AG843</f>
        <v>УСН</v>
      </c>
      <c r="H843" s="55" t="str">
        <f>IF(ISNUMBER(E843),E843,
IFERROR(LEFT(E843,FIND(".",E843)-1),E843))</f>
        <v>68</v>
      </c>
      <c r="I843" s="30">
        <f>IF(COUNTIF(Справочник_ОКВЭД_НР!$A$3:$A$62,H843)&gt;0,Справочник_ОКВЭД_НР!$L$8,
 IF(COUNTIF(Справочник_ОКВЭД_НР!$C$3:$C$62,H843)&gt;0,Справочник_ОКВЭД_НР!$L$9,
  IF(COUNTIF(Справочник_ОКВЭД_НР!$E$3:$E$62,H843)&gt;0,Справочник_ОКВЭД_НР!$L$10,
   IF(COUNTIF(Справочник_ОКВЭД_НР!$G$3:$G$62,H843)&gt;0,Справочник_ОКВЭД_НР!$L$11,50))))</f>
        <v>100</v>
      </c>
      <c r="J843" s="30" cm="1">
        <f t="array" ref="J843">IFERROR(
 (SUMPRODUCT(ISNUMBER(SEARCH(","&amp;Справочник_ОКВЭД_НР!$A$3:$A$62&amp;".",","&amp;SUBSTITUTE(F843," ","")&amp;",")))*Справочник_ОКВЭД_НР!$L$9 +
  SUMPRODUCT(ISNUMBER(SEARCH(","&amp;Справочник_ОКВЭД_НР!$C$3:$C$62&amp;".",","&amp;SUBSTITUTE(F843," ","")&amp;",")))*Справочник_ОКВЭД_НР!$L$10 +
  SUMPRODUCT(ISNUMBER(SEARCH(","&amp;Справочник_ОКВЭД_НР!$E$3:$E$62&amp;".",","&amp;SUBSTITUTE(F843," ","")&amp;",")))*Справочник_ОКВЭД_НР!$L$11 +
  SUMPRODUCT(ISNUMBER(SEARCH(","&amp;Справочник_ОКВЭД_НР!$G$3:$G$62&amp;".",","&amp;SUBSTITUTE(F843," ","")&amp;",")))*Справочник_ОКВЭД_НР!$L$12) /
 (SUMPRODUCT(ISNUMBER(SEARCH(","&amp;Справочник_ОКВЭД_НР!$A$3:$A$62&amp;".",","&amp;SUBSTITUTE(F843," ","")&amp;","))) +
  SUMPRODUCT(ISNUMBER(SEARCH(","&amp;Справочник_ОКВЭД_НР!$C$3:$C$62&amp;".",","&amp;SUBSTITUTE(F843," ","")&amp;","))) +
  SUMPRODUCT(ISNUMBER(SEARCH(","&amp;Справочник_ОКВЭД_НР!$E$3:$E$62&amp;".",","&amp;SUBSTITUTE(F843," ","")&amp;","))) +
  SUMPRODUCT(ISNUMBER(SEARCH(","&amp;Справочник_ОКВЭД_НР!$G$3:$G$62&amp;".",","&amp;SUBSTITUTE(F843," ","")&amp;",")))),
50)</f>
        <v>50</v>
      </c>
      <c r="K843" s="30">
        <f>IFERROR(VLOOKUP(G843,Справочник_ОКВЭД_НР!$O:$P,2,FALSE()),50)</f>
        <v>50</v>
      </c>
      <c r="L843" s="45">
        <f>(I843*Справочник_ОКВЭД_НР!$L$2+J843*Справочник_ОКВЭД_НР!$L$3+K843*Справочник_ОКВЭД_НР!$L$4)*M843</f>
        <v>80</v>
      </c>
      <c r="M843" s="47">
        <f>IF(COUNTIF(Справочник_ОКВЭД_НР!$G$3:$G$62,H843)&gt;0,0,1)</f>
        <v>1</v>
      </c>
    </row>
    <row r="844" spans="1:13" x14ac:dyDescent="0.25">
      <c r="A844" s="4">
        <f>ЛИК_дляСкорингаДП!A844</f>
        <v>1025006522232</v>
      </c>
      <c r="B844" s="4">
        <f>ЛИК_дляСкорингаДП!B844</f>
        <v>5050033530</v>
      </c>
      <c r="C844" s="4" t="str">
        <f>ЛИК_дляСкорингаДП!C844</f>
        <v>ООО "А-РЕНТА"</v>
      </c>
      <c r="D844" s="5" t="str">
        <f>ЛИК_дляСкорингаДП!M844</f>
        <v>Аренда и управление собственным или арендованным нежилым недвижимым имуществом</v>
      </c>
      <c r="E844" s="4" t="str">
        <f>ЛИК_дляСкорингаДП!L844</f>
        <v>68.20.2</v>
      </c>
      <c r="F844" t="str">
        <f>ЛИК_дляСкорингаДП!N844</f>
        <v>13.92,35.12,46.18,46.90,52.10.9,52.21.24,64.99.3,68.31,73.11,73.11.1,73.11.9,81.21,81.21.9,82.30,82.30.3,93.11,93.12,93.19,93.21,93.29,93.29.1,93.29.2,93.29.3</v>
      </c>
      <c r="G844" s="25" t="str">
        <f>ЛИК_дляСкорингаДП!AG844</f>
        <v>УСН</v>
      </c>
      <c r="H844" s="55" t="str">
        <f>IF(ISNUMBER(E844),E844,
IFERROR(LEFT(E844,FIND(".",E844)-1),E844))</f>
        <v>68</v>
      </c>
      <c r="I844" s="30">
        <f>IF(COUNTIF(Справочник_ОКВЭД_НР!$A$3:$A$62,H844)&gt;0,Справочник_ОКВЭД_НР!$L$8,
 IF(COUNTIF(Справочник_ОКВЭД_НР!$C$3:$C$62,H844)&gt;0,Справочник_ОКВЭД_НР!$L$9,
  IF(COUNTIF(Справочник_ОКВЭД_НР!$E$3:$E$62,H844)&gt;0,Справочник_ОКВЭД_НР!$L$10,
   IF(COUNTIF(Справочник_ОКВЭД_НР!$G$3:$G$62,H844)&gt;0,Справочник_ОКВЭД_НР!$L$11,50))))</f>
        <v>100</v>
      </c>
      <c r="J844" s="30" cm="1">
        <f t="array" ref="J844">IFERROR(
 (SUMPRODUCT(ISNUMBER(SEARCH(","&amp;Справочник_ОКВЭД_НР!$A$3:$A$62&amp;".",","&amp;SUBSTITUTE(F844," ","")&amp;",")))*Справочник_ОКВЭД_НР!$L$9 +
  SUMPRODUCT(ISNUMBER(SEARCH(","&amp;Справочник_ОКВЭД_НР!$C$3:$C$62&amp;".",","&amp;SUBSTITUTE(F844," ","")&amp;",")))*Справочник_ОКВЭД_НР!$L$10 +
  SUMPRODUCT(ISNUMBER(SEARCH(","&amp;Справочник_ОКВЭД_НР!$E$3:$E$62&amp;".",","&amp;SUBSTITUTE(F844," ","")&amp;",")))*Справочник_ОКВЭД_НР!$L$11 +
  SUMPRODUCT(ISNUMBER(SEARCH(","&amp;Справочник_ОКВЭД_НР!$G$3:$G$62&amp;".",","&amp;SUBSTITUTE(F844," ","")&amp;",")))*Справочник_ОКВЭД_НР!$L$12) /
 (SUMPRODUCT(ISNUMBER(SEARCH(","&amp;Справочник_ОКВЭД_НР!$A$3:$A$62&amp;".",","&amp;SUBSTITUTE(F844," ","")&amp;","))) +
  SUMPRODUCT(ISNUMBER(SEARCH(","&amp;Справочник_ОКВЭД_НР!$C$3:$C$62&amp;".",","&amp;SUBSTITUTE(F844," ","")&amp;","))) +
  SUMPRODUCT(ISNUMBER(SEARCH(","&amp;Справочник_ОКВЭД_НР!$E$3:$E$62&amp;".",","&amp;SUBSTITUTE(F844," ","")&amp;","))) +
  SUMPRODUCT(ISNUMBER(SEARCH(","&amp;Справочник_ОКВЭД_НР!$G$3:$G$62&amp;".",","&amp;SUBSTITUTE(F844," ","")&amp;",")))),
50)</f>
        <v>50</v>
      </c>
      <c r="K844" s="30">
        <f>IFERROR(VLOOKUP(G844,Справочник_ОКВЭД_НР!$O:$P,2,FALSE()),50)</f>
        <v>50</v>
      </c>
      <c r="L844" s="45">
        <f>(I844*Справочник_ОКВЭД_НР!$L$2+J844*Справочник_ОКВЭД_НР!$L$3+K844*Справочник_ОКВЭД_НР!$L$4)*M844</f>
        <v>80</v>
      </c>
      <c r="M844" s="47">
        <f>IF(COUNTIF(Справочник_ОКВЭД_НР!$G$3:$G$62,H844)&gt;0,0,1)</f>
        <v>1</v>
      </c>
    </row>
    <row r="845" spans="1:13" x14ac:dyDescent="0.25">
      <c r="A845" s="4">
        <f>ЛИК_дляСкорингаДП!A845</f>
        <v>1157746678715</v>
      </c>
      <c r="B845" s="4">
        <f>ЛИК_дляСкорингаДП!B845</f>
        <v>7734358681</v>
      </c>
      <c r="C845" s="4" t="str">
        <f>ЛИК_дляСкорингаДП!C845</f>
        <v>ООО "СПОРТ СИСТЕМ КОНСАЛТИНГ"</v>
      </c>
      <c r="D845" s="5" t="str">
        <f>ЛИК_дляСкорингаДП!M845</f>
        <v>Деятельность в области спорта прочая</v>
      </c>
      <c r="E845" s="4" t="str">
        <f>ЛИК_дляСкорингаДП!L845</f>
        <v>93.19</v>
      </c>
      <c r="F845" t="str">
        <f>ЛИК_дляСкорингаДП!N845</f>
        <v>46.49.43,47.64,47.71.5,47.71.8,47.99,73.11,77.21,85.41.1,85.42.9,87.90,93.11,93.29.2,93.29.9</v>
      </c>
      <c r="G845" s="25" t="str">
        <f>ЛИК_дляСкорингаДП!AG845</f>
        <v>УСН</v>
      </c>
      <c r="H845" s="55" t="str">
        <f>IF(ISNUMBER(E845),E845,
IFERROR(LEFT(E845,FIND(".",E845)-1),E845))</f>
        <v>93</v>
      </c>
      <c r="I845" s="30">
        <f>IF(COUNTIF(Справочник_ОКВЭД_НР!$A$3:$A$62,H845)&gt;0,Справочник_ОКВЭД_НР!$L$8,
 IF(COUNTIF(Справочник_ОКВЭД_НР!$C$3:$C$62,H845)&gt;0,Справочник_ОКВЭД_НР!$L$9,
  IF(COUNTIF(Справочник_ОКВЭД_НР!$E$3:$E$62,H845)&gt;0,Справочник_ОКВЭД_НР!$L$10,
   IF(COUNTIF(Справочник_ОКВЭД_НР!$G$3:$G$62,H845)&gt;0,Справочник_ОКВЭД_НР!$L$11,50))))</f>
        <v>30</v>
      </c>
      <c r="J845" s="30" cm="1">
        <f t="array" ref="J845">IFERROR(
 (SUMPRODUCT(ISNUMBER(SEARCH(","&amp;Справочник_ОКВЭД_НР!$A$3:$A$62&amp;".",","&amp;SUBSTITUTE(F845," ","")&amp;",")))*Справочник_ОКВЭД_НР!$L$9 +
  SUMPRODUCT(ISNUMBER(SEARCH(","&amp;Справочник_ОКВЭД_НР!$C$3:$C$62&amp;".",","&amp;SUBSTITUTE(F845," ","")&amp;",")))*Справочник_ОКВЭД_НР!$L$10 +
  SUMPRODUCT(ISNUMBER(SEARCH(","&amp;Справочник_ОКВЭД_НР!$E$3:$E$62&amp;".",","&amp;SUBSTITUTE(F845," ","")&amp;",")))*Справочник_ОКВЭД_НР!$L$11 +
  SUMPRODUCT(ISNUMBER(SEARCH(","&amp;Справочник_ОКВЭД_НР!$G$3:$G$62&amp;".",","&amp;SUBSTITUTE(F845," ","")&amp;",")))*Справочник_ОКВЭД_НР!$L$12) /
 (SUMPRODUCT(ISNUMBER(SEARCH(","&amp;Справочник_ОКВЭД_НР!$A$3:$A$62&amp;".",","&amp;SUBSTITUTE(F845," ","")&amp;","))) +
  SUMPRODUCT(ISNUMBER(SEARCH(","&amp;Справочник_ОКВЭД_НР!$C$3:$C$62&amp;".",","&amp;SUBSTITUTE(F845," ","")&amp;","))) +
  SUMPRODUCT(ISNUMBER(SEARCH(","&amp;Справочник_ОКВЭД_НР!$E$3:$E$62&amp;".",","&amp;SUBSTITUTE(F845," ","")&amp;","))) +
  SUMPRODUCT(ISNUMBER(SEARCH(","&amp;Справочник_ОКВЭД_НР!$G$3:$G$62&amp;".",","&amp;SUBSTITUTE(F845," ","")&amp;",")))),
50)</f>
        <v>50</v>
      </c>
      <c r="K845" s="30">
        <f>IFERROR(VLOOKUP(G845,Справочник_ОКВЭД_НР!$O:$P,2,FALSE()),50)</f>
        <v>50</v>
      </c>
      <c r="L845" s="45">
        <f>(I845*Справочник_ОКВЭД_НР!$L$2+J845*Справочник_ОКВЭД_НР!$L$3+K845*Справочник_ОКВЭД_НР!$L$4)*M845</f>
        <v>38</v>
      </c>
      <c r="M845" s="47">
        <f>IF(COUNTIF(Справочник_ОКВЭД_НР!$G$3:$G$62,H845)&gt;0,0,1)</f>
        <v>1</v>
      </c>
    </row>
    <row r="846" spans="1:13" x14ac:dyDescent="0.25">
      <c r="A846" s="4">
        <f>ЛИК_дляСкорингаДП!A846</f>
        <v>1157746620085</v>
      </c>
      <c r="B846" s="4">
        <f>ЛИК_дляСкорингаДП!B846</f>
        <v>7721327573</v>
      </c>
      <c r="C846" s="4" t="str">
        <f>ЛИК_дляСкорингаДП!C846</f>
        <v>ООО "ОПТИМУМ ТЕХНОЛОДЖИС"</v>
      </c>
      <c r="D846" s="5" t="str">
        <f>ЛИК_дляСкорингаДП!M846</f>
        <v>Разработка компьютерного программного обеспечения</v>
      </c>
      <c r="E846" s="4" t="str">
        <f>ЛИК_дляСкорингаДП!L846</f>
        <v>62.01</v>
      </c>
      <c r="F846" t="str">
        <f>ЛИК_дляСкорингаДП!N846</f>
        <v>46.51,46.90,62.02,62.09,63.11,63.11.1,95.11</v>
      </c>
      <c r="G846" s="25" t="str">
        <f>ЛИК_дляСкорингаДП!AG846</f>
        <v>УСН</v>
      </c>
      <c r="H846" s="55" t="str">
        <f>IF(ISNUMBER(E846),E846,
IFERROR(LEFT(E846,FIND(".",E846)-1),E846))</f>
        <v>62</v>
      </c>
      <c r="I846" s="30">
        <f>IF(COUNTIF(Справочник_ОКВЭД_НР!$A$3:$A$62,H846)&gt;0,Справочник_ОКВЭД_НР!$L$8,
 IF(COUNTIF(Справочник_ОКВЭД_НР!$C$3:$C$62,H846)&gt;0,Справочник_ОКВЭД_НР!$L$9,
  IF(COUNTIF(Справочник_ОКВЭД_НР!$E$3:$E$62,H846)&gt;0,Справочник_ОКВЭД_НР!$L$10,
   IF(COUNTIF(Справочник_ОКВЭД_НР!$G$3:$G$62,H846)&gt;0,Справочник_ОКВЭД_НР!$L$11,50))))</f>
        <v>100</v>
      </c>
      <c r="J846" s="30" cm="1">
        <f t="array" ref="J846">IFERROR(
 (SUMPRODUCT(ISNUMBER(SEARCH(","&amp;Справочник_ОКВЭД_НР!$A$3:$A$62&amp;".",","&amp;SUBSTITUTE(F846," ","")&amp;",")))*Справочник_ОКВЭД_НР!$L$9 +
  SUMPRODUCT(ISNUMBER(SEARCH(","&amp;Справочник_ОКВЭД_НР!$C$3:$C$62&amp;".",","&amp;SUBSTITUTE(F846," ","")&amp;",")))*Справочник_ОКВЭД_НР!$L$10 +
  SUMPRODUCT(ISNUMBER(SEARCH(","&amp;Справочник_ОКВЭД_НР!$E$3:$E$62&amp;".",","&amp;SUBSTITUTE(F846," ","")&amp;",")))*Справочник_ОКВЭД_НР!$L$11 +
  SUMPRODUCT(ISNUMBER(SEARCH(","&amp;Справочник_ОКВЭД_НР!$G$3:$G$62&amp;".",","&amp;SUBSTITUTE(F846," ","")&amp;",")))*Справочник_ОКВЭД_НР!$L$12) /
 (SUMPRODUCT(ISNUMBER(SEARCH(","&amp;Справочник_ОКВЭД_НР!$A$3:$A$62&amp;".",","&amp;SUBSTITUTE(F846," ","")&amp;","))) +
  SUMPRODUCT(ISNUMBER(SEARCH(","&amp;Справочник_ОКВЭД_НР!$C$3:$C$62&amp;".",","&amp;SUBSTITUTE(F846," ","")&amp;","))) +
  SUMPRODUCT(ISNUMBER(SEARCH(","&amp;Справочник_ОКВЭД_НР!$E$3:$E$62&amp;".",","&amp;SUBSTITUTE(F846," ","")&amp;","))) +
  SUMPRODUCT(ISNUMBER(SEARCH(","&amp;Справочник_ОКВЭД_НР!$G$3:$G$62&amp;".",","&amp;SUBSTITUTE(F846," ","")&amp;",")))),
50)</f>
        <v>50</v>
      </c>
      <c r="K846" s="30">
        <f>IFERROR(VLOOKUP(G846,Справочник_ОКВЭД_НР!$O:$P,2,FALSE()),50)</f>
        <v>50</v>
      </c>
      <c r="L846" s="45">
        <f>(I846*Справочник_ОКВЭД_НР!$L$2+J846*Справочник_ОКВЭД_НР!$L$3+K846*Справочник_ОКВЭД_НР!$L$4)*M846</f>
        <v>80</v>
      </c>
      <c r="M846" s="47">
        <f>IF(COUNTIF(Справочник_ОКВЭД_НР!$G$3:$G$62,H846)&gt;0,0,1)</f>
        <v>1</v>
      </c>
    </row>
    <row r="847" spans="1:13" x14ac:dyDescent="0.25">
      <c r="A847" s="4">
        <f>ЛИК_дляСкорингаДП!A847</f>
        <v>1157746758443</v>
      </c>
      <c r="B847" s="4">
        <f>ЛИК_дляСкорингаДП!B847</f>
        <v>7722337221</v>
      </c>
      <c r="C847" s="4" t="str">
        <f>ЛИК_дляСкорингаДП!C847</f>
        <v>ООО "ФАРЕР +"</v>
      </c>
      <c r="D847" s="5" t="str">
        <f>ЛИК_дляСкорингаДП!M847</f>
        <v>Деятельность прочего сухопутного пассажирского транспорта</v>
      </c>
      <c r="E847" s="4" t="str">
        <f>ЛИК_дляСкорингаДП!L847</f>
        <v>49.3</v>
      </c>
      <c r="F847" t="str">
        <f>ЛИК_дляСкорингаДП!N847</f>
        <v>43.31,43.32,43.33,43.34,43.39,45.1,45.20,45.3,49.31,49.32,49.4,52.10.2,52.21.2,52.29,55.10,56.10.1,56.29,69.10,69.20,70.10.1,70.10.2,70.22,73.11,73.20,79.11,79.90.3</v>
      </c>
      <c r="G847" s="25" t="str">
        <f>ЛИК_дляСкорингаДП!AG847</f>
        <v>УСН</v>
      </c>
      <c r="H847" s="55" t="str">
        <f>IF(ISNUMBER(E847),E847,
IFERROR(LEFT(E847,FIND(".",E847)-1),E847))</f>
        <v>49</v>
      </c>
      <c r="I847" s="30">
        <f>IF(COUNTIF(Справочник_ОКВЭД_НР!$A$3:$A$62,H847)&gt;0,Справочник_ОКВЭД_НР!$L$8,
 IF(COUNTIF(Справочник_ОКВЭД_НР!$C$3:$C$62,H847)&gt;0,Справочник_ОКВЭД_НР!$L$9,
  IF(COUNTIF(Справочник_ОКВЭД_НР!$E$3:$E$62,H847)&gt;0,Справочник_ОКВЭД_НР!$L$10,
   IF(COUNTIF(Справочник_ОКВЭД_НР!$G$3:$G$62,H847)&gt;0,Справочник_ОКВЭД_НР!$L$11,50))))</f>
        <v>60</v>
      </c>
      <c r="J847" s="30" cm="1">
        <f t="array" ref="J847">IFERROR(
 (SUMPRODUCT(ISNUMBER(SEARCH(","&amp;Справочник_ОКВЭД_НР!$A$3:$A$62&amp;".",","&amp;SUBSTITUTE(F847," ","")&amp;",")))*Справочник_ОКВЭД_НР!$L$9 +
  SUMPRODUCT(ISNUMBER(SEARCH(","&amp;Справочник_ОКВЭД_НР!$C$3:$C$62&amp;".",","&amp;SUBSTITUTE(F847," ","")&amp;",")))*Справочник_ОКВЭД_НР!$L$10 +
  SUMPRODUCT(ISNUMBER(SEARCH(","&amp;Справочник_ОКВЭД_НР!$E$3:$E$62&amp;".",","&amp;SUBSTITUTE(F847," ","")&amp;",")))*Справочник_ОКВЭД_НР!$L$11 +
  SUMPRODUCT(ISNUMBER(SEARCH(","&amp;Справочник_ОКВЭД_НР!$G$3:$G$62&amp;".",","&amp;SUBSTITUTE(F847," ","")&amp;",")))*Справочник_ОКВЭД_НР!$L$12) /
 (SUMPRODUCT(ISNUMBER(SEARCH(","&amp;Справочник_ОКВЭД_НР!$A$3:$A$62&amp;".",","&amp;SUBSTITUTE(F847," ","")&amp;","))) +
  SUMPRODUCT(ISNUMBER(SEARCH(","&amp;Справочник_ОКВЭД_НР!$C$3:$C$62&amp;".",","&amp;SUBSTITUTE(F847," ","")&amp;","))) +
  SUMPRODUCT(ISNUMBER(SEARCH(","&amp;Справочник_ОКВЭД_НР!$E$3:$E$62&amp;".",","&amp;SUBSTITUTE(F847," ","")&amp;","))) +
  SUMPRODUCT(ISNUMBER(SEARCH(","&amp;Справочник_ОКВЭД_НР!$G$3:$G$62&amp;".",","&amp;SUBSTITUTE(F847," ","")&amp;",")))),
50)</f>
        <v>50</v>
      </c>
      <c r="K847" s="30">
        <f>IFERROR(VLOOKUP(G847,Справочник_ОКВЭД_НР!$O:$P,2,FALSE()),50)</f>
        <v>50</v>
      </c>
      <c r="L847" s="45">
        <f>(I847*Справочник_ОКВЭД_НР!$L$2+J847*Справочник_ОКВЭД_НР!$L$3+K847*Справочник_ОКВЭД_НР!$L$4)*M847</f>
        <v>56</v>
      </c>
      <c r="M847" s="47">
        <f>IF(COUNTIF(Справочник_ОКВЭД_НР!$G$3:$G$62,H847)&gt;0,0,1)</f>
        <v>1</v>
      </c>
    </row>
    <row r="848" spans="1:13" x14ac:dyDescent="0.25">
      <c r="A848" s="4">
        <f>ЛИК_дляСкорингаДП!A848</f>
        <v>1157746635397</v>
      </c>
      <c r="B848" s="4">
        <f>ЛИК_дляСкорингаДП!B848</f>
        <v>7716799041</v>
      </c>
      <c r="C848" s="4" t="str">
        <f>ЛИК_дляСкорингаДП!C848</f>
        <v>ООО "ДАЙМОНД ТУР"</v>
      </c>
      <c r="D848" s="5" t="str">
        <f>ЛИК_дляСкорингаДП!M848</f>
        <v>Деятельность туристических агентств</v>
      </c>
      <c r="E848" s="4" t="str">
        <f>ЛИК_дляСкорингаДП!L848</f>
        <v>79.11</v>
      </c>
      <c r="F848" t="str">
        <f>ЛИК_дляСкорингаДП!N848</f>
        <v>79.90.1,79.90.2,79.90.3</v>
      </c>
      <c r="G848" s="25" t="str">
        <f>ЛИК_дляСкорингаДП!AG848</f>
        <v>УСН</v>
      </c>
      <c r="H848" s="55" t="str">
        <f>IF(ISNUMBER(E848),E848,
IFERROR(LEFT(E848,FIND(".",E848)-1),E848))</f>
        <v>79</v>
      </c>
      <c r="I848" s="30">
        <f>IF(COUNTIF(Справочник_ОКВЭД_НР!$A$3:$A$62,H848)&gt;0,Справочник_ОКВЭД_НР!$L$8,
 IF(COUNTIF(Справочник_ОКВЭД_НР!$C$3:$C$62,H848)&gt;0,Справочник_ОКВЭД_НР!$L$9,
  IF(COUNTIF(Справочник_ОКВЭД_НР!$E$3:$E$62,H848)&gt;0,Справочник_ОКВЭД_НР!$L$10,
   IF(COUNTIF(Справочник_ОКВЭД_НР!$G$3:$G$62,H848)&gt;0,Справочник_ОКВЭД_НР!$L$11,50))))</f>
        <v>30</v>
      </c>
      <c r="J848" s="30" cm="1">
        <f t="array" ref="J848">IFERROR(
 (SUMPRODUCT(ISNUMBER(SEARCH(","&amp;Справочник_ОКВЭД_НР!$A$3:$A$62&amp;".",","&amp;SUBSTITUTE(F848," ","")&amp;",")))*Справочник_ОКВЭД_НР!$L$9 +
  SUMPRODUCT(ISNUMBER(SEARCH(","&amp;Справочник_ОКВЭД_НР!$C$3:$C$62&amp;".",","&amp;SUBSTITUTE(F848," ","")&amp;",")))*Справочник_ОКВЭД_НР!$L$10 +
  SUMPRODUCT(ISNUMBER(SEARCH(","&amp;Справочник_ОКВЭД_НР!$E$3:$E$62&amp;".",","&amp;SUBSTITUTE(F848," ","")&amp;",")))*Справочник_ОКВЭД_НР!$L$11 +
  SUMPRODUCT(ISNUMBER(SEARCH(","&amp;Справочник_ОКВЭД_НР!$G$3:$G$62&amp;".",","&amp;SUBSTITUTE(F848," ","")&amp;",")))*Справочник_ОКВЭД_НР!$L$12) /
 (SUMPRODUCT(ISNUMBER(SEARCH(","&amp;Справочник_ОКВЭД_НР!$A$3:$A$62&amp;".",","&amp;SUBSTITUTE(F848," ","")&amp;","))) +
  SUMPRODUCT(ISNUMBER(SEARCH(","&amp;Справочник_ОКВЭД_НР!$C$3:$C$62&amp;".",","&amp;SUBSTITUTE(F848," ","")&amp;","))) +
  SUMPRODUCT(ISNUMBER(SEARCH(","&amp;Справочник_ОКВЭД_НР!$E$3:$E$62&amp;".",","&amp;SUBSTITUTE(F848," ","")&amp;","))) +
  SUMPRODUCT(ISNUMBER(SEARCH(","&amp;Справочник_ОКВЭД_НР!$G$3:$G$62&amp;".",","&amp;SUBSTITUTE(F848," ","")&amp;",")))),
50)</f>
        <v>50</v>
      </c>
      <c r="K848" s="30">
        <f>IFERROR(VLOOKUP(G848,Справочник_ОКВЭД_НР!$O:$P,2,FALSE()),50)</f>
        <v>50</v>
      </c>
      <c r="L848" s="45">
        <f>(I848*Справочник_ОКВЭД_НР!$L$2+J848*Справочник_ОКВЭД_НР!$L$3+K848*Справочник_ОКВЭД_НР!$L$4)*M848</f>
        <v>38</v>
      </c>
      <c r="M848" s="47">
        <f>IF(COUNTIF(Справочник_ОКВЭД_НР!$G$3:$G$62,H848)&gt;0,0,1)</f>
        <v>1</v>
      </c>
    </row>
    <row r="849" spans="1:13" x14ac:dyDescent="0.25">
      <c r="A849" s="4">
        <f>ЛИК_дляСкорингаДП!A849</f>
        <v>1157746737488</v>
      </c>
      <c r="B849" s="4">
        <f>ЛИК_дляСкорингаДП!B849</f>
        <v>7709465383</v>
      </c>
      <c r="C849" s="4" t="str">
        <f>ЛИК_дляСкорингаДП!C849</f>
        <v>ООО "З ДЕНТ"</v>
      </c>
      <c r="D849" s="5" t="str">
        <f>ЛИК_дляСкорингаДП!M849</f>
        <v>Стоматологическая практика</v>
      </c>
      <c r="E849" s="4" t="str">
        <f>ЛИК_дляСкорингаДП!L849</f>
        <v>86.23</v>
      </c>
      <c r="F849" t="str">
        <f>ЛИК_дляСкорингаДП!N849</f>
        <v>18.12,18.20,19.10,20.42,20.59,21.10,21.20,32.50,33.13,47.73,47.74,47.75,47.9,47.99,52.10,52.29,53.20.3,58.19,62.01,62.02,68.10,68.20,77.29.9,77.33,77.39.2,77.39.26,86.10,86.21,86.90.9,88.10,93.11,93.19,93.29,93.29.9,94.11,96.02,96.04,96.09</v>
      </c>
      <c r="G849" s="25" t="str">
        <f>ЛИК_дляСкорингаДП!AG849</f>
        <v>УСН</v>
      </c>
      <c r="H849" s="55" t="str">
        <f>IF(ISNUMBER(E849),E849,
IFERROR(LEFT(E849,FIND(".",E849)-1),E849))</f>
        <v>86</v>
      </c>
      <c r="I849" s="30">
        <f>IF(COUNTIF(Справочник_ОКВЭД_НР!$A$3:$A$62,H849)&gt;0,Справочник_ОКВЭД_НР!$L$8,
 IF(COUNTIF(Справочник_ОКВЭД_НР!$C$3:$C$62,H849)&gt;0,Справочник_ОКВЭД_НР!$L$9,
  IF(COUNTIF(Справочник_ОКВЭД_НР!$E$3:$E$62,H849)&gt;0,Справочник_ОКВЭД_НР!$L$10,
   IF(COUNTIF(Справочник_ОКВЭД_НР!$G$3:$G$62,H849)&gt;0,Справочник_ОКВЭД_НР!$L$11,50))))</f>
        <v>100</v>
      </c>
      <c r="J849" s="30" cm="1">
        <f t="array" ref="J849">IFERROR(
 (SUMPRODUCT(ISNUMBER(SEARCH(","&amp;Справочник_ОКВЭД_НР!$A$3:$A$62&amp;".",","&amp;SUBSTITUTE(F849," ","")&amp;",")))*Справочник_ОКВЭД_НР!$L$9 +
  SUMPRODUCT(ISNUMBER(SEARCH(","&amp;Справочник_ОКВЭД_НР!$C$3:$C$62&amp;".",","&amp;SUBSTITUTE(F849," ","")&amp;",")))*Справочник_ОКВЭД_НР!$L$10 +
  SUMPRODUCT(ISNUMBER(SEARCH(","&amp;Справочник_ОКВЭД_НР!$E$3:$E$62&amp;".",","&amp;SUBSTITUTE(F849," ","")&amp;",")))*Справочник_ОКВЭД_НР!$L$11 +
  SUMPRODUCT(ISNUMBER(SEARCH(","&amp;Справочник_ОКВЭД_НР!$G$3:$G$62&amp;".",","&amp;SUBSTITUTE(F849," ","")&amp;",")))*Справочник_ОКВЭД_НР!$L$12) /
 (SUMPRODUCT(ISNUMBER(SEARCH(","&amp;Справочник_ОКВЭД_НР!$A$3:$A$62&amp;".",","&amp;SUBSTITUTE(F849," ","")&amp;","))) +
  SUMPRODUCT(ISNUMBER(SEARCH(","&amp;Справочник_ОКВЭД_НР!$C$3:$C$62&amp;".",","&amp;SUBSTITUTE(F849," ","")&amp;","))) +
  SUMPRODUCT(ISNUMBER(SEARCH(","&amp;Справочник_ОКВЭД_НР!$E$3:$E$62&amp;".",","&amp;SUBSTITUTE(F849," ","")&amp;","))) +
  SUMPRODUCT(ISNUMBER(SEARCH(","&amp;Справочник_ОКВЭД_НР!$G$3:$G$62&amp;".",","&amp;SUBSTITUTE(F849," ","")&amp;",")))),
50)</f>
        <v>50</v>
      </c>
      <c r="K849" s="30">
        <f>IFERROR(VLOOKUP(G849,Справочник_ОКВЭД_НР!$O:$P,2,FALSE()),50)</f>
        <v>50</v>
      </c>
      <c r="L849" s="45">
        <f>(I849*Справочник_ОКВЭД_НР!$L$2+J849*Справочник_ОКВЭД_НР!$L$3+K849*Справочник_ОКВЭД_НР!$L$4)*M849</f>
        <v>80</v>
      </c>
      <c r="M849" s="47">
        <f>IF(COUNTIF(Справочник_ОКВЭД_НР!$G$3:$G$62,H849)&gt;0,0,1)</f>
        <v>1</v>
      </c>
    </row>
    <row r="850" spans="1:13" x14ac:dyDescent="0.25">
      <c r="A850" s="4">
        <f>ЛИК_дляСкорингаДП!A850</f>
        <v>1157746653657</v>
      </c>
      <c r="B850" s="4">
        <f>ЛИК_дляСкорингаДП!B850</f>
        <v>9701001464</v>
      </c>
      <c r="C850" s="4" t="str">
        <f>ЛИК_дляСкорингаДП!C850</f>
        <v>ООО "КИМЧИ 2015"</v>
      </c>
      <c r="D850" s="5" t="str">
        <f>ЛИК_дляСкорингаДП!M850</f>
        <v>Деятельность ресторанов и услуги по доставке продуктов питания</v>
      </c>
      <c r="E850" s="4" t="str">
        <f>ЛИК_дляСкорингаДП!L850</f>
        <v>56.10</v>
      </c>
      <c r="F850" t="str">
        <f>ЛИК_дляСкорингаДП!N850</f>
        <v>56.10.1,56.10.3</v>
      </c>
      <c r="G850" s="25" t="str">
        <f>ЛИК_дляСкорингаДП!AG850</f>
        <v>УСН</v>
      </c>
      <c r="H850" s="55" t="str">
        <f>IF(ISNUMBER(E850),E850,
IFERROR(LEFT(E850,FIND(".",E850)-1),E850))</f>
        <v>56</v>
      </c>
      <c r="I850" s="30">
        <f>IF(COUNTIF(Справочник_ОКВЭД_НР!$A$3:$A$62,H850)&gt;0,Справочник_ОКВЭД_НР!$L$8,
 IF(COUNTIF(Справочник_ОКВЭД_НР!$C$3:$C$62,H850)&gt;0,Справочник_ОКВЭД_НР!$L$9,
  IF(COUNTIF(Справочник_ОКВЭД_НР!$E$3:$E$62,H850)&gt;0,Справочник_ОКВЭД_НР!$L$10,
   IF(COUNTIF(Справочник_ОКВЭД_НР!$G$3:$G$62,H850)&gt;0,Справочник_ОКВЭД_НР!$L$11,50))))</f>
        <v>30</v>
      </c>
      <c r="J850" s="30" cm="1">
        <f t="array" ref="J850">IFERROR(
 (SUMPRODUCT(ISNUMBER(SEARCH(","&amp;Справочник_ОКВЭД_НР!$A$3:$A$62&amp;".",","&amp;SUBSTITUTE(F850," ","")&amp;",")))*Справочник_ОКВЭД_НР!$L$9 +
  SUMPRODUCT(ISNUMBER(SEARCH(","&amp;Справочник_ОКВЭД_НР!$C$3:$C$62&amp;".",","&amp;SUBSTITUTE(F850," ","")&amp;",")))*Справочник_ОКВЭД_НР!$L$10 +
  SUMPRODUCT(ISNUMBER(SEARCH(","&amp;Справочник_ОКВЭД_НР!$E$3:$E$62&amp;".",","&amp;SUBSTITUTE(F850," ","")&amp;",")))*Справочник_ОКВЭД_НР!$L$11 +
  SUMPRODUCT(ISNUMBER(SEARCH(","&amp;Справочник_ОКВЭД_НР!$G$3:$G$62&amp;".",","&amp;SUBSTITUTE(F850," ","")&amp;",")))*Справочник_ОКВЭД_НР!$L$12) /
 (SUMPRODUCT(ISNUMBER(SEARCH(","&amp;Справочник_ОКВЭД_НР!$A$3:$A$62&amp;".",","&amp;SUBSTITUTE(F850," ","")&amp;","))) +
  SUMPRODUCT(ISNUMBER(SEARCH(","&amp;Справочник_ОКВЭД_НР!$C$3:$C$62&amp;".",","&amp;SUBSTITUTE(F850," ","")&amp;","))) +
  SUMPRODUCT(ISNUMBER(SEARCH(","&amp;Справочник_ОКВЭД_НР!$E$3:$E$62&amp;".",","&amp;SUBSTITUTE(F850," ","")&amp;","))) +
  SUMPRODUCT(ISNUMBER(SEARCH(","&amp;Справочник_ОКВЭД_НР!$G$3:$G$62&amp;".",","&amp;SUBSTITUTE(F850," ","")&amp;",")))),
50)</f>
        <v>50</v>
      </c>
      <c r="K850" s="30">
        <f>IFERROR(VLOOKUP(G850,Справочник_ОКВЭД_НР!$O:$P,2,FALSE()),50)</f>
        <v>50</v>
      </c>
      <c r="L850" s="45">
        <f>(I850*Справочник_ОКВЭД_НР!$L$2+J850*Справочник_ОКВЭД_НР!$L$3+K850*Справочник_ОКВЭД_НР!$L$4)*M850</f>
        <v>38</v>
      </c>
      <c r="M850" s="47">
        <f>IF(COUNTIF(Справочник_ОКВЭД_НР!$G$3:$G$62,H850)&gt;0,0,1)</f>
        <v>1</v>
      </c>
    </row>
    <row r="851" spans="1:13" x14ac:dyDescent="0.25">
      <c r="A851" s="4">
        <f>ЛИК_дляСкорингаДП!A851</f>
        <v>1157746719701</v>
      </c>
      <c r="B851" s="4">
        <f>ЛИК_дляСкорингаДП!B851</f>
        <v>7729470092</v>
      </c>
      <c r="C851" s="4" t="str">
        <f>ЛИК_дляСкорингаДП!C851</f>
        <v>ООО "АПК"</v>
      </c>
      <c r="D851" s="5" t="str">
        <f>ЛИК_дляСкорингаДП!M851</f>
        <v>Деятельность в области архитектуры</v>
      </c>
      <c r="E851" s="4" t="str">
        <f>ЛИК_дляСкорингаДП!L851</f>
        <v>71.11</v>
      </c>
      <c r="F851" t="str">
        <f>ЛИК_дляСкорингаДП!N851</f>
        <v>71.1,71.11.1,71.12.1,71.12.5,71.12.6,82.99</v>
      </c>
      <c r="G851" s="25" t="str">
        <f>ЛИК_дляСкорингаДП!AG851</f>
        <v>УСН</v>
      </c>
      <c r="H851" s="55" t="str">
        <f>IF(ISNUMBER(E851),E851,
IFERROR(LEFT(E851,FIND(".",E851)-1),E851))</f>
        <v>71</v>
      </c>
      <c r="I851" s="30">
        <f>IF(COUNTIF(Справочник_ОКВЭД_НР!$A$3:$A$62,H851)&gt;0,Справочник_ОКВЭД_НР!$L$8,
 IF(COUNTIF(Справочник_ОКВЭД_НР!$C$3:$C$62,H851)&gt;0,Справочник_ОКВЭД_НР!$L$9,
  IF(COUNTIF(Справочник_ОКВЭД_НР!$E$3:$E$62,H851)&gt;0,Справочник_ОКВЭД_НР!$L$10,
   IF(COUNTIF(Справочник_ОКВЭД_НР!$G$3:$G$62,H851)&gt;0,Справочник_ОКВЭД_НР!$L$11,50))))</f>
        <v>100</v>
      </c>
      <c r="J851" s="30" cm="1">
        <f t="array" ref="J851">IFERROR(
 (SUMPRODUCT(ISNUMBER(SEARCH(","&amp;Справочник_ОКВЭД_НР!$A$3:$A$62&amp;".",","&amp;SUBSTITUTE(F851," ","")&amp;",")))*Справочник_ОКВЭД_НР!$L$9 +
  SUMPRODUCT(ISNUMBER(SEARCH(","&amp;Справочник_ОКВЭД_НР!$C$3:$C$62&amp;".",","&amp;SUBSTITUTE(F851," ","")&amp;",")))*Справочник_ОКВЭД_НР!$L$10 +
  SUMPRODUCT(ISNUMBER(SEARCH(","&amp;Справочник_ОКВЭД_НР!$E$3:$E$62&amp;".",","&amp;SUBSTITUTE(F851," ","")&amp;",")))*Справочник_ОКВЭД_НР!$L$11 +
  SUMPRODUCT(ISNUMBER(SEARCH(","&amp;Справочник_ОКВЭД_НР!$G$3:$G$62&amp;".",","&amp;SUBSTITUTE(F851," ","")&amp;",")))*Справочник_ОКВЭД_НР!$L$12) /
 (SUMPRODUCT(ISNUMBER(SEARCH(","&amp;Справочник_ОКВЭД_НР!$A$3:$A$62&amp;".",","&amp;SUBSTITUTE(F851," ","")&amp;","))) +
  SUMPRODUCT(ISNUMBER(SEARCH(","&amp;Справочник_ОКВЭД_НР!$C$3:$C$62&amp;".",","&amp;SUBSTITUTE(F851," ","")&amp;","))) +
  SUMPRODUCT(ISNUMBER(SEARCH(","&amp;Справочник_ОКВЭД_НР!$E$3:$E$62&amp;".",","&amp;SUBSTITUTE(F851," ","")&amp;","))) +
  SUMPRODUCT(ISNUMBER(SEARCH(","&amp;Справочник_ОКВЭД_НР!$G$3:$G$62&amp;".",","&amp;SUBSTITUTE(F851," ","")&amp;",")))),
50)</f>
        <v>50</v>
      </c>
      <c r="K851" s="30">
        <f>IFERROR(VLOOKUP(G851,Справочник_ОКВЭД_НР!$O:$P,2,FALSE()),50)</f>
        <v>50</v>
      </c>
      <c r="L851" s="45">
        <f>(I851*Справочник_ОКВЭД_НР!$L$2+J851*Справочник_ОКВЭД_НР!$L$3+K851*Справочник_ОКВЭД_НР!$L$4)*M851</f>
        <v>80</v>
      </c>
      <c r="M851" s="47">
        <f>IF(COUNTIF(Справочник_ОКВЭД_НР!$G$3:$G$62,H851)&gt;0,0,1)</f>
        <v>1</v>
      </c>
    </row>
    <row r="852" spans="1:13" x14ac:dyDescent="0.25">
      <c r="A852" s="4">
        <f>ЛИК_дляСкорингаДП!A852</f>
        <v>1025007771953</v>
      </c>
      <c r="B852" s="4">
        <f>ЛИК_дляСкорингаДП!B852</f>
        <v>5077014679</v>
      </c>
      <c r="C852" s="4" t="str">
        <f>ЛИК_дляСкорингаДП!C852</f>
        <v>ООО "ТЕХНОСТРОЙ 2002"</v>
      </c>
      <c r="D852" s="5" t="str">
        <f>ЛИК_дляСкорингаДП!M852</f>
        <v>Подготовка строительной площадки</v>
      </c>
      <c r="E852" s="4" t="str">
        <f>ЛИК_дляСкорингаДП!L852</f>
        <v>43.12</v>
      </c>
      <c r="F852" t="str">
        <f>ЛИК_дляСкорингаДП!N852</f>
        <v>41.20,43.2,43.3,43.39,43.91,43.99,45.20,45.3,47.52.3,47.52.7,47.7,61.10,69,73.11,81.10,81.21,81.22,81.29,81.29.2,81.29.9,81.30</v>
      </c>
      <c r="G852" s="25" t="str">
        <f>ЛИК_дляСкорингаДП!AG852</f>
        <v>УСН</v>
      </c>
      <c r="H852" s="55" t="str">
        <f>IF(ISNUMBER(E852),E852,
IFERROR(LEFT(E852,FIND(".",E852)-1),E852))</f>
        <v>43</v>
      </c>
      <c r="I852" s="30">
        <f>IF(COUNTIF(Справочник_ОКВЭД_НР!$A$3:$A$62,H852)&gt;0,Справочник_ОКВЭД_НР!$L$8,
 IF(COUNTIF(Справочник_ОКВЭД_НР!$C$3:$C$62,H852)&gt;0,Справочник_ОКВЭД_НР!$L$9,
  IF(COUNTIF(Справочник_ОКВЭД_НР!$E$3:$E$62,H852)&gt;0,Справочник_ОКВЭД_НР!$L$10,
   IF(COUNTIF(Справочник_ОКВЭД_НР!$G$3:$G$62,H852)&gt;0,Справочник_ОКВЭД_НР!$L$11,50))))</f>
        <v>100</v>
      </c>
      <c r="J852" s="30" cm="1">
        <f t="array" ref="J852">IFERROR(
 (SUMPRODUCT(ISNUMBER(SEARCH(","&amp;Справочник_ОКВЭД_НР!$A$3:$A$62&amp;".",","&amp;SUBSTITUTE(F852," ","")&amp;",")))*Справочник_ОКВЭД_НР!$L$9 +
  SUMPRODUCT(ISNUMBER(SEARCH(","&amp;Справочник_ОКВЭД_НР!$C$3:$C$62&amp;".",","&amp;SUBSTITUTE(F852," ","")&amp;",")))*Справочник_ОКВЭД_НР!$L$10 +
  SUMPRODUCT(ISNUMBER(SEARCH(","&amp;Справочник_ОКВЭД_НР!$E$3:$E$62&amp;".",","&amp;SUBSTITUTE(F852," ","")&amp;",")))*Справочник_ОКВЭД_НР!$L$11 +
  SUMPRODUCT(ISNUMBER(SEARCH(","&amp;Справочник_ОКВЭД_НР!$G$3:$G$62&amp;".",","&amp;SUBSTITUTE(F852," ","")&amp;",")))*Справочник_ОКВЭД_НР!$L$12) /
 (SUMPRODUCT(ISNUMBER(SEARCH(","&amp;Справочник_ОКВЭД_НР!$A$3:$A$62&amp;".",","&amp;SUBSTITUTE(F852," ","")&amp;","))) +
  SUMPRODUCT(ISNUMBER(SEARCH(","&amp;Справочник_ОКВЭД_НР!$C$3:$C$62&amp;".",","&amp;SUBSTITUTE(F852," ","")&amp;","))) +
  SUMPRODUCT(ISNUMBER(SEARCH(","&amp;Справочник_ОКВЭД_НР!$E$3:$E$62&amp;".",","&amp;SUBSTITUTE(F852," ","")&amp;","))) +
  SUMPRODUCT(ISNUMBER(SEARCH(","&amp;Справочник_ОКВЭД_НР!$G$3:$G$62&amp;".",","&amp;SUBSTITUTE(F852," ","")&amp;",")))),
50)</f>
        <v>50</v>
      </c>
      <c r="K852" s="30">
        <f>IFERROR(VLOOKUP(G852,Справочник_ОКВЭД_НР!$O:$P,2,FALSE()),50)</f>
        <v>50</v>
      </c>
      <c r="L852" s="45">
        <f>(I852*Справочник_ОКВЭД_НР!$L$2+J852*Справочник_ОКВЭД_НР!$L$3+K852*Справочник_ОКВЭД_НР!$L$4)*M852</f>
        <v>80</v>
      </c>
      <c r="M852" s="47">
        <f>IF(COUNTIF(Справочник_ОКВЭД_НР!$G$3:$G$62,H852)&gt;0,0,1)</f>
        <v>1</v>
      </c>
    </row>
    <row r="853" spans="1:13" x14ac:dyDescent="0.25">
      <c r="A853" s="4">
        <f>ЛИК_дляСкорингаДП!A853</f>
        <v>1157746737598</v>
      </c>
      <c r="B853" s="4">
        <f>ЛИК_дляСкорингаДП!B853</f>
        <v>7721339480</v>
      </c>
      <c r="C853" s="4" t="str">
        <f>ЛИК_дляСкорингаДП!C853</f>
        <v>ООО "РАЦИОНЪ"</v>
      </c>
      <c r="D853" s="5" t="str">
        <f>ЛИК_дляСкорингаДП!M853</f>
        <v>Деятельность ресторанов и кафе с полным ресторанным обслуживанием, кафетериев, ресторанов быстрого питания и самообслуживания</v>
      </c>
      <c r="E853" s="4" t="str">
        <f>ЛИК_дляСкорингаДП!L853</f>
        <v>56.10.1</v>
      </c>
      <c r="F853" t="str">
        <f>ЛИК_дляСкорингаДП!N853</f>
        <v>10.13,10.20,10.39,17.29,18.12,22.29,25.99,32.30,46.31,46.31.11,46.32,46.32.3,46.33,46.62,46.69,46.73,46.90,47.21,47.22,47.23,47.24,55.10,56.10.3,56.29,56.30,66.2,74.20,77.21,81.22,81.30,82.19,82.99,93.12</v>
      </c>
      <c r="G853" s="25" t="str">
        <f>ЛИК_дляСкорингаДП!AG853</f>
        <v>УСН</v>
      </c>
      <c r="H853" s="55" t="str">
        <f>IF(ISNUMBER(E853),E853,
IFERROR(LEFT(E853,FIND(".",E853)-1),E853))</f>
        <v>56</v>
      </c>
      <c r="I853" s="30">
        <f>IF(COUNTIF(Справочник_ОКВЭД_НР!$A$3:$A$62,H853)&gt;0,Справочник_ОКВЭД_НР!$L$8,
 IF(COUNTIF(Справочник_ОКВЭД_НР!$C$3:$C$62,H853)&gt;0,Справочник_ОКВЭД_НР!$L$9,
  IF(COUNTIF(Справочник_ОКВЭД_НР!$E$3:$E$62,H853)&gt;0,Справочник_ОКВЭД_НР!$L$10,
   IF(COUNTIF(Справочник_ОКВЭД_НР!$G$3:$G$62,H853)&gt;0,Справочник_ОКВЭД_НР!$L$11,50))))</f>
        <v>30</v>
      </c>
      <c r="J853" s="30" cm="1">
        <f t="array" ref="J853">IFERROR(
 (SUMPRODUCT(ISNUMBER(SEARCH(","&amp;Справочник_ОКВЭД_НР!$A$3:$A$62&amp;".",","&amp;SUBSTITUTE(F853," ","")&amp;",")))*Справочник_ОКВЭД_НР!$L$9 +
  SUMPRODUCT(ISNUMBER(SEARCH(","&amp;Справочник_ОКВЭД_НР!$C$3:$C$62&amp;".",","&amp;SUBSTITUTE(F853," ","")&amp;",")))*Справочник_ОКВЭД_НР!$L$10 +
  SUMPRODUCT(ISNUMBER(SEARCH(","&amp;Справочник_ОКВЭД_НР!$E$3:$E$62&amp;".",","&amp;SUBSTITUTE(F853," ","")&amp;",")))*Справочник_ОКВЭД_НР!$L$11 +
  SUMPRODUCT(ISNUMBER(SEARCH(","&amp;Справочник_ОКВЭД_НР!$G$3:$G$62&amp;".",","&amp;SUBSTITUTE(F853," ","")&amp;",")))*Справочник_ОКВЭД_НР!$L$12) /
 (SUMPRODUCT(ISNUMBER(SEARCH(","&amp;Справочник_ОКВЭД_НР!$A$3:$A$62&amp;".",","&amp;SUBSTITUTE(F853," ","")&amp;","))) +
  SUMPRODUCT(ISNUMBER(SEARCH(","&amp;Справочник_ОКВЭД_НР!$C$3:$C$62&amp;".",","&amp;SUBSTITUTE(F853," ","")&amp;","))) +
  SUMPRODUCT(ISNUMBER(SEARCH(","&amp;Справочник_ОКВЭД_НР!$E$3:$E$62&amp;".",","&amp;SUBSTITUTE(F853," ","")&amp;","))) +
  SUMPRODUCT(ISNUMBER(SEARCH(","&amp;Справочник_ОКВЭД_НР!$G$3:$G$62&amp;".",","&amp;SUBSTITUTE(F853," ","")&amp;",")))),
50)</f>
        <v>50</v>
      </c>
      <c r="K853" s="30">
        <f>IFERROR(VLOOKUP(G853,Справочник_ОКВЭД_НР!$O:$P,2,FALSE()),50)</f>
        <v>50</v>
      </c>
      <c r="L853" s="45">
        <f>(I853*Справочник_ОКВЭД_НР!$L$2+J853*Справочник_ОКВЭД_НР!$L$3+K853*Справочник_ОКВЭД_НР!$L$4)*M853</f>
        <v>38</v>
      </c>
      <c r="M853" s="47">
        <f>IF(COUNTIF(Справочник_ОКВЭД_НР!$G$3:$G$62,H853)&gt;0,0,1)</f>
        <v>1</v>
      </c>
    </row>
    <row r="854" spans="1:13" x14ac:dyDescent="0.25">
      <c r="A854" s="4">
        <f>ЛИК_дляСкорингаДП!A854</f>
        <v>1067746651147</v>
      </c>
      <c r="B854" s="4">
        <f>ЛИК_дляСкорингаДП!B854</f>
        <v>7727577717</v>
      </c>
      <c r="C854" s="4" t="str">
        <f>ЛИК_дляСкорингаДП!C854</f>
        <v>ООО "АВАНТИС"</v>
      </c>
      <c r="D854" s="5" t="str">
        <f>ЛИК_дляСкорингаДП!M854</f>
        <v>Стоматологическая практика</v>
      </c>
      <c r="E854" s="4" t="str">
        <f>ЛИК_дляСкорингаДП!L854</f>
        <v>86.23</v>
      </c>
      <c r="F854" t="str">
        <f>ЛИК_дляСкорингаДП!N854</f>
        <v>21.10,21.20,26.7,32.50,46.45.1,46.46,47.73,47.74,47.9,82.99,86.10,86.21,86.90.9,86.90.9</v>
      </c>
      <c r="G854" s="25" t="str">
        <f>ЛИК_дляСкорингаДП!AG854</f>
        <v>УСН</v>
      </c>
      <c r="H854" s="55" t="str">
        <f>IF(ISNUMBER(E854),E854,
IFERROR(LEFT(E854,FIND(".",E854)-1),E854))</f>
        <v>86</v>
      </c>
      <c r="I854" s="30">
        <f>IF(COUNTIF(Справочник_ОКВЭД_НР!$A$3:$A$62,H854)&gt;0,Справочник_ОКВЭД_НР!$L$8,
 IF(COUNTIF(Справочник_ОКВЭД_НР!$C$3:$C$62,H854)&gt;0,Справочник_ОКВЭД_НР!$L$9,
  IF(COUNTIF(Справочник_ОКВЭД_НР!$E$3:$E$62,H854)&gt;0,Справочник_ОКВЭД_НР!$L$10,
   IF(COUNTIF(Справочник_ОКВЭД_НР!$G$3:$G$62,H854)&gt;0,Справочник_ОКВЭД_НР!$L$11,50))))</f>
        <v>100</v>
      </c>
      <c r="J854" s="30" cm="1">
        <f t="array" ref="J854">IFERROR(
 (SUMPRODUCT(ISNUMBER(SEARCH(","&amp;Справочник_ОКВЭД_НР!$A$3:$A$62&amp;".",","&amp;SUBSTITUTE(F854," ","")&amp;",")))*Справочник_ОКВЭД_НР!$L$9 +
  SUMPRODUCT(ISNUMBER(SEARCH(","&amp;Справочник_ОКВЭД_НР!$C$3:$C$62&amp;".",","&amp;SUBSTITUTE(F854," ","")&amp;",")))*Справочник_ОКВЭД_НР!$L$10 +
  SUMPRODUCT(ISNUMBER(SEARCH(","&amp;Справочник_ОКВЭД_НР!$E$3:$E$62&amp;".",","&amp;SUBSTITUTE(F854," ","")&amp;",")))*Справочник_ОКВЭД_НР!$L$11 +
  SUMPRODUCT(ISNUMBER(SEARCH(","&amp;Справочник_ОКВЭД_НР!$G$3:$G$62&amp;".",","&amp;SUBSTITUTE(F854," ","")&amp;",")))*Справочник_ОКВЭД_НР!$L$12) /
 (SUMPRODUCT(ISNUMBER(SEARCH(","&amp;Справочник_ОКВЭД_НР!$A$3:$A$62&amp;".",","&amp;SUBSTITUTE(F854," ","")&amp;","))) +
  SUMPRODUCT(ISNUMBER(SEARCH(","&amp;Справочник_ОКВЭД_НР!$C$3:$C$62&amp;".",","&amp;SUBSTITUTE(F854," ","")&amp;","))) +
  SUMPRODUCT(ISNUMBER(SEARCH(","&amp;Справочник_ОКВЭД_НР!$E$3:$E$62&amp;".",","&amp;SUBSTITUTE(F854," ","")&amp;","))) +
  SUMPRODUCT(ISNUMBER(SEARCH(","&amp;Справочник_ОКВЭД_НР!$G$3:$G$62&amp;".",","&amp;SUBSTITUTE(F854," ","")&amp;",")))),
50)</f>
        <v>50</v>
      </c>
      <c r="K854" s="30">
        <f>IFERROR(VLOOKUP(G854,Справочник_ОКВЭД_НР!$O:$P,2,FALSE()),50)</f>
        <v>50</v>
      </c>
      <c r="L854" s="45">
        <f>(I854*Справочник_ОКВЭД_НР!$L$2+J854*Справочник_ОКВЭД_НР!$L$3+K854*Справочник_ОКВЭД_НР!$L$4)*M854</f>
        <v>80</v>
      </c>
      <c r="M854" s="47">
        <f>IF(COUNTIF(Справочник_ОКВЭД_НР!$G$3:$G$62,H854)&gt;0,0,1)</f>
        <v>1</v>
      </c>
    </row>
    <row r="855" spans="1:13" x14ac:dyDescent="0.25">
      <c r="A855" s="4">
        <f>ЛИК_дляСкорингаДП!A855</f>
        <v>1157746701749</v>
      </c>
      <c r="B855" s="4">
        <f>ЛИК_дляСкорингаДП!B855</f>
        <v>7743113222</v>
      </c>
      <c r="C855" s="4" t="str">
        <f>ЛИК_дляСкорингаДП!C855</f>
        <v>ООО "СПЕЦМОНТАЖ СМ"</v>
      </c>
      <c r="D855" s="5" t="str">
        <f>ЛИК_дляСкорингаДП!M855</f>
        <v>Деятельность систем обеспечения безопасности</v>
      </c>
      <c r="E855" s="4" t="str">
        <f>ЛИК_дляСкорингаДП!L855</f>
        <v>80.20</v>
      </c>
      <c r="F855" t="str">
        <f>ЛИК_дляСкорингаДП!N855</f>
        <v>27.90,32.99.9,33.13,33.20,42.21,42.22.2,42.99,43.21,43.29,46.90,47.59.9,47.9,61.10.9,62.01,62.02,62.09,63.11.1,71.20.9,72.19,73.11,95.12</v>
      </c>
      <c r="G855" s="25" t="str">
        <f>ЛИК_дляСкорингаДП!AG855</f>
        <v>УСН</v>
      </c>
      <c r="H855" s="55" t="str">
        <f>IF(ISNUMBER(E855),E855,
IFERROR(LEFT(E855,FIND(".",E855)-1),E855))</f>
        <v>80</v>
      </c>
      <c r="I855" s="30">
        <f>IF(COUNTIF(Справочник_ОКВЭД_НР!$A$3:$A$62,H855)&gt;0,Справочник_ОКВЭД_НР!$L$8,
 IF(COUNTIF(Справочник_ОКВЭД_НР!$C$3:$C$62,H855)&gt;0,Справочник_ОКВЭД_НР!$L$9,
  IF(COUNTIF(Справочник_ОКВЭД_НР!$E$3:$E$62,H855)&gt;0,Справочник_ОКВЭД_НР!$L$10,
   IF(COUNTIF(Справочник_ОКВЭД_НР!$G$3:$G$62,H855)&gt;0,Справочник_ОКВЭД_НР!$L$11,50))))</f>
        <v>30</v>
      </c>
      <c r="J855" s="30" cm="1">
        <f t="array" ref="J855">IFERROR(
 (SUMPRODUCT(ISNUMBER(SEARCH(","&amp;Справочник_ОКВЭД_НР!$A$3:$A$62&amp;".",","&amp;SUBSTITUTE(F855," ","")&amp;",")))*Справочник_ОКВЭД_НР!$L$9 +
  SUMPRODUCT(ISNUMBER(SEARCH(","&amp;Справочник_ОКВЭД_НР!$C$3:$C$62&amp;".",","&amp;SUBSTITUTE(F855," ","")&amp;",")))*Справочник_ОКВЭД_НР!$L$10 +
  SUMPRODUCT(ISNUMBER(SEARCH(","&amp;Справочник_ОКВЭД_НР!$E$3:$E$62&amp;".",","&amp;SUBSTITUTE(F855," ","")&amp;",")))*Справочник_ОКВЭД_НР!$L$11 +
  SUMPRODUCT(ISNUMBER(SEARCH(","&amp;Справочник_ОКВЭД_НР!$G$3:$G$62&amp;".",","&amp;SUBSTITUTE(F855," ","")&amp;",")))*Справочник_ОКВЭД_НР!$L$12) /
 (SUMPRODUCT(ISNUMBER(SEARCH(","&amp;Справочник_ОКВЭД_НР!$A$3:$A$62&amp;".",","&amp;SUBSTITUTE(F855," ","")&amp;","))) +
  SUMPRODUCT(ISNUMBER(SEARCH(","&amp;Справочник_ОКВЭД_НР!$C$3:$C$62&amp;".",","&amp;SUBSTITUTE(F855," ","")&amp;","))) +
  SUMPRODUCT(ISNUMBER(SEARCH(","&amp;Справочник_ОКВЭД_НР!$E$3:$E$62&amp;".",","&amp;SUBSTITUTE(F855," ","")&amp;","))) +
  SUMPRODUCT(ISNUMBER(SEARCH(","&amp;Справочник_ОКВЭД_НР!$G$3:$G$62&amp;".",","&amp;SUBSTITUTE(F855," ","")&amp;",")))),
50)</f>
        <v>50</v>
      </c>
      <c r="K855" s="30">
        <f>IFERROR(VLOOKUP(G855,Справочник_ОКВЭД_НР!$O:$P,2,FALSE()),50)</f>
        <v>50</v>
      </c>
      <c r="L855" s="45">
        <f>(I855*Справочник_ОКВЭД_НР!$L$2+J855*Справочник_ОКВЭД_НР!$L$3+K855*Справочник_ОКВЭД_НР!$L$4)*M855</f>
        <v>38</v>
      </c>
      <c r="M855" s="47">
        <f>IF(COUNTIF(Справочник_ОКВЭД_НР!$G$3:$G$62,H855)&gt;0,0,1)</f>
        <v>1</v>
      </c>
    </row>
    <row r="856" spans="1:13" x14ac:dyDescent="0.25">
      <c r="A856" s="4">
        <f>ЛИК_дляСкорингаДП!A856</f>
        <v>1157746648080</v>
      </c>
      <c r="B856" s="4">
        <f>ЛИК_дляСкорингаДП!B856</f>
        <v>7730178688</v>
      </c>
      <c r="C856" s="4" t="str">
        <f>ЛИК_дляСкорингаДП!C856</f>
        <v>ООО "БАХУС"</v>
      </c>
      <c r="D856" s="5" t="str">
        <f>ЛИК_дляСкорингаДП!M856</f>
        <v>Деятельность ресторанов и услуги по доставке продуктов питания</v>
      </c>
      <c r="E856" s="4" t="str">
        <f>ЛИК_дляСкорингаДП!L856</f>
        <v>56.10</v>
      </c>
      <c r="F856" t="str">
        <f>ЛИК_дляСкорингаДП!N856</f>
        <v>47.25,47.25.1,47.26,47.29,56.10.1,56.10.3,56.29,56.29,56.30,73.11</v>
      </c>
      <c r="G856" s="25" t="str">
        <f>ЛИК_дляСкорингаДП!AG856</f>
        <v>УСН</v>
      </c>
      <c r="H856" s="55" t="str">
        <f>IF(ISNUMBER(E856),E856,
IFERROR(LEFT(E856,FIND(".",E856)-1),E856))</f>
        <v>56</v>
      </c>
      <c r="I856" s="30">
        <f>IF(COUNTIF(Справочник_ОКВЭД_НР!$A$3:$A$62,H856)&gt;0,Справочник_ОКВЭД_НР!$L$8,
 IF(COUNTIF(Справочник_ОКВЭД_НР!$C$3:$C$62,H856)&gt;0,Справочник_ОКВЭД_НР!$L$9,
  IF(COUNTIF(Справочник_ОКВЭД_НР!$E$3:$E$62,H856)&gt;0,Справочник_ОКВЭД_НР!$L$10,
   IF(COUNTIF(Справочник_ОКВЭД_НР!$G$3:$G$62,H856)&gt;0,Справочник_ОКВЭД_НР!$L$11,50))))</f>
        <v>30</v>
      </c>
      <c r="J856" s="30" cm="1">
        <f t="array" ref="J856">IFERROR(
 (SUMPRODUCT(ISNUMBER(SEARCH(","&amp;Справочник_ОКВЭД_НР!$A$3:$A$62&amp;".",","&amp;SUBSTITUTE(F856," ","")&amp;",")))*Справочник_ОКВЭД_НР!$L$9 +
  SUMPRODUCT(ISNUMBER(SEARCH(","&amp;Справочник_ОКВЭД_НР!$C$3:$C$62&amp;".",","&amp;SUBSTITUTE(F856," ","")&amp;",")))*Справочник_ОКВЭД_НР!$L$10 +
  SUMPRODUCT(ISNUMBER(SEARCH(","&amp;Справочник_ОКВЭД_НР!$E$3:$E$62&amp;".",","&amp;SUBSTITUTE(F856," ","")&amp;",")))*Справочник_ОКВЭД_НР!$L$11 +
  SUMPRODUCT(ISNUMBER(SEARCH(","&amp;Справочник_ОКВЭД_НР!$G$3:$G$62&amp;".",","&amp;SUBSTITUTE(F856," ","")&amp;",")))*Справочник_ОКВЭД_НР!$L$12) /
 (SUMPRODUCT(ISNUMBER(SEARCH(","&amp;Справочник_ОКВЭД_НР!$A$3:$A$62&amp;".",","&amp;SUBSTITUTE(F856," ","")&amp;","))) +
  SUMPRODUCT(ISNUMBER(SEARCH(","&amp;Справочник_ОКВЭД_НР!$C$3:$C$62&amp;".",","&amp;SUBSTITUTE(F856," ","")&amp;","))) +
  SUMPRODUCT(ISNUMBER(SEARCH(","&amp;Справочник_ОКВЭД_НР!$E$3:$E$62&amp;".",","&amp;SUBSTITUTE(F856," ","")&amp;","))) +
  SUMPRODUCT(ISNUMBER(SEARCH(","&amp;Справочник_ОКВЭД_НР!$G$3:$G$62&amp;".",","&amp;SUBSTITUTE(F856," ","")&amp;",")))),
50)</f>
        <v>50</v>
      </c>
      <c r="K856" s="30">
        <f>IFERROR(VLOOKUP(G856,Справочник_ОКВЭД_НР!$O:$P,2,FALSE()),50)</f>
        <v>50</v>
      </c>
      <c r="L856" s="45">
        <f>(I856*Справочник_ОКВЭД_НР!$L$2+J856*Справочник_ОКВЭД_НР!$L$3+K856*Справочник_ОКВЭД_НР!$L$4)*M856</f>
        <v>38</v>
      </c>
      <c r="M856" s="47">
        <f>IF(COUNTIF(Справочник_ОКВЭД_НР!$G$3:$G$62,H856)&gt;0,0,1)</f>
        <v>1</v>
      </c>
    </row>
    <row r="857" spans="1:13" x14ac:dyDescent="0.25">
      <c r="A857" s="4">
        <f>ЛИК_дляСкорингаДП!A857</f>
        <v>1025006396150</v>
      </c>
      <c r="B857" s="4">
        <f>ЛИК_дляСкорингаДП!B857</f>
        <v>5048004813</v>
      </c>
      <c r="C857" s="4" t="str">
        <f>ЛИК_дляСкорингаДП!C857</f>
        <v>ООО "ИНФОРМ"</v>
      </c>
      <c r="D857" s="5" t="str">
        <f>ЛИК_дляСкорингаДП!M857</f>
        <v>Прочие виды полиграфической деятельности</v>
      </c>
      <c r="E857" s="4" t="str">
        <f>ЛИК_дляСкорингаДП!L857</f>
        <v>18.12</v>
      </c>
      <c r="F857" t="str">
        <f>ЛИК_дляСкорингаДП!N857</f>
        <v>46.14.1,46.15.4,46.17.2,46.18.91,46.51,46.65,47.19,62.01,62.02,62.09,73.11,73.20.1,85.42.9,95.11</v>
      </c>
      <c r="G857" s="25" t="str">
        <f>ЛИК_дляСкорингаДП!AG857</f>
        <v>УСН</v>
      </c>
      <c r="H857" s="55" t="str">
        <f>IF(ISNUMBER(E857),E857,
IFERROR(LEFT(E857,FIND(".",E857)-1),E857))</f>
        <v>18</v>
      </c>
      <c r="I857" s="30">
        <f>IF(COUNTIF(Справочник_ОКВЭД_НР!$A$3:$A$62,H857)&gt;0,Справочник_ОКВЭД_НР!$L$8,
 IF(COUNTIF(Справочник_ОКВЭД_НР!$C$3:$C$62,H857)&gt;0,Справочник_ОКВЭД_НР!$L$9,
  IF(COUNTIF(Справочник_ОКВЭД_НР!$E$3:$E$62,H857)&gt;0,Справочник_ОКВЭД_НР!$L$10,
   IF(COUNTIF(Справочник_ОКВЭД_НР!$G$3:$G$62,H857)&gt;0,Справочник_ОКВЭД_НР!$L$11,50))))</f>
        <v>30</v>
      </c>
      <c r="J857" s="30" cm="1">
        <f t="array" ref="J857">IFERROR(
 (SUMPRODUCT(ISNUMBER(SEARCH(","&amp;Справочник_ОКВЭД_НР!$A$3:$A$62&amp;".",","&amp;SUBSTITUTE(F857," ","")&amp;",")))*Справочник_ОКВЭД_НР!$L$9 +
  SUMPRODUCT(ISNUMBER(SEARCH(","&amp;Справочник_ОКВЭД_НР!$C$3:$C$62&amp;".",","&amp;SUBSTITUTE(F857," ","")&amp;",")))*Справочник_ОКВЭД_НР!$L$10 +
  SUMPRODUCT(ISNUMBER(SEARCH(","&amp;Справочник_ОКВЭД_НР!$E$3:$E$62&amp;".",","&amp;SUBSTITUTE(F857," ","")&amp;",")))*Справочник_ОКВЭД_НР!$L$11 +
  SUMPRODUCT(ISNUMBER(SEARCH(","&amp;Справочник_ОКВЭД_НР!$G$3:$G$62&amp;".",","&amp;SUBSTITUTE(F857," ","")&amp;",")))*Справочник_ОКВЭД_НР!$L$12) /
 (SUMPRODUCT(ISNUMBER(SEARCH(","&amp;Справочник_ОКВЭД_НР!$A$3:$A$62&amp;".",","&amp;SUBSTITUTE(F857," ","")&amp;","))) +
  SUMPRODUCT(ISNUMBER(SEARCH(","&amp;Справочник_ОКВЭД_НР!$C$3:$C$62&amp;".",","&amp;SUBSTITUTE(F857," ","")&amp;","))) +
  SUMPRODUCT(ISNUMBER(SEARCH(","&amp;Справочник_ОКВЭД_НР!$E$3:$E$62&amp;".",","&amp;SUBSTITUTE(F857," ","")&amp;","))) +
  SUMPRODUCT(ISNUMBER(SEARCH(","&amp;Справочник_ОКВЭД_НР!$G$3:$G$62&amp;".",","&amp;SUBSTITUTE(F857," ","")&amp;",")))),
50)</f>
        <v>50</v>
      </c>
      <c r="K857" s="30">
        <f>IFERROR(VLOOKUP(G857,Справочник_ОКВЭД_НР!$O:$P,2,FALSE()),50)</f>
        <v>50</v>
      </c>
      <c r="L857" s="45">
        <f>(I857*Справочник_ОКВЭД_НР!$L$2+J857*Справочник_ОКВЭД_НР!$L$3+K857*Справочник_ОКВЭД_НР!$L$4)*M857</f>
        <v>38</v>
      </c>
      <c r="M857" s="47">
        <f>IF(COUNTIF(Справочник_ОКВЭД_НР!$G$3:$G$62,H857)&gt;0,0,1)</f>
        <v>1</v>
      </c>
    </row>
    <row r="858" spans="1:13" x14ac:dyDescent="0.25">
      <c r="A858" s="4">
        <f>ЛИК_дляСкорингаДП!A858</f>
        <v>1157746251101</v>
      </c>
      <c r="B858" s="4">
        <f>ЛИК_дляСкорингаДП!B858</f>
        <v>7734350019</v>
      </c>
      <c r="C858" s="4" t="str">
        <f>ЛИК_дляСкорингаДП!C858</f>
        <v>ООО "ПРАКТИКА КРАСОТЫ"</v>
      </c>
      <c r="D858" s="5" t="str">
        <f>ЛИК_дляСкорингаДП!M858</f>
        <v>Деятельность в области медицины прочая</v>
      </c>
      <c r="E858" s="4" t="str">
        <f>ЛИК_дляСкорингаДП!L858</f>
        <v>86.90</v>
      </c>
      <c r="F858" t="str">
        <f>ЛИК_дляСкорингаДП!N858</f>
        <v>47.19,47.19.1,47.75,47.91,47.91.2,85.41.1,86.90.3,86.90.9,93.11,93.13,93.29.9,96.02,96.02.1,96.02.2,96.04,96.09</v>
      </c>
      <c r="G858" s="25" t="str">
        <f>ЛИК_дляСкорингаДП!AG858</f>
        <v>УСН</v>
      </c>
      <c r="H858" s="55" t="str">
        <f>IF(ISNUMBER(E858),E858,
IFERROR(LEFT(E858,FIND(".",E858)-1),E858))</f>
        <v>86</v>
      </c>
      <c r="I858" s="30">
        <f>IF(COUNTIF(Справочник_ОКВЭД_НР!$A$3:$A$62,H858)&gt;0,Справочник_ОКВЭД_НР!$L$8,
 IF(COUNTIF(Справочник_ОКВЭД_НР!$C$3:$C$62,H858)&gt;0,Справочник_ОКВЭД_НР!$L$9,
  IF(COUNTIF(Справочник_ОКВЭД_НР!$E$3:$E$62,H858)&gt;0,Справочник_ОКВЭД_НР!$L$10,
   IF(COUNTIF(Справочник_ОКВЭД_НР!$G$3:$G$62,H858)&gt;0,Справочник_ОКВЭД_НР!$L$11,50))))</f>
        <v>100</v>
      </c>
      <c r="J858" s="30" cm="1">
        <f t="array" ref="J858">IFERROR(
 (SUMPRODUCT(ISNUMBER(SEARCH(","&amp;Справочник_ОКВЭД_НР!$A$3:$A$62&amp;".",","&amp;SUBSTITUTE(F858," ","")&amp;",")))*Справочник_ОКВЭД_НР!$L$9 +
  SUMPRODUCT(ISNUMBER(SEARCH(","&amp;Справочник_ОКВЭД_НР!$C$3:$C$62&amp;".",","&amp;SUBSTITUTE(F858," ","")&amp;",")))*Справочник_ОКВЭД_НР!$L$10 +
  SUMPRODUCT(ISNUMBER(SEARCH(","&amp;Справочник_ОКВЭД_НР!$E$3:$E$62&amp;".",","&amp;SUBSTITUTE(F858," ","")&amp;",")))*Справочник_ОКВЭД_НР!$L$11 +
  SUMPRODUCT(ISNUMBER(SEARCH(","&amp;Справочник_ОКВЭД_НР!$G$3:$G$62&amp;".",","&amp;SUBSTITUTE(F858," ","")&amp;",")))*Справочник_ОКВЭД_НР!$L$12) /
 (SUMPRODUCT(ISNUMBER(SEARCH(","&amp;Справочник_ОКВЭД_НР!$A$3:$A$62&amp;".",","&amp;SUBSTITUTE(F858," ","")&amp;","))) +
  SUMPRODUCT(ISNUMBER(SEARCH(","&amp;Справочник_ОКВЭД_НР!$C$3:$C$62&amp;".",","&amp;SUBSTITUTE(F858," ","")&amp;","))) +
  SUMPRODUCT(ISNUMBER(SEARCH(","&amp;Справочник_ОКВЭД_НР!$E$3:$E$62&amp;".",","&amp;SUBSTITUTE(F858," ","")&amp;","))) +
  SUMPRODUCT(ISNUMBER(SEARCH(","&amp;Справочник_ОКВЭД_НР!$G$3:$G$62&amp;".",","&amp;SUBSTITUTE(F858," ","")&amp;",")))),
50)</f>
        <v>50</v>
      </c>
      <c r="K858" s="30">
        <f>IFERROR(VLOOKUP(G858,Справочник_ОКВЭД_НР!$O:$P,2,FALSE()),50)</f>
        <v>50</v>
      </c>
      <c r="L858" s="45">
        <f>(I858*Справочник_ОКВЭД_НР!$L$2+J858*Справочник_ОКВЭД_НР!$L$3+K858*Справочник_ОКВЭД_НР!$L$4)*M858</f>
        <v>80</v>
      </c>
      <c r="M858" s="47">
        <f>IF(COUNTIF(Справочник_ОКВЭД_НР!$G$3:$G$62,H858)&gt;0,0,1)</f>
        <v>1</v>
      </c>
    </row>
    <row r="859" spans="1:13" x14ac:dyDescent="0.25">
      <c r="A859" s="4">
        <f>ЛИК_дляСкорингаДП!A859</f>
        <v>1157746647024</v>
      </c>
      <c r="B859" s="4">
        <f>ЛИК_дляСкорингаДП!B859</f>
        <v>7723400236</v>
      </c>
      <c r="C859" s="4" t="str">
        <f>ЛИК_дляСкорингаДП!C859</f>
        <v>ООО "ДЕЛЬТА ТЕЛЕКОМ"</v>
      </c>
      <c r="D859" s="5" t="str">
        <f>ЛИК_дляСкорингаДП!M859</f>
        <v>Деятельность в области связи на базе проводных технологий</v>
      </c>
      <c r="E859" s="4" t="str">
        <f>ЛИК_дляСкорингаДП!L859</f>
        <v>61.10</v>
      </c>
      <c r="F859" t="str">
        <f>ЛИК_дляСкорингаДП!N859</f>
        <v>43.21,60.10,60.20,71.1,71.11.1,71.12.5,71.12.6,73.11</v>
      </c>
      <c r="G859" s="25" t="str">
        <f>ЛИК_дляСкорингаДП!AG859</f>
        <v>УСН</v>
      </c>
      <c r="H859" s="55" t="str">
        <f>IF(ISNUMBER(E859),E859,
IFERROR(LEFT(E859,FIND(".",E859)-1),E859))</f>
        <v>61</v>
      </c>
      <c r="I859" s="30">
        <f>IF(COUNTIF(Справочник_ОКВЭД_НР!$A$3:$A$62,H859)&gt;0,Справочник_ОКВЭД_НР!$L$8,
 IF(COUNTIF(Справочник_ОКВЭД_НР!$C$3:$C$62,H859)&gt;0,Справочник_ОКВЭД_НР!$L$9,
  IF(COUNTIF(Справочник_ОКВЭД_НР!$E$3:$E$62,H859)&gt;0,Справочник_ОКВЭД_НР!$L$10,
   IF(COUNTIF(Справочник_ОКВЭД_НР!$G$3:$G$62,H859)&gt;0,Справочник_ОКВЭД_НР!$L$11,50))))</f>
        <v>60</v>
      </c>
      <c r="J859" s="30" cm="1">
        <f t="array" ref="J859">IFERROR(
 (SUMPRODUCT(ISNUMBER(SEARCH(","&amp;Справочник_ОКВЭД_НР!$A$3:$A$62&amp;".",","&amp;SUBSTITUTE(F859," ","")&amp;",")))*Справочник_ОКВЭД_НР!$L$9 +
  SUMPRODUCT(ISNUMBER(SEARCH(","&amp;Справочник_ОКВЭД_НР!$C$3:$C$62&amp;".",","&amp;SUBSTITUTE(F859," ","")&amp;",")))*Справочник_ОКВЭД_НР!$L$10 +
  SUMPRODUCT(ISNUMBER(SEARCH(","&amp;Справочник_ОКВЭД_НР!$E$3:$E$62&amp;".",","&amp;SUBSTITUTE(F859," ","")&amp;",")))*Справочник_ОКВЭД_НР!$L$11 +
  SUMPRODUCT(ISNUMBER(SEARCH(","&amp;Справочник_ОКВЭД_НР!$G$3:$G$62&amp;".",","&amp;SUBSTITUTE(F859," ","")&amp;",")))*Справочник_ОКВЭД_НР!$L$12) /
 (SUMPRODUCT(ISNUMBER(SEARCH(","&amp;Справочник_ОКВЭД_НР!$A$3:$A$62&amp;".",","&amp;SUBSTITUTE(F859," ","")&amp;","))) +
  SUMPRODUCT(ISNUMBER(SEARCH(","&amp;Справочник_ОКВЭД_НР!$C$3:$C$62&amp;".",","&amp;SUBSTITUTE(F859," ","")&amp;","))) +
  SUMPRODUCT(ISNUMBER(SEARCH(","&amp;Справочник_ОКВЭД_НР!$E$3:$E$62&amp;".",","&amp;SUBSTITUTE(F859," ","")&amp;","))) +
  SUMPRODUCT(ISNUMBER(SEARCH(","&amp;Справочник_ОКВЭД_НР!$G$3:$G$62&amp;".",","&amp;SUBSTITUTE(F859," ","")&amp;",")))),
50)</f>
        <v>50</v>
      </c>
      <c r="K859" s="30">
        <f>IFERROR(VLOOKUP(G859,Справочник_ОКВЭД_НР!$O:$P,2,FALSE()),50)</f>
        <v>50</v>
      </c>
      <c r="L859" s="45">
        <f>(I859*Справочник_ОКВЭД_НР!$L$2+J859*Справочник_ОКВЭД_НР!$L$3+K859*Справочник_ОКВЭД_НР!$L$4)*M859</f>
        <v>56</v>
      </c>
      <c r="M859" s="47">
        <f>IF(COUNTIF(Справочник_ОКВЭД_НР!$G$3:$G$62,H859)&gt;0,0,1)</f>
        <v>1</v>
      </c>
    </row>
    <row r="860" spans="1:13" x14ac:dyDescent="0.25">
      <c r="A860" s="4">
        <f>ЛИК_дляСкорингаДП!A860</f>
        <v>1157746659630</v>
      </c>
      <c r="B860" s="4">
        <f>ЛИК_дляСкорингаДП!B860</f>
        <v>7718262943</v>
      </c>
      <c r="C860" s="4" t="str">
        <f>ЛИК_дляСкорингаДП!C860</f>
        <v>ООО "1147 ПРОДАКШНС"</v>
      </c>
      <c r="D860" s="5" t="str">
        <f>ЛИК_дляСкорингаДП!M860</f>
        <v>Производство кинофильмов, видеофильмов и телевизионных программ</v>
      </c>
      <c r="E860" s="4" t="str">
        <f>ЛИК_дляСкорингаДП!L860</f>
        <v>59.11</v>
      </c>
      <c r="F860" t="str">
        <f>ЛИК_дляСкорингаДП!N860</f>
        <v>18.20,33.13,46.15,46.18,46.43,46.43.4,46.49,46.49.3,46.90,47.59,47.7,47.9,58.19,59.13,59.14,59.20,60.10,60.20,63.11,69.10,69.20,70.10.1,70.10.2,71.1,71.12.5,71.12.6,73.11,73.20,74.20,77.39.2,78.10,82.99,90.0,93.29</v>
      </c>
      <c r="G860" s="25" t="str">
        <f>ЛИК_дляСкорингаДП!AG860</f>
        <v>УСН</v>
      </c>
      <c r="H860" s="55" t="str">
        <f>IF(ISNUMBER(E860),E860,
IFERROR(LEFT(E860,FIND(".",E860)-1),E860))</f>
        <v>59</v>
      </c>
      <c r="I860" s="30">
        <f>IF(COUNTIF(Справочник_ОКВЭД_НР!$A$3:$A$62,H860)&gt;0,Справочник_ОКВЭД_НР!$L$8,
 IF(COUNTIF(Справочник_ОКВЭД_НР!$C$3:$C$62,H860)&gt;0,Справочник_ОКВЭД_НР!$L$9,
  IF(COUNTIF(Справочник_ОКВЭД_НР!$E$3:$E$62,H860)&gt;0,Справочник_ОКВЭД_НР!$L$10,
   IF(COUNTIF(Справочник_ОКВЭД_НР!$G$3:$G$62,H860)&gt;0,Справочник_ОКВЭД_НР!$L$11,50))))</f>
        <v>30</v>
      </c>
      <c r="J860" s="30" cm="1">
        <f t="array" ref="J860">IFERROR(
 (SUMPRODUCT(ISNUMBER(SEARCH(","&amp;Справочник_ОКВЭД_НР!$A$3:$A$62&amp;".",","&amp;SUBSTITUTE(F860," ","")&amp;",")))*Справочник_ОКВЭД_НР!$L$9 +
  SUMPRODUCT(ISNUMBER(SEARCH(","&amp;Справочник_ОКВЭД_НР!$C$3:$C$62&amp;".",","&amp;SUBSTITUTE(F860," ","")&amp;",")))*Справочник_ОКВЭД_НР!$L$10 +
  SUMPRODUCT(ISNUMBER(SEARCH(","&amp;Справочник_ОКВЭД_НР!$E$3:$E$62&amp;".",","&amp;SUBSTITUTE(F860," ","")&amp;",")))*Справочник_ОКВЭД_НР!$L$11 +
  SUMPRODUCT(ISNUMBER(SEARCH(","&amp;Справочник_ОКВЭД_НР!$G$3:$G$62&amp;".",","&amp;SUBSTITUTE(F860," ","")&amp;",")))*Справочник_ОКВЭД_НР!$L$12) /
 (SUMPRODUCT(ISNUMBER(SEARCH(","&amp;Справочник_ОКВЭД_НР!$A$3:$A$62&amp;".",","&amp;SUBSTITUTE(F860," ","")&amp;","))) +
  SUMPRODUCT(ISNUMBER(SEARCH(","&amp;Справочник_ОКВЭД_НР!$C$3:$C$62&amp;".",","&amp;SUBSTITUTE(F860," ","")&amp;","))) +
  SUMPRODUCT(ISNUMBER(SEARCH(","&amp;Справочник_ОКВЭД_НР!$E$3:$E$62&amp;".",","&amp;SUBSTITUTE(F860," ","")&amp;","))) +
  SUMPRODUCT(ISNUMBER(SEARCH(","&amp;Справочник_ОКВЭД_НР!$G$3:$G$62&amp;".",","&amp;SUBSTITUTE(F860," ","")&amp;",")))),
50)</f>
        <v>50</v>
      </c>
      <c r="K860" s="30">
        <f>IFERROR(VLOOKUP(G860,Справочник_ОКВЭД_НР!$O:$P,2,FALSE()),50)</f>
        <v>50</v>
      </c>
      <c r="L860" s="45">
        <f>(I860*Справочник_ОКВЭД_НР!$L$2+J860*Справочник_ОКВЭД_НР!$L$3+K860*Справочник_ОКВЭД_НР!$L$4)*M860</f>
        <v>38</v>
      </c>
      <c r="M860" s="47">
        <f>IF(COUNTIF(Справочник_ОКВЭД_НР!$G$3:$G$62,H860)&gt;0,0,1)</f>
        <v>1</v>
      </c>
    </row>
    <row r="861" spans="1:13" x14ac:dyDescent="0.25">
      <c r="A861" s="4">
        <f>ЛИК_дляСкорингаДП!A861</f>
        <v>1157746600274</v>
      </c>
      <c r="B861" s="4">
        <f>ЛИК_дляСкорингаДП!B861</f>
        <v>7703386590</v>
      </c>
      <c r="C861" s="4" t="str">
        <f>ЛИК_дляСкорингаДП!C861</f>
        <v>ООО "ПРЕМИУМ ТОРГ"</v>
      </c>
      <c r="D861" s="5" t="str">
        <f>ЛИК_дляСкорингаДП!M861</f>
        <v>Торговля розничная прочая вне магазинов, палаток, рынков</v>
      </c>
      <c r="E861" s="4" t="str">
        <f>ЛИК_дляСкорингаДП!L861</f>
        <v>47.99</v>
      </c>
      <c r="F861" t="str">
        <f>ЛИК_дляСкорингаДП!N861</f>
        <v>25.99,33.12,33.14,33.20,41.20,43.21,43.29,43.91,43.99,46.38.26,46.43,46.63,46.69,46.90,47.29.3,47.43,47.52.73,47.54,47.9,82.99</v>
      </c>
      <c r="G861" s="25" t="str">
        <f>ЛИК_дляСкорингаДП!AG861</f>
        <v>УСН</v>
      </c>
      <c r="H861" s="55" t="str">
        <f>IF(ISNUMBER(E861),E861,
IFERROR(LEFT(E861,FIND(".",E861)-1),E861))</f>
        <v>47</v>
      </c>
      <c r="I861" s="30">
        <f>IF(COUNTIF(Справочник_ОКВЭД_НР!$A$3:$A$62,H861)&gt;0,Справочник_ОКВЭД_НР!$L$8,
 IF(COUNTIF(Справочник_ОКВЭД_НР!$C$3:$C$62,H861)&gt;0,Справочник_ОКВЭД_НР!$L$9,
  IF(COUNTIF(Справочник_ОКВЭД_НР!$E$3:$E$62,H861)&gt;0,Справочник_ОКВЭД_НР!$L$10,
   IF(COUNTIF(Справочник_ОКВЭД_НР!$G$3:$G$62,H861)&gt;0,Справочник_ОКВЭД_НР!$L$11,50))))</f>
        <v>60</v>
      </c>
      <c r="J861" s="30" cm="1">
        <f t="array" ref="J861">IFERROR(
 (SUMPRODUCT(ISNUMBER(SEARCH(","&amp;Справочник_ОКВЭД_НР!$A$3:$A$62&amp;".",","&amp;SUBSTITUTE(F861," ","")&amp;",")))*Справочник_ОКВЭД_НР!$L$9 +
  SUMPRODUCT(ISNUMBER(SEARCH(","&amp;Справочник_ОКВЭД_НР!$C$3:$C$62&amp;".",","&amp;SUBSTITUTE(F861," ","")&amp;",")))*Справочник_ОКВЭД_НР!$L$10 +
  SUMPRODUCT(ISNUMBER(SEARCH(","&amp;Справочник_ОКВЭД_НР!$E$3:$E$62&amp;".",","&amp;SUBSTITUTE(F861," ","")&amp;",")))*Справочник_ОКВЭД_НР!$L$11 +
  SUMPRODUCT(ISNUMBER(SEARCH(","&amp;Справочник_ОКВЭД_НР!$G$3:$G$62&amp;".",","&amp;SUBSTITUTE(F861," ","")&amp;",")))*Справочник_ОКВЭД_НР!$L$12) /
 (SUMPRODUCT(ISNUMBER(SEARCH(","&amp;Справочник_ОКВЭД_НР!$A$3:$A$62&amp;".",","&amp;SUBSTITUTE(F861," ","")&amp;","))) +
  SUMPRODUCT(ISNUMBER(SEARCH(","&amp;Справочник_ОКВЭД_НР!$C$3:$C$62&amp;".",","&amp;SUBSTITUTE(F861," ","")&amp;","))) +
  SUMPRODUCT(ISNUMBER(SEARCH(","&amp;Справочник_ОКВЭД_НР!$E$3:$E$62&amp;".",","&amp;SUBSTITUTE(F861," ","")&amp;","))) +
  SUMPRODUCT(ISNUMBER(SEARCH(","&amp;Справочник_ОКВЭД_НР!$G$3:$G$62&amp;".",","&amp;SUBSTITUTE(F861," ","")&amp;",")))),
50)</f>
        <v>50</v>
      </c>
      <c r="K861" s="30">
        <f>IFERROR(VLOOKUP(G861,Справочник_ОКВЭД_НР!$O:$P,2,FALSE()),50)</f>
        <v>50</v>
      </c>
      <c r="L861" s="45">
        <f>(I861*Справочник_ОКВЭД_НР!$L$2+J861*Справочник_ОКВЭД_НР!$L$3+K861*Справочник_ОКВЭД_НР!$L$4)*M861</f>
        <v>56</v>
      </c>
      <c r="M861" s="47">
        <f>IF(COUNTIF(Справочник_ОКВЭД_НР!$G$3:$G$62,H861)&gt;0,0,1)</f>
        <v>1</v>
      </c>
    </row>
    <row r="862" spans="1:13" x14ac:dyDescent="0.25">
      <c r="A862" s="4">
        <f>ЛИК_дляСкорингаДП!A862</f>
        <v>1125905007051</v>
      </c>
      <c r="B862" s="4">
        <f>ЛИК_дляСкорингаДП!B862</f>
        <v>5905293017</v>
      </c>
      <c r="C862" s="4" t="str">
        <f>ЛИК_дляСкорингаДП!C862</f>
        <v>ООО "ИН БОКС"</v>
      </c>
      <c r="D862" s="5" t="str">
        <f>ЛИК_дляСкорингаДП!M862</f>
        <v>Деятельность по складированию и хранению</v>
      </c>
      <c r="E862" s="4" t="str">
        <f>ЛИК_дляСкорингаДП!L862</f>
        <v>52.10</v>
      </c>
      <c r="F862" t="str">
        <f>ЛИК_дляСкорингаДП!N862</f>
        <v>25.11,27.12,29.20,43.99.5,46.14.9,46.69,46.90,47.52.73,49.41,49.42,52.10.9,52.24,52.29,68.20,68.3,77.39,77.39.1,77.39.11</v>
      </c>
      <c r="G862" s="25" t="str">
        <f>ЛИК_дляСкорингаДП!AG862</f>
        <v>УСН</v>
      </c>
      <c r="H862" s="55" t="str">
        <f>IF(ISNUMBER(E862),E862,
IFERROR(LEFT(E862,FIND(".",E862)-1),E862))</f>
        <v>52</v>
      </c>
      <c r="I862" s="30">
        <f>IF(COUNTIF(Справочник_ОКВЭД_НР!$A$3:$A$62,H862)&gt;0,Справочник_ОКВЭД_НР!$L$8,
 IF(COUNTIF(Справочник_ОКВЭД_НР!$C$3:$C$62,H862)&gt;0,Справочник_ОКВЭД_НР!$L$9,
  IF(COUNTIF(Справочник_ОКВЭД_НР!$E$3:$E$62,H862)&gt;0,Справочник_ОКВЭД_НР!$L$10,
   IF(COUNTIF(Справочник_ОКВЭД_НР!$G$3:$G$62,H862)&gt;0,Справочник_ОКВЭД_НР!$L$11,50))))</f>
        <v>60</v>
      </c>
      <c r="J862" s="30" cm="1">
        <f t="array" ref="J862">IFERROR(
 (SUMPRODUCT(ISNUMBER(SEARCH(","&amp;Справочник_ОКВЭД_НР!$A$3:$A$62&amp;".",","&amp;SUBSTITUTE(F862," ","")&amp;",")))*Справочник_ОКВЭД_НР!$L$9 +
  SUMPRODUCT(ISNUMBER(SEARCH(","&amp;Справочник_ОКВЭД_НР!$C$3:$C$62&amp;".",","&amp;SUBSTITUTE(F862," ","")&amp;",")))*Справочник_ОКВЭД_НР!$L$10 +
  SUMPRODUCT(ISNUMBER(SEARCH(","&amp;Справочник_ОКВЭД_НР!$E$3:$E$62&amp;".",","&amp;SUBSTITUTE(F862," ","")&amp;",")))*Справочник_ОКВЭД_НР!$L$11 +
  SUMPRODUCT(ISNUMBER(SEARCH(","&amp;Справочник_ОКВЭД_НР!$G$3:$G$62&amp;".",","&amp;SUBSTITUTE(F862," ","")&amp;",")))*Справочник_ОКВЭД_НР!$L$12) /
 (SUMPRODUCT(ISNUMBER(SEARCH(","&amp;Справочник_ОКВЭД_НР!$A$3:$A$62&amp;".",","&amp;SUBSTITUTE(F862," ","")&amp;","))) +
  SUMPRODUCT(ISNUMBER(SEARCH(","&amp;Справочник_ОКВЭД_НР!$C$3:$C$62&amp;".",","&amp;SUBSTITUTE(F862," ","")&amp;","))) +
  SUMPRODUCT(ISNUMBER(SEARCH(","&amp;Справочник_ОКВЭД_НР!$E$3:$E$62&amp;".",","&amp;SUBSTITUTE(F862," ","")&amp;","))) +
  SUMPRODUCT(ISNUMBER(SEARCH(","&amp;Справочник_ОКВЭД_НР!$G$3:$G$62&amp;".",","&amp;SUBSTITUTE(F862," ","")&amp;",")))),
50)</f>
        <v>50</v>
      </c>
      <c r="K862" s="30">
        <f>IFERROR(VLOOKUP(G862,Справочник_ОКВЭД_НР!$O:$P,2,FALSE()),50)</f>
        <v>50</v>
      </c>
      <c r="L862" s="45">
        <f>(I862*Справочник_ОКВЭД_НР!$L$2+J862*Справочник_ОКВЭД_НР!$L$3+K862*Справочник_ОКВЭД_НР!$L$4)*M862</f>
        <v>56</v>
      </c>
      <c r="M862" s="47">
        <f>IF(COUNTIF(Справочник_ОКВЭД_НР!$G$3:$G$62,H862)&gt;0,0,1)</f>
        <v>1</v>
      </c>
    </row>
    <row r="863" spans="1:13" x14ac:dyDescent="0.25">
      <c r="A863" s="4">
        <f>ЛИК_дляСкорингаДП!A863</f>
        <v>1157746701441</v>
      </c>
      <c r="B863" s="4">
        <f>ЛИК_дляСкорингаДП!B863</f>
        <v>7725282884</v>
      </c>
      <c r="C863" s="4" t="str">
        <f>ЛИК_дляСкорингаДП!C863</f>
        <v>ООО "СЭМПЛ"</v>
      </c>
      <c r="D863" s="5" t="str">
        <f>ЛИК_дляСкорингаДП!M863</f>
        <v>Исследование конъюнктуры рынка</v>
      </c>
      <c r="E863" s="4" t="str">
        <f>ЛИК_дляСкорингаДП!L863</f>
        <v>73.20.1</v>
      </c>
      <c r="F863" t="str">
        <f>ЛИК_дляСкорингаДП!N863</f>
        <v>73.20.2</v>
      </c>
      <c r="G863" s="25" t="str">
        <f>ЛИК_дляСкорингаДП!AG863</f>
        <v>УСН</v>
      </c>
      <c r="H863" s="55" t="str">
        <f>IF(ISNUMBER(E863),E863,
IFERROR(LEFT(E863,FIND(".",E863)-1),E863))</f>
        <v>73</v>
      </c>
      <c r="I863" s="30">
        <f>IF(COUNTIF(Справочник_ОКВЭД_НР!$A$3:$A$62,H863)&gt;0,Справочник_ОКВЭД_НР!$L$8,
 IF(COUNTIF(Справочник_ОКВЭД_НР!$C$3:$C$62,H863)&gt;0,Справочник_ОКВЭД_НР!$L$9,
  IF(COUNTIF(Справочник_ОКВЭД_НР!$E$3:$E$62,H863)&gt;0,Справочник_ОКВЭД_НР!$L$10,
   IF(COUNTIF(Справочник_ОКВЭД_НР!$G$3:$G$62,H863)&gt;0,Справочник_ОКВЭД_НР!$L$11,50))))</f>
        <v>30</v>
      </c>
      <c r="J863" s="30" cm="1">
        <f t="array" ref="J863">IFERROR(
 (SUMPRODUCT(ISNUMBER(SEARCH(","&amp;Справочник_ОКВЭД_НР!$A$3:$A$62&amp;".",","&amp;SUBSTITUTE(F863," ","")&amp;",")))*Справочник_ОКВЭД_НР!$L$9 +
  SUMPRODUCT(ISNUMBER(SEARCH(","&amp;Справочник_ОКВЭД_НР!$C$3:$C$62&amp;".",","&amp;SUBSTITUTE(F863," ","")&amp;",")))*Справочник_ОКВЭД_НР!$L$10 +
  SUMPRODUCT(ISNUMBER(SEARCH(","&amp;Справочник_ОКВЭД_НР!$E$3:$E$62&amp;".",","&amp;SUBSTITUTE(F863," ","")&amp;",")))*Справочник_ОКВЭД_НР!$L$11 +
  SUMPRODUCT(ISNUMBER(SEARCH(","&amp;Справочник_ОКВЭД_НР!$G$3:$G$62&amp;".",","&amp;SUBSTITUTE(F863," ","")&amp;",")))*Справочник_ОКВЭД_НР!$L$12) /
 (SUMPRODUCT(ISNUMBER(SEARCH(","&amp;Справочник_ОКВЭД_НР!$A$3:$A$62&amp;".",","&amp;SUBSTITUTE(F863," ","")&amp;","))) +
  SUMPRODUCT(ISNUMBER(SEARCH(","&amp;Справочник_ОКВЭД_НР!$C$3:$C$62&amp;".",","&amp;SUBSTITUTE(F863," ","")&amp;","))) +
  SUMPRODUCT(ISNUMBER(SEARCH(","&amp;Справочник_ОКВЭД_НР!$E$3:$E$62&amp;".",","&amp;SUBSTITUTE(F863," ","")&amp;","))) +
  SUMPRODUCT(ISNUMBER(SEARCH(","&amp;Справочник_ОКВЭД_НР!$G$3:$G$62&amp;".",","&amp;SUBSTITUTE(F863," ","")&amp;",")))),
50)</f>
        <v>50</v>
      </c>
      <c r="K863" s="30">
        <f>IFERROR(VLOOKUP(G863,Справочник_ОКВЭД_НР!$O:$P,2,FALSE()),50)</f>
        <v>50</v>
      </c>
      <c r="L863" s="45">
        <f>(I863*Справочник_ОКВЭД_НР!$L$2+J863*Справочник_ОКВЭД_НР!$L$3+K863*Справочник_ОКВЭД_НР!$L$4)*M863</f>
        <v>38</v>
      </c>
      <c r="M863" s="47">
        <f>IF(COUNTIF(Справочник_ОКВЭД_НР!$G$3:$G$62,H863)&gt;0,0,1)</f>
        <v>1</v>
      </c>
    </row>
    <row r="864" spans="1:13" x14ac:dyDescent="0.25">
      <c r="A864" s="4">
        <f>ЛИК_дляСкорингаДП!A864</f>
        <v>1157746718491</v>
      </c>
      <c r="B864" s="4">
        <f>ЛИК_дляСкорингаДП!B864</f>
        <v>7726348337</v>
      </c>
      <c r="C864" s="4" t="str">
        <f>ЛИК_дляСкорингаДП!C864</f>
        <v>ООО "НИЦ ОБСК"</v>
      </c>
      <c r="D864" s="5" t="str">
        <f>ЛИК_дляСкорингаДП!M864</f>
        <v>Образование профессиональное дополнительное</v>
      </c>
      <c r="E864" s="4" t="str">
        <f>ЛИК_дляСкорингаДП!L864</f>
        <v>85.42</v>
      </c>
      <c r="F864" t="str">
        <f>ЛИК_дляСкорингаДП!N864</f>
        <v>69.10,69.20,70.22,72.20,73.11,73.20,74.30,82.19,82.30,82.99,85.41.9,85.42.9</v>
      </c>
      <c r="G864" s="25" t="str">
        <f>ЛИК_дляСкорингаДП!AG864</f>
        <v>УСН</v>
      </c>
      <c r="H864" s="55" t="str">
        <f>IF(ISNUMBER(E864),E864,
IFERROR(LEFT(E864,FIND(".",E864)-1),E864))</f>
        <v>85</v>
      </c>
      <c r="I864" s="30">
        <f>IF(COUNTIF(Справочник_ОКВЭД_НР!$A$3:$A$62,H864)&gt;0,Справочник_ОКВЭД_НР!$L$8,
 IF(COUNTIF(Справочник_ОКВЭД_НР!$C$3:$C$62,H864)&gt;0,Справочник_ОКВЭД_НР!$L$9,
  IF(COUNTIF(Справочник_ОКВЭД_НР!$E$3:$E$62,H864)&gt;0,Справочник_ОКВЭД_НР!$L$10,
   IF(COUNTIF(Справочник_ОКВЭД_НР!$G$3:$G$62,H864)&gt;0,Справочник_ОКВЭД_НР!$L$11,50))))</f>
        <v>30</v>
      </c>
      <c r="J864" s="30" cm="1">
        <f t="array" ref="J864">IFERROR(
 (SUMPRODUCT(ISNUMBER(SEARCH(","&amp;Справочник_ОКВЭД_НР!$A$3:$A$62&amp;".",","&amp;SUBSTITUTE(F864," ","")&amp;",")))*Справочник_ОКВЭД_НР!$L$9 +
  SUMPRODUCT(ISNUMBER(SEARCH(","&amp;Справочник_ОКВЭД_НР!$C$3:$C$62&amp;".",","&amp;SUBSTITUTE(F864," ","")&amp;",")))*Справочник_ОКВЭД_НР!$L$10 +
  SUMPRODUCT(ISNUMBER(SEARCH(","&amp;Справочник_ОКВЭД_НР!$E$3:$E$62&amp;".",","&amp;SUBSTITUTE(F864," ","")&amp;",")))*Справочник_ОКВЭД_НР!$L$11 +
  SUMPRODUCT(ISNUMBER(SEARCH(","&amp;Справочник_ОКВЭД_НР!$G$3:$G$62&amp;".",","&amp;SUBSTITUTE(F864," ","")&amp;",")))*Справочник_ОКВЭД_НР!$L$12) /
 (SUMPRODUCT(ISNUMBER(SEARCH(","&amp;Справочник_ОКВЭД_НР!$A$3:$A$62&amp;".",","&amp;SUBSTITUTE(F864," ","")&amp;","))) +
  SUMPRODUCT(ISNUMBER(SEARCH(","&amp;Справочник_ОКВЭД_НР!$C$3:$C$62&amp;".",","&amp;SUBSTITUTE(F864," ","")&amp;","))) +
  SUMPRODUCT(ISNUMBER(SEARCH(","&amp;Справочник_ОКВЭД_НР!$E$3:$E$62&amp;".",","&amp;SUBSTITUTE(F864," ","")&amp;","))) +
  SUMPRODUCT(ISNUMBER(SEARCH(","&amp;Справочник_ОКВЭД_НР!$G$3:$G$62&amp;".",","&amp;SUBSTITUTE(F864," ","")&amp;",")))),
50)</f>
        <v>50</v>
      </c>
      <c r="K864" s="30">
        <f>IFERROR(VLOOKUP(G864,Справочник_ОКВЭД_НР!$O:$P,2,FALSE()),50)</f>
        <v>50</v>
      </c>
      <c r="L864" s="45">
        <f>(I864*Справочник_ОКВЭД_НР!$L$2+J864*Справочник_ОКВЭД_НР!$L$3+K864*Справочник_ОКВЭД_НР!$L$4)*M864</f>
        <v>38</v>
      </c>
      <c r="M864" s="47">
        <f>IF(COUNTIF(Справочник_ОКВЭД_НР!$G$3:$G$62,H864)&gt;0,0,1)</f>
        <v>1</v>
      </c>
    </row>
    <row r="865" spans="1:13" x14ac:dyDescent="0.25">
      <c r="A865" s="4">
        <f>ЛИК_дляСкорингаДП!A865</f>
        <v>1157746720977</v>
      </c>
      <c r="B865" s="4">
        <f>ЛИК_дляСкорингаДП!B865</f>
        <v>7707348194</v>
      </c>
      <c r="C865" s="4" t="str">
        <f>ЛИК_дляСкорингаДП!C865</f>
        <v>ООО "МЕЖДУНАРОДНАЯ ИЗДАТЕЛЬСКАЯ КОМПАНИЯ "ШАНС"</v>
      </c>
      <c r="D865" s="5" t="str">
        <f>ЛИК_дляСкорингаДП!M865</f>
        <v>Издание книг</v>
      </c>
      <c r="E865" s="4" t="str">
        <f>ЛИК_дляСкорингаДП!L865</f>
        <v>58.11</v>
      </c>
      <c r="F865" t="str">
        <f>ЛИК_дляСкорингаДП!N865</f>
        <v>18.11,18.12,18.14,46.47,46.49.3,46.49.31,46.49.32,46.49.33,46.49.4,47.61,47.79.2,58.13,58.14,58.19,59.20,79.11,79.12,79.90,79.90.1,79.90.2,79.90.21,79.90.22,79.90.3,79.90.31,79.90.32,85.41</v>
      </c>
      <c r="G865" s="25" t="str">
        <f>ЛИК_дляСкорингаДП!AG865</f>
        <v>УСН</v>
      </c>
      <c r="H865" s="55" t="str">
        <f>IF(ISNUMBER(E865),E865,
IFERROR(LEFT(E865,FIND(".",E865)-1),E865))</f>
        <v>58</v>
      </c>
      <c r="I865" s="30">
        <f>IF(COUNTIF(Справочник_ОКВЭД_НР!$A$3:$A$62,H865)&gt;0,Справочник_ОКВЭД_НР!$L$8,
 IF(COUNTIF(Справочник_ОКВЭД_НР!$C$3:$C$62,H865)&gt;0,Справочник_ОКВЭД_НР!$L$9,
  IF(COUNTIF(Справочник_ОКВЭД_НР!$E$3:$E$62,H865)&gt;0,Справочник_ОКВЭД_НР!$L$10,
   IF(COUNTIF(Справочник_ОКВЭД_НР!$G$3:$G$62,H865)&gt;0,Справочник_ОКВЭД_НР!$L$11,50))))</f>
        <v>30</v>
      </c>
      <c r="J865" s="30" cm="1">
        <f t="array" ref="J865">IFERROR(
 (SUMPRODUCT(ISNUMBER(SEARCH(","&amp;Справочник_ОКВЭД_НР!$A$3:$A$62&amp;".",","&amp;SUBSTITUTE(F865," ","")&amp;",")))*Справочник_ОКВЭД_НР!$L$9 +
  SUMPRODUCT(ISNUMBER(SEARCH(","&amp;Справочник_ОКВЭД_НР!$C$3:$C$62&amp;".",","&amp;SUBSTITUTE(F865," ","")&amp;",")))*Справочник_ОКВЭД_НР!$L$10 +
  SUMPRODUCT(ISNUMBER(SEARCH(","&amp;Справочник_ОКВЭД_НР!$E$3:$E$62&amp;".",","&amp;SUBSTITUTE(F865," ","")&amp;",")))*Справочник_ОКВЭД_НР!$L$11 +
  SUMPRODUCT(ISNUMBER(SEARCH(","&amp;Справочник_ОКВЭД_НР!$G$3:$G$62&amp;".",","&amp;SUBSTITUTE(F865," ","")&amp;",")))*Справочник_ОКВЭД_НР!$L$12) /
 (SUMPRODUCT(ISNUMBER(SEARCH(","&amp;Справочник_ОКВЭД_НР!$A$3:$A$62&amp;".",","&amp;SUBSTITUTE(F865," ","")&amp;","))) +
  SUMPRODUCT(ISNUMBER(SEARCH(","&amp;Справочник_ОКВЭД_НР!$C$3:$C$62&amp;".",","&amp;SUBSTITUTE(F865," ","")&amp;","))) +
  SUMPRODUCT(ISNUMBER(SEARCH(","&amp;Справочник_ОКВЭД_НР!$E$3:$E$62&amp;".",","&amp;SUBSTITUTE(F865," ","")&amp;","))) +
  SUMPRODUCT(ISNUMBER(SEARCH(","&amp;Справочник_ОКВЭД_НР!$G$3:$G$62&amp;".",","&amp;SUBSTITUTE(F865," ","")&amp;",")))),
50)</f>
        <v>50</v>
      </c>
      <c r="K865" s="30">
        <f>IFERROR(VLOOKUP(G865,Справочник_ОКВЭД_НР!$O:$P,2,FALSE()),50)</f>
        <v>50</v>
      </c>
      <c r="L865" s="45">
        <f>(I865*Справочник_ОКВЭД_НР!$L$2+J865*Справочник_ОКВЭД_НР!$L$3+K865*Справочник_ОКВЭД_НР!$L$4)*M865</f>
        <v>38</v>
      </c>
      <c r="M865" s="47">
        <f>IF(COUNTIF(Справочник_ОКВЭД_НР!$G$3:$G$62,H865)&gt;0,0,1)</f>
        <v>1</v>
      </c>
    </row>
    <row r="866" spans="1:13" x14ac:dyDescent="0.25">
      <c r="A866" s="4">
        <f>ЛИК_дляСкорингаДП!A866</f>
        <v>1157746706886</v>
      </c>
      <c r="B866" s="4">
        <f>ЛИК_дляСкорингаДП!B866</f>
        <v>7727219334</v>
      </c>
      <c r="C866" s="4" t="str">
        <f>ЛИК_дляСкорингаДП!C866</f>
        <v>ООО "ЖИВИЦА"</v>
      </c>
      <c r="D866" s="5" t="str">
        <f>ЛИК_дляСкорингаДП!M866</f>
        <v>Деятельность санаторно-курортных организаций</v>
      </c>
      <c r="E866" s="4" t="str">
        <f>ЛИК_дляСкорингаДП!L866</f>
        <v>86.90.4</v>
      </c>
      <c r="F866" t="str">
        <f>ЛИК_дляСкорингаДП!N866</f>
        <v>33.13,47.25.2,47.71,47.72,47.73,47.74,47.9,49.42,56.10,56.10.1,56.10.3,56.29,68.10,68.20,68.31,68.32,78.10,78.20,78.30,82.30,82.99,86.90,86.90.9,87.10,87.20,87.90,88.10,88.99,96.04,96.09</v>
      </c>
      <c r="G866" s="25" t="str">
        <f>ЛИК_дляСкорингаДП!AG866</f>
        <v>УСН</v>
      </c>
      <c r="H866" s="55" t="str">
        <f>IF(ISNUMBER(E866),E866,
IFERROR(LEFT(E866,FIND(".",E866)-1),E866))</f>
        <v>86</v>
      </c>
      <c r="I866" s="30">
        <f>IF(COUNTIF(Справочник_ОКВЭД_НР!$A$3:$A$62,H866)&gt;0,Справочник_ОКВЭД_НР!$L$8,
 IF(COUNTIF(Справочник_ОКВЭД_НР!$C$3:$C$62,H866)&gt;0,Справочник_ОКВЭД_НР!$L$9,
  IF(COUNTIF(Справочник_ОКВЭД_НР!$E$3:$E$62,H866)&gt;0,Справочник_ОКВЭД_НР!$L$10,
   IF(COUNTIF(Справочник_ОКВЭД_НР!$G$3:$G$62,H866)&gt;0,Справочник_ОКВЭД_НР!$L$11,50))))</f>
        <v>100</v>
      </c>
      <c r="J866" s="30" cm="1">
        <f t="array" ref="J866">IFERROR(
 (SUMPRODUCT(ISNUMBER(SEARCH(","&amp;Справочник_ОКВЭД_НР!$A$3:$A$62&amp;".",","&amp;SUBSTITUTE(F866," ","")&amp;",")))*Справочник_ОКВЭД_НР!$L$9 +
  SUMPRODUCT(ISNUMBER(SEARCH(","&amp;Справочник_ОКВЭД_НР!$C$3:$C$62&amp;".",","&amp;SUBSTITUTE(F866," ","")&amp;",")))*Справочник_ОКВЭД_НР!$L$10 +
  SUMPRODUCT(ISNUMBER(SEARCH(","&amp;Справочник_ОКВЭД_НР!$E$3:$E$62&amp;".",","&amp;SUBSTITUTE(F866," ","")&amp;",")))*Справочник_ОКВЭД_НР!$L$11 +
  SUMPRODUCT(ISNUMBER(SEARCH(","&amp;Справочник_ОКВЭД_НР!$G$3:$G$62&amp;".",","&amp;SUBSTITUTE(F866," ","")&amp;",")))*Справочник_ОКВЭД_НР!$L$12) /
 (SUMPRODUCT(ISNUMBER(SEARCH(","&amp;Справочник_ОКВЭД_НР!$A$3:$A$62&amp;".",","&amp;SUBSTITUTE(F866," ","")&amp;","))) +
  SUMPRODUCT(ISNUMBER(SEARCH(","&amp;Справочник_ОКВЭД_НР!$C$3:$C$62&amp;".",","&amp;SUBSTITUTE(F866," ","")&amp;","))) +
  SUMPRODUCT(ISNUMBER(SEARCH(","&amp;Справочник_ОКВЭД_НР!$E$3:$E$62&amp;".",","&amp;SUBSTITUTE(F866," ","")&amp;","))) +
  SUMPRODUCT(ISNUMBER(SEARCH(","&amp;Справочник_ОКВЭД_НР!$G$3:$G$62&amp;".",","&amp;SUBSTITUTE(F866," ","")&amp;",")))),
50)</f>
        <v>50</v>
      </c>
      <c r="K866" s="30">
        <f>IFERROR(VLOOKUP(G866,Справочник_ОКВЭД_НР!$O:$P,2,FALSE()),50)</f>
        <v>50</v>
      </c>
      <c r="L866" s="45">
        <f>(I866*Справочник_ОКВЭД_НР!$L$2+J866*Справочник_ОКВЭД_НР!$L$3+K866*Справочник_ОКВЭД_НР!$L$4)*M866</f>
        <v>80</v>
      </c>
      <c r="M866" s="47">
        <f>IF(COUNTIF(Справочник_ОКВЭД_НР!$G$3:$G$62,H866)&gt;0,0,1)</f>
        <v>1</v>
      </c>
    </row>
    <row r="867" spans="1:13" x14ac:dyDescent="0.25">
      <c r="A867" s="4">
        <f>ЛИК_дляСкорингаДП!A867</f>
        <v>1157746754373</v>
      </c>
      <c r="B867" s="4">
        <f>ЛИК_дляСкорингаДП!B867</f>
        <v>7716801580</v>
      </c>
      <c r="C867" s="4" t="str">
        <f>ЛИК_дляСкорингаДП!C867</f>
        <v>ООО "МАРСЕЛИНА ТРЭВЕЛ"</v>
      </c>
      <c r="D867" s="5" t="str">
        <f>ЛИК_дляСкорингаДП!M867</f>
        <v>Деятельность туристических агентств</v>
      </c>
      <c r="E867" s="4" t="str">
        <f>ЛИК_дляСкорингаДП!L867</f>
        <v>79.11</v>
      </c>
      <c r="F867" t="str">
        <f>ЛИК_дляСкорингаДП!N867</f>
        <v>63.91,66.22,73.11,78.10,82.99,90.0,93.29,93.29.9,96.09</v>
      </c>
      <c r="G867" s="25" t="str">
        <f>ЛИК_дляСкорингаДП!AG867</f>
        <v>УСН</v>
      </c>
      <c r="H867" s="55" t="str">
        <f>IF(ISNUMBER(E867),E867,
IFERROR(LEFT(E867,FIND(".",E867)-1),E867))</f>
        <v>79</v>
      </c>
      <c r="I867" s="30">
        <f>IF(COUNTIF(Справочник_ОКВЭД_НР!$A$3:$A$62,H867)&gt;0,Справочник_ОКВЭД_НР!$L$8,
 IF(COUNTIF(Справочник_ОКВЭД_НР!$C$3:$C$62,H867)&gt;0,Справочник_ОКВЭД_НР!$L$9,
  IF(COUNTIF(Справочник_ОКВЭД_НР!$E$3:$E$62,H867)&gt;0,Справочник_ОКВЭД_НР!$L$10,
   IF(COUNTIF(Справочник_ОКВЭД_НР!$G$3:$G$62,H867)&gt;0,Справочник_ОКВЭД_НР!$L$11,50))))</f>
        <v>30</v>
      </c>
      <c r="J867" s="30" cm="1">
        <f t="array" ref="J867">IFERROR(
 (SUMPRODUCT(ISNUMBER(SEARCH(","&amp;Справочник_ОКВЭД_НР!$A$3:$A$62&amp;".",","&amp;SUBSTITUTE(F867," ","")&amp;",")))*Справочник_ОКВЭД_НР!$L$9 +
  SUMPRODUCT(ISNUMBER(SEARCH(","&amp;Справочник_ОКВЭД_НР!$C$3:$C$62&amp;".",","&amp;SUBSTITUTE(F867," ","")&amp;",")))*Справочник_ОКВЭД_НР!$L$10 +
  SUMPRODUCT(ISNUMBER(SEARCH(","&amp;Справочник_ОКВЭД_НР!$E$3:$E$62&amp;".",","&amp;SUBSTITUTE(F867," ","")&amp;",")))*Справочник_ОКВЭД_НР!$L$11 +
  SUMPRODUCT(ISNUMBER(SEARCH(","&amp;Справочник_ОКВЭД_НР!$G$3:$G$62&amp;".",","&amp;SUBSTITUTE(F867," ","")&amp;",")))*Справочник_ОКВЭД_НР!$L$12) /
 (SUMPRODUCT(ISNUMBER(SEARCH(","&amp;Справочник_ОКВЭД_НР!$A$3:$A$62&amp;".",","&amp;SUBSTITUTE(F867," ","")&amp;","))) +
  SUMPRODUCT(ISNUMBER(SEARCH(","&amp;Справочник_ОКВЭД_НР!$C$3:$C$62&amp;".",","&amp;SUBSTITUTE(F867," ","")&amp;","))) +
  SUMPRODUCT(ISNUMBER(SEARCH(","&amp;Справочник_ОКВЭД_НР!$E$3:$E$62&amp;".",","&amp;SUBSTITUTE(F867," ","")&amp;","))) +
  SUMPRODUCT(ISNUMBER(SEARCH(","&amp;Справочник_ОКВЭД_НР!$G$3:$G$62&amp;".",","&amp;SUBSTITUTE(F867," ","")&amp;",")))),
50)</f>
        <v>50</v>
      </c>
      <c r="K867" s="30">
        <f>IFERROR(VLOOKUP(G867,Справочник_ОКВЭД_НР!$O:$P,2,FALSE()),50)</f>
        <v>50</v>
      </c>
      <c r="L867" s="45">
        <f>(I867*Справочник_ОКВЭД_НР!$L$2+J867*Справочник_ОКВЭД_НР!$L$3+K867*Справочник_ОКВЭД_НР!$L$4)*M867</f>
        <v>38</v>
      </c>
      <c r="M867" s="47">
        <f>IF(COUNTIF(Справочник_ОКВЭД_НР!$G$3:$G$62,H867)&gt;0,0,1)</f>
        <v>1</v>
      </c>
    </row>
    <row r="868" spans="1:13" x14ac:dyDescent="0.25">
      <c r="A868" s="4">
        <f>ЛИК_дляСкорингаДП!A868</f>
        <v>1157746596028</v>
      </c>
      <c r="B868" s="4">
        <f>ЛИК_дляСкорингаДП!B868</f>
        <v>7721324318</v>
      </c>
      <c r="C868" s="4" t="str">
        <f>ЛИК_дляСкорингаДП!C868</f>
        <v>ООО "КАК ЗДОРОВО"</v>
      </c>
      <c r="D868" s="5" t="str">
        <f>ЛИК_дляСкорингаДП!M868</f>
        <v>Предоставление услуг по дневному уходу за детьми</v>
      </c>
      <c r="E868" s="4" t="str">
        <f>ЛИК_дляСкорингаДП!L868</f>
        <v>88.91</v>
      </c>
      <c r="F868" t="str">
        <f>ЛИК_дляСкорингаДП!N868</f>
        <v>93.29,96.09</v>
      </c>
      <c r="G868" s="25" t="str">
        <f>ЛИК_дляСкорингаДП!AG868</f>
        <v>УСН</v>
      </c>
      <c r="H868" s="55" t="str">
        <f>IF(ISNUMBER(E868),E868,
IFERROR(LEFT(E868,FIND(".",E868)-1),E868))</f>
        <v>88</v>
      </c>
      <c r="I868" s="30">
        <f>IF(COUNTIF(Справочник_ОКВЭД_НР!$A$3:$A$62,H868)&gt;0,Справочник_ОКВЭД_НР!$L$8,
 IF(COUNTIF(Справочник_ОКВЭД_НР!$C$3:$C$62,H868)&gt;0,Справочник_ОКВЭД_НР!$L$9,
  IF(COUNTIF(Справочник_ОКВЭД_НР!$E$3:$E$62,H868)&gt;0,Справочник_ОКВЭД_НР!$L$10,
   IF(COUNTIF(Справочник_ОКВЭД_НР!$G$3:$G$62,H868)&gt;0,Справочник_ОКВЭД_НР!$L$11,50))))</f>
        <v>30</v>
      </c>
      <c r="J868" s="30" cm="1">
        <f t="array" ref="J868">IFERROR(
 (SUMPRODUCT(ISNUMBER(SEARCH(","&amp;Справочник_ОКВЭД_НР!$A$3:$A$62&amp;".",","&amp;SUBSTITUTE(F868," ","")&amp;",")))*Справочник_ОКВЭД_НР!$L$9 +
  SUMPRODUCT(ISNUMBER(SEARCH(","&amp;Справочник_ОКВЭД_НР!$C$3:$C$62&amp;".",","&amp;SUBSTITUTE(F868," ","")&amp;",")))*Справочник_ОКВЭД_НР!$L$10 +
  SUMPRODUCT(ISNUMBER(SEARCH(","&amp;Справочник_ОКВЭД_НР!$E$3:$E$62&amp;".",","&amp;SUBSTITUTE(F868," ","")&amp;",")))*Справочник_ОКВЭД_НР!$L$11 +
  SUMPRODUCT(ISNUMBER(SEARCH(","&amp;Справочник_ОКВЭД_НР!$G$3:$G$62&amp;".",","&amp;SUBSTITUTE(F868," ","")&amp;",")))*Справочник_ОКВЭД_НР!$L$12) /
 (SUMPRODUCT(ISNUMBER(SEARCH(","&amp;Справочник_ОКВЭД_НР!$A$3:$A$62&amp;".",","&amp;SUBSTITUTE(F868," ","")&amp;","))) +
  SUMPRODUCT(ISNUMBER(SEARCH(","&amp;Справочник_ОКВЭД_НР!$C$3:$C$62&amp;".",","&amp;SUBSTITUTE(F868," ","")&amp;","))) +
  SUMPRODUCT(ISNUMBER(SEARCH(","&amp;Справочник_ОКВЭД_НР!$E$3:$E$62&amp;".",","&amp;SUBSTITUTE(F868," ","")&amp;","))) +
  SUMPRODUCT(ISNUMBER(SEARCH(","&amp;Справочник_ОКВЭД_НР!$G$3:$G$62&amp;".",","&amp;SUBSTITUTE(F868," ","")&amp;",")))),
50)</f>
        <v>50</v>
      </c>
      <c r="K868" s="30">
        <f>IFERROR(VLOOKUP(G868,Справочник_ОКВЭД_НР!$O:$P,2,FALSE()),50)</f>
        <v>50</v>
      </c>
      <c r="L868" s="45">
        <f>(I868*Справочник_ОКВЭД_НР!$L$2+J868*Справочник_ОКВЭД_НР!$L$3+K868*Справочник_ОКВЭД_НР!$L$4)*M868</f>
        <v>38</v>
      </c>
      <c r="M868" s="47">
        <f>IF(COUNTIF(Справочник_ОКВЭД_НР!$G$3:$G$62,H868)&gt;0,0,1)</f>
        <v>1</v>
      </c>
    </row>
    <row r="869" spans="1:13" x14ac:dyDescent="0.25">
      <c r="A869" s="4">
        <f>ЛИК_дляСкорингаДП!A869</f>
        <v>1157746762250</v>
      </c>
      <c r="B869" s="4">
        <f>ЛИК_дляСкорингаДП!B869</f>
        <v>9705046530</v>
      </c>
      <c r="C869" s="4" t="str">
        <f>ЛИК_дляСкорингаДП!C869</f>
        <v>ООО "КД ДЕЛЬТА"</v>
      </c>
      <c r="D869" s="5" t="str">
        <f>ЛИК_дляСкорингаДП!M869</f>
        <v>Работы строительные специализированные прочие, не включенные в другие группировки</v>
      </c>
      <c r="E869" s="4" t="str">
        <f>ЛИК_дляСкорингаДП!L869</f>
        <v>43.99</v>
      </c>
      <c r="F869" t="str">
        <f>ЛИК_дляСкорингаДП!N869</f>
        <v>13.92,13.99,14.12,16.10,16.10.9,16.21,16.23,16.24,16.29.1,16.29.2,22.21,22.22,22.23,22.29,23.11,23.12,23.13,23.14,23.19,23.31,23.32,23.42,23.43,23.44,23.49,23.51,23.52.1,23.52.2,23.61,23.62,23.63,23.64,23.65,23.69,23.70,23.91,23.99,24.20,24.51,25.11,25.12,25.21,25.29,25.30,25.50,25.61,25.62,25.72,25.73,25.91,25.92,25.93,25.94,25.99,38.32.2,38.32.3,38.32.4,38.32.5,41.20,42.11,42.91,42.99,43.11,43.12.3,43.13,43.21,43.22,43.29,43.31,43.32,43.33,43.34,43.39,43.91,43.99.1,46.44,46.49,46.73,46.74,46.76,46.90,47.43,47.51,47.52,47.54,47.59,47.7,47.71,47.9,47.99,49.4,52.10,52.24,52.29,53.20.3,62.09,63.11,64.99,66.19,68.10,68.10.1,68.20,68.31,68.32,69.10,69.20,70.10.1,70.10.2,70.22,71.1,71.12.5,71.12.6,73.11,73.20,81.22,81.29.9,82.99,96.01</v>
      </c>
      <c r="G869" s="25" t="str">
        <f>ЛИК_дляСкорингаДП!AG869</f>
        <v>УСН</v>
      </c>
      <c r="H869" s="55" t="str">
        <f>IF(ISNUMBER(E869),E869,
IFERROR(LEFT(E869,FIND(".",E869)-1),E869))</f>
        <v>43</v>
      </c>
      <c r="I869" s="30">
        <f>IF(COUNTIF(Справочник_ОКВЭД_НР!$A$3:$A$62,H869)&gt;0,Справочник_ОКВЭД_НР!$L$8,
 IF(COUNTIF(Справочник_ОКВЭД_НР!$C$3:$C$62,H869)&gt;0,Справочник_ОКВЭД_НР!$L$9,
  IF(COUNTIF(Справочник_ОКВЭД_НР!$E$3:$E$62,H869)&gt;0,Справочник_ОКВЭД_НР!$L$10,
   IF(COUNTIF(Справочник_ОКВЭД_НР!$G$3:$G$62,H869)&gt;0,Справочник_ОКВЭД_НР!$L$11,50))))</f>
        <v>100</v>
      </c>
      <c r="J869" s="30" cm="1">
        <f t="array" ref="J869">IFERROR(
 (SUMPRODUCT(ISNUMBER(SEARCH(","&amp;Справочник_ОКВЭД_НР!$A$3:$A$62&amp;".",","&amp;SUBSTITUTE(F869," ","")&amp;",")))*Справочник_ОКВЭД_НР!$L$9 +
  SUMPRODUCT(ISNUMBER(SEARCH(","&amp;Справочник_ОКВЭД_НР!$C$3:$C$62&amp;".",","&amp;SUBSTITUTE(F869," ","")&amp;",")))*Справочник_ОКВЭД_НР!$L$10 +
  SUMPRODUCT(ISNUMBER(SEARCH(","&amp;Справочник_ОКВЭД_НР!$E$3:$E$62&amp;".",","&amp;SUBSTITUTE(F869," ","")&amp;",")))*Справочник_ОКВЭД_НР!$L$11 +
  SUMPRODUCT(ISNUMBER(SEARCH(","&amp;Справочник_ОКВЭД_НР!$G$3:$G$62&amp;".",","&amp;SUBSTITUTE(F869," ","")&amp;",")))*Справочник_ОКВЭД_НР!$L$12) /
 (SUMPRODUCT(ISNUMBER(SEARCH(","&amp;Справочник_ОКВЭД_НР!$A$3:$A$62&amp;".",","&amp;SUBSTITUTE(F869," ","")&amp;","))) +
  SUMPRODUCT(ISNUMBER(SEARCH(","&amp;Справочник_ОКВЭД_НР!$C$3:$C$62&amp;".",","&amp;SUBSTITUTE(F869," ","")&amp;","))) +
  SUMPRODUCT(ISNUMBER(SEARCH(","&amp;Справочник_ОКВЭД_НР!$E$3:$E$62&amp;".",","&amp;SUBSTITUTE(F869," ","")&amp;","))) +
  SUMPRODUCT(ISNUMBER(SEARCH(","&amp;Справочник_ОКВЭД_НР!$G$3:$G$62&amp;".",","&amp;SUBSTITUTE(F869," ","")&amp;",")))),
50)</f>
        <v>50</v>
      </c>
      <c r="K869" s="30">
        <f>IFERROR(VLOOKUP(G869,Справочник_ОКВЭД_НР!$O:$P,2,FALSE()),50)</f>
        <v>50</v>
      </c>
      <c r="L869" s="45">
        <f>(I869*Справочник_ОКВЭД_НР!$L$2+J869*Справочник_ОКВЭД_НР!$L$3+K869*Справочник_ОКВЭД_НР!$L$4)*M869</f>
        <v>80</v>
      </c>
      <c r="M869" s="47">
        <f>IF(COUNTIF(Справочник_ОКВЭД_НР!$G$3:$G$62,H869)&gt;0,0,1)</f>
        <v>1</v>
      </c>
    </row>
    <row r="870" spans="1:13" x14ac:dyDescent="0.25">
      <c r="A870" s="4">
        <f>ЛИК_дляСкорингаДП!A870</f>
        <v>1157746686844</v>
      </c>
      <c r="B870" s="4">
        <f>ЛИК_дляСкорингаДП!B870</f>
        <v>7728297014</v>
      </c>
      <c r="C870" s="4" t="str">
        <f>ЛИК_дляСкорингаДП!C870</f>
        <v>ООО "ТРАНСИНЖИНИРИНГ"</v>
      </c>
      <c r="D870" s="5" t="str">
        <f>ЛИК_дляСкорингаДП!M870</f>
        <v>Деятельность автомобильного грузового транспорта и услуги по перевозкам</v>
      </c>
      <c r="E870" s="4" t="str">
        <f>ЛИК_дляСкорингаДП!L870</f>
        <v>49.4</v>
      </c>
      <c r="F870" t="str">
        <f>ЛИК_дляСкорингаДП!N870</f>
        <v>41.20,46.90,49.31,49.42,52.29</v>
      </c>
      <c r="G870" s="25" t="str">
        <f>ЛИК_дляСкорингаДП!AG870</f>
        <v>УСН</v>
      </c>
      <c r="H870" s="55" t="str">
        <f>IF(ISNUMBER(E870),E870,
IFERROR(LEFT(E870,FIND(".",E870)-1),E870))</f>
        <v>49</v>
      </c>
      <c r="I870" s="30">
        <f>IF(COUNTIF(Справочник_ОКВЭД_НР!$A$3:$A$62,H870)&gt;0,Справочник_ОКВЭД_НР!$L$8,
 IF(COUNTIF(Справочник_ОКВЭД_НР!$C$3:$C$62,H870)&gt;0,Справочник_ОКВЭД_НР!$L$9,
  IF(COUNTIF(Справочник_ОКВЭД_НР!$E$3:$E$62,H870)&gt;0,Справочник_ОКВЭД_НР!$L$10,
   IF(COUNTIF(Справочник_ОКВЭД_НР!$G$3:$G$62,H870)&gt;0,Справочник_ОКВЭД_НР!$L$11,50))))</f>
        <v>60</v>
      </c>
      <c r="J870" s="30" cm="1">
        <f t="array" ref="J870">IFERROR(
 (SUMPRODUCT(ISNUMBER(SEARCH(","&amp;Справочник_ОКВЭД_НР!$A$3:$A$62&amp;".",","&amp;SUBSTITUTE(F870," ","")&amp;",")))*Справочник_ОКВЭД_НР!$L$9 +
  SUMPRODUCT(ISNUMBER(SEARCH(","&amp;Справочник_ОКВЭД_НР!$C$3:$C$62&amp;".",","&amp;SUBSTITUTE(F870," ","")&amp;",")))*Справочник_ОКВЭД_НР!$L$10 +
  SUMPRODUCT(ISNUMBER(SEARCH(","&amp;Справочник_ОКВЭД_НР!$E$3:$E$62&amp;".",","&amp;SUBSTITUTE(F870," ","")&amp;",")))*Справочник_ОКВЭД_НР!$L$11 +
  SUMPRODUCT(ISNUMBER(SEARCH(","&amp;Справочник_ОКВЭД_НР!$G$3:$G$62&amp;".",","&amp;SUBSTITUTE(F870," ","")&amp;",")))*Справочник_ОКВЭД_НР!$L$12) /
 (SUMPRODUCT(ISNUMBER(SEARCH(","&amp;Справочник_ОКВЭД_НР!$A$3:$A$62&amp;".",","&amp;SUBSTITUTE(F870," ","")&amp;","))) +
  SUMPRODUCT(ISNUMBER(SEARCH(","&amp;Справочник_ОКВЭД_НР!$C$3:$C$62&amp;".",","&amp;SUBSTITUTE(F870," ","")&amp;","))) +
  SUMPRODUCT(ISNUMBER(SEARCH(","&amp;Справочник_ОКВЭД_НР!$E$3:$E$62&amp;".",","&amp;SUBSTITUTE(F870," ","")&amp;","))) +
  SUMPRODUCT(ISNUMBER(SEARCH(","&amp;Справочник_ОКВЭД_НР!$G$3:$G$62&amp;".",","&amp;SUBSTITUTE(F870," ","")&amp;",")))),
50)</f>
        <v>50</v>
      </c>
      <c r="K870" s="30">
        <f>IFERROR(VLOOKUP(G870,Справочник_ОКВЭД_НР!$O:$P,2,FALSE()),50)</f>
        <v>50</v>
      </c>
      <c r="L870" s="45">
        <f>(I870*Справочник_ОКВЭД_НР!$L$2+J870*Справочник_ОКВЭД_НР!$L$3+K870*Справочник_ОКВЭД_НР!$L$4)*M870</f>
        <v>56</v>
      </c>
      <c r="M870" s="47">
        <f>IF(COUNTIF(Справочник_ОКВЭД_НР!$G$3:$G$62,H870)&gt;0,0,1)</f>
        <v>1</v>
      </c>
    </row>
    <row r="871" spans="1:13" x14ac:dyDescent="0.25">
      <c r="A871" s="4">
        <f>ЛИК_дляСкорингаДП!A871</f>
        <v>1157746656022</v>
      </c>
      <c r="B871" s="4">
        <f>ЛИК_дляСкорингаДП!B871</f>
        <v>7723400677</v>
      </c>
      <c r="C871" s="4" t="str">
        <f>ЛИК_дляСкорингаДП!C871</f>
        <v>ООО "ПИАР-КОМПАНИЯ"</v>
      </c>
      <c r="D871" s="5" t="str">
        <f>ЛИК_дляСкорингаДП!M871</f>
        <v>Консультирование по вопросам коммерческой деятельности и управления</v>
      </c>
      <c r="E871" s="4" t="str">
        <f>ЛИК_дляСкорингаДП!L871</f>
        <v>70.22</v>
      </c>
      <c r="F871" t="str">
        <f>ЛИК_дляСкорингаДП!N871</f>
        <v>58.13,58.14,73.11,74.20,90.03</v>
      </c>
      <c r="G871" s="25" t="str">
        <f>ЛИК_дляСкорингаДП!AG871</f>
        <v>УСН</v>
      </c>
      <c r="H871" s="55" t="str">
        <f>IF(ISNUMBER(E871),E871,
IFERROR(LEFT(E871,FIND(".",E871)-1),E871))</f>
        <v>70</v>
      </c>
      <c r="I871" s="30">
        <f>IF(COUNTIF(Справочник_ОКВЭД_НР!$A$3:$A$62,H871)&gt;0,Справочник_ОКВЭД_НР!$L$8,
 IF(COUNTIF(Справочник_ОКВЭД_НР!$C$3:$C$62,H871)&gt;0,Справочник_ОКВЭД_НР!$L$9,
  IF(COUNTIF(Справочник_ОКВЭД_НР!$E$3:$E$62,H871)&gt;0,Справочник_ОКВЭД_НР!$L$10,
   IF(COUNTIF(Справочник_ОКВЭД_НР!$G$3:$G$62,H871)&gt;0,Справочник_ОКВЭД_НР!$L$11,50))))</f>
        <v>60</v>
      </c>
      <c r="J871" s="30" cm="1">
        <f t="array" ref="J871">IFERROR(
 (SUMPRODUCT(ISNUMBER(SEARCH(","&amp;Справочник_ОКВЭД_НР!$A$3:$A$62&amp;".",","&amp;SUBSTITUTE(F871," ","")&amp;",")))*Справочник_ОКВЭД_НР!$L$9 +
  SUMPRODUCT(ISNUMBER(SEARCH(","&amp;Справочник_ОКВЭД_НР!$C$3:$C$62&amp;".",","&amp;SUBSTITUTE(F871," ","")&amp;",")))*Справочник_ОКВЭД_НР!$L$10 +
  SUMPRODUCT(ISNUMBER(SEARCH(","&amp;Справочник_ОКВЭД_НР!$E$3:$E$62&amp;".",","&amp;SUBSTITUTE(F871," ","")&amp;",")))*Справочник_ОКВЭД_НР!$L$11 +
  SUMPRODUCT(ISNUMBER(SEARCH(","&amp;Справочник_ОКВЭД_НР!$G$3:$G$62&amp;".",","&amp;SUBSTITUTE(F871," ","")&amp;",")))*Справочник_ОКВЭД_НР!$L$12) /
 (SUMPRODUCT(ISNUMBER(SEARCH(","&amp;Справочник_ОКВЭД_НР!$A$3:$A$62&amp;".",","&amp;SUBSTITUTE(F871," ","")&amp;","))) +
  SUMPRODUCT(ISNUMBER(SEARCH(","&amp;Справочник_ОКВЭД_НР!$C$3:$C$62&amp;".",","&amp;SUBSTITUTE(F871," ","")&amp;","))) +
  SUMPRODUCT(ISNUMBER(SEARCH(","&amp;Справочник_ОКВЭД_НР!$E$3:$E$62&amp;".",","&amp;SUBSTITUTE(F871," ","")&amp;","))) +
  SUMPRODUCT(ISNUMBER(SEARCH(","&amp;Справочник_ОКВЭД_НР!$G$3:$G$62&amp;".",","&amp;SUBSTITUTE(F871," ","")&amp;",")))),
50)</f>
        <v>50</v>
      </c>
      <c r="K871" s="30">
        <f>IFERROR(VLOOKUP(G871,Справочник_ОКВЭД_НР!$O:$P,2,FALSE()),50)</f>
        <v>50</v>
      </c>
      <c r="L871" s="45">
        <f>(I871*Справочник_ОКВЭД_НР!$L$2+J871*Справочник_ОКВЭД_НР!$L$3+K871*Справочник_ОКВЭД_НР!$L$4)*M871</f>
        <v>56</v>
      </c>
      <c r="M871" s="47">
        <f>IF(COUNTIF(Справочник_ОКВЭД_НР!$G$3:$G$62,H871)&gt;0,0,1)</f>
        <v>1</v>
      </c>
    </row>
    <row r="872" spans="1:13" x14ac:dyDescent="0.25">
      <c r="A872" s="4">
        <f>ЛИК_дляСкорингаДП!A872</f>
        <v>1157746743450</v>
      </c>
      <c r="B872" s="4">
        <f>ЛИК_дляСкорингаДП!B872</f>
        <v>7704326178</v>
      </c>
      <c r="C872" s="4" t="str">
        <f>ЛИК_дляСкорингаДП!C872</f>
        <v>АО "СПЕЦТЕХМАШ"</v>
      </c>
      <c r="D872" s="5" t="str">
        <f>ЛИК_дляСкорингаДП!M872</f>
        <v>Аренда и управление собственным или арендованным недвижимым имуществом</v>
      </c>
      <c r="E872" s="4" t="str">
        <f>ЛИК_дляСкорингаДП!L872</f>
        <v>68.20</v>
      </c>
      <c r="F872" t="str">
        <f>ЛИК_дляСкорингаДП!N872</f>
        <v>49.4,68.10,68.10.1,68.31,68.32,69.10,69.20,70.10.1,70.10.2,70.22,73.20</v>
      </c>
      <c r="G872" s="25" t="str">
        <f>ЛИК_дляСкорингаДП!AG872</f>
        <v>УСН</v>
      </c>
      <c r="H872" s="55" t="str">
        <f>IF(ISNUMBER(E872),E872,
IFERROR(LEFT(E872,FIND(".",E872)-1),E872))</f>
        <v>68</v>
      </c>
      <c r="I872" s="30">
        <f>IF(COUNTIF(Справочник_ОКВЭД_НР!$A$3:$A$62,H872)&gt;0,Справочник_ОКВЭД_НР!$L$8,
 IF(COUNTIF(Справочник_ОКВЭД_НР!$C$3:$C$62,H872)&gt;0,Справочник_ОКВЭД_НР!$L$9,
  IF(COUNTIF(Справочник_ОКВЭД_НР!$E$3:$E$62,H872)&gt;0,Справочник_ОКВЭД_НР!$L$10,
   IF(COUNTIF(Справочник_ОКВЭД_НР!$G$3:$G$62,H872)&gt;0,Справочник_ОКВЭД_НР!$L$11,50))))</f>
        <v>100</v>
      </c>
      <c r="J872" s="30" cm="1">
        <f t="array" ref="J872">IFERROR(
 (SUMPRODUCT(ISNUMBER(SEARCH(","&amp;Справочник_ОКВЭД_НР!$A$3:$A$62&amp;".",","&amp;SUBSTITUTE(F872," ","")&amp;",")))*Справочник_ОКВЭД_НР!$L$9 +
  SUMPRODUCT(ISNUMBER(SEARCH(","&amp;Справочник_ОКВЭД_НР!$C$3:$C$62&amp;".",","&amp;SUBSTITUTE(F872," ","")&amp;",")))*Справочник_ОКВЭД_НР!$L$10 +
  SUMPRODUCT(ISNUMBER(SEARCH(","&amp;Справочник_ОКВЭД_НР!$E$3:$E$62&amp;".",","&amp;SUBSTITUTE(F872," ","")&amp;",")))*Справочник_ОКВЭД_НР!$L$11 +
  SUMPRODUCT(ISNUMBER(SEARCH(","&amp;Справочник_ОКВЭД_НР!$G$3:$G$62&amp;".",","&amp;SUBSTITUTE(F872," ","")&amp;",")))*Справочник_ОКВЭД_НР!$L$12) /
 (SUMPRODUCT(ISNUMBER(SEARCH(","&amp;Справочник_ОКВЭД_НР!$A$3:$A$62&amp;".",","&amp;SUBSTITUTE(F872," ","")&amp;","))) +
  SUMPRODUCT(ISNUMBER(SEARCH(","&amp;Справочник_ОКВЭД_НР!$C$3:$C$62&amp;".",","&amp;SUBSTITUTE(F872," ","")&amp;","))) +
  SUMPRODUCT(ISNUMBER(SEARCH(","&amp;Справочник_ОКВЭД_НР!$E$3:$E$62&amp;".",","&amp;SUBSTITUTE(F872," ","")&amp;","))) +
  SUMPRODUCT(ISNUMBER(SEARCH(","&amp;Справочник_ОКВЭД_НР!$G$3:$G$62&amp;".",","&amp;SUBSTITUTE(F872," ","")&amp;",")))),
50)</f>
        <v>50</v>
      </c>
      <c r="K872" s="30">
        <f>IFERROR(VLOOKUP(G872,Справочник_ОКВЭД_НР!$O:$P,2,FALSE()),50)</f>
        <v>50</v>
      </c>
      <c r="L872" s="45">
        <f>(I872*Справочник_ОКВЭД_НР!$L$2+J872*Справочник_ОКВЭД_НР!$L$3+K872*Справочник_ОКВЭД_НР!$L$4)*M872</f>
        <v>80</v>
      </c>
      <c r="M872" s="47">
        <f>IF(COUNTIF(Справочник_ОКВЭД_НР!$G$3:$G$62,H872)&gt;0,0,1)</f>
        <v>1</v>
      </c>
    </row>
    <row r="873" spans="1:13" x14ac:dyDescent="0.25">
      <c r="A873" s="4">
        <f>ЛИК_дляСкорингаДП!A873</f>
        <v>1025007516709</v>
      </c>
      <c r="B873" s="4">
        <f>ЛИК_дляСкорингаДП!B873</f>
        <v>5074018918</v>
      </c>
      <c r="C873" s="4" t="str">
        <f>ЛИК_дляСкорингаДП!C873</f>
        <v>ООО "АВРАЛ"</v>
      </c>
      <c r="D873" s="5" t="str">
        <f>ЛИК_дляСкорингаДП!M873</f>
        <v>Строительство жилых и нежилых зданий</v>
      </c>
      <c r="E873" s="4" t="str">
        <f>ЛИК_дляСкорингаДП!L873</f>
        <v>41.20</v>
      </c>
      <c r="F873" t="str">
        <f>ЛИК_дляСкорингаДП!N873</f>
        <v>01.61,43.31,43.32,43.33,43.34.1,43.34.2,43.39,43.91,43.99.4,43.99.6,96.02</v>
      </c>
      <c r="G873" s="25" t="str">
        <f>ЛИК_дляСкорингаДП!AG873</f>
        <v>УСН</v>
      </c>
      <c r="H873" s="55" t="str">
        <f>IF(ISNUMBER(E873),E873,
IFERROR(LEFT(E873,FIND(".",E873)-1),E873))</f>
        <v>41</v>
      </c>
      <c r="I873" s="30">
        <f>IF(COUNTIF(Справочник_ОКВЭД_НР!$A$3:$A$62,H873)&gt;0,Справочник_ОКВЭД_НР!$L$8,
 IF(COUNTIF(Справочник_ОКВЭД_НР!$C$3:$C$62,H873)&gt;0,Справочник_ОКВЭД_НР!$L$9,
  IF(COUNTIF(Справочник_ОКВЭД_НР!$E$3:$E$62,H873)&gt;0,Справочник_ОКВЭД_НР!$L$10,
   IF(COUNTIF(Справочник_ОКВЭД_НР!$G$3:$G$62,H873)&gt;0,Справочник_ОКВЭД_НР!$L$11,50))))</f>
        <v>100</v>
      </c>
      <c r="J873" s="30" cm="1">
        <f t="array" ref="J873">IFERROR(
 (SUMPRODUCT(ISNUMBER(SEARCH(","&amp;Справочник_ОКВЭД_НР!$A$3:$A$62&amp;".",","&amp;SUBSTITUTE(F873," ","")&amp;",")))*Справочник_ОКВЭД_НР!$L$9 +
  SUMPRODUCT(ISNUMBER(SEARCH(","&amp;Справочник_ОКВЭД_НР!$C$3:$C$62&amp;".",","&amp;SUBSTITUTE(F873," ","")&amp;",")))*Справочник_ОКВЭД_НР!$L$10 +
  SUMPRODUCT(ISNUMBER(SEARCH(","&amp;Справочник_ОКВЭД_НР!$E$3:$E$62&amp;".",","&amp;SUBSTITUTE(F873," ","")&amp;",")))*Справочник_ОКВЭД_НР!$L$11 +
  SUMPRODUCT(ISNUMBER(SEARCH(","&amp;Справочник_ОКВЭД_НР!$G$3:$G$62&amp;".",","&amp;SUBSTITUTE(F873," ","")&amp;",")))*Справочник_ОКВЭД_НР!$L$12) /
 (SUMPRODUCT(ISNUMBER(SEARCH(","&amp;Справочник_ОКВЭД_НР!$A$3:$A$62&amp;".",","&amp;SUBSTITUTE(F873," ","")&amp;","))) +
  SUMPRODUCT(ISNUMBER(SEARCH(","&amp;Справочник_ОКВЭД_НР!$C$3:$C$62&amp;".",","&amp;SUBSTITUTE(F873," ","")&amp;","))) +
  SUMPRODUCT(ISNUMBER(SEARCH(","&amp;Справочник_ОКВЭД_НР!$E$3:$E$62&amp;".",","&amp;SUBSTITUTE(F873," ","")&amp;","))) +
  SUMPRODUCT(ISNUMBER(SEARCH(","&amp;Справочник_ОКВЭД_НР!$G$3:$G$62&amp;".",","&amp;SUBSTITUTE(F873," ","")&amp;",")))),
50)</f>
        <v>50</v>
      </c>
      <c r="K873" s="30">
        <f>IFERROR(VLOOKUP(G873,Справочник_ОКВЭД_НР!$O:$P,2,FALSE()),50)</f>
        <v>50</v>
      </c>
      <c r="L873" s="45">
        <f>(I873*Справочник_ОКВЭД_НР!$L$2+J873*Справочник_ОКВЭД_НР!$L$3+K873*Справочник_ОКВЭД_НР!$L$4)*M873</f>
        <v>80</v>
      </c>
      <c r="M873" s="47">
        <f>IF(COUNTIF(Справочник_ОКВЭД_НР!$G$3:$G$62,H873)&gt;0,0,1)</f>
        <v>1</v>
      </c>
    </row>
    <row r="874" spans="1:13" x14ac:dyDescent="0.25">
      <c r="A874" s="4">
        <f>ЛИК_дляСкорингаДП!A874</f>
        <v>1157746632636</v>
      </c>
      <c r="B874" s="4">
        <f>ЛИК_дляСкорингаДП!B874</f>
        <v>7719418801</v>
      </c>
      <c r="C874" s="4" t="str">
        <f>ЛИК_дляСкорингаДП!C874</f>
        <v>ООО "ЦИФРОВЫЕ СТРАТЕГИИ"</v>
      </c>
      <c r="D874" s="5" t="str">
        <f>ЛИК_дляСкорингаДП!M874</f>
        <v>Деятельность рекламных агентств</v>
      </c>
      <c r="E874" s="4" t="str">
        <f>ЛИК_дляСкорингаДП!L874</f>
        <v>73.11</v>
      </c>
      <c r="F874" t="str">
        <f>ЛИК_дляСкорингаДП!N874</f>
        <v>47.41,62.01,62.02,62.09,63.11,63.11.1,63.91,70.22,73.20,74.30,78.30,82.19,82.99</v>
      </c>
      <c r="G874" s="25" t="str">
        <f>ЛИК_дляСкорингаДП!AG874</f>
        <v>УСН</v>
      </c>
      <c r="H874" s="55" t="str">
        <f>IF(ISNUMBER(E874),E874,
IFERROR(LEFT(E874,FIND(".",E874)-1),E874))</f>
        <v>73</v>
      </c>
      <c r="I874" s="30">
        <f>IF(COUNTIF(Справочник_ОКВЭД_НР!$A$3:$A$62,H874)&gt;0,Справочник_ОКВЭД_НР!$L$8,
 IF(COUNTIF(Справочник_ОКВЭД_НР!$C$3:$C$62,H874)&gt;0,Справочник_ОКВЭД_НР!$L$9,
  IF(COUNTIF(Справочник_ОКВЭД_НР!$E$3:$E$62,H874)&gt;0,Справочник_ОКВЭД_НР!$L$10,
   IF(COUNTIF(Справочник_ОКВЭД_НР!$G$3:$G$62,H874)&gt;0,Справочник_ОКВЭД_НР!$L$11,50))))</f>
        <v>30</v>
      </c>
      <c r="J874" s="30" cm="1">
        <f t="array" ref="J874">IFERROR(
 (SUMPRODUCT(ISNUMBER(SEARCH(","&amp;Справочник_ОКВЭД_НР!$A$3:$A$62&amp;".",","&amp;SUBSTITUTE(F874," ","")&amp;",")))*Справочник_ОКВЭД_НР!$L$9 +
  SUMPRODUCT(ISNUMBER(SEARCH(","&amp;Справочник_ОКВЭД_НР!$C$3:$C$62&amp;".",","&amp;SUBSTITUTE(F874," ","")&amp;",")))*Справочник_ОКВЭД_НР!$L$10 +
  SUMPRODUCT(ISNUMBER(SEARCH(","&amp;Справочник_ОКВЭД_НР!$E$3:$E$62&amp;".",","&amp;SUBSTITUTE(F874," ","")&amp;",")))*Справочник_ОКВЭД_НР!$L$11 +
  SUMPRODUCT(ISNUMBER(SEARCH(","&amp;Справочник_ОКВЭД_НР!$G$3:$G$62&amp;".",","&amp;SUBSTITUTE(F874," ","")&amp;",")))*Справочник_ОКВЭД_НР!$L$12) /
 (SUMPRODUCT(ISNUMBER(SEARCH(","&amp;Справочник_ОКВЭД_НР!$A$3:$A$62&amp;".",","&amp;SUBSTITUTE(F874," ","")&amp;","))) +
  SUMPRODUCT(ISNUMBER(SEARCH(","&amp;Справочник_ОКВЭД_НР!$C$3:$C$62&amp;".",","&amp;SUBSTITUTE(F874," ","")&amp;","))) +
  SUMPRODUCT(ISNUMBER(SEARCH(","&amp;Справочник_ОКВЭД_НР!$E$3:$E$62&amp;".",","&amp;SUBSTITUTE(F874," ","")&amp;","))) +
  SUMPRODUCT(ISNUMBER(SEARCH(","&amp;Справочник_ОКВЭД_НР!$G$3:$G$62&amp;".",","&amp;SUBSTITUTE(F874," ","")&amp;",")))),
50)</f>
        <v>50</v>
      </c>
      <c r="K874" s="30">
        <f>IFERROR(VLOOKUP(G874,Справочник_ОКВЭД_НР!$O:$P,2,FALSE()),50)</f>
        <v>50</v>
      </c>
      <c r="L874" s="45">
        <f>(I874*Справочник_ОКВЭД_НР!$L$2+J874*Справочник_ОКВЭД_НР!$L$3+K874*Справочник_ОКВЭД_НР!$L$4)*M874</f>
        <v>38</v>
      </c>
      <c r="M874" s="47">
        <f>IF(COUNTIF(Справочник_ОКВЭД_НР!$G$3:$G$62,H874)&gt;0,0,1)</f>
        <v>1</v>
      </c>
    </row>
    <row r="875" spans="1:13" x14ac:dyDescent="0.25">
      <c r="A875" s="4">
        <f>ЛИК_дляСкорингаДП!A875</f>
        <v>1157746763096</v>
      </c>
      <c r="B875" s="4">
        <f>ЛИК_дляСкорингаДП!B875</f>
        <v>7713402900</v>
      </c>
      <c r="C875" s="4" t="str">
        <f>ЛИК_дляСкорингаДП!C875</f>
        <v>ООО "ЭНЕРГОТРЕЙД"</v>
      </c>
      <c r="D875" s="5" t="str">
        <f>ЛИК_дляСкорингаДП!M875</f>
        <v>Торговля розничная прочая вне магазинов, палаток, рынков</v>
      </c>
      <c r="E875" s="4" t="str">
        <f>ЛИК_дляСкорингаДП!L875</f>
        <v>47.99</v>
      </c>
      <c r="F875" t="str">
        <f>ЛИК_дляСкорингаДП!N875</f>
        <v>46.11,46.12,46.13,46.14,46.15,46.16,46.17,46.18,46.19,46.41,46.41.2,46.42,46.43,46.44,46.45,46.46,46.49,46.61,46.62,46.63,46.64,46.66,46.69,46.90,47.11,47.19,47.43,47.51,47.52,47.54,47.59,47.61,47.7,47.71,47.72,47.79,47.8,47.9,52.10,53.20.3,74.20,74.30,82.19,82.92,82.99</v>
      </c>
      <c r="G875" s="25" t="str">
        <f>ЛИК_дляСкорингаДП!AG875</f>
        <v>УСН</v>
      </c>
      <c r="H875" s="55" t="str">
        <f>IF(ISNUMBER(E875),E875,
IFERROR(LEFT(E875,FIND(".",E875)-1),E875))</f>
        <v>47</v>
      </c>
      <c r="I875" s="30">
        <f>IF(COUNTIF(Справочник_ОКВЭД_НР!$A$3:$A$62,H875)&gt;0,Справочник_ОКВЭД_НР!$L$8,
 IF(COUNTIF(Справочник_ОКВЭД_НР!$C$3:$C$62,H875)&gt;0,Справочник_ОКВЭД_НР!$L$9,
  IF(COUNTIF(Справочник_ОКВЭД_НР!$E$3:$E$62,H875)&gt;0,Справочник_ОКВЭД_НР!$L$10,
   IF(COUNTIF(Справочник_ОКВЭД_НР!$G$3:$G$62,H875)&gt;0,Справочник_ОКВЭД_НР!$L$11,50))))</f>
        <v>60</v>
      </c>
      <c r="J875" s="30" cm="1">
        <f t="array" ref="J875">IFERROR(
 (SUMPRODUCT(ISNUMBER(SEARCH(","&amp;Справочник_ОКВЭД_НР!$A$3:$A$62&amp;".",","&amp;SUBSTITUTE(F875," ","")&amp;",")))*Справочник_ОКВЭД_НР!$L$9 +
  SUMPRODUCT(ISNUMBER(SEARCH(","&amp;Справочник_ОКВЭД_НР!$C$3:$C$62&amp;".",","&amp;SUBSTITUTE(F875," ","")&amp;",")))*Справочник_ОКВЭД_НР!$L$10 +
  SUMPRODUCT(ISNUMBER(SEARCH(","&amp;Справочник_ОКВЭД_НР!$E$3:$E$62&amp;".",","&amp;SUBSTITUTE(F875," ","")&amp;",")))*Справочник_ОКВЭД_НР!$L$11 +
  SUMPRODUCT(ISNUMBER(SEARCH(","&amp;Справочник_ОКВЭД_НР!$G$3:$G$62&amp;".",","&amp;SUBSTITUTE(F875," ","")&amp;",")))*Справочник_ОКВЭД_НР!$L$12) /
 (SUMPRODUCT(ISNUMBER(SEARCH(","&amp;Справочник_ОКВЭД_НР!$A$3:$A$62&amp;".",","&amp;SUBSTITUTE(F875," ","")&amp;","))) +
  SUMPRODUCT(ISNUMBER(SEARCH(","&amp;Справочник_ОКВЭД_НР!$C$3:$C$62&amp;".",","&amp;SUBSTITUTE(F875," ","")&amp;","))) +
  SUMPRODUCT(ISNUMBER(SEARCH(","&amp;Справочник_ОКВЭД_НР!$E$3:$E$62&amp;".",","&amp;SUBSTITUTE(F875," ","")&amp;","))) +
  SUMPRODUCT(ISNUMBER(SEARCH(","&amp;Справочник_ОКВЭД_НР!$G$3:$G$62&amp;".",","&amp;SUBSTITUTE(F875," ","")&amp;",")))),
50)</f>
        <v>50</v>
      </c>
      <c r="K875" s="30">
        <f>IFERROR(VLOOKUP(G875,Справочник_ОКВЭД_НР!$O:$P,2,FALSE()),50)</f>
        <v>50</v>
      </c>
      <c r="L875" s="45">
        <f>(I875*Справочник_ОКВЭД_НР!$L$2+J875*Справочник_ОКВЭД_НР!$L$3+K875*Справочник_ОКВЭД_НР!$L$4)*M875</f>
        <v>56</v>
      </c>
      <c r="M875" s="47">
        <f>IF(COUNTIF(Справочник_ОКВЭД_НР!$G$3:$G$62,H875)&gt;0,0,1)</f>
        <v>1</v>
      </c>
    </row>
    <row r="876" spans="1:13" x14ac:dyDescent="0.25">
      <c r="A876" s="4">
        <f>ЛИК_дляСкорингаДП!A876</f>
        <v>1157746622087</v>
      </c>
      <c r="B876" s="4">
        <f>ЛИК_дляСкорингаДП!B876</f>
        <v>7720308761</v>
      </c>
      <c r="C876" s="4" t="str">
        <f>ЛИК_дляСкорингаДП!C876</f>
        <v>ООО "НОВЫЕ МАСТЕРСКИЕ"</v>
      </c>
      <c r="D876" s="5" t="str">
        <f>ЛИК_дляСкорингаДП!M876</f>
        <v>Производство прочих деревянных строительных конструкций и столярных изделий</v>
      </c>
      <c r="E876" s="4" t="str">
        <f>ЛИК_дляСкорингаДП!L876</f>
        <v>16.23</v>
      </c>
      <c r="F876" t="str">
        <f>ЛИК_дляСкорингаДП!N876</f>
        <v>16.29.1,16.29.2,31.01,31.01,31.02,31.03,31.09,43.31,43.32,43.33,43.34,43.39,46.49,47.43,47.51,47.52,47.54,47.59,47.61,47.7,47.71,47.72,71.1,71.12.5,71.12.6,90.0</v>
      </c>
      <c r="G876" s="25" t="str">
        <f>ЛИК_дляСкорингаДП!AG876</f>
        <v>УСН</v>
      </c>
      <c r="H876" s="55" t="str">
        <f>IF(ISNUMBER(E876),E876,
IFERROR(LEFT(E876,FIND(".",E876)-1),E876))</f>
        <v>16</v>
      </c>
      <c r="I876" s="30">
        <f>IF(COUNTIF(Справочник_ОКВЭД_НР!$A$3:$A$62,H876)&gt;0,Справочник_ОКВЭД_НР!$L$8,
 IF(COUNTIF(Справочник_ОКВЭД_НР!$C$3:$C$62,H876)&gt;0,Справочник_ОКВЭД_НР!$L$9,
  IF(COUNTIF(Справочник_ОКВЭД_НР!$E$3:$E$62,H876)&gt;0,Справочник_ОКВЭД_НР!$L$10,
   IF(COUNTIF(Справочник_ОКВЭД_НР!$G$3:$G$62,H876)&gt;0,Справочник_ОКВЭД_НР!$L$11,50))))</f>
        <v>60</v>
      </c>
      <c r="J876" s="30" cm="1">
        <f t="array" ref="J876">IFERROR(
 (SUMPRODUCT(ISNUMBER(SEARCH(","&amp;Справочник_ОКВЭД_НР!$A$3:$A$62&amp;".",","&amp;SUBSTITUTE(F876," ","")&amp;",")))*Справочник_ОКВЭД_НР!$L$9 +
  SUMPRODUCT(ISNUMBER(SEARCH(","&amp;Справочник_ОКВЭД_НР!$C$3:$C$62&amp;".",","&amp;SUBSTITUTE(F876," ","")&amp;",")))*Справочник_ОКВЭД_НР!$L$10 +
  SUMPRODUCT(ISNUMBER(SEARCH(","&amp;Справочник_ОКВЭД_НР!$E$3:$E$62&amp;".",","&amp;SUBSTITUTE(F876," ","")&amp;",")))*Справочник_ОКВЭД_НР!$L$11 +
  SUMPRODUCT(ISNUMBER(SEARCH(","&amp;Справочник_ОКВЭД_НР!$G$3:$G$62&amp;".",","&amp;SUBSTITUTE(F876," ","")&amp;",")))*Справочник_ОКВЭД_НР!$L$12) /
 (SUMPRODUCT(ISNUMBER(SEARCH(","&amp;Справочник_ОКВЭД_НР!$A$3:$A$62&amp;".",","&amp;SUBSTITUTE(F876," ","")&amp;","))) +
  SUMPRODUCT(ISNUMBER(SEARCH(","&amp;Справочник_ОКВЭД_НР!$C$3:$C$62&amp;".",","&amp;SUBSTITUTE(F876," ","")&amp;","))) +
  SUMPRODUCT(ISNUMBER(SEARCH(","&amp;Справочник_ОКВЭД_НР!$E$3:$E$62&amp;".",","&amp;SUBSTITUTE(F876," ","")&amp;","))) +
  SUMPRODUCT(ISNUMBER(SEARCH(","&amp;Справочник_ОКВЭД_НР!$G$3:$G$62&amp;".",","&amp;SUBSTITUTE(F876," ","")&amp;",")))),
50)</f>
        <v>50</v>
      </c>
      <c r="K876" s="30">
        <f>IFERROR(VLOOKUP(G876,Справочник_ОКВЭД_НР!$O:$P,2,FALSE()),50)</f>
        <v>50</v>
      </c>
      <c r="L876" s="45">
        <f>(I876*Справочник_ОКВЭД_НР!$L$2+J876*Справочник_ОКВЭД_НР!$L$3+K876*Справочник_ОКВЭД_НР!$L$4)*M876</f>
        <v>56</v>
      </c>
      <c r="M876" s="47">
        <f>IF(COUNTIF(Справочник_ОКВЭД_НР!$G$3:$G$62,H876)&gt;0,0,1)</f>
        <v>1</v>
      </c>
    </row>
    <row r="877" spans="1:13" x14ac:dyDescent="0.25">
      <c r="A877" s="4">
        <f>ЛИК_дляСкорингаДП!A877</f>
        <v>1025006527523</v>
      </c>
      <c r="B877" s="4">
        <f>ЛИК_дляСкорингаДП!B877</f>
        <v>5050041940</v>
      </c>
      <c r="C877" s="4" t="str">
        <f>ЛИК_дляСкорингаДП!C877</f>
        <v>ООО "БЕЛГРИН"</v>
      </c>
      <c r="D877" s="5" t="str">
        <f>ЛИК_дляСкорингаДП!M877</f>
        <v>Аренда и управление собственным или арендованным недвижимым имуществом</v>
      </c>
      <c r="E877" s="4" t="str">
        <f>ЛИК_дляСкорингаДП!L877</f>
        <v>68.20</v>
      </c>
      <c r="F877" t="str">
        <f>ЛИК_дляСкорингаДП!N877</f>
        <v>10.61,11.07,46.34.1,46.90,47.25,47.25.1,47.25.2,47.9,56.10,56.10.1,56.10.3,63.11.1,68.10,68.10.1,68.3,68.31,68.32,70.22,73.20.1,79.11,82.99</v>
      </c>
      <c r="G877" s="25" t="str">
        <f>ЛИК_дляСкорингаДП!AG877</f>
        <v>УСН</v>
      </c>
      <c r="H877" s="55" t="str">
        <f>IF(ISNUMBER(E877),E877,
IFERROR(LEFT(E877,FIND(".",E877)-1),E877))</f>
        <v>68</v>
      </c>
      <c r="I877" s="30">
        <f>IF(COUNTIF(Справочник_ОКВЭД_НР!$A$3:$A$62,H877)&gt;0,Справочник_ОКВЭД_НР!$L$8,
 IF(COUNTIF(Справочник_ОКВЭД_НР!$C$3:$C$62,H877)&gt;0,Справочник_ОКВЭД_НР!$L$9,
  IF(COUNTIF(Справочник_ОКВЭД_НР!$E$3:$E$62,H877)&gt;0,Справочник_ОКВЭД_НР!$L$10,
   IF(COUNTIF(Справочник_ОКВЭД_НР!$G$3:$G$62,H877)&gt;0,Справочник_ОКВЭД_НР!$L$11,50))))</f>
        <v>100</v>
      </c>
      <c r="J877" s="30" cm="1">
        <f t="array" ref="J877">IFERROR(
 (SUMPRODUCT(ISNUMBER(SEARCH(","&amp;Справочник_ОКВЭД_НР!$A$3:$A$62&amp;".",","&amp;SUBSTITUTE(F877," ","")&amp;",")))*Справочник_ОКВЭД_НР!$L$9 +
  SUMPRODUCT(ISNUMBER(SEARCH(","&amp;Справочник_ОКВЭД_НР!$C$3:$C$62&amp;".",","&amp;SUBSTITUTE(F877," ","")&amp;",")))*Справочник_ОКВЭД_НР!$L$10 +
  SUMPRODUCT(ISNUMBER(SEARCH(","&amp;Справочник_ОКВЭД_НР!$E$3:$E$62&amp;".",","&amp;SUBSTITUTE(F877," ","")&amp;",")))*Справочник_ОКВЭД_НР!$L$11 +
  SUMPRODUCT(ISNUMBER(SEARCH(","&amp;Справочник_ОКВЭД_НР!$G$3:$G$62&amp;".",","&amp;SUBSTITUTE(F877," ","")&amp;",")))*Справочник_ОКВЭД_НР!$L$12) /
 (SUMPRODUCT(ISNUMBER(SEARCH(","&amp;Справочник_ОКВЭД_НР!$A$3:$A$62&amp;".",","&amp;SUBSTITUTE(F877," ","")&amp;","))) +
  SUMPRODUCT(ISNUMBER(SEARCH(","&amp;Справочник_ОКВЭД_НР!$C$3:$C$62&amp;".",","&amp;SUBSTITUTE(F877," ","")&amp;","))) +
  SUMPRODUCT(ISNUMBER(SEARCH(","&amp;Справочник_ОКВЭД_НР!$E$3:$E$62&amp;".",","&amp;SUBSTITUTE(F877," ","")&amp;","))) +
  SUMPRODUCT(ISNUMBER(SEARCH(","&amp;Справочник_ОКВЭД_НР!$G$3:$G$62&amp;".",","&amp;SUBSTITUTE(F877," ","")&amp;",")))),
50)</f>
        <v>50</v>
      </c>
      <c r="K877" s="30">
        <f>IFERROR(VLOOKUP(G877,Справочник_ОКВЭД_НР!$O:$P,2,FALSE()),50)</f>
        <v>50</v>
      </c>
      <c r="L877" s="45">
        <f>(I877*Справочник_ОКВЭД_НР!$L$2+J877*Справочник_ОКВЭД_НР!$L$3+K877*Справочник_ОКВЭД_НР!$L$4)*M877</f>
        <v>80</v>
      </c>
      <c r="M877" s="47">
        <f>IF(COUNTIF(Справочник_ОКВЭД_НР!$G$3:$G$62,H877)&gt;0,0,1)</f>
        <v>1</v>
      </c>
    </row>
    <row r="878" spans="1:13" x14ac:dyDescent="0.25">
      <c r="A878" s="4">
        <f>ЛИК_дляСкорингаДП!A878</f>
        <v>1157746717754</v>
      </c>
      <c r="B878" s="4">
        <f>ЛИК_дляСкорингаДП!B878</f>
        <v>7703390477</v>
      </c>
      <c r="C878" s="4" t="str">
        <f>ЛИК_дляСкорингаДП!C878</f>
        <v>ООО "ТУР Э ВЕНТ"</v>
      </c>
      <c r="D878" s="5" t="str">
        <f>ЛИК_дляСкорингаДП!M878</f>
        <v>Деятельность туристических агентств</v>
      </c>
      <c r="E878" s="4" t="str">
        <f>ЛИК_дляСкорингаДП!L878</f>
        <v>79.11</v>
      </c>
      <c r="F878" t="str">
        <f>ЛИК_дляСкорингаДП!N878</f>
        <v>51.10,52.29,53.20.3,53.20.31,53.20.39,70.10.1,70.10.2,70.22,73.11,73.20,74.30,78.10,79.90.1,79.90.2,79.90.3,80.10,80.20,80.30,82.11,82.19,82.92,82.99</v>
      </c>
      <c r="G878" s="25" t="str">
        <f>ЛИК_дляСкорингаДП!AG878</f>
        <v>УСН</v>
      </c>
      <c r="H878" s="55" t="str">
        <f>IF(ISNUMBER(E878),E878,
IFERROR(LEFT(E878,FIND(".",E878)-1),E878))</f>
        <v>79</v>
      </c>
      <c r="I878" s="30">
        <f>IF(COUNTIF(Справочник_ОКВЭД_НР!$A$3:$A$62,H878)&gt;0,Справочник_ОКВЭД_НР!$L$8,
 IF(COUNTIF(Справочник_ОКВЭД_НР!$C$3:$C$62,H878)&gt;0,Справочник_ОКВЭД_НР!$L$9,
  IF(COUNTIF(Справочник_ОКВЭД_НР!$E$3:$E$62,H878)&gt;0,Справочник_ОКВЭД_НР!$L$10,
   IF(COUNTIF(Справочник_ОКВЭД_НР!$G$3:$G$62,H878)&gt;0,Справочник_ОКВЭД_НР!$L$11,50))))</f>
        <v>30</v>
      </c>
      <c r="J878" s="30" cm="1">
        <f t="array" ref="J878">IFERROR(
 (SUMPRODUCT(ISNUMBER(SEARCH(","&amp;Справочник_ОКВЭД_НР!$A$3:$A$62&amp;".",","&amp;SUBSTITUTE(F878," ","")&amp;",")))*Справочник_ОКВЭД_НР!$L$9 +
  SUMPRODUCT(ISNUMBER(SEARCH(","&amp;Справочник_ОКВЭД_НР!$C$3:$C$62&amp;".",","&amp;SUBSTITUTE(F878," ","")&amp;",")))*Справочник_ОКВЭД_НР!$L$10 +
  SUMPRODUCT(ISNUMBER(SEARCH(","&amp;Справочник_ОКВЭД_НР!$E$3:$E$62&amp;".",","&amp;SUBSTITUTE(F878," ","")&amp;",")))*Справочник_ОКВЭД_НР!$L$11 +
  SUMPRODUCT(ISNUMBER(SEARCH(","&amp;Справочник_ОКВЭД_НР!$G$3:$G$62&amp;".",","&amp;SUBSTITUTE(F878," ","")&amp;",")))*Справочник_ОКВЭД_НР!$L$12) /
 (SUMPRODUCT(ISNUMBER(SEARCH(","&amp;Справочник_ОКВЭД_НР!$A$3:$A$62&amp;".",","&amp;SUBSTITUTE(F878," ","")&amp;","))) +
  SUMPRODUCT(ISNUMBER(SEARCH(","&amp;Справочник_ОКВЭД_НР!$C$3:$C$62&amp;".",","&amp;SUBSTITUTE(F878," ","")&amp;","))) +
  SUMPRODUCT(ISNUMBER(SEARCH(","&amp;Справочник_ОКВЭД_НР!$E$3:$E$62&amp;".",","&amp;SUBSTITUTE(F878," ","")&amp;","))) +
  SUMPRODUCT(ISNUMBER(SEARCH(","&amp;Справочник_ОКВЭД_НР!$G$3:$G$62&amp;".",","&amp;SUBSTITUTE(F878," ","")&amp;",")))),
50)</f>
        <v>50</v>
      </c>
      <c r="K878" s="30">
        <f>IFERROR(VLOOKUP(G878,Справочник_ОКВЭД_НР!$O:$P,2,FALSE()),50)</f>
        <v>50</v>
      </c>
      <c r="L878" s="45">
        <f>(I878*Справочник_ОКВЭД_НР!$L$2+J878*Справочник_ОКВЭД_НР!$L$3+K878*Справочник_ОКВЭД_НР!$L$4)*M878</f>
        <v>38</v>
      </c>
      <c r="M878" s="47">
        <f>IF(COUNTIF(Справочник_ОКВЭД_НР!$G$3:$G$62,H878)&gt;0,0,1)</f>
        <v>1</v>
      </c>
    </row>
    <row r="879" spans="1:13" x14ac:dyDescent="0.25">
      <c r="A879" s="4">
        <f>ЛИК_дляСкорингаДП!A879</f>
        <v>1175022005333</v>
      </c>
      <c r="B879" s="4">
        <f>ЛИК_дляСкорингаДП!B879</f>
        <v>5011036801</v>
      </c>
      <c r="C879" s="4" t="str">
        <f>ЛИК_дляСкорингаДП!C879</f>
        <v>ООО "ВСЕГДА32"</v>
      </c>
      <c r="D879" s="5" t="str">
        <f>ЛИК_дляСкорингаДП!M879</f>
        <v>Стоматологическая практика</v>
      </c>
      <c r="E879" s="4" t="str">
        <f>ЛИК_дляСкорингаДП!L879</f>
        <v>86.23</v>
      </c>
      <c r="F879" t="str">
        <f>ЛИК_дляСкорингаДП!N879</f>
        <v>47.73,47.74,47.75,86.21,86.22,86.90,86.90.9</v>
      </c>
      <c r="G879" s="25" t="str">
        <f>ЛИК_дляСкорингаДП!AG879</f>
        <v>УСН</v>
      </c>
      <c r="H879" s="55" t="str">
        <f>IF(ISNUMBER(E879),E879,
IFERROR(LEFT(E879,FIND(".",E879)-1),E879))</f>
        <v>86</v>
      </c>
      <c r="I879" s="30">
        <f>IF(COUNTIF(Справочник_ОКВЭД_НР!$A$3:$A$62,H879)&gt;0,Справочник_ОКВЭД_НР!$L$8,
 IF(COUNTIF(Справочник_ОКВЭД_НР!$C$3:$C$62,H879)&gt;0,Справочник_ОКВЭД_НР!$L$9,
  IF(COUNTIF(Справочник_ОКВЭД_НР!$E$3:$E$62,H879)&gt;0,Справочник_ОКВЭД_НР!$L$10,
   IF(COUNTIF(Справочник_ОКВЭД_НР!$G$3:$G$62,H879)&gt;0,Справочник_ОКВЭД_НР!$L$11,50))))</f>
        <v>100</v>
      </c>
      <c r="J879" s="30" cm="1">
        <f t="array" ref="J879">IFERROR(
 (SUMPRODUCT(ISNUMBER(SEARCH(","&amp;Справочник_ОКВЭД_НР!$A$3:$A$62&amp;".",","&amp;SUBSTITUTE(F879," ","")&amp;",")))*Справочник_ОКВЭД_НР!$L$9 +
  SUMPRODUCT(ISNUMBER(SEARCH(","&amp;Справочник_ОКВЭД_НР!$C$3:$C$62&amp;".",","&amp;SUBSTITUTE(F879," ","")&amp;",")))*Справочник_ОКВЭД_НР!$L$10 +
  SUMPRODUCT(ISNUMBER(SEARCH(","&amp;Справочник_ОКВЭД_НР!$E$3:$E$62&amp;".",","&amp;SUBSTITUTE(F879," ","")&amp;",")))*Справочник_ОКВЭД_НР!$L$11 +
  SUMPRODUCT(ISNUMBER(SEARCH(","&amp;Справочник_ОКВЭД_НР!$G$3:$G$62&amp;".",","&amp;SUBSTITUTE(F879," ","")&amp;",")))*Справочник_ОКВЭД_НР!$L$12) /
 (SUMPRODUCT(ISNUMBER(SEARCH(","&amp;Справочник_ОКВЭД_НР!$A$3:$A$62&amp;".",","&amp;SUBSTITUTE(F879," ","")&amp;","))) +
  SUMPRODUCT(ISNUMBER(SEARCH(","&amp;Справочник_ОКВЭД_НР!$C$3:$C$62&amp;".",","&amp;SUBSTITUTE(F879," ","")&amp;","))) +
  SUMPRODUCT(ISNUMBER(SEARCH(","&amp;Справочник_ОКВЭД_НР!$E$3:$E$62&amp;".",","&amp;SUBSTITUTE(F879," ","")&amp;","))) +
  SUMPRODUCT(ISNUMBER(SEARCH(","&amp;Справочник_ОКВЭД_НР!$G$3:$G$62&amp;".",","&amp;SUBSTITUTE(F879," ","")&amp;",")))),
50)</f>
        <v>50</v>
      </c>
      <c r="K879" s="30">
        <f>IFERROR(VLOOKUP(G879,Справочник_ОКВЭД_НР!$O:$P,2,FALSE()),50)</f>
        <v>50</v>
      </c>
      <c r="L879" s="45">
        <f>(I879*Справочник_ОКВЭД_НР!$L$2+J879*Справочник_ОКВЭД_НР!$L$3+K879*Справочник_ОКВЭД_НР!$L$4)*M879</f>
        <v>80</v>
      </c>
      <c r="M879" s="47">
        <f>IF(COUNTIF(Справочник_ОКВЭД_НР!$G$3:$G$62,H879)&gt;0,0,1)</f>
        <v>1</v>
      </c>
    </row>
    <row r="880" spans="1:13" x14ac:dyDescent="0.25">
      <c r="A880" s="4">
        <f>ЛИК_дляСкорингаДП!A880</f>
        <v>1157746757431</v>
      </c>
      <c r="B880" s="4">
        <f>ЛИК_дляСкорингаДП!B880</f>
        <v>7733246128</v>
      </c>
      <c r="C880" s="4" t="str">
        <f>ЛИК_дляСкорингаДП!C880</f>
        <v>ООО "ПРОГРЕССЛИФТСЕРВИС"</v>
      </c>
      <c r="D880" s="5" t="str">
        <f>ЛИК_дляСкорингаДП!M880</f>
        <v>Производство прочих строительно-монтажных работ</v>
      </c>
      <c r="E880" s="4" t="str">
        <f>ЛИК_дляСкорингаДП!L880</f>
        <v>43.29</v>
      </c>
      <c r="F880" t="str">
        <f>ЛИК_дляСкорингаДП!N880</f>
        <v>28.22,33.12,41.20,43.11,43.12.3,43.21,43.31,43.32,43.33,43.34,43.39,43.91,43.99,43.99.1,46.69.3,49.41,52.29,68.20,71.12,71.12.5,71.12.6,77.32</v>
      </c>
      <c r="G880" s="25" t="str">
        <f>ЛИК_дляСкорингаДП!AG880</f>
        <v>УСН</v>
      </c>
      <c r="H880" s="55" t="str">
        <f>IF(ISNUMBER(E880),E880,
IFERROR(LEFT(E880,FIND(".",E880)-1),E880))</f>
        <v>43</v>
      </c>
      <c r="I880" s="30">
        <f>IF(COUNTIF(Справочник_ОКВЭД_НР!$A$3:$A$62,H880)&gt;0,Справочник_ОКВЭД_НР!$L$8,
 IF(COUNTIF(Справочник_ОКВЭД_НР!$C$3:$C$62,H880)&gt;0,Справочник_ОКВЭД_НР!$L$9,
  IF(COUNTIF(Справочник_ОКВЭД_НР!$E$3:$E$62,H880)&gt;0,Справочник_ОКВЭД_НР!$L$10,
   IF(COUNTIF(Справочник_ОКВЭД_НР!$G$3:$G$62,H880)&gt;0,Справочник_ОКВЭД_НР!$L$11,50))))</f>
        <v>100</v>
      </c>
      <c r="J880" s="30" cm="1">
        <f t="array" ref="J880">IFERROR(
 (SUMPRODUCT(ISNUMBER(SEARCH(","&amp;Справочник_ОКВЭД_НР!$A$3:$A$62&amp;".",","&amp;SUBSTITUTE(F880," ","")&amp;",")))*Справочник_ОКВЭД_НР!$L$9 +
  SUMPRODUCT(ISNUMBER(SEARCH(","&amp;Справочник_ОКВЭД_НР!$C$3:$C$62&amp;".",","&amp;SUBSTITUTE(F880," ","")&amp;",")))*Справочник_ОКВЭД_НР!$L$10 +
  SUMPRODUCT(ISNUMBER(SEARCH(","&amp;Справочник_ОКВЭД_НР!$E$3:$E$62&amp;".",","&amp;SUBSTITUTE(F880," ","")&amp;",")))*Справочник_ОКВЭД_НР!$L$11 +
  SUMPRODUCT(ISNUMBER(SEARCH(","&amp;Справочник_ОКВЭД_НР!$G$3:$G$62&amp;".",","&amp;SUBSTITUTE(F880," ","")&amp;",")))*Справочник_ОКВЭД_НР!$L$12) /
 (SUMPRODUCT(ISNUMBER(SEARCH(","&amp;Справочник_ОКВЭД_НР!$A$3:$A$62&amp;".",","&amp;SUBSTITUTE(F880," ","")&amp;","))) +
  SUMPRODUCT(ISNUMBER(SEARCH(","&amp;Справочник_ОКВЭД_НР!$C$3:$C$62&amp;".",","&amp;SUBSTITUTE(F880," ","")&amp;","))) +
  SUMPRODUCT(ISNUMBER(SEARCH(","&amp;Справочник_ОКВЭД_НР!$E$3:$E$62&amp;".",","&amp;SUBSTITUTE(F880," ","")&amp;","))) +
  SUMPRODUCT(ISNUMBER(SEARCH(","&amp;Справочник_ОКВЭД_НР!$G$3:$G$62&amp;".",","&amp;SUBSTITUTE(F880," ","")&amp;",")))),
50)</f>
        <v>50</v>
      </c>
      <c r="K880" s="30">
        <f>IFERROR(VLOOKUP(G880,Справочник_ОКВЭД_НР!$O:$P,2,FALSE()),50)</f>
        <v>50</v>
      </c>
      <c r="L880" s="45">
        <f>(I880*Справочник_ОКВЭД_НР!$L$2+J880*Справочник_ОКВЭД_НР!$L$3+K880*Справочник_ОКВЭД_НР!$L$4)*M880</f>
        <v>80</v>
      </c>
      <c r="M880" s="47">
        <f>IF(COUNTIF(Справочник_ОКВЭД_НР!$G$3:$G$62,H880)&gt;0,0,1)</f>
        <v>1</v>
      </c>
    </row>
    <row r="881" spans="1:13" x14ac:dyDescent="0.25">
      <c r="A881" s="4">
        <f>ЛИК_дляСкорингаДП!A881</f>
        <v>1157746603178</v>
      </c>
      <c r="B881" s="4">
        <f>ЛИК_дляСкорингаДП!B881</f>
        <v>7710498873</v>
      </c>
      <c r="C881" s="4" t="str">
        <f>ЛИК_дляСкорингаДП!C881</f>
        <v>ООО "АСМ КЛИНИК"</v>
      </c>
      <c r="D881" s="5" t="str">
        <f>ЛИК_дляСкорингаДП!M881</f>
        <v>Стоматологическая практика</v>
      </c>
      <c r="E881" s="4" t="str">
        <f>ЛИК_дляСкорингаДП!L881</f>
        <v>86.23</v>
      </c>
      <c r="F881" t="str">
        <f>ЛИК_дляСкорингаДП!N881</f>
        <v>20.42,20.59,21.10,21.20,46.18.1,46.46,47.73,52.10,52.29,72.19,73.11,77.29.9,77.39.2,86.21,86.90.9</v>
      </c>
      <c r="G881" s="25" t="str">
        <f>ЛИК_дляСкорингаДП!AG881</f>
        <v>УСН</v>
      </c>
      <c r="H881" s="55" t="str">
        <f>IF(ISNUMBER(E881),E881,
IFERROR(LEFT(E881,FIND(".",E881)-1),E881))</f>
        <v>86</v>
      </c>
      <c r="I881" s="30">
        <f>IF(COUNTIF(Справочник_ОКВЭД_НР!$A$3:$A$62,H881)&gt;0,Справочник_ОКВЭД_НР!$L$8,
 IF(COUNTIF(Справочник_ОКВЭД_НР!$C$3:$C$62,H881)&gt;0,Справочник_ОКВЭД_НР!$L$9,
  IF(COUNTIF(Справочник_ОКВЭД_НР!$E$3:$E$62,H881)&gt;0,Справочник_ОКВЭД_НР!$L$10,
   IF(COUNTIF(Справочник_ОКВЭД_НР!$G$3:$G$62,H881)&gt;0,Справочник_ОКВЭД_НР!$L$11,50))))</f>
        <v>100</v>
      </c>
      <c r="J881" s="30" cm="1">
        <f t="array" ref="J881">IFERROR(
 (SUMPRODUCT(ISNUMBER(SEARCH(","&amp;Справочник_ОКВЭД_НР!$A$3:$A$62&amp;".",","&amp;SUBSTITUTE(F881," ","")&amp;",")))*Справочник_ОКВЭД_НР!$L$9 +
  SUMPRODUCT(ISNUMBER(SEARCH(","&amp;Справочник_ОКВЭД_НР!$C$3:$C$62&amp;".",","&amp;SUBSTITUTE(F881," ","")&amp;",")))*Справочник_ОКВЭД_НР!$L$10 +
  SUMPRODUCT(ISNUMBER(SEARCH(","&amp;Справочник_ОКВЭД_НР!$E$3:$E$62&amp;".",","&amp;SUBSTITUTE(F881," ","")&amp;",")))*Справочник_ОКВЭД_НР!$L$11 +
  SUMPRODUCT(ISNUMBER(SEARCH(","&amp;Справочник_ОКВЭД_НР!$G$3:$G$62&amp;".",","&amp;SUBSTITUTE(F881," ","")&amp;",")))*Справочник_ОКВЭД_НР!$L$12) /
 (SUMPRODUCT(ISNUMBER(SEARCH(","&amp;Справочник_ОКВЭД_НР!$A$3:$A$62&amp;".",","&amp;SUBSTITUTE(F881," ","")&amp;","))) +
  SUMPRODUCT(ISNUMBER(SEARCH(","&amp;Справочник_ОКВЭД_НР!$C$3:$C$62&amp;".",","&amp;SUBSTITUTE(F881," ","")&amp;","))) +
  SUMPRODUCT(ISNUMBER(SEARCH(","&amp;Справочник_ОКВЭД_НР!$E$3:$E$62&amp;".",","&amp;SUBSTITUTE(F881," ","")&amp;","))) +
  SUMPRODUCT(ISNUMBER(SEARCH(","&amp;Справочник_ОКВЭД_НР!$G$3:$G$62&amp;".",","&amp;SUBSTITUTE(F881," ","")&amp;",")))),
50)</f>
        <v>50</v>
      </c>
      <c r="K881" s="30">
        <f>IFERROR(VLOOKUP(G881,Справочник_ОКВЭД_НР!$O:$P,2,FALSE()),50)</f>
        <v>50</v>
      </c>
      <c r="L881" s="45">
        <f>(I881*Справочник_ОКВЭД_НР!$L$2+J881*Справочник_ОКВЭД_НР!$L$3+K881*Справочник_ОКВЭД_НР!$L$4)*M881</f>
        <v>80</v>
      </c>
      <c r="M881" s="47">
        <f>IF(COUNTIF(Справочник_ОКВЭД_НР!$G$3:$G$62,H881)&gt;0,0,1)</f>
        <v>1</v>
      </c>
    </row>
    <row r="882" spans="1:13" x14ac:dyDescent="0.25">
      <c r="A882" s="4">
        <f>ЛИК_дляСкорингаДП!A882</f>
        <v>1157746575150</v>
      </c>
      <c r="B882" s="4">
        <f>ЛИК_дляСкорингаДП!B882</f>
        <v>7719417290</v>
      </c>
      <c r="C882" s="4" t="str">
        <f>ЛИК_дляСкорингаДП!C882</f>
        <v>ООО "МЕДИН"</v>
      </c>
      <c r="D882" s="5" t="str">
        <f>ЛИК_дляСкорингаДП!M882</f>
        <v>Торговля оптовая изделиями, применяемыми в медицинских целях</v>
      </c>
      <c r="E882" s="4" t="str">
        <f>ЛИК_дляСкорингаДП!L882</f>
        <v>46.46.2</v>
      </c>
      <c r="F882" t="str">
        <f>ЛИК_дляСкорингаДП!N882</f>
        <v>33.13,46.46.1,46.69.9,46.90,47.73,47.74,47.9,72.19,73.20.1,82.99,86.21</v>
      </c>
      <c r="G882" s="25" t="str">
        <f>ЛИК_дляСкорингаДП!AG882</f>
        <v>УСН</v>
      </c>
      <c r="H882" s="55" t="str">
        <f>IF(ISNUMBER(E882),E882,
IFERROR(LEFT(E882,FIND(".",E882)-1),E882))</f>
        <v>46</v>
      </c>
      <c r="I882" s="30">
        <f>IF(COUNTIF(Справочник_ОКВЭД_НР!$A$3:$A$62,H882)&gt;0,Справочник_ОКВЭД_НР!$L$8,
 IF(COUNTIF(Справочник_ОКВЭД_НР!$C$3:$C$62,H882)&gt;0,Справочник_ОКВЭД_НР!$L$9,
  IF(COUNTIF(Справочник_ОКВЭД_НР!$E$3:$E$62,H882)&gt;0,Справочник_ОКВЭД_НР!$L$10,
   IF(COUNTIF(Справочник_ОКВЭД_НР!$G$3:$G$62,H882)&gt;0,Справочник_ОКВЭД_НР!$L$11,50))))</f>
        <v>60</v>
      </c>
      <c r="J882" s="30" cm="1">
        <f t="array" ref="J882">IFERROR(
 (SUMPRODUCT(ISNUMBER(SEARCH(","&amp;Справочник_ОКВЭД_НР!$A$3:$A$62&amp;".",","&amp;SUBSTITUTE(F882," ","")&amp;",")))*Справочник_ОКВЭД_НР!$L$9 +
  SUMPRODUCT(ISNUMBER(SEARCH(","&amp;Справочник_ОКВЭД_НР!$C$3:$C$62&amp;".",","&amp;SUBSTITUTE(F882," ","")&amp;",")))*Справочник_ОКВЭД_НР!$L$10 +
  SUMPRODUCT(ISNUMBER(SEARCH(","&amp;Справочник_ОКВЭД_НР!$E$3:$E$62&amp;".",","&amp;SUBSTITUTE(F882," ","")&amp;",")))*Справочник_ОКВЭД_НР!$L$11 +
  SUMPRODUCT(ISNUMBER(SEARCH(","&amp;Справочник_ОКВЭД_НР!$G$3:$G$62&amp;".",","&amp;SUBSTITUTE(F882," ","")&amp;",")))*Справочник_ОКВЭД_НР!$L$12) /
 (SUMPRODUCT(ISNUMBER(SEARCH(","&amp;Справочник_ОКВЭД_НР!$A$3:$A$62&amp;".",","&amp;SUBSTITUTE(F882," ","")&amp;","))) +
  SUMPRODUCT(ISNUMBER(SEARCH(","&amp;Справочник_ОКВЭД_НР!$C$3:$C$62&amp;".",","&amp;SUBSTITUTE(F882," ","")&amp;","))) +
  SUMPRODUCT(ISNUMBER(SEARCH(","&amp;Справочник_ОКВЭД_НР!$E$3:$E$62&amp;".",","&amp;SUBSTITUTE(F882," ","")&amp;","))) +
  SUMPRODUCT(ISNUMBER(SEARCH(","&amp;Справочник_ОКВЭД_НР!$G$3:$G$62&amp;".",","&amp;SUBSTITUTE(F882," ","")&amp;",")))),
50)</f>
        <v>50</v>
      </c>
      <c r="K882" s="30">
        <f>IFERROR(VLOOKUP(G882,Справочник_ОКВЭД_НР!$O:$P,2,FALSE()),50)</f>
        <v>50</v>
      </c>
      <c r="L882" s="45">
        <f>(I882*Справочник_ОКВЭД_НР!$L$2+J882*Справочник_ОКВЭД_НР!$L$3+K882*Справочник_ОКВЭД_НР!$L$4)*M882</f>
        <v>56</v>
      </c>
      <c r="M882" s="47">
        <f>IF(COUNTIF(Справочник_ОКВЭД_НР!$G$3:$G$62,H882)&gt;0,0,1)</f>
        <v>1</v>
      </c>
    </row>
    <row r="883" spans="1:13" x14ac:dyDescent="0.25">
      <c r="A883" s="4">
        <f>ЛИК_дляСкорингаДП!A883</f>
        <v>1025007509977</v>
      </c>
      <c r="B883" s="4">
        <f>ЛИК_дляСкорингаДП!B883</f>
        <v>5074022054</v>
      </c>
      <c r="C883" s="4" t="str">
        <f>ЛИК_дляСкорингаДП!C883</f>
        <v>ООО "ТРЭЙД ЛТД"</v>
      </c>
      <c r="D883" s="5" t="str">
        <f>ЛИК_дляСкорингаДП!M883</f>
        <v>Аренда и управление собственным или арендованным недвижимым имуществом</v>
      </c>
      <c r="E883" s="4" t="str">
        <f>ЛИК_дляСкорингаДП!L883</f>
        <v>68.20</v>
      </c>
      <c r="F883" t="str">
        <f>ЛИК_дляСкорингаДП!N883</f>
        <v>68.10.22,68.10.23,68.3</v>
      </c>
      <c r="G883" s="25" t="str">
        <f>ЛИК_дляСкорингаДП!AG883</f>
        <v>УСН</v>
      </c>
      <c r="H883" s="55" t="str">
        <f>IF(ISNUMBER(E883),E883,
IFERROR(LEFT(E883,FIND(".",E883)-1),E883))</f>
        <v>68</v>
      </c>
      <c r="I883" s="30">
        <f>IF(COUNTIF(Справочник_ОКВЭД_НР!$A$3:$A$62,H883)&gt;0,Справочник_ОКВЭД_НР!$L$8,
 IF(COUNTIF(Справочник_ОКВЭД_НР!$C$3:$C$62,H883)&gt;0,Справочник_ОКВЭД_НР!$L$9,
  IF(COUNTIF(Справочник_ОКВЭД_НР!$E$3:$E$62,H883)&gt;0,Справочник_ОКВЭД_НР!$L$10,
   IF(COUNTIF(Справочник_ОКВЭД_НР!$G$3:$G$62,H883)&gt;0,Справочник_ОКВЭД_НР!$L$11,50))))</f>
        <v>100</v>
      </c>
      <c r="J883" s="30" cm="1">
        <f t="array" ref="J883">IFERROR(
 (SUMPRODUCT(ISNUMBER(SEARCH(","&amp;Справочник_ОКВЭД_НР!$A$3:$A$62&amp;".",","&amp;SUBSTITUTE(F883," ","")&amp;",")))*Справочник_ОКВЭД_НР!$L$9 +
  SUMPRODUCT(ISNUMBER(SEARCH(","&amp;Справочник_ОКВЭД_НР!$C$3:$C$62&amp;".",","&amp;SUBSTITUTE(F883," ","")&amp;",")))*Справочник_ОКВЭД_НР!$L$10 +
  SUMPRODUCT(ISNUMBER(SEARCH(","&amp;Справочник_ОКВЭД_НР!$E$3:$E$62&amp;".",","&amp;SUBSTITUTE(F883," ","")&amp;",")))*Справочник_ОКВЭД_НР!$L$11 +
  SUMPRODUCT(ISNUMBER(SEARCH(","&amp;Справочник_ОКВЭД_НР!$G$3:$G$62&amp;".",","&amp;SUBSTITUTE(F883," ","")&amp;",")))*Справочник_ОКВЭД_НР!$L$12) /
 (SUMPRODUCT(ISNUMBER(SEARCH(","&amp;Справочник_ОКВЭД_НР!$A$3:$A$62&amp;".",","&amp;SUBSTITUTE(F883," ","")&amp;","))) +
  SUMPRODUCT(ISNUMBER(SEARCH(","&amp;Справочник_ОКВЭД_НР!$C$3:$C$62&amp;".",","&amp;SUBSTITUTE(F883," ","")&amp;","))) +
  SUMPRODUCT(ISNUMBER(SEARCH(","&amp;Справочник_ОКВЭД_НР!$E$3:$E$62&amp;".",","&amp;SUBSTITUTE(F883," ","")&amp;","))) +
  SUMPRODUCT(ISNUMBER(SEARCH(","&amp;Справочник_ОКВЭД_НР!$G$3:$G$62&amp;".",","&amp;SUBSTITUTE(F883," ","")&amp;",")))),
50)</f>
        <v>50</v>
      </c>
      <c r="K883" s="30">
        <f>IFERROR(VLOOKUP(G883,Справочник_ОКВЭД_НР!$O:$P,2,FALSE()),50)</f>
        <v>50</v>
      </c>
      <c r="L883" s="45">
        <f>(I883*Справочник_ОКВЭД_НР!$L$2+J883*Справочник_ОКВЭД_НР!$L$3+K883*Справочник_ОКВЭД_НР!$L$4)*M883</f>
        <v>80</v>
      </c>
      <c r="M883" s="47">
        <f>IF(COUNTIF(Справочник_ОКВЭД_НР!$G$3:$G$62,H883)&gt;0,0,1)</f>
        <v>1</v>
      </c>
    </row>
    <row r="884" spans="1:13" x14ac:dyDescent="0.25">
      <c r="A884" s="4">
        <f>ЛИК_дляСкорингаДП!A884</f>
        <v>1157746740140</v>
      </c>
      <c r="B884" s="4">
        <f>ЛИК_дляСкорингаДП!B884</f>
        <v>7743114875</v>
      </c>
      <c r="C884" s="4" t="str">
        <f>ЛИК_дляСкорингаДП!C884</f>
        <v>ООО "КОЛИБРИ"</v>
      </c>
      <c r="D884" s="5" t="str">
        <f>ЛИК_дляСкорингаДП!M884</f>
        <v>Стоматологическая практика</v>
      </c>
      <c r="E884" s="4" t="str">
        <f>ЛИК_дляСкорингаДП!L884</f>
        <v>86.23</v>
      </c>
      <c r="F884" t="str">
        <f>ЛИК_дляСкорингаДП!N884</f>
        <v>75.00,86.10,86.21,86.90.1,86.90.2,86.90.4,86.90.9,87.90,88.10</v>
      </c>
      <c r="G884" s="25" t="str">
        <f>ЛИК_дляСкорингаДП!AG884</f>
        <v>УСН</v>
      </c>
      <c r="H884" s="55" t="str">
        <f>IF(ISNUMBER(E884),E884,
IFERROR(LEFT(E884,FIND(".",E884)-1),E884))</f>
        <v>86</v>
      </c>
      <c r="I884" s="30">
        <f>IF(COUNTIF(Справочник_ОКВЭД_НР!$A$3:$A$62,H884)&gt;0,Справочник_ОКВЭД_НР!$L$8,
 IF(COUNTIF(Справочник_ОКВЭД_НР!$C$3:$C$62,H884)&gt;0,Справочник_ОКВЭД_НР!$L$9,
  IF(COUNTIF(Справочник_ОКВЭД_НР!$E$3:$E$62,H884)&gt;0,Справочник_ОКВЭД_НР!$L$10,
   IF(COUNTIF(Справочник_ОКВЭД_НР!$G$3:$G$62,H884)&gt;0,Справочник_ОКВЭД_НР!$L$11,50))))</f>
        <v>100</v>
      </c>
      <c r="J884" s="30" cm="1">
        <f t="array" ref="J884">IFERROR(
 (SUMPRODUCT(ISNUMBER(SEARCH(","&amp;Справочник_ОКВЭД_НР!$A$3:$A$62&amp;".",","&amp;SUBSTITUTE(F884," ","")&amp;",")))*Справочник_ОКВЭД_НР!$L$9 +
  SUMPRODUCT(ISNUMBER(SEARCH(","&amp;Справочник_ОКВЭД_НР!$C$3:$C$62&amp;".",","&amp;SUBSTITUTE(F884," ","")&amp;",")))*Справочник_ОКВЭД_НР!$L$10 +
  SUMPRODUCT(ISNUMBER(SEARCH(","&amp;Справочник_ОКВЭД_НР!$E$3:$E$62&amp;".",","&amp;SUBSTITUTE(F884," ","")&amp;",")))*Справочник_ОКВЭД_НР!$L$11 +
  SUMPRODUCT(ISNUMBER(SEARCH(","&amp;Справочник_ОКВЭД_НР!$G$3:$G$62&amp;".",","&amp;SUBSTITUTE(F884," ","")&amp;",")))*Справочник_ОКВЭД_НР!$L$12) /
 (SUMPRODUCT(ISNUMBER(SEARCH(","&amp;Справочник_ОКВЭД_НР!$A$3:$A$62&amp;".",","&amp;SUBSTITUTE(F884," ","")&amp;","))) +
  SUMPRODUCT(ISNUMBER(SEARCH(","&amp;Справочник_ОКВЭД_НР!$C$3:$C$62&amp;".",","&amp;SUBSTITUTE(F884," ","")&amp;","))) +
  SUMPRODUCT(ISNUMBER(SEARCH(","&amp;Справочник_ОКВЭД_НР!$E$3:$E$62&amp;".",","&amp;SUBSTITUTE(F884," ","")&amp;","))) +
  SUMPRODUCT(ISNUMBER(SEARCH(","&amp;Справочник_ОКВЭД_НР!$G$3:$G$62&amp;".",","&amp;SUBSTITUTE(F884," ","")&amp;",")))),
50)</f>
        <v>50</v>
      </c>
      <c r="K884" s="30">
        <f>IFERROR(VLOOKUP(G884,Справочник_ОКВЭД_НР!$O:$P,2,FALSE()),50)</f>
        <v>50</v>
      </c>
      <c r="L884" s="45">
        <f>(I884*Справочник_ОКВЭД_НР!$L$2+J884*Справочник_ОКВЭД_НР!$L$3+K884*Справочник_ОКВЭД_НР!$L$4)*M884</f>
        <v>80</v>
      </c>
      <c r="M884" s="47">
        <f>IF(COUNTIF(Справочник_ОКВЭД_НР!$G$3:$G$62,H884)&gt;0,0,1)</f>
        <v>1</v>
      </c>
    </row>
    <row r="885" spans="1:13" x14ac:dyDescent="0.25">
      <c r="A885" s="4">
        <f>ЛИК_дляСкорингаДП!A885</f>
        <v>1157746688747</v>
      </c>
      <c r="B885" s="4">
        <f>ЛИК_дляСкорингаДП!B885</f>
        <v>7723401712</v>
      </c>
      <c r="C885" s="4" t="str">
        <f>ЛИК_дляСкорингаДП!C885</f>
        <v>ООО "МЕДИА БАИНГ СЕРВИС"</v>
      </c>
      <c r="D885" s="5" t="str">
        <f>ЛИК_дляСкорингаДП!M885</f>
        <v>Деятельность рекламных агентств</v>
      </c>
      <c r="E885" s="4" t="str">
        <f>ЛИК_дляСкорингаДП!L885</f>
        <v>73.11</v>
      </c>
      <c r="F885" t="str">
        <f>ЛИК_дляСкорингаДП!N885</f>
        <v>18.12,47.91.2,47.91.3,47.91.4,62.01,62.02,62.09,63.11,63.11.1,68.31,68.31.1,68.31.11,68.31.12,68.31.2,68.31.21,68.31.22,68.31.3,68.31.31,68.31.32,68.31.4,68.31.41,68.31.42,68.31.5,68.31.51,68.31.52</v>
      </c>
      <c r="G885" s="25" t="str">
        <f>ЛИК_дляСкорингаДП!AG885</f>
        <v>УСН</v>
      </c>
      <c r="H885" s="55" t="str">
        <f>IF(ISNUMBER(E885),E885,
IFERROR(LEFT(E885,FIND(".",E885)-1),E885))</f>
        <v>73</v>
      </c>
      <c r="I885" s="30">
        <f>IF(COUNTIF(Справочник_ОКВЭД_НР!$A$3:$A$62,H885)&gt;0,Справочник_ОКВЭД_НР!$L$8,
 IF(COUNTIF(Справочник_ОКВЭД_НР!$C$3:$C$62,H885)&gt;0,Справочник_ОКВЭД_НР!$L$9,
  IF(COUNTIF(Справочник_ОКВЭД_НР!$E$3:$E$62,H885)&gt;0,Справочник_ОКВЭД_НР!$L$10,
   IF(COUNTIF(Справочник_ОКВЭД_НР!$G$3:$G$62,H885)&gt;0,Справочник_ОКВЭД_НР!$L$11,50))))</f>
        <v>30</v>
      </c>
      <c r="J885" s="30" cm="1">
        <f t="array" ref="J885">IFERROR(
 (SUMPRODUCT(ISNUMBER(SEARCH(","&amp;Справочник_ОКВЭД_НР!$A$3:$A$62&amp;".",","&amp;SUBSTITUTE(F885," ","")&amp;",")))*Справочник_ОКВЭД_НР!$L$9 +
  SUMPRODUCT(ISNUMBER(SEARCH(","&amp;Справочник_ОКВЭД_НР!$C$3:$C$62&amp;".",","&amp;SUBSTITUTE(F885," ","")&amp;",")))*Справочник_ОКВЭД_НР!$L$10 +
  SUMPRODUCT(ISNUMBER(SEARCH(","&amp;Справочник_ОКВЭД_НР!$E$3:$E$62&amp;".",","&amp;SUBSTITUTE(F885," ","")&amp;",")))*Справочник_ОКВЭД_НР!$L$11 +
  SUMPRODUCT(ISNUMBER(SEARCH(","&amp;Справочник_ОКВЭД_НР!$G$3:$G$62&amp;".",","&amp;SUBSTITUTE(F885," ","")&amp;",")))*Справочник_ОКВЭД_НР!$L$12) /
 (SUMPRODUCT(ISNUMBER(SEARCH(","&amp;Справочник_ОКВЭД_НР!$A$3:$A$62&amp;".",","&amp;SUBSTITUTE(F885," ","")&amp;","))) +
  SUMPRODUCT(ISNUMBER(SEARCH(","&amp;Справочник_ОКВЭД_НР!$C$3:$C$62&amp;".",","&amp;SUBSTITUTE(F885," ","")&amp;","))) +
  SUMPRODUCT(ISNUMBER(SEARCH(","&amp;Справочник_ОКВЭД_НР!$E$3:$E$62&amp;".",","&amp;SUBSTITUTE(F885," ","")&amp;","))) +
  SUMPRODUCT(ISNUMBER(SEARCH(","&amp;Справочник_ОКВЭД_НР!$G$3:$G$62&amp;".",","&amp;SUBSTITUTE(F885," ","")&amp;",")))),
50)</f>
        <v>50</v>
      </c>
      <c r="K885" s="30">
        <f>IFERROR(VLOOKUP(G885,Справочник_ОКВЭД_НР!$O:$P,2,FALSE()),50)</f>
        <v>50</v>
      </c>
      <c r="L885" s="45">
        <f>(I885*Справочник_ОКВЭД_НР!$L$2+J885*Справочник_ОКВЭД_НР!$L$3+K885*Справочник_ОКВЭД_НР!$L$4)*M885</f>
        <v>38</v>
      </c>
      <c r="M885" s="47">
        <f>IF(COUNTIF(Справочник_ОКВЭД_НР!$G$3:$G$62,H885)&gt;0,0,1)</f>
        <v>1</v>
      </c>
    </row>
    <row r="886" spans="1:13" x14ac:dyDescent="0.25">
      <c r="A886" s="4">
        <f>ЛИК_дляСкорингаДП!A886</f>
        <v>1025007459641</v>
      </c>
      <c r="B886" s="4">
        <f>ЛИК_дляСкорингаДП!B886</f>
        <v>5073005137</v>
      </c>
      <c r="C886" s="4" t="str">
        <f>ЛИК_дляСкорингаДП!C886</f>
        <v>ООО "ГУБИНСКАЯ МТС"</v>
      </c>
      <c r="D886" s="5" t="str">
        <f>ЛИК_дляСкорингаДП!M886</f>
        <v>Производство земляных работ</v>
      </c>
      <c r="E886" s="4" t="str">
        <f>ЛИК_дляСкорингаДП!L886</f>
        <v>43.12.3</v>
      </c>
      <c r="F886" t="str">
        <f>ЛИК_дляСкорингаДП!N886</f>
        <v>01.61,33.12,41.20,42.11,42.13,42.21,42.91,42.91.2,43.11,43.12,43.12.1,46.90,47.91,47.99,52.21.2</v>
      </c>
      <c r="G886" s="25" t="str">
        <f>ЛИК_дляСкорингаДП!AG886</f>
        <v>УСН</v>
      </c>
      <c r="H886" s="55" t="str">
        <f>IF(ISNUMBER(E886),E886,
IFERROR(LEFT(E886,FIND(".",E886)-1),E886))</f>
        <v>43</v>
      </c>
      <c r="I886" s="30">
        <f>IF(COUNTIF(Справочник_ОКВЭД_НР!$A$3:$A$62,H886)&gt;0,Справочник_ОКВЭД_НР!$L$8,
 IF(COUNTIF(Справочник_ОКВЭД_НР!$C$3:$C$62,H886)&gt;0,Справочник_ОКВЭД_НР!$L$9,
  IF(COUNTIF(Справочник_ОКВЭД_НР!$E$3:$E$62,H886)&gt;0,Справочник_ОКВЭД_НР!$L$10,
   IF(COUNTIF(Справочник_ОКВЭД_НР!$G$3:$G$62,H886)&gt;0,Справочник_ОКВЭД_НР!$L$11,50))))</f>
        <v>100</v>
      </c>
      <c r="J886" s="30" cm="1">
        <f t="array" ref="J886">IFERROR(
 (SUMPRODUCT(ISNUMBER(SEARCH(","&amp;Справочник_ОКВЭД_НР!$A$3:$A$62&amp;".",","&amp;SUBSTITUTE(F886," ","")&amp;",")))*Справочник_ОКВЭД_НР!$L$9 +
  SUMPRODUCT(ISNUMBER(SEARCH(","&amp;Справочник_ОКВЭД_НР!$C$3:$C$62&amp;".",","&amp;SUBSTITUTE(F886," ","")&amp;",")))*Справочник_ОКВЭД_НР!$L$10 +
  SUMPRODUCT(ISNUMBER(SEARCH(","&amp;Справочник_ОКВЭД_НР!$E$3:$E$62&amp;".",","&amp;SUBSTITUTE(F886," ","")&amp;",")))*Справочник_ОКВЭД_НР!$L$11 +
  SUMPRODUCT(ISNUMBER(SEARCH(","&amp;Справочник_ОКВЭД_НР!$G$3:$G$62&amp;".",","&amp;SUBSTITUTE(F886," ","")&amp;",")))*Справочник_ОКВЭД_НР!$L$12) /
 (SUMPRODUCT(ISNUMBER(SEARCH(","&amp;Справочник_ОКВЭД_НР!$A$3:$A$62&amp;".",","&amp;SUBSTITUTE(F886," ","")&amp;","))) +
  SUMPRODUCT(ISNUMBER(SEARCH(","&amp;Справочник_ОКВЭД_НР!$C$3:$C$62&amp;".",","&amp;SUBSTITUTE(F886," ","")&amp;","))) +
  SUMPRODUCT(ISNUMBER(SEARCH(","&amp;Справочник_ОКВЭД_НР!$E$3:$E$62&amp;".",","&amp;SUBSTITUTE(F886," ","")&amp;","))) +
  SUMPRODUCT(ISNUMBER(SEARCH(","&amp;Справочник_ОКВЭД_НР!$G$3:$G$62&amp;".",","&amp;SUBSTITUTE(F886," ","")&amp;",")))),
50)</f>
        <v>50</v>
      </c>
      <c r="K886" s="30">
        <f>IFERROR(VLOOKUP(G886,Справочник_ОКВЭД_НР!$O:$P,2,FALSE()),50)</f>
        <v>50</v>
      </c>
      <c r="L886" s="45">
        <f>(I886*Справочник_ОКВЭД_НР!$L$2+J886*Справочник_ОКВЭД_НР!$L$3+K886*Справочник_ОКВЭД_НР!$L$4)*M886</f>
        <v>80</v>
      </c>
      <c r="M886" s="47">
        <f>IF(COUNTIF(Справочник_ОКВЭД_НР!$G$3:$G$62,H886)&gt;0,0,1)</f>
        <v>1</v>
      </c>
    </row>
    <row r="887" spans="1:13" x14ac:dyDescent="0.25">
      <c r="A887" s="4">
        <f>ЛИК_дляСкорингаДП!A887</f>
        <v>1175027004460</v>
      </c>
      <c r="B887" s="4">
        <f>ЛИК_дляСкорингаДП!B887</f>
        <v>5040147055</v>
      </c>
      <c r="C887" s="4" t="str">
        <f>ЛИК_дляСкорингаДП!C887</f>
        <v>ООО "СОВРЕМЕННАЯ ЗЭД 3 СТОМАТОЛОГИЯ"</v>
      </c>
      <c r="D887" s="5" t="str">
        <f>ЛИК_дляСкорингаДП!M887</f>
        <v>Стоматологическая практика</v>
      </c>
      <c r="E887" s="4" t="str">
        <f>ЛИК_дляСкорингаДП!L887</f>
        <v>86.23</v>
      </c>
      <c r="F887" t="str">
        <f>ЛИК_дляСкорингаДП!N887</f>
        <v>32.50,46.46,47.74,86.10,86.90.9</v>
      </c>
      <c r="G887" s="25" t="str">
        <f>ЛИК_дляСкорингаДП!AG887</f>
        <v>УСН</v>
      </c>
      <c r="H887" s="55" t="str">
        <f>IF(ISNUMBER(E887),E887,
IFERROR(LEFT(E887,FIND(".",E887)-1),E887))</f>
        <v>86</v>
      </c>
      <c r="I887" s="30">
        <f>IF(COUNTIF(Справочник_ОКВЭД_НР!$A$3:$A$62,H887)&gt;0,Справочник_ОКВЭД_НР!$L$8,
 IF(COUNTIF(Справочник_ОКВЭД_НР!$C$3:$C$62,H887)&gt;0,Справочник_ОКВЭД_НР!$L$9,
  IF(COUNTIF(Справочник_ОКВЭД_НР!$E$3:$E$62,H887)&gt;0,Справочник_ОКВЭД_НР!$L$10,
   IF(COUNTIF(Справочник_ОКВЭД_НР!$G$3:$G$62,H887)&gt;0,Справочник_ОКВЭД_НР!$L$11,50))))</f>
        <v>100</v>
      </c>
      <c r="J887" s="30" cm="1">
        <f t="array" ref="J887">IFERROR(
 (SUMPRODUCT(ISNUMBER(SEARCH(","&amp;Справочник_ОКВЭД_НР!$A$3:$A$62&amp;".",","&amp;SUBSTITUTE(F887," ","")&amp;",")))*Справочник_ОКВЭД_НР!$L$9 +
  SUMPRODUCT(ISNUMBER(SEARCH(","&amp;Справочник_ОКВЭД_НР!$C$3:$C$62&amp;".",","&amp;SUBSTITUTE(F887," ","")&amp;",")))*Справочник_ОКВЭД_НР!$L$10 +
  SUMPRODUCT(ISNUMBER(SEARCH(","&amp;Справочник_ОКВЭД_НР!$E$3:$E$62&amp;".",","&amp;SUBSTITUTE(F887," ","")&amp;",")))*Справочник_ОКВЭД_НР!$L$11 +
  SUMPRODUCT(ISNUMBER(SEARCH(","&amp;Справочник_ОКВЭД_НР!$G$3:$G$62&amp;".",","&amp;SUBSTITUTE(F887," ","")&amp;",")))*Справочник_ОКВЭД_НР!$L$12) /
 (SUMPRODUCT(ISNUMBER(SEARCH(","&amp;Справочник_ОКВЭД_НР!$A$3:$A$62&amp;".",","&amp;SUBSTITUTE(F887," ","")&amp;","))) +
  SUMPRODUCT(ISNUMBER(SEARCH(","&amp;Справочник_ОКВЭД_НР!$C$3:$C$62&amp;".",","&amp;SUBSTITUTE(F887," ","")&amp;","))) +
  SUMPRODUCT(ISNUMBER(SEARCH(","&amp;Справочник_ОКВЭД_НР!$E$3:$E$62&amp;".",","&amp;SUBSTITUTE(F887," ","")&amp;","))) +
  SUMPRODUCT(ISNUMBER(SEARCH(","&amp;Справочник_ОКВЭД_НР!$G$3:$G$62&amp;".",","&amp;SUBSTITUTE(F887," ","")&amp;",")))),
50)</f>
        <v>50</v>
      </c>
      <c r="K887" s="30">
        <f>IFERROR(VLOOKUP(G887,Справочник_ОКВЭД_НР!$O:$P,2,FALSE()),50)</f>
        <v>50</v>
      </c>
      <c r="L887" s="45">
        <f>(I887*Справочник_ОКВЭД_НР!$L$2+J887*Справочник_ОКВЭД_НР!$L$3+K887*Справочник_ОКВЭД_НР!$L$4)*M887</f>
        <v>80</v>
      </c>
      <c r="M887" s="47">
        <f>IF(COUNTIF(Справочник_ОКВЭД_НР!$G$3:$G$62,H887)&gt;0,0,1)</f>
        <v>1</v>
      </c>
    </row>
    <row r="888" spans="1:13" x14ac:dyDescent="0.25">
      <c r="A888" s="4">
        <f>ЛИК_дляСкорингаДП!A888</f>
        <v>1175027020134</v>
      </c>
      <c r="B888" s="4">
        <f>ЛИК_дляСкорингаДП!B888</f>
        <v>5027255196</v>
      </c>
      <c r="C888" s="4" t="str">
        <f>ЛИК_дляСкорингаДП!C888</f>
        <v>ООО "ТОП ТИМ"</v>
      </c>
      <c r="D888" s="5" t="str">
        <f>ЛИК_дляСкорингаДП!M888</f>
        <v>Аренда и лизинг легковых автомобилей и легких автотранспортных средств</v>
      </c>
      <c r="E888" s="4" t="str">
        <f>ЛИК_дляСкорингаДП!L888</f>
        <v>77.11</v>
      </c>
      <c r="F888" t="str">
        <f>ЛИК_дляСкорингаДП!N888</f>
        <v>45.11,45.19,45.20,45.31,45.32,45.40,47.30,49.32,49.41,52.29,77.39.11,81.29,82.99</v>
      </c>
      <c r="G888" s="25" t="str">
        <f>ЛИК_дляСкорингаДП!AG888</f>
        <v>УСН</v>
      </c>
      <c r="H888" s="55" t="str">
        <f>IF(ISNUMBER(E888),E888,
IFERROR(LEFT(E888,FIND(".",E888)-1),E888))</f>
        <v>77</v>
      </c>
      <c r="I888" s="30">
        <f>IF(COUNTIF(Справочник_ОКВЭД_НР!$A$3:$A$62,H888)&gt;0,Справочник_ОКВЭД_НР!$L$8,
 IF(COUNTIF(Справочник_ОКВЭД_НР!$C$3:$C$62,H888)&gt;0,Справочник_ОКВЭД_НР!$L$9,
  IF(COUNTIF(Справочник_ОКВЭД_НР!$E$3:$E$62,H888)&gt;0,Справочник_ОКВЭД_НР!$L$10,
   IF(COUNTIF(Справочник_ОКВЭД_НР!$G$3:$G$62,H888)&gt;0,Справочник_ОКВЭД_НР!$L$11,50))))</f>
        <v>60</v>
      </c>
      <c r="J888" s="30" cm="1">
        <f t="array" ref="J888">IFERROR(
 (SUMPRODUCT(ISNUMBER(SEARCH(","&amp;Справочник_ОКВЭД_НР!$A$3:$A$62&amp;".",","&amp;SUBSTITUTE(F888," ","")&amp;",")))*Справочник_ОКВЭД_НР!$L$9 +
  SUMPRODUCT(ISNUMBER(SEARCH(","&amp;Справочник_ОКВЭД_НР!$C$3:$C$62&amp;".",","&amp;SUBSTITUTE(F888," ","")&amp;",")))*Справочник_ОКВЭД_НР!$L$10 +
  SUMPRODUCT(ISNUMBER(SEARCH(","&amp;Справочник_ОКВЭД_НР!$E$3:$E$62&amp;".",","&amp;SUBSTITUTE(F888," ","")&amp;",")))*Справочник_ОКВЭД_НР!$L$11 +
  SUMPRODUCT(ISNUMBER(SEARCH(","&amp;Справочник_ОКВЭД_НР!$G$3:$G$62&amp;".",","&amp;SUBSTITUTE(F888," ","")&amp;",")))*Справочник_ОКВЭД_НР!$L$12) /
 (SUMPRODUCT(ISNUMBER(SEARCH(","&amp;Справочник_ОКВЭД_НР!$A$3:$A$62&amp;".",","&amp;SUBSTITUTE(F888," ","")&amp;","))) +
  SUMPRODUCT(ISNUMBER(SEARCH(","&amp;Справочник_ОКВЭД_НР!$C$3:$C$62&amp;".",","&amp;SUBSTITUTE(F888," ","")&amp;","))) +
  SUMPRODUCT(ISNUMBER(SEARCH(","&amp;Справочник_ОКВЭД_НР!$E$3:$E$62&amp;".",","&amp;SUBSTITUTE(F888," ","")&amp;","))) +
  SUMPRODUCT(ISNUMBER(SEARCH(","&amp;Справочник_ОКВЭД_НР!$G$3:$G$62&amp;".",","&amp;SUBSTITUTE(F888," ","")&amp;",")))),
50)</f>
        <v>50</v>
      </c>
      <c r="K888" s="30">
        <f>IFERROR(VLOOKUP(G888,Справочник_ОКВЭД_НР!$O:$P,2,FALSE()),50)</f>
        <v>50</v>
      </c>
      <c r="L888" s="45">
        <f>(I888*Справочник_ОКВЭД_НР!$L$2+J888*Справочник_ОКВЭД_НР!$L$3+K888*Справочник_ОКВЭД_НР!$L$4)*M888</f>
        <v>56</v>
      </c>
      <c r="M888" s="47">
        <f>IF(COUNTIF(Справочник_ОКВЭД_НР!$G$3:$G$62,H888)&gt;0,0,1)</f>
        <v>1</v>
      </c>
    </row>
    <row r="889" spans="1:13" x14ac:dyDescent="0.25">
      <c r="A889" s="4">
        <f>ЛИК_дляСкорингаДП!A889</f>
        <v>1025006466649</v>
      </c>
      <c r="B889" s="4">
        <f>ЛИК_дляСкорингаДП!B889</f>
        <v>5049011771</v>
      </c>
      <c r="C889" s="4" t="str">
        <f>ЛИК_дляСкорингаДП!C889</f>
        <v>ООО "НИЦ ТЛ"</v>
      </c>
      <c r="D889" s="5" t="str">
        <f>ЛИК_дляСкорингаДП!M889</f>
        <v>Обработка металлических изделий механическая</v>
      </c>
      <c r="E889" s="4" t="str">
        <f>ЛИК_дляСкорингаДП!L889</f>
        <v>25.62</v>
      </c>
      <c r="F889" t="str">
        <f>ЛИК_дляСкорингаДП!N889</f>
        <v>28.41.1,71.12.12,72.19</v>
      </c>
      <c r="G889" s="25" t="str">
        <f>ЛИК_дляСкорингаДП!AG889</f>
        <v>УСН</v>
      </c>
      <c r="H889" s="55" t="str">
        <f>IF(ISNUMBER(E889),E889,
IFERROR(LEFT(E889,FIND(".",E889)-1),E889))</f>
        <v>25</v>
      </c>
      <c r="I889" s="30">
        <f>IF(COUNTIF(Справочник_ОКВЭД_НР!$A$3:$A$62,H889)&gt;0,Справочник_ОКВЭД_НР!$L$8,
 IF(COUNTIF(Справочник_ОКВЭД_НР!$C$3:$C$62,H889)&gt;0,Справочник_ОКВЭД_НР!$L$9,
  IF(COUNTIF(Справочник_ОКВЭД_НР!$E$3:$E$62,H889)&gt;0,Справочник_ОКВЭД_НР!$L$10,
   IF(COUNTIF(Справочник_ОКВЭД_НР!$G$3:$G$62,H889)&gt;0,Справочник_ОКВЭД_НР!$L$11,50))))</f>
        <v>60</v>
      </c>
      <c r="J889" s="30" cm="1">
        <f t="array" ref="J889">IFERROR(
 (SUMPRODUCT(ISNUMBER(SEARCH(","&amp;Справочник_ОКВЭД_НР!$A$3:$A$62&amp;".",","&amp;SUBSTITUTE(F889," ","")&amp;",")))*Справочник_ОКВЭД_НР!$L$9 +
  SUMPRODUCT(ISNUMBER(SEARCH(","&amp;Справочник_ОКВЭД_НР!$C$3:$C$62&amp;".",","&amp;SUBSTITUTE(F889," ","")&amp;",")))*Справочник_ОКВЭД_НР!$L$10 +
  SUMPRODUCT(ISNUMBER(SEARCH(","&amp;Справочник_ОКВЭД_НР!$E$3:$E$62&amp;".",","&amp;SUBSTITUTE(F889," ","")&amp;",")))*Справочник_ОКВЭД_НР!$L$11 +
  SUMPRODUCT(ISNUMBER(SEARCH(","&amp;Справочник_ОКВЭД_НР!$G$3:$G$62&amp;".",","&amp;SUBSTITUTE(F889," ","")&amp;",")))*Справочник_ОКВЭД_НР!$L$12) /
 (SUMPRODUCT(ISNUMBER(SEARCH(","&amp;Справочник_ОКВЭД_НР!$A$3:$A$62&amp;".",","&amp;SUBSTITUTE(F889," ","")&amp;","))) +
  SUMPRODUCT(ISNUMBER(SEARCH(","&amp;Справочник_ОКВЭД_НР!$C$3:$C$62&amp;".",","&amp;SUBSTITUTE(F889," ","")&amp;","))) +
  SUMPRODUCT(ISNUMBER(SEARCH(","&amp;Справочник_ОКВЭД_НР!$E$3:$E$62&amp;".",","&amp;SUBSTITUTE(F889," ","")&amp;","))) +
  SUMPRODUCT(ISNUMBER(SEARCH(","&amp;Справочник_ОКВЭД_НР!$G$3:$G$62&amp;".",","&amp;SUBSTITUTE(F889," ","")&amp;",")))),
50)</f>
        <v>50</v>
      </c>
      <c r="K889" s="30">
        <f>IFERROR(VLOOKUP(G889,Справочник_ОКВЭД_НР!$O:$P,2,FALSE()),50)</f>
        <v>50</v>
      </c>
      <c r="L889" s="45">
        <f>(I889*Справочник_ОКВЭД_НР!$L$2+J889*Справочник_ОКВЭД_НР!$L$3+K889*Справочник_ОКВЭД_НР!$L$4)*M889</f>
        <v>56</v>
      </c>
      <c r="M889" s="47">
        <f>IF(COUNTIF(Справочник_ОКВЭД_НР!$G$3:$G$62,H889)&gt;0,0,1)</f>
        <v>1</v>
      </c>
    </row>
    <row r="890" spans="1:13" x14ac:dyDescent="0.25">
      <c r="A890" s="4">
        <f>ЛИК_дляСкорингаДП!A890</f>
        <v>1157746692950</v>
      </c>
      <c r="B890" s="4">
        <f>ЛИК_дляСкорингаДП!B890</f>
        <v>7736249857</v>
      </c>
      <c r="C890" s="4" t="str">
        <f>ЛИК_дляСкорингаДП!C890</f>
        <v>ООО "УНИВЕРСИТЕТ"</v>
      </c>
      <c r="D890" s="5" t="str">
        <f>ЛИК_дляСкорингаДП!M890</f>
        <v>Деятельность ресторанов и услуги по доставке продуктов питания</v>
      </c>
      <c r="E890" s="4" t="str">
        <f>ЛИК_дляСкорингаДП!L890</f>
        <v>56.10</v>
      </c>
      <c r="F890" t="str">
        <f>ЛИК_дляСкорингаДП!N890</f>
        <v>46.19,46.49,46.90,47.7,47.9,56.10.1,56.10.3,56.29,69.20.2,69.20.3,70.22</v>
      </c>
      <c r="G890" s="25" t="str">
        <f>ЛИК_дляСкорингаДП!AG890</f>
        <v>УСН</v>
      </c>
      <c r="H890" s="55" t="str">
        <f>IF(ISNUMBER(E890),E890,
IFERROR(LEFT(E890,FIND(".",E890)-1),E890))</f>
        <v>56</v>
      </c>
      <c r="I890" s="30">
        <f>IF(COUNTIF(Справочник_ОКВЭД_НР!$A$3:$A$62,H890)&gt;0,Справочник_ОКВЭД_НР!$L$8,
 IF(COUNTIF(Справочник_ОКВЭД_НР!$C$3:$C$62,H890)&gt;0,Справочник_ОКВЭД_НР!$L$9,
  IF(COUNTIF(Справочник_ОКВЭД_НР!$E$3:$E$62,H890)&gt;0,Справочник_ОКВЭД_НР!$L$10,
   IF(COUNTIF(Справочник_ОКВЭД_НР!$G$3:$G$62,H890)&gt;0,Справочник_ОКВЭД_НР!$L$11,50))))</f>
        <v>30</v>
      </c>
      <c r="J890" s="30" cm="1">
        <f t="array" ref="J890">IFERROR(
 (SUMPRODUCT(ISNUMBER(SEARCH(","&amp;Справочник_ОКВЭД_НР!$A$3:$A$62&amp;".",","&amp;SUBSTITUTE(F890," ","")&amp;",")))*Справочник_ОКВЭД_НР!$L$9 +
  SUMPRODUCT(ISNUMBER(SEARCH(","&amp;Справочник_ОКВЭД_НР!$C$3:$C$62&amp;".",","&amp;SUBSTITUTE(F890," ","")&amp;",")))*Справочник_ОКВЭД_НР!$L$10 +
  SUMPRODUCT(ISNUMBER(SEARCH(","&amp;Справочник_ОКВЭД_НР!$E$3:$E$62&amp;".",","&amp;SUBSTITUTE(F890," ","")&amp;",")))*Справочник_ОКВЭД_НР!$L$11 +
  SUMPRODUCT(ISNUMBER(SEARCH(","&amp;Справочник_ОКВЭД_НР!$G$3:$G$62&amp;".",","&amp;SUBSTITUTE(F890," ","")&amp;",")))*Справочник_ОКВЭД_НР!$L$12) /
 (SUMPRODUCT(ISNUMBER(SEARCH(","&amp;Справочник_ОКВЭД_НР!$A$3:$A$62&amp;".",","&amp;SUBSTITUTE(F890," ","")&amp;","))) +
  SUMPRODUCT(ISNUMBER(SEARCH(","&amp;Справочник_ОКВЭД_НР!$C$3:$C$62&amp;".",","&amp;SUBSTITUTE(F890," ","")&amp;","))) +
  SUMPRODUCT(ISNUMBER(SEARCH(","&amp;Справочник_ОКВЭД_НР!$E$3:$E$62&amp;".",","&amp;SUBSTITUTE(F890," ","")&amp;","))) +
  SUMPRODUCT(ISNUMBER(SEARCH(","&amp;Справочник_ОКВЭД_НР!$G$3:$G$62&amp;".",","&amp;SUBSTITUTE(F890," ","")&amp;",")))),
50)</f>
        <v>50</v>
      </c>
      <c r="K890" s="30">
        <f>IFERROR(VLOOKUP(G890,Справочник_ОКВЭД_НР!$O:$P,2,FALSE()),50)</f>
        <v>50</v>
      </c>
      <c r="L890" s="45">
        <f>(I890*Справочник_ОКВЭД_НР!$L$2+J890*Справочник_ОКВЭД_НР!$L$3+K890*Справочник_ОКВЭД_НР!$L$4)*M890</f>
        <v>38</v>
      </c>
      <c r="M890" s="47">
        <f>IF(COUNTIF(Справочник_ОКВЭД_НР!$G$3:$G$62,H890)&gt;0,0,1)</f>
        <v>1</v>
      </c>
    </row>
    <row r="891" spans="1:13" x14ac:dyDescent="0.25">
      <c r="A891" s="4">
        <f>ЛИК_дляСкорингаДП!A891</f>
        <v>1157746728732</v>
      </c>
      <c r="B891" s="4">
        <f>ЛИК_дляСкорингаДП!B891</f>
        <v>9705045857</v>
      </c>
      <c r="C891" s="4" t="str">
        <f>ЛИК_дляСкорингаДП!C891</f>
        <v>ООО "АРТЕФАКТ"</v>
      </c>
      <c r="D891" s="5" t="str">
        <f>ЛИК_дляСкорингаДП!M891</f>
        <v>Деятельность специализированная в области дизайна</v>
      </c>
      <c r="E891" s="4" t="str">
        <f>ЛИК_дляСкорингаДП!L891</f>
        <v>74.10</v>
      </c>
      <c r="F891" t="str">
        <f>ЛИК_дляСкорингаДП!N891</f>
        <v>13.30,13.99,13.99.4,13.99.9,32.13,32.99.6,32.99.9,43.32,43.33,47.79.1,52.24,52.29,58.19,59.11,71.11.1,72.20.2,74.20,77.29.9,82.30,82.99,85.41,85.41.1,85.41.2,85.41.9,90.03,91.02,93.19,93.29.9,96.04</v>
      </c>
      <c r="G891" s="25" t="str">
        <f>ЛИК_дляСкорингаДП!AG891</f>
        <v>УСН</v>
      </c>
      <c r="H891" s="55" t="str">
        <f>IF(ISNUMBER(E891),E891,
IFERROR(LEFT(E891,FIND(".",E891)-1),E891))</f>
        <v>74</v>
      </c>
      <c r="I891" s="30">
        <f>IF(COUNTIF(Справочник_ОКВЭД_НР!$A$3:$A$62,H891)&gt;0,Справочник_ОКВЭД_НР!$L$8,
 IF(COUNTIF(Справочник_ОКВЭД_НР!$C$3:$C$62,H891)&gt;0,Справочник_ОКВЭД_НР!$L$9,
  IF(COUNTIF(Справочник_ОКВЭД_НР!$E$3:$E$62,H891)&gt;0,Справочник_ОКВЭД_НР!$L$10,
   IF(COUNTIF(Справочник_ОКВЭД_НР!$G$3:$G$62,H891)&gt;0,Справочник_ОКВЭД_НР!$L$11,50))))</f>
        <v>30</v>
      </c>
      <c r="J891" s="30" cm="1">
        <f t="array" ref="J891">IFERROR(
 (SUMPRODUCT(ISNUMBER(SEARCH(","&amp;Справочник_ОКВЭД_НР!$A$3:$A$62&amp;".",","&amp;SUBSTITUTE(F891," ","")&amp;",")))*Справочник_ОКВЭД_НР!$L$9 +
  SUMPRODUCT(ISNUMBER(SEARCH(","&amp;Справочник_ОКВЭД_НР!$C$3:$C$62&amp;".",","&amp;SUBSTITUTE(F891," ","")&amp;",")))*Справочник_ОКВЭД_НР!$L$10 +
  SUMPRODUCT(ISNUMBER(SEARCH(","&amp;Справочник_ОКВЭД_НР!$E$3:$E$62&amp;".",","&amp;SUBSTITUTE(F891," ","")&amp;",")))*Справочник_ОКВЭД_НР!$L$11 +
  SUMPRODUCT(ISNUMBER(SEARCH(","&amp;Справочник_ОКВЭД_НР!$G$3:$G$62&amp;".",","&amp;SUBSTITUTE(F891," ","")&amp;",")))*Справочник_ОКВЭД_НР!$L$12) /
 (SUMPRODUCT(ISNUMBER(SEARCH(","&amp;Справочник_ОКВЭД_НР!$A$3:$A$62&amp;".",","&amp;SUBSTITUTE(F891," ","")&amp;","))) +
  SUMPRODUCT(ISNUMBER(SEARCH(","&amp;Справочник_ОКВЭД_НР!$C$3:$C$62&amp;".",","&amp;SUBSTITUTE(F891," ","")&amp;","))) +
  SUMPRODUCT(ISNUMBER(SEARCH(","&amp;Справочник_ОКВЭД_НР!$E$3:$E$62&amp;".",","&amp;SUBSTITUTE(F891," ","")&amp;","))) +
  SUMPRODUCT(ISNUMBER(SEARCH(","&amp;Справочник_ОКВЭД_НР!$G$3:$G$62&amp;".",","&amp;SUBSTITUTE(F891," ","")&amp;",")))),
50)</f>
        <v>50</v>
      </c>
      <c r="K891" s="30">
        <f>IFERROR(VLOOKUP(G891,Справочник_ОКВЭД_НР!$O:$P,2,FALSE()),50)</f>
        <v>50</v>
      </c>
      <c r="L891" s="45">
        <f>(I891*Справочник_ОКВЭД_НР!$L$2+J891*Справочник_ОКВЭД_НР!$L$3+K891*Справочник_ОКВЭД_НР!$L$4)*M891</f>
        <v>38</v>
      </c>
      <c r="M891" s="47">
        <f>IF(COUNTIF(Справочник_ОКВЭД_НР!$G$3:$G$62,H891)&gt;0,0,1)</f>
        <v>1</v>
      </c>
    </row>
    <row r="892" spans="1:13" x14ac:dyDescent="0.25">
      <c r="A892" s="4">
        <f>ЛИК_дляСкорингаДП!A892</f>
        <v>1157746754296</v>
      </c>
      <c r="B892" s="4">
        <f>ЛИК_дляСкорингаДП!B892</f>
        <v>7743115526</v>
      </c>
      <c r="C892" s="4" t="str">
        <f>ЛИК_дляСкорингаДП!C892</f>
        <v>ООО "УК "ЕВРОДОМ"</v>
      </c>
      <c r="D892" s="5" t="str">
        <f>ЛИК_дляСкорингаДП!M892</f>
        <v>Управление эксплуатацией жилого фонда за вознаграждение или на договорной основе</v>
      </c>
      <c r="E892" s="4" t="str">
        <f>ЛИК_дляСкорингаДП!L892</f>
        <v>68.32.1</v>
      </c>
      <c r="F892" t="str">
        <f>ЛИК_дляСкорингаДП!N892</f>
        <v>41.20,42.99,43.21,43.22,43.29,43.31,43.32,43.33,43.34,52.21.22,68.31.1,68.31.2,68.31.3,68.31.4,68.32,68.32.2,77.11,77.31,77.39.1,78.10,81.22,81.29.9,84.11.8,84.25.9</v>
      </c>
      <c r="G892" s="25" t="str">
        <f>ЛИК_дляСкорингаДП!AG892</f>
        <v>УСН</v>
      </c>
      <c r="H892" s="55" t="str">
        <f>IF(ISNUMBER(E892),E892,
IFERROR(LEFT(E892,FIND(".",E892)-1),E892))</f>
        <v>68</v>
      </c>
      <c r="I892" s="30">
        <f>IF(COUNTIF(Справочник_ОКВЭД_НР!$A$3:$A$62,H892)&gt;0,Справочник_ОКВЭД_НР!$L$8,
 IF(COUNTIF(Справочник_ОКВЭД_НР!$C$3:$C$62,H892)&gt;0,Справочник_ОКВЭД_НР!$L$9,
  IF(COUNTIF(Справочник_ОКВЭД_НР!$E$3:$E$62,H892)&gt;0,Справочник_ОКВЭД_НР!$L$10,
   IF(COUNTIF(Справочник_ОКВЭД_НР!$G$3:$G$62,H892)&gt;0,Справочник_ОКВЭД_НР!$L$11,50))))</f>
        <v>100</v>
      </c>
      <c r="J892" s="30" cm="1">
        <f t="array" ref="J892">IFERROR(
 (SUMPRODUCT(ISNUMBER(SEARCH(","&amp;Справочник_ОКВЭД_НР!$A$3:$A$62&amp;".",","&amp;SUBSTITUTE(F892," ","")&amp;",")))*Справочник_ОКВЭД_НР!$L$9 +
  SUMPRODUCT(ISNUMBER(SEARCH(","&amp;Справочник_ОКВЭД_НР!$C$3:$C$62&amp;".",","&amp;SUBSTITUTE(F892," ","")&amp;",")))*Справочник_ОКВЭД_НР!$L$10 +
  SUMPRODUCT(ISNUMBER(SEARCH(","&amp;Справочник_ОКВЭД_НР!$E$3:$E$62&amp;".",","&amp;SUBSTITUTE(F892," ","")&amp;",")))*Справочник_ОКВЭД_НР!$L$11 +
  SUMPRODUCT(ISNUMBER(SEARCH(","&amp;Справочник_ОКВЭД_НР!$G$3:$G$62&amp;".",","&amp;SUBSTITUTE(F892," ","")&amp;",")))*Справочник_ОКВЭД_НР!$L$12) /
 (SUMPRODUCT(ISNUMBER(SEARCH(","&amp;Справочник_ОКВЭД_НР!$A$3:$A$62&amp;".",","&amp;SUBSTITUTE(F892," ","")&amp;","))) +
  SUMPRODUCT(ISNUMBER(SEARCH(","&amp;Справочник_ОКВЭД_НР!$C$3:$C$62&amp;".",","&amp;SUBSTITUTE(F892," ","")&amp;","))) +
  SUMPRODUCT(ISNUMBER(SEARCH(","&amp;Справочник_ОКВЭД_НР!$E$3:$E$62&amp;".",","&amp;SUBSTITUTE(F892," ","")&amp;","))) +
  SUMPRODUCT(ISNUMBER(SEARCH(","&amp;Справочник_ОКВЭД_НР!$G$3:$G$62&amp;".",","&amp;SUBSTITUTE(F892," ","")&amp;",")))),
50)</f>
        <v>50</v>
      </c>
      <c r="K892" s="30">
        <f>IFERROR(VLOOKUP(G892,Справочник_ОКВЭД_НР!$O:$P,2,FALSE()),50)</f>
        <v>50</v>
      </c>
      <c r="L892" s="45">
        <f>(I892*Справочник_ОКВЭД_НР!$L$2+J892*Справочник_ОКВЭД_НР!$L$3+K892*Справочник_ОКВЭД_НР!$L$4)*M892</f>
        <v>80</v>
      </c>
      <c r="M892" s="47">
        <f>IF(COUNTIF(Справочник_ОКВЭД_НР!$G$3:$G$62,H892)&gt;0,0,1)</f>
        <v>1</v>
      </c>
    </row>
    <row r="893" spans="1:13" x14ac:dyDescent="0.25">
      <c r="A893" s="4">
        <f>ЛИК_дляСкорингаДП!A893</f>
        <v>1157746604950</v>
      </c>
      <c r="B893" s="4">
        <f>ЛИК_дляСкорингаДП!B893</f>
        <v>7714345973</v>
      </c>
      <c r="C893" s="4" t="str">
        <f>ЛИК_дляСкорингаДП!C893</f>
        <v>ООО "ТАНЦЕВАЛЬНАЯ СТУДИЯ "ТАНГО"</v>
      </c>
      <c r="D893" s="5" t="str">
        <f>ЛИК_дляСкорингаДП!M893</f>
        <v>Деятельность танцплощадок, дискотек, школ танцев</v>
      </c>
      <c r="E893" s="4" t="str">
        <f>ЛИК_дляСкорингаДП!L893</f>
        <v>93.29.2</v>
      </c>
      <c r="F893" t="str">
        <f>ЛИК_дляСкорингаДП!N893</f>
        <v>46.34.1,46.49.43,47.29.35,47.64,47.71.5,56.10,56.10.1,56.10.3,56.30,82.99,93.11,93.19,93.29,93.29.9,96.04</v>
      </c>
      <c r="G893" s="25" t="str">
        <f>ЛИК_дляСкорингаДП!AG893</f>
        <v>УСН</v>
      </c>
      <c r="H893" s="55" t="str">
        <f>IF(ISNUMBER(E893),E893,
IFERROR(LEFT(E893,FIND(".",E893)-1),E893))</f>
        <v>93</v>
      </c>
      <c r="I893" s="30">
        <f>IF(COUNTIF(Справочник_ОКВЭД_НР!$A$3:$A$62,H893)&gt;0,Справочник_ОКВЭД_НР!$L$8,
 IF(COUNTIF(Справочник_ОКВЭД_НР!$C$3:$C$62,H893)&gt;0,Справочник_ОКВЭД_НР!$L$9,
  IF(COUNTIF(Справочник_ОКВЭД_НР!$E$3:$E$62,H893)&gt;0,Справочник_ОКВЭД_НР!$L$10,
   IF(COUNTIF(Справочник_ОКВЭД_НР!$G$3:$G$62,H893)&gt;0,Справочник_ОКВЭД_НР!$L$11,50))))</f>
        <v>30</v>
      </c>
      <c r="J893" s="30" cm="1">
        <f t="array" ref="J893">IFERROR(
 (SUMPRODUCT(ISNUMBER(SEARCH(","&amp;Справочник_ОКВЭД_НР!$A$3:$A$62&amp;".",","&amp;SUBSTITUTE(F893," ","")&amp;",")))*Справочник_ОКВЭД_НР!$L$9 +
  SUMPRODUCT(ISNUMBER(SEARCH(","&amp;Справочник_ОКВЭД_НР!$C$3:$C$62&amp;".",","&amp;SUBSTITUTE(F893," ","")&amp;",")))*Справочник_ОКВЭД_НР!$L$10 +
  SUMPRODUCT(ISNUMBER(SEARCH(","&amp;Справочник_ОКВЭД_НР!$E$3:$E$62&amp;".",","&amp;SUBSTITUTE(F893," ","")&amp;",")))*Справочник_ОКВЭД_НР!$L$11 +
  SUMPRODUCT(ISNUMBER(SEARCH(","&amp;Справочник_ОКВЭД_НР!$G$3:$G$62&amp;".",","&amp;SUBSTITUTE(F893," ","")&amp;",")))*Справочник_ОКВЭД_НР!$L$12) /
 (SUMPRODUCT(ISNUMBER(SEARCH(","&amp;Справочник_ОКВЭД_НР!$A$3:$A$62&amp;".",","&amp;SUBSTITUTE(F893," ","")&amp;","))) +
  SUMPRODUCT(ISNUMBER(SEARCH(","&amp;Справочник_ОКВЭД_НР!$C$3:$C$62&amp;".",","&amp;SUBSTITUTE(F893," ","")&amp;","))) +
  SUMPRODUCT(ISNUMBER(SEARCH(","&amp;Справочник_ОКВЭД_НР!$E$3:$E$62&amp;".",","&amp;SUBSTITUTE(F893," ","")&amp;","))) +
  SUMPRODUCT(ISNUMBER(SEARCH(","&amp;Справочник_ОКВЭД_НР!$G$3:$G$62&amp;".",","&amp;SUBSTITUTE(F893," ","")&amp;",")))),
50)</f>
        <v>50</v>
      </c>
      <c r="K893" s="30">
        <f>IFERROR(VLOOKUP(G893,Справочник_ОКВЭД_НР!$O:$P,2,FALSE()),50)</f>
        <v>50</v>
      </c>
      <c r="L893" s="45">
        <f>(I893*Справочник_ОКВЭД_НР!$L$2+J893*Справочник_ОКВЭД_НР!$L$3+K893*Справочник_ОКВЭД_НР!$L$4)*M893</f>
        <v>38</v>
      </c>
      <c r="M893" s="47">
        <f>IF(COUNTIF(Справочник_ОКВЭД_НР!$G$3:$G$62,H893)&gt;0,0,1)</f>
        <v>1</v>
      </c>
    </row>
    <row r="894" spans="1:13" x14ac:dyDescent="0.25">
      <c r="A894" s="4">
        <f>ЛИК_дляСкорингаДП!A894</f>
        <v>1157746679870</v>
      </c>
      <c r="B894" s="4">
        <f>ЛИК_дляСкорингаДП!B894</f>
        <v>7733242660</v>
      </c>
      <c r="C894" s="4" t="str">
        <f>ЛИК_дляСкорингаДП!C894</f>
        <v>ООО "ФЕНСИ ПЛЮС"</v>
      </c>
      <c r="D894" s="5" t="str">
        <f>ЛИК_дляСкорингаДП!M894</f>
        <v>Торговля оптовая фармацевтической продукцией</v>
      </c>
      <c r="E894" s="4" t="str">
        <f>ЛИК_дляСкорингаДП!L894</f>
        <v>46.46</v>
      </c>
      <c r="F894" t="str">
        <f>ЛИК_дляСкорингаДП!N894</f>
        <v>43.21,43.22,43.29,43.31,43.32,43.32.1,43.32.2,43.32.3,43.33,43.34,43.34.1,43.34.2,43.39,43.91,43.99,43.99.1,43.99.2,43.99.3,43.99.4,43.99.5,43.99.6,43.99.7,43.99.9,46.41,46.42,46.43,46.44,46.45,46.47,46.49,46.73,46.74,46.90,47.43,47.52,47.54,47.59,47.73,47.74,47.75,47.78,47.99,49.41,49.42,52.29,68.20,68.31,68.32,69.10,81.22,90.0,93.19,93.29,93.29.9,96.04</v>
      </c>
      <c r="G894" s="25" t="str">
        <f>ЛИК_дляСкорингаДП!AG894</f>
        <v>УСН</v>
      </c>
      <c r="H894" s="55" t="str">
        <f>IF(ISNUMBER(E894),E894,
IFERROR(LEFT(E894,FIND(".",E894)-1),E894))</f>
        <v>46</v>
      </c>
      <c r="I894" s="30">
        <f>IF(COUNTIF(Справочник_ОКВЭД_НР!$A$3:$A$62,H894)&gt;0,Справочник_ОКВЭД_НР!$L$8,
 IF(COUNTIF(Справочник_ОКВЭД_НР!$C$3:$C$62,H894)&gt;0,Справочник_ОКВЭД_НР!$L$9,
  IF(COUNTIF(Справочник_ОКВЭД_НР!$E$3:$E$62,H894)&gt;0,Справочник_ОКВЭД_НР!$L$10,
   IF(COUNTIF(Справочник_ОКВЭД_НР!$G$3:$G$62,H894)&gt;0,Справочник_ОКВЭД_НР!$L$11,50))))</f>
        <v>60</v>
      </c>
      <c r="J894" s="30" cm="1">
        <f t="array" ref="J894">IFERROR(
 (SUMPRODUCT(ISNUMBER(SEARCH(","&amp;Справочник_ОКВЭД_НР!$A$3:$A$62&amp;".",","&amp;SUBSTITUTE(F894," ","")&amp;",")))*Справочник_ОКВЭД_НР!$L$9 +
  SUMPRODUCT(ISNUMBER(SEARCH(","&amp;Справочник_ОКВЭД_НР!$C$3:$C$62&amp;".",","&amp;SUBSTITUTE(F894," ","")&amp;",")))*Справочник_ОКВЭД_НР!$L$10 +
  SUMPRODUCT(ISNUMBER(SEARCH(","&amp;Справочник_ОКВЭД_НР!$E$3:$E$62&amp;".",","&amp;SUBSTITUTE(F894," ","")&amp;",")))*Справочник_ОКВЭД_НР!$L$11 +
  SUMPRODUCT(ISNUMBER(SEARCH(","&amp;Справочник_ОКВЭД_НР!$G$3:$G$62&amp;".",","&amp;SUBSTITUTE(F894," ","")&amp;",")))*Справочник_ОКВЭД_НР!$L$12) /
 (SUMPRODUCT(ISNUMBER(SEARCH(","&amp;Справочник_ОКВЭД_НР!$A$3:$A$62&amp;".",","&amp;SUBSTITUTE(F894," ","")&amp;","))) +
  SUMPRODUCT(ISNUMBER(SEARCH(","&amp;Справочник_ОКВЭД_НР!$C$3:$C$62&amp;".",","&amp;SUBSTITUTE(F894," ","")&amp;","))) +
  SUMPRODUCT(ISNUMBER(SEARCH(","&amp;Справочник_ОКВЭД_НР!$E$3:$E$62&amp;".",","&amp;SUBSTITUTE(F894," ","")&amp;","))) +
  SUMPRODUCT(ISNUMBER(SEARCH(","&amp;Справочник_ОКВЭД_НР!$G$3:$G$62&amp;".",","&amp;SUBSTITUTE(F894," ","")&amp;",")))),
50)</f>
        <v>50</v>
      </c>
      <c r="K894" s="30">
        <f>IFERROR(VLOOKUP(G894,Справочник_ОКВЭД_НР!$O:$P,2,FALSE()),50)</f>
        <v>50</v>
      </c>
      <c r="L894" s="45">
        <f>(I894*Справочник_ОКВЭД_НР!$L$2+J894*Справочник_ОКВЭД_НР!$L$3+K894*Справочник_ОКВЭД_НР!$L$4)*M894</f>
        <v>56</v>
      </c>
      <c r="M894" s="47">
        <f>IF(COUNTIF(Справочник_ОКВЭД_НР!$G$3:$G$62,H894)&gt;0,0,1)</f>
        <v>1</v>
      </c>
    </row>
    <row r="895" spans="1:13" x14ac:dyDescent="0.25">
      <c r="A895" s="4">
        <f>ЛИК_дляСкорингаДП!A895</f>
        <v>1107746151590</v>
      </c>
      <c r="B895" s="4">
        <f>ЛИК_дляСкорингаДП!B895</f>
        <v>7705911132</v>
      </c>
      <c r="C895" s="4" t="str">
        <f>ЛИК_дляСкорингаДП!C895</f>
        <v>ООО "РУСПРОМГРУПП"</v>
      </c>
      <c r="D895" s="5" t="str">
        <f>ЛИК_дляСкорингаДП!M895</f>
        <v>Технические испытания, исследования, анализ и сертификация</v>
      </c>
      <c r="E895" s="4" t="str">
        <f>ЛИК_дляСкорингаДП!L895</f>
        <v>71.20</v>
      </c>
      <c r="F895" t="str">
        <f>ЛИК_дляСкорингаДП!N895</f>
        <v>41.2,63.91,64.99,69.10,71.1,71.11,71.12.12,71.12.3,71.12.45,71.12.5,71.12.6,82.99,85.22,85.23,85.23,85.42,85.42.9</v>
      </c>
      <c r="G895" s="25" t="str">
        <f>ЛИК_дляСкорингаДП!AG895</f>
        <v>УСН</v>
      </c>
      <c r="H895" s="55" t="str">
        <f>IF(ISNUMBER(E895),E895,
IFERROR(LEFT(E895,FIND(".",E895)-1),E895))</f>
        <v>71</v>
      </c>
      <c r="I895" s="30">
        <f>IF(COUNTIF(Справочник_ОКВЭД_НР!$A$3:$A$62,H895)&gt;0,Справочник_ОКВЭД_НР!$L$8,
 IF(COUNTIF(Справочник_ОКВЭД_НР!$C$3:$C$62,H895)&gt;0,Справочник_ОКВЭД_НР!$L$9,
  IF(COUNTIF(Справочник_ОКВЭД_НР!$E$3:$E$62,H895)&gt;0,Справочник_ОКВЭД_НР!$L$10,
   IF(COUNTIF(Справочник_ОКВЭД_НР!$G$3:$G$62,H895)&gt;0,Справочник_ОКВЭД_НР!$L$11,50))))</f>
        <v>100</v>
      </c>
      <c r="J895" s="30" cm="1">
        <f t="array" ref="J895">IFERROR(
 (SUMPRODUCT(ISNUMBER(SEARCH(","&amp;Справочник_ОКВЭД_НР!$A$3:$A$62&amp;".",","&amp;SUBSTITUTE(F895," ","")&amp;",")))*Справочник_ОКВЭД_НР!$L$9 +
  SUMPRODUCT(ISNUMBER(SEARCH(","&amp;Справочник_ОКВЭД_НР!$C$3:$C$62&amp;".",","&amp;SUBSTITUTE(F895," ","")&amp;",")))*Справочник_ОКВЭД_НР!$L$10 +
  SUMPRODUCT(ISNUMBER(SEARCH(","&amp;Справочник_ОКВЭД_НР!$E$3:$E$62&amp;".",","&amp;SUBSTITUTE(F895," ","")&amp;",")))*Справочник_ОКВЭД_НР!$L$11 +
  SUMPRODUCT(ISNUMBER(SEARCH(","&amp;Справочник_ОКВЭД_НР!$G$3:$G$62&amp;".",","&amp;SUBSTITUTE(F895," ","")&amp;",")))*Справочник_ОКВЭД_НР!$L$12) /
 (SUMPRODUCT(ISNUMBER(SEARCH(","&amp;Справочник_ОКВЭД_НР!$A$3:$A$62&amp;".",","&amp;SUBSTITUTE(F895," ","")&amp;","))) +
  SUMPRODUCT(ISNUMBER(SEARCH(","&amp;Справочник_ОКВЭД_НР!$C$3:$C$62&amp;".",","&amp;SUBSTITUTE(F895," ","")&amp;","))) +
  SUMPRODUCT(ISNUMBER(SEARCH(","&amp;Справочник_ОКВЭД_НР!$E$3:$E$62&amp;".",","&amp;SUBSTITUTE(F895," ","")&amp;","))) +
  SUMPRODUCT(ISNUMBER(SEARCH(","&amp;Справочник_ОКВЭД_НР!$G$3:$G$62&amp;".",","&amp;SUBSTITUTE(F895," ","")&amp;",")))),
50)</f>
        <v>50</v>
      </c>
      <c r="K895" s="30">
        <f>IFERROR(VLOOKUP(G895,Справочник_ОКВЭД_НР!$O:$P,2,FALSE()),50)</f>
        <v>50</v>
      </c>
      <c r="L895" s="45">
        <f>(I895*Справочник_ОКВЭД_НР!$L$2+J895*Справочник_ОКВЭД_НР!$L$3+K895*Справочник_ОКВЭД_НР!$L$4)*M895</f>
        <v>80</v>
      </c>
      <c r="M895" s="47">
        <f>IF(COUNTIF(Справочник_ОКВЭД_НР!$G$3:$G$62,H895)&gt;0,0,1)</f>
        <v>1</v>
      </c>
    </row>
    <row r="896" spans="1:13" x14ac:dyDescent="0.25">
      <c r="A896" s="4">
        <f>ЛИК_дляСкорингаДП!A896</f>
        <v>1187746431982</v>
      </c>
      <c r="B896" s="4">
        <f>ЛИК_дляСкорингаДП!B896</f>
        <v>7722456363</v>
      </c>
      <c r="C896" s="4" t="str">
        <f>ЛИК_дляСкорингаДП!C896</f>
        <v>ООО "АМИР ОЛИМХАН"</v>
      </c>
      <c r="D896" s="5" t="str">
        <f>ЛИК_дляСкорингаДП!M896</f>
        <v>Деятельность ресторанов и услуги по доставке продуктов питания</v>
      </c>
      <c r="E896" s="4" t="str">
        <f>ЛИК_дляСкорингаДП!L896</f>
        <v>56.10</v>
      </c>
      <c r="F896" t="str">
        <f>ЛИК_дляСкорингаДП!N896</f>
        <v>10.71,49.39.1,49.41,49.42,56.21,56.29,56.30</v>
      </c>
      <c r="G896" s="25" t="str">
        <f>ЛИК_дляСкорингаДП!AG896</f>
        <v>УСН</v>
      </c>
      <c r="H896" s="55" t="str">
        <f>IF(ISNUMBER(E896),E896,
IFERROR(LEFT(E896,FIND(".",E896)-1),E896))</f>
        <v>56</v>
      </c>
      <c r="I896" s="30">
        <f>IF(COUNTIF(Справочник_ОКВЭД_НР!$A$3:$A$62,H896)&gt;0,Справочник_ОКВЭД_НР!$L$8,
 IF(COUNTIF(Справочник_ОКВЭД_НР!$C$3:$C$62,H896)&gt;0,Справочник_ОКВЭД_НР!$L$9,
  IF(COUNTIF(Справочник_ОКВЭД_НР!$E$3:$E$62,H896)&gt;0,Справочник_ОКВЭД_НР!$L$10,
   IF(COUNTIF(Справочник_ОКВЭД_НР!$G$3:$G$62,H896)&gt;0,Справочник_ОКВЭД_НР!$L$11,50))))</f>
        <v>30</v>
      </c>
      <c r="J896" s="30" cm="1">
        <f t="array" ref="J896">IFERROR(
 (SUMPRODUCT(ISNUMBER(SEARCH(","&amp;Справочник_ОКВЭД_НР!$A$3:$A$62&amp;".",","&amp;SUBSTITUTE(F896," ","")&amp;",")))*Справочник_ОКВЭД_НР!$L$9 +
  SUMPRODUCT(ISNUMBER(SEARCH(","&amp;Справочник_ОКВЭД_НР!$C$3:$C$62&amp;".",","&amp;SUBSTITUTE(F896," ","")&amp;",")))*Справочник_ОКВЭД_НР!$L$10 +
  SUMPRODUCT(ISNUMBER(SEARCH(","&amp;Справочник_ОКВЭД_НР!$E$3:$E$62&amp;".",","&amp;SUBSTITUTE(F896," ","")&amp;",")))*Справочник_ОКВЭД_НР!$L$11 +
  SUMPRODUCT(ISNUMBER(SEARCH(","&amp;Справочник_ОКВЭД_НР!$G$3:$G$62&amp;".",","&amp;SUBSTITUTE(F896," ","")&amp;",")))*Справочник_ОКВЭД_НР!$L$12) /
 (SUMPRODUCT(ISNUMBER(SEARCH(","&amp;Справочник_ОКВЭД_НР!$A$3:$A$62&amp;".",","&amp;SUBSTITUTE(F896," ","")&amp;","))) +
  SUMPRODUCT(ISNUMBER(SEARCH(","&amp;Справочник_ОКВЭД_НР!$C$3:$C$62&amp;".",","&amp;SUBSTITUTE(F896," ","")&amp;","))) +
  SUMPRODUCT(ISNUMBER(SEARCH(","&amp;Справочник_ОКВЭД_НР!$E$3:$E$62&amp;".",","&amp;SUBSTITUTE(F896," ","")&amp;","))) +
  SUMPRODUCT(ISNUMBER(SEARCH(","&amp;Справочник_ОКВЭД_НР!$G$3:$G$62&amp;".",","&amp;SUBSTITUTE(F896," ","")&amp;",")))),
50)</f>
        <v>50</v>
      </c>
      <c r="K896" s="30">
        <f>IFERROR(VLOOKUP(G896,Справочник_ОКВЭД_НР!$O:$P,2,FALSE()),50)</f>
        <v>50</v>
      </c>
      <c r="L896" s="45">
        <f>(I896*Справочник_ОКВЭД_НР!$L$2+J896*Справочник_ОКВЭД_НР!$L$3+K896*Справочник_ОКВЭД_НР!$L$4)*M896</f>
        <v>38</v>
      </c>
      <c r="M896" s="47">
        <f>IF(COUNTIF(Справочник_ОКВЭД_НР!$G$3:$G$62,H896)&gt;0,0,1)</f>
        <v>1</v>
      </c>
    </row>
    <row r="897" spans="1:13" x14ac:dyDescent="0.25">
      <c r="A897" s="4">
        <f>ЛИК_дляСкорингаДП!A897</f>
        <v>1107746076778</v>
      </c>
      <c r="B897" s="4">
        <f>ЛИК_дляСкорингаДП!B897</f>
        <v>7722708483</v>
      </c>
      <c r="C897" s="4" t="str">
        <f>ЛИК_дляСкорингаДП!C897</f>
        <v>ООО "А-ДАТА"</v>
      </c>
      <c r="D897" s="5" t="str">
        <f>ЛИК_дляСкорингаДП!M897</f>
        <v>Разработка компьютерного программного обеспечения</v>
      </c>
      <c r="E897" s="4" t="str">
        <f>ЛИК_дляСкорингаДП!L897</f>
        <v>62.01</v>
      </c>
      <c r="F897" t="str">
        <f>ЛИК_дляСкорингаДП!N897</f>
        <v>46.19,62.02,62.09,63.11,63.11.1,70.22,72.19,73.20,95.11</v>
      </c>
      <c r="G897" s="25" t="str">
        <f>ЛИК_дляСкорингаДП!AG897</f>
        <v>УСН</v>
      </c>
      <c r="H897" s="55" t="str">
        <f>IF(ISNUMBER(E897),E897,
IFERROR(LEFT(E897,FIND(".",E897)-1),E897))</f>
        <v>62</v>
      </c>
      <c r="I897" s="30">
        <f>IF(COUNTIF(Справочник_ОКВЭД_НР!$A$3:$A$62,H897)&gt;0,Справочник_ОКВЭД_НР!$L$8,
 IF(COUNTIF(Справочник_ОКВЭД_НР!$C$3:$C$62,H897)&gt;0,Справочник_ОКВЭД_НР!$L$9,
  IF(COUNTIF(Справочник_ОКВЭД_НР!$E$3:$E$62,H897)&gt;0,Справочник_ОКВЭД_НР!$L$10,
   IF(COUNTIF(Справочник_ОКВЭД_НР!$G$3:$G$62,H897)&gt;0,Справочник_ОКВЭД_НР!$L$11,50))))</f>
        <v>100</v>
      </c>
      <c r="J897" s="30" cm="1">
        <f t="array" ref="J897">IFERROR(
 (SUMPRODUCT(ISNUMBER(SEARCH(","&amp;Справочник_ОКВЭД_НР!$A$3:$A$62&amp;".",","&amp;SUBSTITUTE(F897," ","")&amp;",")))*Справочник_ОКВЭД_НР!$L$9 +
  SUMPRODUCT(ISNUMBER(SEARCH(","&amp;Справочник_ОКВЭД_НР!$C$3:$C$62&amp;".",","&amp;SUBSTITUTE(F897," ","")&amp;",")))*Справочник_ОКВЭД_НР!$L$10 +
  SUMPRODUCT(ISNUMBER(SEARCH(","&amp;Справочник_ОКВЭД_НР!$E$3:$E$62&amp;".",","&amp;SUBSTITUTE(F897," ","")&amp;",")))*Справочник_ОКВЭД_НР!$L$11 +
  SUMPRODUCT(ISNUMBER(SEARCH(","&amp;Справочник_ОКВЭД_НР!$G$3:$G$62&amp;".",","&amp;SUBSTITUTE(F897," ","")&amp;",")))*Справочник_ОКВЭД_НР!$L$12) /
 (SUMPRODUCT(ISNUMBER(SEARCH(","&amp;Справочник_ОКВЭД_НР!$A$3:$A$62&amp;".",","&amp;SUBSTITUTE(F897," ","")&amp;","))) +
  SUMPRODUCT(ISNUMBER(SEARCH(","&amp;Справочник_ОКВЭД_НР!$C$3:$C$62&amp;".",","&amp;SUBSTITUTE(F897," ","")&amp;","))) +
  SUMPRODUCT(ISNUMBER(SEARCH(","&amp;Справочник_ОКВЭД_НР!$E$3:$E$62&amp;".",","&amp;SUBSTITUTE(F897," ","")&amp;","))) +
  SUMPRODUCT(ISNUMBER(SEARCH(","&amp;Справочник_ОКВЭД_НР!$G$3:$G$62&amp;".",","&amp;SUBSTITUTE(F897," ","")&amp;",")))),
50)</f>
        <v>50</v>
      </c>
      <c r="K897" s="30">
        <f>IFERROR(VLOOKUP(G897,Справочник_ОКВЭД_НР!$O:$P,2,FALSE()),50)</f>
        <v>50</v>
      </c>
      <c r="L897" s="45">
        <f>(I897*Справочник_ОКВЭД_НР!$L$2+J897*Справочник_ОКВЭД_НР!$L$3+K897*Справочник_ОКВЭД_НР!$L$4)*M897</f>
        <v>80</v>
      </c>
      <c r="M897" s="47">
        <f>IF(COUNTIF(Справочник_ОКВЭД_НР!$G$3:$G$62,H897)&gt;0,0,1)</f>
        <v>1</v>
      </c>
    </row>
    <row r="898" spans="1:13" x14ac:dyDescent="0.25">
      <c r="A898" s="4">
        <f>ЛИК_дляСкорингаДП!A898</f>
        <v>1157746742251</v>
      </c>
      <c r="B898" s="4">
        <f>ЛИК_дляСкорингаДП!B898</f>
        <v>9701005035</v>
      </c>
      <c r="C898" s="4" t="str">
        <f>ЛИК_дляСкорингаДП!C898</f>
        <v>ООО "8"</v>
      </c>
      <c r="D898" s="5" t="str">
        <f>ЛИК_дляСкорингаДП!M898</f>
        <v>Ремонт прочих предметов личного потребления и бытовых товаров</v>
      </c>
      <c r="E898" s="4" t="str">
        <f>ЛИК_дляСкорингаДП!L898</f>
        <v>95.29</v>
      </c>
      <c r="F898" t="str">
        <f>ЛИК_дляСкорингаДП!N898</f>
        <v>13.30,13.92,13.93,13.96,13.99,14.11,14.12,14.13,14.14,14.19,14.20,14.31,14.39,15.11,15.12,15.20,16.10,16.23,16.24,16.29,17.21,17.29,18.12,23.69,25.11,25.12,25.50,25.61,25.62,25.99,27.40,27.90,31.01,31.02,31.09,32.30,32.40,32.99,33.11,33.12,33.14,33.19,33.20,41.10,41.20,43.21,43.32,43.33,43.34,43.39,43.99,46.11,46.13,46.15,46.16,46.18,46.19,46.22,46.41,46.42,46.43,46.47,46.49,46.90,47.19,47.51,47.59,47.64,47.65,47.71,47.72,47.76,47.78,47.91,47.99,52.24,53.20,73.11,74.10,82.30,82.92,90.01,90.02,90.03,93.29,95.22,95.23,95.24</v>
      </c>
      <c r="G898" s="25" t="str">
        <f>ЛИК_дляСкорингаДП!AG898</f>
        <v>УСН</v>
      </c>
      <c r="H898" s="55" t="str">
        <f>IF(ISNUMBER(E898),E898,
IFERROR(LEFT(E898,FIND(".",E898)-1),E898))</f>
        <v>95</v>
      </c>
      <c r="I898" s="30">
        <f>IF(COUNTIF(Справочник_ОКВЭД_НР!$A$3:$A$62,H898)&gt;0,Справочник_ОКВЭД_НР!$L$8,
 IF(COUNTIF(Справочник_ОКВЭД_НР!$C$3:$C$62,H898)&gt;0,Справочник_ОКВЭД_НР!$L$9,
  IF(COUNTIF(Справочник_ОКВЭД_НР!$E$3:$E$62,H898)&gt;0,Справочник_ОКВЭД_НР!$L$10,
   IF(COUNTIF(Справочник_ОКВЭД_НР!$G$3:$G$62,H898)&gt;0,Справочник_ОКВЭД_НР!$L$11,50))))</f>
        <v>30</v>
      </c>
      <c r="J898" s="30" cm="1">
        <f t="array" ref="J898">IFERROR(
 (SUMPRODUCT(ISNUMBER(SEARCH(","&amp;Справочник_ОКВЭД_НР!$A$3:$A$62&amp;".",","&amp;SUBSTITUTE(F898," ","")&amp;",")))*Справочник_ОКВЭД_НР!$L$9 +
  SUMPRODUCT(ISNUMBER(SEARCH(","&amp;Справочник_ОКВЭД_НР!$C$3:$C$62&amp;".",","&amp;SUBSTITUTE(F898," ","")&amp;",")))*Справочник_ОКВЭД_НР!$L$10 +
  SUMPRODUCT(ISNUMBER(SEARCH(","&amp;Справочник_ОКВЭД_НР!$E$3:$E$62&amp;".",","&amp;SUBSTITUTE(F898," ","")&amp;",")))*Справочник_ОКВЭД_НР!$L$11 +
  SUMPRODUCT(ISNUMBER(SEARCH(","&amp;Справочник_ОКВЭД_НР!$G$3:$G$62&amp;".",","&amp;SUBSTITUTE(F898," ","")&amp;",")))*Справочник_ОКВЭД_НР!$L$12) /
 (SUMPRODUCT(ISNUMBER(SEARCH(","&amp;Справочник_ОКВЭД_НР!$A$3:$A$62&amp;".",","&amp;SUBSTITUTE(F898," ","")&amp;","))) +
  SUMPRODUCT(ISNUMBER(SEARCH(","&amp;Справочник_ОКВЭД_НР!$C$3:$C$62&amp;".",","&amp;SUBSTITUTE(F898," ","")&amp;","))) +
  SUMPRODUCT(ISNUMBER(SEARCH(","&amp;Справочник_ОКВЭД_НР!$E$3:$E$62&amp;".",","&amp;SUBSTITUTE(F898," ","")&amp;","))) +
  SUMPRODUCT(ISNUMBER(SEARCH(","&amp;Справочник_ОКВЭД_НР!$G$3:$G$62&amp;".",","&amp;SUBSTITUTE(F898," ","")&amp;",")))),
50)</f>
        <v>50</v>
      </c>
      <c r="K898" s="30">
        <f>IFERROR(VLOOKUP(G898,Справочник_ОКВЭД_НР!$O:$P,2,FALSE()),50)</f>
        <v>50</v>
      </c>
      <c r="L898" s="45">
        <f>(I898*Справочник_ОКВЭД_НР!$L$2+J898*Справочник_ОКВЭД_НР!$L$3+K898*Справочник_ОКВЭД_НР!$L$4)*M898</f>
        <v>38</v>
      </c>
      <c r="M898" s="47">
        <f>IF(COUNTIF(Справочник_ОКВЭД_НР!$G$3:$G$62,H898)&gt;0,0,1)</f>
        <v>1</v>
      </c>
    </row>
    <row r="899" spans="1:13" x14ac:dyDescent="0.25">
      <c r="A899" s="4">
        <f>ЛИК_дляСкорингаДП!A899</f>
        <v>1157746572940</v>
      </c>
      <c r="B899" s="4">
        <f>ЛИК_дляСкорингаДП!B899</f>
        <v>7717292712</v>
      </c>
      <c r="C899" s="4" t="str">
        <f>ЛИК_дляСкорингаДП!C899</f>
        <v>ООО "САММИТ СИСТЕМС"</v>
      </c>
      <c r="D899" s="5" t="str">
        <f>ЛИК_дляСкорингаДП!M899</f>
        <v>Деятельность в области связи на базе проводных технологий</v>
      </c>
      <c r="E899" s="4" t="str">
        <f>ЛИК_дляСкорингаДП!L899</f>
        <v>61.10</v>
      </c>
      <c r="F899" t="str">
        <f>ЛИК_дляСкорингаДП!N899</f>
        <v>42.22,42.22.2,61.10.1,61.10.2,61.10.3,61.10.9,70.22</v>
      </c>
      <c r="G899" s="25" t="str">
        <f>ЛИК_дляСкорингаДП!AG899</f>
        <v>УСН</v>
      </c>
      <c r="H899" s="55" t="str">
        <f>IF(ISNUMBER(E899),E899,
IFERROR(LEFT(E899,FIND(".",E899)-1),E899))</f>
        <v>61</v>
      </c>
      <c r="I899" s="30">
        <f>IF(COUNTIF(Справочник_ОКВЭД_НР!$A$3:$A$62,H899)&gt;0,Справочник_ОКВЭД_НР!$L$8,
 IF(COUNTIF(Справочник_ОКВЭД_НР!$C$3:$C$62,H899)&gt;0,Справочник_ОКВЭД_НР!$L$9,
  IF(COUNTIF(Справочник_ОКВЭД_НР!$E$3:$E$62,H899)&gt;0,Справочник_ОКВЭД_НР!$L$10,
   IF(COUNTIF(Справочник_ОКВЭД_НР!$G$3:$G$62,H899)&gt;0,Справочник_ОКВЭД_НР!$L$11,50))))</f>
        <v>60</v>
      </c>
      <c r="J899" s="30" cm="1">
        <f t="array" ref="J899">IFERROR(
 (SUMPRODUCT(ISNUMBER(SEARCH(","&amp;Справочник_ОКВЭД_НР!$A$3:$A$62&amp;".",","&amp;SUBSTITUTE(F899," ","")&amp;",")))*Справочник_ОКВЭД_НР!$L$9 +
  SUMPRODUCT(ISNUMBER(SEARCH(","&amp;Справочник_ОКВЭД_НР!$C$3:$C$62&amp;".",","&amp;SUBSTITUTE(F899," ","")&amp;",")))*Справочник_ОКВЭД_НР!$L$10 +
  SUMPRODUCT(ISNUMBER(SEARCH(","&amp;Справочник_ОКВЭД_НР!$E$3:$E$62&amp;".",","&amp;SUBSTITUTE(F899," ","")&amp;",")))*Справочник_ОКВЭД_НР!$L$11 +
  SUMPRODUCT(ISNUMBER(SEARCH(","&amp;Справочник_ОКВЭД_НР!$G$3:$G$62&amp;".",","&amp;SUBSTITUTE(F899," ","")&amp;",")))*Справочник_ОКВЭД_НР!$L$12) /
 (SUMPRODUCT(ISNUMBER(SEARCH(","&amp;Справочник_ОКВЭД_НР!$A$3:$A$62&amp;".",","&amp;SUBSTITUTE(F899," ","")&amp;","))) +
  SUMPRODUCT(ISNUMBER(SEARCH(","&amp;Справочник_ОКВЭД_НР!$C$3:$C$62&amp;".",","&amp;SUBSTITUTE(F899," ","")&amp;","))) +
  SUMPRODUCT(ISNUMBER(SEARCH(","&amp;Справочник_ОКВЭД_НР!$E$3:$E$62&amp;".",","&amp;SUBSTITUTE(F899," ","")&amp;","))) +
  SUMPRODUCT(ISNUMBER(SEARCH(","&amp;Справочник_ОКВЭД_НР!$G$3:$G$62&amp;".",","&amp;SUBSTITUTE(F899," ","")&amp;",")))),
50)</f>
        <v>50</v>
      </c>
      <c r="K899" s="30">
        <f>IFERROR(VLOOKUP(G899,Справочник_ОКВЭД_НР!$O:$P,2,FALSE()),50)</f>
        <v>50</v>
      </c>
      <c r="L899" s="45">
        <f>(I899*Справочник_ОКВЭД_НР!$L$2+J899*Справочник_ОКВЭД_НР!$L$3+K899*Справочник_ОКВЭД_НР!$L$4)*M899</f>
        <v>56</v>
      </c>
      <c r="M899" s="47">
        <f>IF(COUNTIF(Справочник_ОКВЭД_НР!$G$3:$G$62,H899)&gt;0,0,1)</f>
        <v>1</v>
      </c>
    </row>
    <row r="900" spans="1:13" x14ac:dyDescent="0.25">
      <c r="A900" s="4">
        <f>ЛИК_дляСкорингаДП!A900</f>
        <v>1157746623737</v>
      </c>
      <c r="B900" s="4">
        <f>ЛИК_дляСкорингаДП!B900</f>
        <v>9701000069</v>
      </c>
      <c r="C900" s="4" t="str">
        <f>ЛИК_дляСкорингаДП!C900</f>
        <v>ООО "ОРТОГОНАЛЬ"</v>
      </c>
      <c r="D900" s="5" t="str">
        <f>ЛИК_дляСкорингаДП!M900</f>
        <v>Деятельность в области архитектуры, инженерных изысканий и предоставление технических консультаций в этих областях</v>
      </c>
      <c r="E900" s="4" t="str">
        <f>ЛИК_дляСкорингаДП!L900</f>
        <v>71.1</v>
      </c>
      <c r="F900" t="str">
        <f>ЛИК_дляСкорингаДП!N900</f>
        <v>41.20,42.11,42.91,42.99,43.11,43.12.3,43.21,43.22,43.29,43.31,43.32,43.33,43.34,43.39,43.91,43.99,43.99.1,71.12.5,71.12.6</v>
      </c>
      <c r="G900" s="25" t="str">
        <f>ЛИК_дляСкорингаДП!AG900</f>
        <v>УСН</v>
      </c>
      <c r="H900" s="55" t="str">
        <f>IF(ISNUMBER(E900),E900,
IFERROR(LEFT(E900,FIND(".",E900)-1),E900))</f>
        <v>71</v>
      </c>
      <c r="I900" s="30">
        <f>IF(COUNTIF(Справочник_ОКВЭД_НР!$A$3:$A$62,H900)&gt;0,Справочник_ОКВЭД_НР!$L$8,
 IF(COUNTIF(Справочник_ОКВЭД_НР!$C$3:$C$62,H900)&gt;0,Справочник_ОКВЭД_НР!$L$9,
  IF(COUNTIF(Справочник_ОКВЭД_НР!$E$3:$E$62,H900)&gt;0,Справочник_ОКВЭД_НР!$L$10,
   IF(COUNTIF(Справочник_ОКВЭД_НР!$G$3:$G$62,H900)&gt;0,Справочник_ОКВЭД_НР!$L$11,50))))</f>
        <v>100</v>
      </c>
      <c r="J900" s="30" cm="1">
        <f t="array" ref="J900">IFERROR(
 (SUMPRODUCT(ISNUMBER(SEARCH(","&amp;Справочник_ОКВЭД_НР!$A$3:$A$62&amp;".",","&amp;SUBSTITUTE(F900," ","")&amp;",")))*Справочник_ОКВЭД_НР!$L$9 +
  SUMPRODUCT(ISNUMBER(SEARCH(","&amp;Справочник_ОКВЭД_НР!$C$3:$C$62&amp;".",","&amp;SUBSTITUTE(F900," ","")&amp;",")))*Справочник_ОКВЭД_НР!$L$10 +
  SUMPRODUCT(ISNUMBER(SEARCH(","&amp;Справочник_ОКВЭД_НР!$E$3:$E$62&amp;".",","&amp;SUBSTITUTE(F900," ","")&amp;",")))*Справочник_ОКВЭД_НР!$L$11 +
  SUMPRODUCT(ISNUMBER(SEARCH(","&amp;Справочник_ОКВЭД_НР!$G$3:$G$62&amp;".",","&amp;SUBSTITUTE(F900," ","")&amp;",")))*Справочник_ОКВЭД_НР!$L$12) /
 (SUMPRODUCT(ISNUMBER(SEARCH(","&amp;Справочник_ОКВЭД_НР!$A$3:$A$62&amp;".",","&amp;SUBSTITUTE(F900," ","")&amp;","))) +
  SUMPRODUCT(ISNUMBER(SEARCH(","&amp;Справочник_ОКВЭД_НР!$C$3:$C$62&amp;".",","&amp;SUBSTITUTE(F900," ","")&amp;","))) +
  SUMPRODUCT(ISNUMBER(SEARCH(","&amp;Справочник_ОКВЭД_НР!$E$3:$E$62&amp;".",","&amp;SUBSTITUTE(F900," ","")&amp;","))) +
  SUMPRODUCT(ISNUMBER(SEARCH(","&amp;Справочник_ОКВЭД_НР!$G$3:$G$62&amp;".",","&amp;SUBSTITUTE(F900," ","")&amp;",")))),
50)</f>
        <v>50</v>
      </c>
      <c r="K900" s="30">
        <f>IFERROR(VLOOKUP(G900,Справочник_ОКВЭД_НР!$O:$P,2,FALSE()),50)</f>
        <v>50</v>
      </c>
      <c r="L900" s="45">
        <f>(I900*Справочник_ОКВЭД_НР!$L$2+J900*Справочник_ОКВЭД_НР!$L$3+K900*Справочник_ОКВЭД_НР!$L$4)*M900</f>
        <v>80</v>
      </c>
      <c r="M900" s="47">
        <f>IF(COUNTIF(Справочник_ОКВЭД_НР!$G$3:$G$62,H900)&gt;0,0,1)</f>
        <v>1</v>
      </c>
    </row>
    <row r="901" spans="1:13" x14ac:dyDescent="0.25">
      <c r="A901" s="4">
        <f>ЛИК_дляСкорингаДП!A901</f>
        <v>1157746737070</v>
      </c>
      <c r="B901" s="4">
        <f>ЛИК_дляСкорингаДП!B901</f>
        <v>7704325946</v>
      </c>
      <c r="C901" s="4" t="str">
        <f>ЛИК_дляСкорингаДП!C901</f>
        <v>ООО "НАВАТ-ТЕХ"</v>
      </c>
      <c r="D901" s="5" t="str">
        <f>ЛИК_дляСкорингаДП!M901</f>
        <v>Разработка компьютерного программного обеспечения</v>
      </c>
      <c r="E901" s="4" t="str">
        <f>ЛИК_дляСкорингаДП!L901</f>
        <v>62.01</v>
      </c>
      <c r="F901" t="str">
        <f>ЛИК_дляСкорингаДП!N901</f>
        <v>26.20,28.23,46.52.1,46.66,47.7,47.91.2,47.91.3,47.91.4,62.02,62.09,63.11,63.11.1,70.22,73.20,95.11</v>
      </c>
      <c r="G901" s="25" t="str">
        <f>ЛИК_дляСкорингаДП!AG901</f>
        <v>УСН</v>
      </c>
      <c r="H901" s="55" t="str">
        <f>IF(ISNUMBER(E901),E901,
IFERROR(LEFT(E901,FIND(".",E901)-1),E901))</f>
        <v>62</v>
      </c>
      <c r="I901" s="30">
        <f>IF(COUNTIF(Справочник_ОКВЭД_НР!$A$3:$A$62,H901)&gt;0,Справочник_ОКВЭД_НР!$L$8,
 IF(COUNTIF(Справочник_ОКВЭД_НР!$C$3:$C$62,H901)&gt;0,Справочник_ОКВЭД_НР!$L$9,
  IF(COUNTIF(Справочник_ОКВЭД_НР!$E$3:$E$62,H901)&gt;0,Справочник_ОКВЭД_НР!$L$10,
   IF(COUNTIF(Справочник_ОКВЭД_НР!$G$3:$G$62,H901)&gt;0,Справочник_ОКВЭД_НР!$L$11,50))))</f>
        <v>100</v>
      </c>
      <c r="J901" s="30" cm="1">
        <f t="array" ref="J901">IFERROR(
 (SUMPRODUCT(ISNUMBER(SEARCH(","&amp;Справочник_ОКВЭД_НР!$A$3:$A$62&amp;".",","&amp;SUBSTITUTE(F901," ","")&amp;",")))*Справочник_ОКВЭД_НР!$L$9 +
  SUMPRODUCT(ISNUMBER(SEARCH(","&amp;Справочник_ОКВЭД_НР!$C$3:$C$62&amp;".",","&amp;SUBSTITUTE(F901," ","")&amp;",")))*Справочник_ОКВЭД_НР!$L$10 +
  SUMPRODUCT(ISNUMBER(SEARCH(","&amp;Справочник_ОКВЭД_НР!$E$3:$E$62&amp;".",","&amp;SUBSTITUTE(F901," ","")&amp;",")))*Справочник_ОКВЭД_НР!$L$11 +
  SUMPRODUCT(ISNUMBER(SEARCH(","&amp;Справочник_ОКВЭД_НР!$G$3:$G$62&amp;".",","&amp;SUBSTITUTE(F901," ","")&amp;",")))*Справочник_ОКВЭД_НР!$L$12) /
 (SUMPRODUCT(ISNUMBER(SEARCH(","&amp;Справочник_ОКВЭД_НР!$A$3:$A$62&amp;".",","&amp;SUBSTITUTE(F901," ","")&amp;","))) +
  SUMPRODUCT(ISNUMBER(SEARCH(","&amp;Справочник_ОКВЭД_НР!$C$3:$C$62&amp;".",","&amp;SUBSTITUTE(F901," ","")&amp;","))) +
  SUMPRODUCT(ISNUMBER(SEARCH(","&amp;Справочник_ОКВЭД_НР!$E$3:$E$62&amp;".",","&amp;SUBSTITUTE(F901," ","")&amp;","))) +
  SUMPRODUCT(ISNUMBER(SEARCH(","&amp;Справочник_ОКВЭД_НР!$G$3:$G$62&amp;".",","&amp;SUBSTITUTE(F901," ","")&amp;",")))),
50)</f>
        <v>50</v>
      </c>
      <c r="K901" s="30">
        <f>IFERROR(VLOOKUP(G901,Справочник_ОКВЭД_НР!$O:$P,2,FALSE()),50)</f>
        <v>50</v>
      </c>
      <c r="L901" s="45">
        <f>(I901*Справочник_ОКВЭД_НР!$L$2+J901*Справочник_ОКВЭД_НР!$L$3+K901*Справочник_ОКВЭД_НР!$L$4)*M901</f>
        <v>80</v>
      </c>
      <c r="M901" s="47">
        <f>IF(COUNTIF(Справочник_ОКВЭД_НР!$G$3:$G$62,H901)&gt;0,0,1)</f>
        <v>1</v>
      </c>
    </row>
    <row r="902" spans="1:13" x14ac:dyDescent="0.25">
      <c r="A902" s="4">
        <f>ЛИК_дляСкорингаДП!A902</f>
        <v>1107746017356</v>
      </c>
      <c r="B902" s="4">
        <f>ЛИК_дляСкорингаДП!B902</f>
        <v>7701862854</v>
      </c>
      <c r="C902" s="4" t="str">
        <f>ЛИК_дляСкорингаДП!C902</f>
        <v>ООО "ПАРК СЕРВИС"</v>
      </c>
      <c r="D902" s="5" t="str">
        <f>ЛИК_дляСкорингаДП!M902</f>
        <v>Деятельность стоянок для транспортных средств</v>
      </c>
      <c r="E902" s="4" t="str">
        <f>ЛИК_дляСкорингаДП!L902</f>
        <v>52.21.24</v>
      </c>
      <c r="F902" t="str">
        <f>ЛИК_дляСкорингаДП!N902</f>
        <v>17.12,17.2,18.1,46.18,46.49,47.19,47.61,47.7,52.10,52.24,58.19,69,73.11,73.20,74.20,74.30,78.30,82.92</v>
      </c>
      <c r="G902" s="25" t="str">
        <f>ЛИК_дляСкорингаДП!AG902</f>
        <v>УСН</v>
      </c>
      <c r="H902" s="55" t="str">
        <f>IF(ISNUMBER(E902),E902,
IFERROR(LEFT(E902,FIND(".",E902)-1),E902))</f>
        <v>52</v>
      </c>
      <c r="I902" s="30">
        <f>IF(COUNTIF(Справочник_ОКВЭД_НР!$A$3:$A$62,H902)&gt;0,Справочник_ОКВЭД_НР!$L$8,
 IF(COUNTIF(Справочник_ОКВЭД_НР!$C$3:$C$62,H902)&gt;0,Справочник_ОКВЭД_НР!$L$9,
  IF(COUNTIF(Справочник_ОКВЭД_НР!$E$3:$E$62,H902)&gt;0,Справочник_ОКВЭД_НР!$L$10,
   IF(COUNTIF(Справочник_ОКВЭД_НР!$G$3:$G$62,H902)&gt;0,Справочник_ОКВЭД_НР!$L$11,50))))</f>
        <v>60</v>
      </c>
      <c r="J902" s="30" cm="1">
        <f t="array" ref="J902">IFERROR(
 (SUMPRODUCT(ISNUMBER(SEARCH(","&amp;Справочник_ОКВЭД_НР!$A$3:$A$62&amp;".",","&amp;SUBSTITUTE(F902," ","")&amp;",")))*Справочник_ОКВЭД_НР!$L$9 +
  SUMPRODUCT(ISNUMBER(SEARCH(","&amp;Справочник_ОКВЭД_НР!$C$3:$C$62&amp;".",","&amp;SUBSTITUTE(F902," ","")&amp;",")))*Справочник_ОКВЭД_НР!$L$10 +
  SUMPRODUCT(ISNUMBER(SEARCH(","&amp;Справочник_ОКВЭД_НР!$E$3:$E$62&amp;".",","&amp;SUBSTITUTE(F902," ","")&amp;",")))*Справочник_ОКВЭД_НР!$L$11 +
  SUMPRODUCT(ISNUMBER(SEARCH(","&amp;Справочник_ОКВЭД_НР!$G$3:$G$62&amp;".",","&amp;SUBSTITUTE(F902," ","")&amp;",")))*Справочник_ОКВЭД_НР!$L$12) /
 (SUMPRODUCT(ISNUMBER(SEARCH(","&amp;Справочник_ОКВЭД_НР!$A$3:$A$62&amp;".",","&amp;SUBSTITUTE(F902," ","")&amp;","))) +
  SUMPRODUCT(ISNUMBER(SEARCH(","&amp;Справочник_ОКВЭД_НР!$C$3:$C$62&amp;".",","&amp;SUBSTITUTE(F902," ","")&amp;","))) +
  SUMPRODUCT(ISNUMBER(SEARCH(","&amp;Справочник_ОКВЭД_НР!$E$3:$E$62&amp;".",","&amp;SUBSTITUTE(F902," ","")&amp;","))) +
  SUMPRODUCT(ISNUMBER(SEARCH(","&amp;Справочник_ОКВЭД_НР!$G$3:$G$62&amp;".",","&amp;SUBSTITUTE(F902," ","")&amp;",")))),
50)</f>
        <v>50</v>
      </c>
      <c r="K902" s="30">
        <f>IFERROR(VLOOKUP(G902,Справочник_ОКВЭД_НР!$O:$P,2,FALSE()),50)</f>
        <v>50</v>
      </c>
      <c r="L902" s="45">
        <f>(I902*Справочник_ОКВЭД_НР!$L$2+J902*Справочник_ОКВЭД_НР!$L$3+K902*Справочник_ОКВЭД_НР!$L$4)*M902</f>
        <v>56</v>
      </c>
      <c r="M902" s="47">
        <f>IF(COUNTIF(Справочник_ОКВЭД_НР!$G$3:$G$62,H902)&gt;0,0,1)</f>
        <v>1</v>
      </c>
    </row>
    <row r="903" spans="1:13" x14ac:dyDescent="0.25">
      <c r="A903" s="4">
        <f>ЛИК_дляСкорингаДП!A903</f>
        <v>1157746645650</v>
      </c>
      <c r="B903" s="4">
        <f>ЛИК_дляСкорингаДП!B903</f>
        <v>7717294942</v>
      </c>
      <c r="C903" s="4" t="str">
        <f>ЛИК_дляСкорингаДП!C903</f>
        <v>ООО "АВИА ПЛЮС"</v>
      </c>
      <c r="D903" s="5" t="str">
        <f>ЛИК_дляСкорингаДП!M903</f>
        <v>Деятельность туристических агентств</v>
      </c>
      <c r="E903" s="4" t="str">
        <f>ЛИК_дляСкорингаДП!L903</f>
        <v>79.11</v>
      </c>
      <c r="F903" t="str">
        <f>ЛИК_дляСкорингаДП!N903</f>
        <v>26.20,46.14,46.18,46.19,46.49.49,46.90,47.78,47.78.9,47.91.2,47.91.3,47.91.4,47.99,51.10.1,51.10.2,51.10.3,51.21,51.21.1,51.21.3,52.21,52.23,52.23.11,52.24,52.29,55.10,56.10.1,62.01,62.02,63.11,63.11.1,64.20,66.22,68.10,68.10.1,68.20,68.31.1,68.31.2,68.31.3,68.31.4,68.31.5,69.10,69.20,70.10.1,70.10.2,70.22,71.20,73.11,73.20,74.30,78.10,79.12,79.90,79.90.1,79.90.2,79.90.22,79.90.3,79.90.31,79.90.32,82.19,82.99,90.0</v>
      </c>
      <c r="G903" s="25" t="str">
        <f>ЛИК_дляСкорингаДП!AG903</f>
        <v>УСН</v>
      </c>
      <c r="H903" s="55" t="str">
        <f>IF(ISNUMBER(E903),E903,
IFERROR(LEFT(E903,FIND(".",E903)-1),E903))</f>
        <v>79</v>
      </c>
      <c r="I903" s="30">
        <f>IF(COUNTIF(Справочник_ОКВЭД_НР!$A$3:$A$62,H903)&gt;0,Справочник_ОКВЭД_НР!$L$8,
 IF(COUNTIF(Справочник_ОКВЭД_НР!$C$3:$C$62,H903)&gt;0,Справочник_ОКВЭД_НР!$L$9,
  IF(COUNTIF(Справочник_ОКВЭД_НР!$E$3:$E$62,H903)&gt;0,Справочник_ОКВЭД_НР!$L$10,
   IF(COUNTIF(Справочник_ОКВЭД_НР!$G$3:$G$62,H903)&gt;0,Справочник_ОКВЭД_НР!$L$11,50))))</f>
        <v>30</v>
      </c>
      <c r="J903" s="30" cm="1">
        <f t="array" ref="J903">IFERROR(
 (SUMPRODUCT(ISNUMBER(SEARCH(","&amp;Справочник_ОКВЭД_НР!$A$3:$A$62&amp;".",","&amp;SUBSTITUTE(F903," ","")&amp;",")))*Справочник_ОКВЭД_НР!$L$9 +
  SUMPRODUCT(ISNUMBER(SEARCH(","&amp;Справочник_ОКВЭД_НР!$C$3:$C$62&amp;".",","&amp;SUBSTITUTE(F903," ","")&amp;",")))*Справочник_ОКВЭД_НР!$L$10 +
  SUMPRODUCT(ISNUMBER(SEARCH(","&amp;Справочник_ОКВЭД_НР!$E$3:$E$62&amp;".",","&amp;SUBSTITUTE(F903," ","")&amp;",")))*Справочник_ОКВЭД_НР!$L$11 +
  SUMPRODUCT(ISNUMBER(SEARCH(","&amp;Справочник_ОКВЭД_НР!$G$3:$G$62&amp;".",","&amp;SUBSTITUTE(F903," ","")&amp;",")))*Справочник_ОКВЭД_НР!$L$12) /
 (SUMPRODUCT(ISNUMBER(SEARCH(","&amp;Справочник_ОКВЭД_НР!$A$3:$A$62&amp;".",","&amp;SUBSTITUTE(F903," ","")&amp;","))) +
  SUMPRODUCT(ISNUMBER(SEARCH(","&amp;Справочник_ОКВЭД_НР!$C$3:$C$62&amp;".",","&amp;SUBSTITUTE(F903," ","")&amp;","))) +
  SUMPRODUCT(ISNUMBER(SEARCH(","&amp;Справочник_ОКВЭД_НР!$E$3:$E$62&amp;".",","&amp;SUBSTITUTE(F903," ","")&amp;","))) +
  SUMPRODUCT(ISNUMBER(SEARCH(","&amp;Справочник_ОКВЭД_НР!$G$3:$G$62&amp;".",","&amp;SUBSTITUTE(F903," ","")&amp;",")))),
50)</f>
        <v>50</v>
      </c>
      <c r="K903" s="30">
        <f>IFERROR(VLOOKUP(G903,Справочник_ОКВЭД_НР!$O:$P,2,FALSE()),50)</f>
        <v>50</v>
      </c>
      <c r="L903" s="45">
        <f>(I903*Справочник_ОКВЭД_НР!$L$2+J903*Справочник_ОКВЭД_НР!$L$3+K903*Справочник_ОКВЭД_НР!$L$4)*M903</f>
        <v>38</v>
      </c>
      <c r="M903" s="47">
        <f>IF(COUNTIF(Справочник_ОКВЭД_НР!$G$3:$G$62,H903)&gt;0,0,1)</f>
        <v>1</v>
      </c>
    </row>
    <row r="904" spans="1:13" x14ac:dyDescent="0.25">
      <c r="A904" s="4">
        <f>ЛИК_дляСкорингаДП!A904</f>
        <v>1157746714454</v>
      </c>
      <c r="B904" s="4">
        <f>ЛИК_дляСкорингаДП!B904</f>
        <v>9701003736</v>
      </c>
      <c r="C904" s="4" t="str">
        <f>ЛИК_дляСкорингаДП!C904</f>
        <v>ООО АРТ-ЦЕНТР "ВМЕСТЕ"</v>
      </c>
      <c r="D904" s="5" t="str">
        <f>ЛИК_дляСкорингаДП!M904</f>
        <v>Деятельность в области исполнительских искусств</v>
      </c>
      <c r="E904" s="4" t="str">
        <f>ЛИК_дляСкорингаДП!L904</f>
        <v>90.01</v>
      </c>
      <c r="F904" t="str">
        <f>ЛИК_дляСкорингаДП!N904</f>
        <v>47.91.2,47.91.3,53.20.31,56.29,59.11,59.13,59.14,60.10,60.20,63.91,82.30,82.92,82.99,90.0,90.03,90.04,93.11,93.19,93.29,93.29.2,93.29.9</v>
      </c>
      <c r="G904" s="25" t="str">
        <f>ЛИК_дляСкорингаДП!AG904</f>
        <v>УСН</v>
      </c>
      <c r="H904" s="55" t="str">
        <f>IF(ISNUMBER(E904),E904,
IFERROR(LEFT(E904,FIND(".",E904)-1),E904))</f>
        <v>90</v>
      </c>
      <c r="I904" s="30">
        <f>IF(COUNTIF(Справочник_ОКВЭД_НР!$A$3:$A$62,H904)&gt;0,Справочник_ОКВЭД_НР!$L$8,
 IF(COUNTIF(Справочник_ОКВЭД_НР!$C$3:$C$62,H904)&gt;0,Справочник_ОКВЭД_НР!$L$9,
  IF(COUNTIF(Справочник_ОКВЭД_НР!$E$3:$E$62,H904)&gt;0,Справочник_ОКВЭД_НР!$L$10,
   IF(COUNTIF(Справочник_ОКВЭД_НР!$G$3:$G$62,H904)&gt;0,Справочник_ОКВЭД_НР!$L$11,50))))</f>
        <v>30</v>
      </c>
      <c r="J904" s="30" cm="1">
        <f t="array" ref="J904">IFERROR(
 (SUMPRODUCT(ISNUMBER(SEARCH(","&amp;Справочник_ОКВЭД_НР!$A$3:$A$62&amp;".",","&amp;SUBSTITUTE(F904," ","")&amp;",")))*Справочник_ОКВЭД_НР!$L$9 +
  SUMPRODUCT(ISNUMBER(SEARCH(","&amp;Справочник_ОКВЭД_НР!$C$3:$C$62&amp;".",","&amp;SUBSTITUTE(F904," ","")&amp;",")))*Справочник_ОКВЭД_НР!$L$10 +
  SUMPRODUCT(ISNUMBER(SEARCH(","&amp;Справочник_ОКВЭД_НР!$E$3:$E$62&amp;".",","&amp;SUBSTITUTE(F904," ","")&amp;",")))*Справочник_ОКВЭД_НР!$L$11 +
  SUMPRODUCT(ISNUMBER(SEARCH(","&amp;Справочник_ОКВЭД_НР!$G$3:$G$62&amp;".",","&amp;SUBSTITUTE(F904," ","")&amp;",")))*Справочник_ОКВЭД_НР!$L$12) /
 (SUMPRODUCT(ISNUMBER(SEARCH(","&amp;Справочник_ОКВЭД_НР!$A$3:$A$62&amp;".",","&amp;SUBSTITUTE(F904," ","")&amp;","))) +
  SUMPRODUCT(ISNUMBER(SEARCH(","&amp;Справочник_ОКВЭД_НР!$C$3:$C$62&amp;".",","&amp;SUBSTITUTE(F904," ","")&amp;","))) +
  SUMPRODUCT(ISNUMBER(SEARCH(","&amp;Справочник_ОКВЭД_НР!$E$3:$E$62&amp;".",","&amp;SUBSTITUTE(F904," ","")&amp;","))) +
  SUMPRODUCT(ISNUMBER(SEARCH(","&amp;Справочник_ОКВЭД_НР!$G$3:$G$62&amp;".",","&amp;SUBSTITUTE(F904," ","")&amp;",")))),
50)</f>
        <v>50</v>
      </c>
      <c r="K904" s="30">
        <f>IFERROR(VLOOKUP(G904,Справочник_ОКВЭД_НР!$O:$P,2,FALSE()),50)</f>
        <v>50</v>
      </c>
      <c r="L904" s="45">
        <f>(I904*Справочник_ОКВЭД_НР!$L$2+J904*Справочник_ОКВЭД_НР!$L$3+K904*Справочник_ОКВЭД_НР!$L$4)*M904</f>
        <v>38</v>
      </c>
      <c r="M904" s="47">
        <f>IF(COUNTIF(Справочник_ОКВЭД_НР!$G$3:$G$62,H904)&gt;0,0,1)</f>
        <v>1</v>
      </c>
    </row>
    <row r="905" spans="1:13" x14ac:dyDescent="0.25">
      <c r="A905" s="4">
        <f>ЛИК_дляСкорингаДП!A905</f>
        <v>1107746018643</v>
      </c>
      <c r="B905" s="4">
        <f>ЛИК_дляСкорингаДП!B905</f>
        <v>7725685756</v>
      </c>
      <c r="C905" s="4" t="str">
        <f>ЛИК_дляСкорингаДП!C905</f>
        <v>ООО  "ФИНАНСПОЗИТИВ"</v>
      </c>
      <c r="D905" s="5" t="str">
        <f>ЛИК_дляСкорингаДП!M905</f>
        <v>Деятельность по оказанию услуг в области бухгалтерского учета, по проведению финансового аудита, по налоговому консультированию</v>
      </c>
      <c r="E905" s="4" t="str">
        <f>ЛИК_дляСкорингаДП!L905</f>
        <v>69.20</v>
      </c>
      <c r="F905" t="str">
        <f>ЛИК_дляСкорингаДП!N905</f>
        <v>47.9,49.42,52.21,52.24,52.29,53.20,63.11,63.99,69.10,70.22,74.30,82.19,82.92,82.99,86.90,96.02,96.04,96.09</v>
      </c>
      <c r="G905" s="25" t="str">
        <f>ЛИК_дляСкорингаДП!AG905</f>
        <v>УСН</v>
      </c>
      <c r="H905" s="55" t="str">
        <f>IF(ISNUMBER(E905),E905,
IFERROR(LEFT(E905,FIND(".",E905)-1),E905))</f>
        <v>69</v>
      </c>
      <c r="I905" s="30">
        <f>IF(COUNTIF(Справочник_ОКВЭД_НР!$A$3:$A$62,H905)&gt;0,Справочник_ОКВЭД_НР!$L$8,
 IF(COUNTIF(Справочник_ОКВЭД_НР!$C$3:$C$62,H905)&gt;0,Справочник_ОКВЭД_НР!$L$9,
  IF(COUNTIF(Справочник_ОКВЭД_НР!$E$3:$E$62,H905)&gt;0,Справочник_ОКВЭД_НР!$L$10,
   IF(COUNTIF(Справочник_ОКВЭД_НР!$G$3:$G$62,H905)&gt;0,Справочник_ОКВЭД_НР!$L$11,50))))</f>
        <v>30</v>
      </c>
      <c r="J905" s="30" cm="1">
        <f t="array" ref="J905">IFERROR(
 (SUMPRODUCT(ISNUMBER(SEARCH(","&amp;Справочник_ОКВЭД_НР!$A$3:$A$62&amp;".",","&amp;SUBSTITUTE(F905," ","")&amp;",")))*Справочник_ОКВЭД_НР!$L$9 +
  SUMPRODUCT(ISNUMBER(SEARCH(","&amp;Справочник_ОКВЭД_НР!$C$3:$C$62&amp;".",","&amp;SUBSTITUTE(F905," ","")&amp;",")))*Справочник_ОКВЭД_НР!$L$10 +
  SUMPRODUCT(ISNUMBER(SEARCH(","&amp;Справочник_ОКВЭД_НР!$E$3:$E$62&amp;".",","&amp;SUBSTITUTE(F905," ","")&amp;",")))*Справочник_ОКВЭД_НР!$L$11 +
  SUMPRODUCT(ISNUMBER(SEARCH(","&amp;Справочник_ОКВЭД_НР!$G$3:$G$62&amp;".",","&amp;SUBSTITUTE(F905," ","")&amp;",")))*Справочник_ОКВЭД_НР!$L$12) /
 (SUMPRODUCT(ISNUMBER(SEARCH(","&amp;Справочник_ОКВЭД_НР!$A$3:$A$62&amp;".",","&amp;SUBSTITUTE(F905," ","")&amp;","))) +
  SUMPRODUCT(ISNUMBER(SEARCH(","&amp;Справочник_ОКВЭД_НР!$C$3:$C$62&amp;".",","&amp;SUBSTITUTE(F905," ","")&amp;","))) +
  SUMPRODUCT(ISNUMBER(SEARCH(","&amp;Справочник_ОКВЭД_НР!$E$3:$E$62&amp;".",","&amp;SUBSTITUTE(F905," ","")&amp;","))) +
  SUMPRODUCT(ISNUMBER(SEARCH(","&amp;Справочник_ОКВЭД_НР!$G$3:$G$62&amp;".",","&amp;SUBSTITUTE(F905," ","")&amp;",")))),
50)</f>
        <v>50</v>
      </c>
      <c r="K905" s="30">
        <f>IFERROR(VLOOKUP(G905,Справочник_ОКВЭД_НР!$O:$P,2,FALSE()),50)</f>
        <v>50</v>
      </c>
      <c r="L905" s="45">
        <f>(I905*Справочник_ОКВЭД_НР!$L$2+J905*Справочник_ОКВЭД_НР!$L$3+K905*Справочник_ОКВЭД_НР!$L$4)*M905</f>
        <v>38</v>
      </c>
      <c r="M905" s="47">
        <f>IF(COUNTIF(Справочник_ОКВЭД_НР!$G$3:$G$62,H905)&gt;0,0,1)</f>
        <v>1</v>
      </c>
    </row>
    <row r="906" spans="1:13" x14ac:dyDescent="0.25">
      <c r="A906" s="4">
        <f>ЛИК_дляСкорингаДП!A906</f>
        <v>1107746073995</v>
      </c>
      <c r="B906" s="4">
        <f>ЛИК_дляСкорингаДП!B906</f>
        <v>7721684871</v>
      </c>
      <c r="C906" s="4" t="str">
        <f>ЛИК_дляСкорингаДП!C906</f>
        <v>ООО  "АГЕНТСТВО РКА"</v>
      </c>
      <c r="D906" s="5" t="str">
        <f>ЛИК_дляСкорингаДП!M906</f>
        <v>Деятельность творческая, деятельность в области искусства и организации развлечений</v>
      </c>
      <c r="E906" s="4" t="str">
        <f>ЛИК_дляСкорингаДП!L906</f>
        <v>90.0</v>
      </c>
      <c r="F906" t="str">
        <f>ЛИК_дляСкорингаДП!N906</f>
        <v>18.12,32.99.9,46.15.4,47.59.5,47.63.1,47.63.2,58,58.11.1,58.19,59.20,59.20.3,72.2,73.11,73.20.1,77.11,77.39.24,82.99,85.42.9,90.01,90.03,90.04,91.0,93.29.9,94.11</v>
      </c>
      <c r="G906" s="25" t="str">
        <f>ЛИК_дляСкорингаДП!AG906</f>
        <v>УСН</v>
      </c>
      <c r="H906" s="55" t="str">
        <f>IF(ISNUMBER(E906),E906,
IFERROR(LEFT(E906,FIND(".",E906)-1),E906))</f>
        <v>90</v>
      </c>
      <c r="I906" s="30">
        <f>IF(COUNTIF(Справочник_ОКВЭД_НР!$A$3:$A$62,H906)&gt;0,Справочник_ОКВЭД_НР!$L$8,
 IF(COUNTIF(Справочник_ОКВЭД_НР!$C$3:$C$62,H906)&gt;0,Справочник_ОКВЭД_НР!$L$9,
  IF(COUNTIF(Справочник_ОКВЭД_НР!$E$3:$E$62,H906)&gt;0,Справочник_ОКВЭД_НР!$L$10,
   IF(COUNTIF(Справочник_ОКВЭД_НР!$G$3:$G$62,H906)&gt;0,Справочник_ОКВЭД_НР!$L$11,50))))</f>
        <v>30</v>
      </c>
      <c r="J906" s="30" cm="1">
        <f t="array" ref="J906">IFERROR(
 (SUMPRODUCT(ISNUMBER(SEARCH(","&amp;Справочник_ОКВЭД_НР!$A$3:$A$62&amp;".",","&amp;SUBSTITUTE(F906," ","")&amp;",")))*Справочник_ОКВЭД_НР!$L$9 +
  SUMPRODUCT(ISNUMBER(SEARCH(","&amp;Справочник_ОКВЭД_НР!$C$3:$C$62&amp;".",","&amp;SUBSTITUTE(F906," ","")&amp;",")))*Справочник_ОКВЭД_НР!$L$10 +
  SUMPRODUCT(ISNUMBER(SEARCH(","&amp;Справочник_ОКВЭД_НР!$E$3:$E$62&amp;".",","&amp;SUBSTITUTE(F906," ","")&amp;",")))*Справочник_ОКВЭД_НР!$L$11 +
  SUMPRODUCT(ISNUMBER(SEARCH(","&amp;Справочник_ОКВЭД_НР!$G$3:$G$62&amp;".",","&amp;SUBSTITUTE(F906," ","")&amp;",")))*Справочник_ОКВЭД_НР!$L$12) /
 (SUMPRODUCT(ISNUMBER(SEARCH(","&amp;Справочник_ОКВЭД_НР!$A$3:$A$62&amp;".",","&amp;SUBSTITUTE(F906," ","")&amp;","))) +
  SUMPRODUCT(ISNUMBER(SEARCH(","&amp;Справочник_ОКВЭД_НР!$C$3:$C$62&amp;".",","&amp;SUBSTITUTE(F906," ","")&amp;","))) +
  SUMPRODUCT(ISNUMBER(SEARCH(","&amp;Справочник_ОКВЭД_НР!$E$3:$E$62&amp;".",","&amp;SUBSTITUTE(F906," ","")&amp;","))) +
  SUMPRODUCT(ISNUMBER(SEARCH(","&amp;Справочник_ОКВЭД_НР!$G$3:$G$62&amp;".",","&amp;SUBSTITUTE(F906," ","")&amp;",")))),
50)</f>
        <v>50</v>
      </c>
      <c r="K906" s="30">
        <f>IFERROR(VLOOKUP(G906,Справочник_ОКВЭД_НР!$O:$P,2,FALSE()),50)</f>
        <v>50</v>
      </c>
      <c r="L906" s="45">
        <f>(I906*Справочник_ОКВЭД_НР!$L$2+J906*Справочник_ОКВЭД_НР!$L$3+K906*Справочник_ОКВЭД_НР!$L$4)*M906</f>
        <v>38</v>
      </c>
      <c r="M906" s="47">
        <f>IF(COUNTIF(Справочник_ОКВЭД_НР!$G$3:$G$62,H906)&gt;0,0,1)</f>
        <v>1</v>
      </c>
    </row>
    <row r="907" spans="1:13" x14ac:dyDescent="0.25">
      <c r="A907" s="4">
        <f>ЛИК_дляСкорингаДП!A907</f>
        <v>1175027023027</v>
      </c>
      <c r="B907" s="4">
        <f>ЛИК_дляСкорингаДП!B907</f>
        <v>5040151171</v>
      </c>
      <c r="C907" s="4" t="str">
        <f>ЛИК_дляСкорингаДП!C907</f>
        <v>ООО "ЗУБАРИКИ"</v>
      </c>
      <c r="D907" s="5" t="str">
        <f>ЛИК_дляСкорингаДП!M907</f>
        <v>Стоматологическая практика</v>
      </c>
      <c r="E907" s="4" t="str">
        <f>ЛИК_дляСкорингаДП!L907</f>
        <v>86.23</v>
      </c>
      <c r="F907" t="str">
        <f>ЛИК_дляСкорингаДП!N907</f>
        <v>47.75,47.75.3,77.39.26,86.90.9</v>
      </c>
      <c r="G907" s="25" t="str">
        <f>ЛИК_дляСкорингаДП!AG907</f>
        <v>УСН</v>
      </c>
      <c r="H907" s="55" t="str">
        <f>IF(ISNUMBER(E907),E907,
IFERROR(LEFT(E907,FIND(".",E907)-1),E907))</f>
        <v>86</v>
      </c>
      <c r="I907" s="30">
        <f>IF(COUNTIF(Справочник_ОКВЭД_НР!$A$3:$A$62,H907)&gt;0,Справочник_ОКВЭД_НР!$L$8,
 IF(COUNTIF(Справочник_ОКВЭД_НР!$C$3:$C$62,H907)&gt;0,Справочник_ОКВЭД_НР!$L$9,
  IF(COUNTIF(Справочник_ОКВЭД_НР!$E$3:$E$62,H907)&gt;0,Справочник_ОКВЭД_НР!$L$10,
   IF(COUNTIF(Справочник_ОКВЭД_НР!$G$3:$G$62,H907)&gt;0,Справочник_ОКВЭД_НР!$L$11,50))))</f>
        <v>100</v>
      </c>
      <c r="J907" s="30" cm="1">
        <f t="array" ref="J907">IFERROR(
 (SUMPRODUCT(ISNUMBER(SEARCH(","&amp;Справочник_ОКВЭД_НР!$A$3:$A$62&amp;".",","&amp;SUBSTITUTE(F907," ","")&amp;",")))*Справочник_ОКВЭД_НР!$L$9 +
  SUMPRODUCT(ISNUMBER(SEARCH(","&amp;Справочник_ОКВЭД_НР!$C$3:$C$62&amp;".",","&amp;SUBSTITUTE(F907," ","")&amp;",")))*Справочник_ОКВЭД_НР!$L$10 +
  SUMPRODUCT(ISNUMBER(SEARCH(","&amp;Справочник_ОКВЭД_НР!$E$3:$E$62&amp;".",","&amp;SUBSTITUTE(F907," ","")&amp;",")))*Справочник_ОКВЭД_НР!$L$11 +
  SUMPRODUCT(ISNUMBER(SEARCH(","&amp;Справочник_ОКВЭД_НР!$G$3:$G$62&amp;".",","&amp;SUBSTITUTE(F907," ","")&amp;",")))*Справочник_ОКВЭД_НР!$L$12) /
 (SUMPRODUCT(ISNUMBER(SEARCH(","&amp;Справочник_ОКВЭД_НР!$A$3:$A$62&amp;".",","&amp;SUBSTITUTE(F907," ","")&amp;","))) +
  SUMPRODUCT(ISNUMBER(SEARCH(","&amp;Справочник_ОКВЭД_НР!$C$3:$C$62&amp;".",","&amp;SUBSTITUTE(F907," ","")&amp;","))) +
  SUMPRODUCT(ISNUMBER(SEARCH(","&amp;Справочник_ОКВЭД_НР!$E$3:$E$62&amp;".",","&amp;SUBSTITUTE(F907," ","")&amp;","))) +
  SUMPRODUCT(ISNUMBER(SEARCH(","&amp;Справочник_ОКВЭД_НР!$G$3:$G$62&amp;".",","&amp;SUBSTITUTE(F907," ","")&amp;",")))),
50)</f>
        <v>50</v>
      </c>
      <c r="K907" s="30">
        <f>IFERROR(VLOOKUP(G907,Справочник_ОКВЭД_НР!$O:$P,2,FALSE()),50)</f>
        <v>50</v>
      </c>
      <c r="L907" s="45">
        <f>(I907*Справочник_ОКВЭД_НР!$L$2+J907*Справочник_ОКВЭД_НР!$L$3+K907*Справочник_ОКВЭД_НР!$L$4)*M907</f>
        <v>80</v>
      </c>
      <c r="M907" s="47">
        <f>IF(COUNTIF(Справочник_ОКВЭД_НР!$G$3:$G$62,H907)&gt;0,0,1)</f>
        <v>1</v>
      </c>
    </row>
    <row r="908" spans="1:13" x14ac:dyDescent="0.25">
      <c r="A908" s="4">
        <f>ЛИК_дляСкорингаДП!A908</f>
        <v>1157746670058</v>
      </c>
      <c r="B908" s="4">
        <f>ЛИК_дляСкорингаДП!B908</f>
        <v>7723400846</v>
      </c>
      <c r="C908" s="4" t="str">
        <f>ЛИК_дляСкорингаДП!C908</f>
        <v>ООО "КЛИНБЕРГ"</v>
      </c>
      <c r="D908" s="5" t="str">
        <f>ЛИК_дляСкорингаДП!M908</f>
        <v>Стирка и химическая чистка текстильных и меховых изделий</v>
      </c>
      <c r="E908" s="4" t="str">
        <f>ЛИК_дляСкорингаДП!L908</f>
        <v>96.01</v>
      </c>
      <c r="F908" t="str">
        <f>ЛИК_дляСкорингаДП!N908</f>
        <v>36.00,37.00,38.1,38.2,43.39,43.99,46.19,52.10,52.21,52.24,52.29,77.11,77.29,77.39.11,77.39.2,78.10,81.22,81.29.9,82.99</v>
      </c>
      <c r="G908" s="25" t="str">
        <f>ЛИК_дляСкорингаДП!AG908</f>
        <v>УСН</v>
      </c>
      <c r="H908" s="55" t="str">
        <f>IF(ISNUMBER(E908),E908,
IFERROR(LEFT(E908,FIND(".",E908)-1),E908))</f>
        <v>96</v>
      </c>
      <c r="I908" s="30">
        <f>IF(COUNTIF(Справочник_ОКВЭД_НР!$A$3:$A$62,H908)&gt;0,Справочник_ОКВЭД_НР!$L$8,
 IF(COUNTIF(Справочник_ОКВЭД_НР!$C$3:$C$62,H908)&gt;0,Справочник_ОКВЭД_НР!$L$9,
  IF(COUNTIF(Справочник_ОКВЭД_НР!$E$3:$E$62,H908)&gt;0,Справочник_ОКВЭД_НР!$L$10,
   IF(COUNTIF(Справочник_ОКВЭД_НР!$G$3:$G$62,H908)&gt;0,Справочник_ОКВЭД_НР!$L$11,50))))</f>
        <v>30</v>
      </c>
      <c r="J908" s="30" cm="1">
        <f t="array" ref="J908">IFERROR(
 (SUMPRODUCT(ISNUMBER(SEARCH(","&amp;Справочник_ОКВЭД_НР!$A$3:$A$62&amp;".",","&amp;SUBSTITUTE(F908," ","")&amp;",")))*Справочник_ОКВЭД_НР!$L$9 +
  SUMPRODUCT(ISNUMBER(SEARCH(","&amp;Справочник_ОКВЭД_НР!$C$3:$C$62&amp;".",","&amp;SUBSTITUTE(F908," ","")&amp;",")))*Справочник_ОКВЭД_НР!$L$10 +
  SUMPRODUCT(ISNUMBER(SEARCH(","&amp;Справочник_ОКВЭД_НР!$E$3:$E$62&amp;".",","&amp;SUBSTITUTE(F908," ","")&amp;",")))*Справочник_ОКВЭД_НР!$L$11 +
  SUMPRODUCT(ISNUMBER(SEARCH(","&amp;Справочник_ОКВЭД_НР!$G$3:$G$62&amp;".",","&amp;SUBSTITUTE(F908," ","")&amp;",")))*Справочник_ОКВЭД_НР!$L$12) /
 (SUMPRODUCT(ISNUMBER(SEARCH(","&amp;Справочник_ОКВЭД_НР!$A$3:$A$62&amp;".",","&amp;SUBSTITUTE(F908," ","")&amp;","))) +
  SUMPRODUCT(ISNUMBER(SEARCH(","&amp;Справочник_ОКВЭД_НР!$C$3:$C$62&amp;".",","&amp;SUBSTITUTE(F908," ","")&amp;","))) +
  SUMPRODUCT(ISNUMBER(SEARCH(","&amp;Справочник_ОКВЭД_НР!$E$3:$E$62&amp;".",","&amp;SUBSTITUTE(F908," ","")&amp;","))) +
  SUMPRODUCT(ISNUMBER(SEARCH(","&amp;Справочник_ОКВЭД_НР!$G$3:$G$62&amp;".",","&amp;SUBSTITUTE(F908," ","")&amp;",")))),
50)</f>
        <v>50</v>
      </c>
      <c r="K908" s="30">
        <f>IFERROR(VLOOKUP(G908,Справочник_ОКВЭД_НР!$O:$P,2,FALSE()),50)</f>
        <v>50</v>
      </c>
      <c r="L908" s="45">
        <f>(I908*Справочник_ОКВЭД_НР!$L$2+J908*Справочник_ОКВЭД_НР!$L$3+K908*Справочник_ОКВЭД_НР!$L$4)*M908</f>
        <v>38</v>
      </c>
      <c r="M908" s="47">
        <f>IF(COUNTIF(Справочник_ОКВЭД_НР!$G$3:$G$62,H908)&gt;0,0,1)</f>
        <v>1</v>
      </c>
    </row>
    <row r="909" spans="1:13" x14ac:dyDescent="0.25">
      <c r="A909" s="4">
        <f>ЛИК_дляСкорингаДП!A909</f>
        <v>1141650016859</v>
      </c>
      <c r="B909" s="4">
        <f>ЛИК_дляСкорингаДП!B909</f>
        <v>1650293130</v>
      </c>
      <c r="C909" s="4" t="str">
        <f>ЛИК_дляСкорингаДП!C909</f>
        <v>ООО  УК "СБ КЛИНИНГ +"</v>
      </c>
      <c r="D909" s="5" t="str">
        <f>ЛИК_дляСкорингаДП!M909</f>
        <v>Деятельность по чистке и уборке жилых зданий и нежилых помещений прочая</v>
      </c>
      <c r="E909" s="4" t="str">
        <f>ЛИК_дляСкорингаДП!L909</f>
        <v>81.22</v>
      </c>
      <c r="F909" t="str">
        <f>ЛИК_дляСкорингаДП!N909</f>
        <v>46.17.1,46.34.1,46.35,46.49.49,46.90,47.19,47.9,68.20.1,68.20.2,68.32.2,78.20,78.30,81.29.9,82.99,96.01,96.09,97.00</v>
      </c>
      <c r="G909" s="25" t="str">
        <f>ЛИК_дляСкорингаДП!AG909</f>
        <v>УСН</v>
      </c>
      <c r="H909" s="55" t="str">
        <f>IF(ISNUMBER(E909),E909,
IFERROR(LEFT(E909,FIND(".",E909)-1),E909))</f>
        <v>81</v>
      </c>
      <c r="I909" s="30">
        <f>IF(COUNTIF(Справочник_ОКВЭД_НР!$A$3:$A$62,H909)&gt;0,Справочник_ОКВЭД_НР!$L$8,
 IF(COUNTIF(Справочник_ОКВЭД_НР!$C$3:$C$62,H909)&gt;0,Справочник_ОКВЭД_НР!$L$9,
  IF(COUNTIF(Справочник_ОКВЭД_НР!$E$3:$E$62,H909)&gt;0,Справочник_ОКВЭД_НР!$L$10,
   IF(COUNTIF(Справочник_ОКВЭД_НР!$G$3:$G$62,H909)&gt;0,Справочник_ОКВЭД_НР!$L$11,50))))</f>
        <v>30</v>
      </c>
      <c r="J909" s="30" cm="1">
        <f t="array" ref="J909">IFERROR(
 (SUMPRODUCT(ISNUMBER(SEARCH(","&amp;Справочник_ОКВЭД_НР!$A$3:$A$62&amp;".",","&amp;SUBSTITUTE(F909," ","")&amp;",")))*Справочник_ОКВЭД_НР!$L$9 +
  SUMPRODUCT(ISNUMBER(SEARCH(","&amp;Справочник_ОКВЭД_НР!$C$3:$C$62&amp;".",","&amp;SUBSTITUTE(F909," ","")&amp;",")))*Справочник_ОКВЭД_НР!$L$10 +
  SUMPRODUCT(ISNUMBER(SEARCH(","&amp;Справочник_ОКВЭД_НР!$E$3:$E$62&amp;".",","&amp;SUBSTITUTE(F909," ","")&amp;",")))*Справочник_ОКВЭД_НР!$L$11 +
  SUMPRODUCT(ISNUMBER(SEARCH(","&amp;Справочник_ОКВЭД_НР!$G$3:$G$62&amp;".",","&amp;SUBSTITUTE(F909," ","")&amp;",")))*Справочник_ОКВЭД_НР!$L$12) /
 (SUMPRODUCT(ISNUMBER(SEARCH(","&amp;Справочник_ОКВЭД_НР!$A$3:$A$62&amp;".",","&amp;SUBSTITUTE(F909," ","")&amp;","))) +
  SUMPRODUCT(ISNUMBER(SEARCH(","&amp;Справочник_ОКВЭД_НР!$C$3:$C$62&amp;".",","&amp;SUBSTITUTE(F909," ","")&amp;","))) +
  SUMPRODUCT(ISNUMBER(SEARCH(","&amp;Справочник_ОКВЭД_НР!$E$3:$E$62&amp;".",","&amp;SUBSTITUTE(F909," ","")&amp;","))) +
  SUMPRODUCT(ISNUMBER(SEARCH(","&amp;Справочник_ОКВЭД_НР!$G$3:$G$62&amp;".",","&amp;SUBSTITUTE(F909," ","")&amp;",")))),
50)</f>
        <v>50</v>
      </c>
      <c r="K909" s="30">
        <f>IFERROR(VLOOKUP(G909,Справочник_ОКВЭД_НР!$O:$P,2,FALSE()),50)</f>
        <v>50</v>
      </c>
      <c r="L909" s="45">
        <f>(I909*Справочник_ОКВЭД_НР!$L$2+J909*Справочник_ОКВЭД_НР!$L$3+K909*Справочник_ОКВЭД_НР!$L$4)*M909</f>
        <v>38</v>
      </c>
      <c r="M909" s="47">
        <f>IF(COUNTIF(Справочник_ОКВЭД_НР!$G$3:$G$62,H909)&gt;0,0,1)</f>
        <v>1</v>
      </c>
    </row>
    <row r="910" spans="1:13" x14ac:dyDescent="0.25">
      <c r="A910" s="4">
        <f>ЛИК_дляСкорингаДП!A910</f>
        <v>1107746002650</v>
      </c>
      <c r="B910" s="4">
        <f>ЛИК_дляСкорингаДП!B910</f>
        <v>7715791113</v>
      </c>
      <c r="C910" s="4" t="str">
        <f>ЛИК_дляСкорингаДП!C910</f>
        <v>ООО "СПЕЦСТРОЙПРОЕКТ"</v>
      </c>
      <c r="D910" s="5" t="str">
        <f>ЛИК_дляСкорингаДП!M910</f>
        <v>Деятельность в области архитектуры, инженерных изысканий и предоставление технических консультаций в этих областях</v>
      </c>
      <c r="E910" s="4" t="str">
        <f>ЛИК_дляСкорингаДП!L910</f>
        <v>71.1</v>
      </c>
      <c r="F910" t="str">
        <f>ЛИК_дляСкорингаДП!N910</f>
        <v>71.12.3,71.12.4,71.12.41,71.12.42,71.12.43,71.12.44,71.12.5,71.12.6</v>
      </c>
      <c r="G910" s="25" t="str">
        <f>ЛИК_дляСкорингаДП!AG910</f>
        <v>УСН</v>
      </c>
      <c r="H910" s="55" t="str">
        <f>IF(ISNUMBER(E910),E910,
IFERROR(LEFT(E910,FIND(".",E910)-1),E910))</f>
        <v>71</v>
      </c>
      <c r="I910" s="30">
        <f>IF(COUNTIF(Справочник_ОКВЭД_НР!$A$3:$A$62,H910)&gt;0,Справочник_ОКВЭД_НР!$L$8,
 IF(COUNTIF(Справочник_ОКВЭД_НР!$C$3:$C$62,H910)&gt;0,Справочник_ОКВЭД_НР!$L$9,
  IF(COUNTIF(Справочник_ОКВЭД_НР!$E$3:$E$62,H910)&gt;0,Справочник_ОКВЭД_НР!$L$10,
   IF(COUNTIF(Справочник_ОКВЭД_НР!$G$3:$G$62,H910)&gt;0,Справочник_ОКВЭД_НР!$L$11,50))))</f>
        <v>100</v>
      </c>
      <c r="J910" s="30" cm="1">
        <f t="array" ref="J910">IFERROR(
 (SUMPRODUCT(ISNUMBER(SEARCH(","&amp;Справочник_ОКВЭД_НР!$A$3:$A$62&amp;".",","&amp;SUBSTITUTE(F910," ","")&amp;",")))*Справочник_ОКВЭД_НР!$L$9 +
  SUMPRODUCT(ISNUMBER(SEARCH(","&amp;Справочник_ОКВЭД_НР!$C$3:$C$62&amp;".",","&amp;SUBSTITUTE(F910," ","")&amp;",")))*Справочник_ОКВЭД_НР!$L$10 +
  SUMPRODUCT(ISNUMBER(SEARCH(","&amp;Справочник_ОКВЭД_НР!$E$3:$E$62&amp;".",","&amp;SUBSTITUTE(F910," ","")&amp;",")))*Справочник_ОКВЭД_НР!$L$11 +
  SUMPRODUCT(ISNUMBER(SEARCH(","&amp;Справочник_ОКВЭД_НР!$G$3:$G$62&amp;".",","&amp;SUBSTITUTE(F910," ","")&amp;",")))*Справочник_ОКВЭД_НР!$L$12) /
 (SUMPRODUCT(ISNUMBER(SEARCH(","&amp;Справочник_ОКВЭД_НР!$A$3:$A$62&amp;".",","&amp;SUBSTITUTE(F910," ","")&amp;","))) +
  SUMPRODUCT(ISNUMBER(SEARCH(","&amp;Справочник_ОКВЭД_НР!$C$3:$C$62&amp;".",","&amp;SUBSTITUTE(F910," ","")&amp;","))) +
  SUMPRODUCT(ISNUMBER(SEARCH(","&amp;Справочник_ОКВЭД_НР!$E$3:$E$62&amp;".",","&amp;SUBSTITUTE(F910," ","")&amp;","))) +
  SUMPRODUCT(ISNUMBER(SEARCH(","&amp;Справочник_ОКВЭД_НР!$G$3:$G$62&amp;".",","&amp;SUBSTITUTE(F910," ","")&amp;",")))),
50)</f>
        <v>50</v>
      </c>
      <c r="K910" s="30">
        <f>IFERROR(VLOOKUP(G910,Справочник_ОКВЭД_НР!$O:$P,2,FALSE()),50)</f>
        <v>50</v>
      </c>
      <c r="L910" s="45">
        <f>(I910*Справочник_ОКВЭД_НР!$L$2+J910*Справочник_ОКВЭД_НР!$L$3+K910*Справочник_ОКВЭД_НР!$L$4)*M910</f>
        <v>80</v>
      </c>
      <c r="M910" s="47">
        <f>IF(COUNTIF(Справочник_ОКВЭД_НР!$G$3:$G$62,H910)&gt;0,0,1)</f>
        <v>1</v>
      </c>
    </row>
    <row r="911" spans="1:13" x14ac:dyDescent="0.25">
      <c r="A911" s="4">
        <f>ЛИК_дляСкорингаДП!A911</f>
        <v>1157746715719</v>
      </c>
      <c r="B911" s="4">
        <f>ЛИК_дляСкорингаДП!B911</f>
        <v>7721337444</v>
      </c>
      <c r="C911" s="4" t="str">
        <f>ЛИК_дляСкорингаДП!C911</f>
        <v>ООО "ПРОФСНАБТЕКС"</v>
      </c>
      <c r="D911" s="5" t="str">
        <f>ЛИК_дляСкорингаДП!M911</f>
        <v>Торговля оптовая одеждой и обувью</v>
      </c>
      <c r="E911" s="4" t="str">
        <f>ЛИК_дляСкорингаДП!L911</f>
        <v>46.42</v>
      </c>
      <c r="F911" t="str">
        <f>ЛИК_дляСкорингаДП!N911</f>
        <v>13.20.3,13.20.4,13.30,13.92,13.93,13.94,13.95,13.99,14.12,14.13,14.14,14.19,14.31,14.39,17.23,18.14,45.31,45.32,46.18.1,46.18.3,46.38.2,46.41,46.41.2,46.43,46.46,46.47,46.49,46.69.8,46.90,47.41,47.42,47.43,47.51,47.53,47.54,47.59,47.61,47.71,47.72,47.73,47.74,47.78,47.82,47.91,47.99,58.11.1,58.11.2,58.12,73.20,82.99</v>
      </c>
      <c r="G911" s="25" t="str">
        <f>ЛИК_дляСкорингаДП!AG911</f>
        <v>УСН</v>
      </c>
      <c r="H911" s="55" t="str">
        <f>IF(ISNUMBER(E911),E911,
IFERROR(LEFT(E911,FIND(".",E911)-1),E911))</f>
        <v>46</v>
      </c>
      <c r="I911" s="30">
        <f>IF(COUNTIF(Справочник_ОКВЭД_НР!$A$3:$A$62,H911)&gt;0,Справочник_ОКВЭД_НР!$L$8,
 IF(COUNTIF(Справочник_ОКВЭД_НР!$C$3:$C$62,H911)&gt;0,Справочник_ОКВЭД_НР!$L$9,
  IF(COUNTIF(Справочник_ОКВЭД_НР!$E$3:$E$62,H911)&gt;0,Справочник_ОКВЭД_НР!$L$10,
   IF(COUNTIF(Справочник_ОКВЭД_НР!$G$3:$G$62,H911)&gt;0,Справочник_ОКВЭД_НР!$L$11,50))))</f>
        <v>60</v>
      </c>
      <c r="J911" s="30" cm="1">
        <f t="array" ref="J911">IFERROR(
 (SUMPRODUCT(ISNUMBER(SEARCH(","&amp;Справочник_ОКВЭД_НР!$A$3:$A$62&amp;".",","&amp;SUBSTITUTE(F911," ","")&amp;",")))*Справочник_ОКВЭД_НР!$L$9 +
  SUMPRODUCT(ISNUMBER(SEARCH(","&amp;Справочник_ОКВЭД_НР!$C$3:$C$62&amp;".",","&amp;SUBSTITUTE(F911," ","")&amp;",")))*Справочник_ОКВЭД_НР!$L$10 +
  SUMPRODUCT(ISNUMBER(SEARCH(","&amp;Справочник_ОКВЭД_НР!$E$3:$E$62&amp;".",","&amp;SUBSTITUTE(F911," ","")&amp;",")))*Справочник_ОКВЭД_НР!$L$11 +
  SUMPRODUCT(ISNUMBER(SEARCH(","&amp;Справочник_ОКВЭД_НР!$G$3:$G$62&amp;".",","&amp;SUBSTITUTE(F911," ","")&amp;",")))*Справочник_ОКВЭД_НР!$L$12) /
 (SUMPRODUCT(ISNUMBER(SEARCH(","&amp;Справочник_ОКВЭД_НР!$A$3:$A$62&amp;".",","&amp;SUBSTITUTE(F911," ","")&amp;","))) +
  SUMPRODUCT(ISNUMBER(SEARCH(","&amp;Справочник_ОКВЭД_НР!$C$3:$C$62&amp;".",","&amp;SUBSTITUTE(F911," ","")&amp;","))) +
  SUMPRODUCT(ISNUMBER(SEARCH(","&amp;Справочник_ОКВЭД_НР!$E$3:$E$62&amp;".",","&amp;SUBSTITUTE(F911," ","")&amp;","))) +
  SUMPRODUCT(ISNUMBER(SEARCH(","&amp;Справочник_ОКВЭД_НР!$G$3:$G$62&amp;".",","&amp;SUBSTITUTE(F911," ","")&amp;",")))),
50)</f>
        <v>50</v>
      </c>
      <c r="K911" s="30">
        <f>IFERROR(VLOOKUP(G911,Справочник_ОКВЭД_НР!$O:$P,2,FALSE()),50)</f>
        <v>50</v>
      </c>
      <c r="L911" s="45">
        <f>(I911*Справочник_ОКВЭД_НР!$L$2+J911*Справочник_ОКВЭД_НР!$L$3+K911*Справочник_ОКВЭД_НР!$L$4)*M911</f>
        <v>56</v>
      </c>
      <c r="M911" s="47">
        <f>IF(COUNTIF(Справочник_ОКВЭД_НР!$G$3:$G$62,H911)&gt;0,0,1)</f>
        <v>1</v>
      </c>
    </row>
    <row r="912" spans="1:13" x14ac:dyDescent="0.25">
      <c r="A912" s="4">
        <f>ЛИК_дляСкорингаДП!A912</f>
        <v>1157746581816</v>
      </c>
      <c r="B912" s="4">
        <f>ЛИК_дляСкорингаДП!B912</f>
        <v>7721322984</v>
      </c>
      <c r="C912" s="4" t="str">
        <f>ЛИК_дляСкорингаДП!C912</f>
        <v>ООО "ДЕНТАЛЦЕНТР"</v>
      </c>
      <c r="D912" s="5" t="str">
        <f>ЛИК_дляСкорингаДП!M912</f>
        <v>Стоматологическая практика</v>
      </c>
      <c r="E912" s="4" t="str">
        <f>ЛИК_дляСкорингаДП!L912</f>
        <v>86.23</v>
      </c>
      <c r="F912" t="str">
        <f>ЛИК_дляСкорингаДП!N912</f>
        <v>46.18.1,46.46,46.49,46.90,47.73,47.74,52.10,68.31,86.10,86.21</v>
      </c>
      <c r="G912" s="25" t="str">
        <f>ЛИК_дляСкорингаДП!AG912</f>
        <v>УСН</v>
      </c>
      <c r="H912" s="55" t="str">
        <f>IF(ISNUMBER(E912),E912,
IFERROR(LEFT(E912,FIND(".",E912)-1),E912))</f>
        <v>86</v>
      </c>
      <c r="I912" s="30">
        <f>IF(COUNTIF(Справочник_ОКВЭД_НР!$A$3:$A$62,H912)&gt;0,Справочник_ОКВЭД_НР!$L$8,
 IF(COUNTIF(Справочник_ОКВЭД_НР!$C$3:$C$62,H912)&gt;0,Справочник_ОКВЭД_НР!$L$9,
  IF(COUNTIF(Справочник_ОКВЭД_НР!$E$3:$E$62,H912)&gt;0,Справочник_ОКВЭД_НР!$L$10,
   IF(COUNTIF(Справочник_ОКВЭД_НР!$G$3:$G$62,H912)&gt;0,Справочник_ОКВЭД_НР!$L$11,50))))</f>
        <v>100</v>
      </c>
      <c r="J912" s="30" cm="1">
        <f t="array" ref="J912">IFERROR(
 (SUMPRODUCT(ISNUMBER(SEARCH(","&amp;Справочник_ОКВЭД_НР!$A$3:$A$62&amp;".",","&amp;SUBSTITUTE(F912," ","")&amp;",")))*Справочник_ОКВЭД_НР!$L$9 +
  SUMPRODUCT(ISNUMBER(SEARCH(","&amp;Справочник_ОКВЭД_НР!$C$3:$C$62&amp;".",","&amp;SUBSTITUTE(F912," ","")&amp;",")))*Справочник_ОКВЭД_НР!$L$10 +
  SUMPRODUCT(ISNUMBER(SEARCH(","&amp;Справочник_ОКВЭД_НР!$E$3:$E$62&amp;".",","&amp;SUBSTITUTE(F912," ","")&amp;",")))*Справочник_ОКВЭД_НР!$L$11 +
  SUMPRODUCT(ISNUMBER(SEARCH(","&amp;Справочник_ОКВЭД_НР!$G$3:$G$62&amp;".",","&amp;SUBSTITUTE(F912," ","")&amp;",")))*Справочник_ОКВЭД_НР!$L$12) /
 (SUMPRODUCT(ISNUMBER(SEARCH(","&amp;Справочник_ОКВЭД_НР!$A$3:$A$62&amp;".",","&amp;SUBSTITUTE(F912," ","")&amp;","))) +
  SUMPRODUCT(ISNUMBER(SEARCH(","&amp;Справочник_ОКВЭД_НР!$C$3:$C$62&amp;".",","&amp;SUBSTITUTE(F912," ","")&amp;","))) +
  SUMPRODUCT(ISNUMBER(SEARCH(","&amp;Справочник_ОКВЭД_НР!$E$3:$E$62&amp;".",","&amp;SUBSTITUTE(F912," ","")&amp;","))) +
  SUMPRODUCT(ISNUMBER(SEARCH(","&amp;Справочник_ОКВЭД_НР!$G$3:$G$62&amp;".",","&amp;SUBSTITUTE(F912," ","")&amp;",")))),
50)</f>
        <v>50</v>
      </c>
      <c r="K912" s="30">
        <f>IFERROR(VLOOKUP(G912,Справочник_ОКВЭД_НР!$O:$P,2,FALSE()),50)</f>
        <v>50</v>
      </c>
      <c r="L912" s="45">
        <f>(I912*Справочник_ОКВЭД_НР!$L$2+J912*Справочник_ОКВЭД_НР!$L$3+K912*Справочник_ОКВЭД_НР!$L$4)*M912</f>
        <v>80</v>
      </c>
      <c r="M912" s="47">
        <f>IF(COUNTIF(Справочник_ОКВЭД_НР!$G$3:$G$62,H912)&gt;0,0,1)</f>
        <v>1</v>
      </c>
    </row>
    <row r="913" spans="1:13" x14ac:dyDescent="0.25">
      <c r="A913" s="4">
        <f>ЛИК_дляСкорингаДП!A913</f>
        <v>1157746727808</v>
      </c>
      <c r="B913" s="4">
        <f>ЛИК_дляСкорингаДП!B913</f>
        <v>7728308121</v>
      </c>
      <c r="C913" s="4" t="str">
        <f>ЛИК_дляСкорингаДП!C913</f>
        <v>ООО "ГРУЗТРАНСГАРАНТ"</v>
      </c>
      <c r="D913" s="5" t="str">
        <f>ЛИК_дляСкорингаДП!M913</f>
        <v>Деятельность вспомогательная прочая, связанная с перевозками</v>
      </c>
      <c r="E913" s="4" t="str">
        <f>ЛИК_дляСкорингаДП!L913</f>
        <v>52.29</v>
      </c>
      <c r="F913" t="str">
        <f>ЛИК_дляСкорингаДП!N913</f>
        <v>23.42,25.11,25.62,33.14,35.30.4,35.30.5,38.11,38.21,38.31,38.32,38.32.1,38.32.11,38.32.12,38.32.3,38.32.4,38.32.43,38.32.49,38.32.51,41.10,41.20,42.11,42.12,42.13,42.21,42.22,42.22.1,42.22.2,42.22.3,42.91,42.91.3,42.91.4,42.99,43.11,43.12,43.12.1,43.12.2,43.12.3,43.13,43.21,43.22,43.29,43.31,43.32,43.32.1,43.32.2,43.32.3,43.33,43.34,43.34.1,43.34.2,43.39,43.91,43.99,43.99.1,43.99.2,43.99.3,43.99.4,43.99.5,43.99.6,43.99.7,43.99.9,46.13,46.13.1,46.13.2,46.18.93,46.19,46.41,46.73,46.90,49.20.9,49.39,49.41,49.41.1,49.41.2,49.41.3,49.42,52.10,52.21.2,52.21.29,52.24,52.24.2,53.20.3,53.20.39,77.11,77.12,77.31,77.32,77.39,77.39.23,77.39.29,81.10,81.21,81.21.1,81.21.9,81.22,81.29,81.29.1,81.29.2,81.29.9,81.30,95.24,95.24.1,96.09,97.00</v>
      </c>
      <c r="G913" s="25" t="str">
        <f>ЛИК_дляСкорингаДП!AG913</f>
        <v>УСН</v>
      </c>
      <c r="H913" s="55" t="str">
        <f>IF(ISNUMBER(E913),E913,
IFERROR(LEFT(E913,FIND(".",E913)-1),E913))</f>
        <v>52</v>
      </c>
      <c r="I913" s="30">
        <f>IF(COUNTIF(Справочник_ОКВЭД_НР!$A$3:$A$62,H913)&gt;0,Справочник_ОКВЭД_НР!$L$8,
 IF(COUNTIF(Справочник_ОКВЭД_НР!$C$3:$C$62,H913)&gt;0,Справочник_ОКВЭД_НР!$L$9,
  IF(COUNTIF(Справочник_ОКВЭД_НР!$E$3:$E$62,H913)&gt;0,Справочник_ОКВЭД_НР!$L$10,
   IF(COUNTIF(Справочник_ОКВЭД_НР!$G$3:$G$62,H913)&gt;0,Справочник_ОКВЭД_НР!$L$11,50))))</f>
        <v>60</v>
      </c>
      <c r="J913" s="30" cm="1">
        <f t="array" ref="J913">IFERROR(
 (SUMPRODUCT(ISNUMBER(SEARCH(","&amp;Справочник_ОКВЭД_НР!$A$3:$A$62&amp;".",","&amp;SUBSTITUTE(F913," ","")&amp;",")))*Справочник_ОКВЭД_НР!$L$9 +
  SUMPRODUCT(ISNUMBER(SEARCH(","&amp;Справочник_ОКВЭД_НР!$C$3:$C$62&amp;".",","&amp;SUBSTITUTE(F913," ","")&amp;",")))*Справочник_ОКВЭД_НР!$L$10 +
  SUMPRODUCT(ISNUMBER(SEARCH(","&amp;Справочник_ОКВЭД_НР!$E$3:$E$62&amp;".",","&amp;SUBSTITUTE(F913," ","")&amp;",")))*Справочник_ОКВЭД_НР!$L$11 +
  SUMPRODUCT(ISNUMBER(SEARCH(","&amp;Справочник_ОКВЭД_НР!$G$3:$G$62&amp;".",","&amp;SUBSTITUTE(F913," ","")&amp;",")))*Справочник_ОКВЭД_НР!$L$12) /
 (SUMPRODUCT(ISNUMBER(SEARCH(","&amp;Справочник_ОКВЭД_НР!$A$3:$A$62&amp;".",","&amp;SUBSTITUTE(F913," ","")&amp;","))) +
  SUMPRODUCT(ISNUMBER(SEARCH(","&amp;Справочник_ОКВЭД_НР!$C$3:$C$62&amp;".",","&amp;SUBSTITUTE(F913," ","")&amp;","))) +
  SUMPRODUCT(ISNUMBER(SEARCH(","&amp;Справочник_ОКВЭД_НР!$E$3:$E$62&amp;".",","&amp;SUBSTITUTE(F913," ","")&amp;","))) +
  SUMPRODUCT(ISNUMBER(SEARCH(","&amp;Справочник_ОКВЭД_НР!$G$3:$G$62&amp;".",","&amp;SUBSTITUTE(F913," ","")&amp;",")))),
50)</f>
        <v>50</v>
      </c>
      <c r="K913" s="30">
        <f>IFERROR(VLOOKUP(G913,Справочник_ОКВЭД_НР!$O:$P,2,FALSE()),50)</f>
        <v>50</v>
      </c>
      <c r="L913" s="45">
        <f>(I913*Справочник_ОКВЭД_НР!$L$2+J913*Справочник_ОКВЭД_НР!$L$3+K913*Справочник_ОКВЭД_НР!$L$4)*M913</f>
        <v>56</v>
      </c>
      <c r="M913" s="47">
        <f>IF(COUNTIF(Справочник_ОКВЭД_НР!$G$3:$G$62,H913)&gt;0,0,1)</f>
        <v>1</v>
      </c>
    </row>
    <row r="914" spans="1:13" x14ac:dyDescent="0.25">
      <c r="A914" s="4">
        <f>ЛИК_дляСкорингаДП!A914</f>
        <v>1107746065460</v>
      </c>
      <c r="B914" s="4">
        <f>ЛИК_дляСкорингаДП!B914</f>
        <v>7723746763</v>
      </c>
      <c r="C914" s="4" t="str">
        <f>ЛИК_дляСкорингаДП!C914</f>
        <v>ООО "ТБС КОНСАЛТИНГ"</v>
      </c>
      <c r="D914" s="5" t="str">
        <f>ЛИК_дляСкорингаДП!M914</f>
        <v>Консультирование по вопросам коммерческой деятельности и управления</v>
      </c>
      <c r="E914" s="4" t="str">
        <f>ЛИК_дляСкорингаДП!L914</f>
        <v>70.22</v>
      </c>
      <c r="F914" t="str">
        <f>ЛИК_дляСкорингаДП!N914</f>
        <v>26.20,46.51,47.91.2,47.91.3,47.91.4,62.0,62.09,63.11,63.11.1,73.20.1,74.20,74.30,82.92</v>
      </c>
      <c r="G914" s="25" t="str">
        <f>ЛИК_дляСкорингаДП!AG914</f>
        <v>УСН</v>
      </c>
      <c r="H914" s="55" t="str">
        <f>IF(ISNUMBER(E914),E914,
IFERROR(LEFT(E914,FIND(".",E914)-1),E914))</f>
        <v>70</v>
      </c>
      <c r="I914" s="30">
        <f>IF(COUNTIF(Справочник_ОКВЭД_НР!$A$3:$A$62,H914)&gt;0,Справочник_ОКВЭД_НР!$L$8,
 IF(COUNTIF(Справочник_ОКВЭД_НР!$C$3:$C$62,H914)&gt;0,Справочник_ОКВЭД_НР!$L$9,
  IF(COUNTIF(Справочник_ОКВЭД_НР!$E$3:$E$62,H914)&gt;0,Справочник_ОКВЭД_НР!$L$10,
   IF(COUNTIF(Справочник_ОКВЭД_НР!$G$3:$G$62,H914)&gt;0,Справочник_ОКВЭД_НР!$L$11,50))))</f>
        <v>60</v>
      </c>
      <c r="J914" s="30" cm="1">
        <f t="array" ref="J914">IFERROR(
 (SUMPRODUCT(ISNUMBER(SEARCH(","&amp;Справочник_ОКВЭД_НР!$A$3:$A$62&amp;".",","&amp;SUBSTITUTE(F914," ","")&amp;",")))*Справочник_ОКВЭД_НР!$L$9 +
  SUMPRODUCT(ISNUMBER(SEARCH(","&amp;Справочник_ОКВЭД_НР!$C$3:$C$62&amp;".",","&amp;SUBSTITUTE(F914," ","")&amp;",")))*Справочник_ОКВЭД_НР!$L$10 +
  SUMPRODUCT(ISNUMBER(SEARCH(","&amp;Справочник_ОКВЭД_НР!$E$3:$E$62&amp;".",","&amp;SUBSTITUTE(F914," ","")&amp;",")))*Справочник_ОКВЭД_НР!$L$11 +
  SUMPRODUCT(ISNUMBER(SEARCH(","&amp;Справочник_ОКВЭД_НР!$G$3:$G$62&amp;".",","&amp;SUBSTITUTE(F914," ","")&amp;",")))*Справочник_ОКВЭД_НР!$L$12) /
 (SUMPRODUCT(ISNUMBER(SEARCH(","&amp;Справочник_ОКВЭД_НР!$A$3:$A$62&amp;".",","&amp;SUBSTITUTE(F914," ","")&amp;","))) +
  SUMPRODUCT(ISNUMBER(SEARCH(","&amp;Справочник_ОКВЭД_НР!$C$3:$C$62&amp;".",","&amp;SUBSTITUTE(F914," ","")&amp;","))) +
  SUMPRODUCT(ISNUMBER(SEARCH(","&amp;Справочник_ОКВЭД_НР!$E$3:$E$62&amp;".",","&amp;SUBSTITUTE(F914," ","")&amp;","))) +
  SUMPRODUCT(ISNUMBER(SEARCH(","&amp;Справочник_ОКВЭД_НР!$G$3:$G$62&amp;".",","&amp;SUBSTITUTE(F914," ","")&amp;",")))),
50)</f>
        <v>50</v>
      </c>
      <c r="K914" s="30">
        <f>IFERROR(VLOOKUP(G914,Справочник_ОКВЭД_НР!$O:$P,2,FALSE()),50)</f>
        <v>50</v>
      </c>
      <c r="L914" s="45">
        <f>(I914*Справочник_ОКВЭД_НР!$L$2+J914*Справочник_ОКВЭД_НР!$L$3+K914*Справочник_ОКВЭД_НР!$L$4)*M914</f>
        <v>56</v>
      </c>
      <c r="M914" s="47">
        <f>IF(COUNTIF(Справочник_ОКВЭД_НР!$G$3:$G$62,H914)&gt;0,0,1)</f>
        <v>1</v>
      </c>
    </row>
    <row r="915" spans="1:13" x14ac:dyDescent="0.25">
      <c r="A915" s="4">
        <f>ЛИК_дляСкорингаДП!A915</f>
        <v>1157746639775</v>
      </c>
      <c r="B915" s="4">
        <f>ЛИК_дляСкорингаДП!B915</f>
        <v>7710499370</v>
      </c>
      <c r="C915" s="4" t="str">
        <f>ЛИК_дляСкорингаДП!C915</f>
        <v>ООО "АВТОШКОЛА "ГЛАВНАЯ ДОРОГА"</v>
      </c>
      <c r="D915" s="5" t="str">
        <f>ЛИК_дляСкорингаДП!M915</f>
        <v>Деятельность школ подготовки водителей автотранспортных средств</v>
      </c>
      <c r="E915" s="4" t="str">
        <f>ЛИК_дляСкорингаДП!L915</f>
        <v>85.42.1</v>
      </c>
      <c r="F915" t="str">
        <f>ЛИК_дляСкорингаДП!N915</f>
        <v>17.12,17.29,18.11,18.12,37.00,45.1,45.20,45.3,45.40,46.13,46.14,46.18,46.19,46.38,46.39,46.43,46.49,46.63,46.66,46.69,46.73,46.90,47.11,47.19,47.29,47.30,47.43,47.54,47.7,47.79,47.8,47.9,47.99,49.10,49.20,49.3,49.31,49.32,49.4,50.10,50.20,50.30,50.40,51.10.1,51.21,51.21.1,51.22,52.10,52.21,52.22,52.23,52.24,52.29,53.20.3,55.10,56.10,56.10.1,56.10.3,56.29,56.30,58.14,58.19,59.11,60.10,60.20,61.10,62.01,62.02,62.09,63.11,63.11.1,65.11,65.12,68.10,68.10.1,68.20,68.31,68.32,69.10,70.22,71.1,71.12.5,71.12.6,71.20,72.19,72.20,73.11,77.11,77.29,77.32,77.34,77.35,77.39.11,77.39.2,78.10,79.11,81.22,81.29.9,82.99,85.11,85.12,85.13,85.14,85.21,85.22,85.42.9,86.10,86.90.9,93.29,93.29.9,94.11,95.11,95.22.1,95.29,96.09</v>
      </c>
      <c r="G915" s="25" t="str">
        <f>ЛИК_дляСкорингаДП!AG915</f>
        <v>УСН</v>
      </c>
      <c r="H915" s="55" t="str">
        <f>IF(ISNUMBER(E915),E915,
IFERROR(LEFT(E915,FIND(".",E915)-1),E915))</f>
        <v>85</v>
      </c>
      <c r="I915" s="30">
        <f>IF(COUNTIF(Справочник_ОКВЭД_НР!$A$3:$A$62,H915)&gt;0,Справочник_ОКВЭД_НР!$L$8,
 IF(COUNTIF(Справочник_ОКВЭД_НР!$C$3:$C$62,H915)&gt;0,Справочник_ОКВЭД_НР!$L$9,
  IF(COUNTIF(Справочник_ОКВЭД_НР!$E$3:$E$62,H915)&gt;0,Справочник_ОКВЭД_НР!$L$10,
   IF(COUNTIF(Справочник_ОКВЭД_НР!$G$3:$G$62,H915)&gt;0,Справочник_ОКВЭД_НР!$L$11,50))))</f>
        <v>30</v>
      </c>
      <c r="J915" s="30" cm="1">
        <f t="array" ref="J915">IFERROR(
 (SUMPRODUCT(ISNUMBER(SEARCH(","&amp;Справочник_ОКВЭД_НР!$A$3:$A$62&amp;".",","&amp;SUBSTITUTE(F915," ","")&amp;",")))*Справочник_ОКВЭД_НР!$L$9 +
  SUMPRODUCT(ISNUMBER(SEARCH(","&amp;Справочник_ОКВЭД_НР!$C$3:$C$62&amp;".",","&amp;SUBSTITUTE(F915," ","")&amp;",")))*Справочник_ОКВЭД_НР!$L$10 +
  SUMPRODUCT(ISNUMBER(SEARCH(","&amp;Справочник_ОКВЭД_НР!$E$3:$E$62&amp;".",","&amp;SUBSTITUTE(F915," ","")&amp;",")))*Справочник_ОКВЭД_НР!$L$11 +
  SUMPRODUCT(ISNUMBER(SEARCH(","&amp;Справочник_ОКВЭД_НР!$G$3:$G$62&amp;".",","&amp;SUBSTITUTE(F915," ","")&amp;",")))*Справочник_ОКВЭД_НР!$L$12) /
 (SUMPRODUCT(ISNUMBER(SEARCH(","&amp;Справочник_ОКВЭД_НР!$A$3:$A$62&amp;".",","&amp;SUBSTITUTE(F915," ","")&amp;","))) +
  SUMPRODUCT(ISNUMBER(SEARCH(","&amp;Справочник_ОКВЭД_НР!$C$3:$C$62&amp;".",","&amp;SUBSTITUTE(F915," ","")&amp;","))) +
  SUMPRODUCT(ISNUMBER(SEARCH(","&amp;Справочник_ОКВЭД_НР!$E$3:$E$62&amp;".",","&amp;SUBSTITUTE(F915," ","")&amp;","))) +
  SUMPRODUCT(ISNUMBER(SEARCH(","&amp;Справочник_ОКВЭД_НР!$G$3:$G$62&amp;".",","&amp;SUBSTITUTE(F915," ","")&amp;",")))),
50)</f>
        <v>50</v>
      </c>
      <c r="K915" s="30">
        <f>IFERROR(VLOOKUP(G915,Справочник_ОКВЭД_НР!$O:$P,2,FALSE()),50)</f>
        <v>50</v>
      </c>
      <c r="L915" s="45">
        <f>(I915*Справочник_ОКВЭД_НР!$L$2+J915*Справочник_ОКВЭД_НР!$L$3+K915*Справочник_ОКВЭД_НР!$L$4)*M915</f>
        <v>38</v>
      </c>
      <c r="M915" s="47">
        <f>IF(COUNTIF(Справочник_ОКВЭД_НР!$G$3:$G$62,H915)&gt;0,0,1)</f>
        <v>1</v>
      </c>
    </row>
    <row r="916" spans="1:13" x14ac:dyDescent="0.25">
      <c r="A916" s="4">
        <f>ЛИК_дляСкорингаДП!A916</f>
        <v>1157746704521</v>
      </c>
      <c r="B916" s="4">
        <f>ЛИК_дляСкорингаДП!B916</f>
        <v>9705045222</v>
      </c>
      <c r="C916" s="4" t="str">
        <f>ЛИК_дляСкорингаДП!C916</f>
        <v>ООО "ЭЙ ДЖИ КОРПОРЕЙШН"</v>
      </c>
      <c r="D916" s="5" t="str">
        <f>ЛИК_дляСкорингаДП!M916</f>
        <v>Деятельность туристических агентств</v>
      </c>
      <c r="E916" s="4" t="str">
        <f>ЛИК_дляСкорингаДП!L916</f>
        <v>79.11</v>
      </c>
      <c r="F916" t="str">
        <f>ЛИК_дляСкорингаДП!N916</f>
        <v>55.90,59.11,74.20,82.99,90.01,93.29,93.29.9</v>
      </c>
      <c r="G916" s="25" t="str">
        <f>ЛИК_дляСкорингаДП!AG916</f>
        <v>УСН</v>
      </c>
      <c r="H916" s="55" t="str">
        <f>IF(ISNUMBER(E916),E916,
IFERROR(LEFT(E916,FIND(".",E916)-1),E916))</f>
        <v>79</v>
      </c>
      <c r="I916" s="30">
        <f>IF(COUNTIF(Справочник_ОКВЭД_НР!$A$3:$A$62,H916)&gt;0,Справочник_ОКВЭД_НР!$L$8,
 IF(COUNTIF(Справочник_ОКВЭД_НР!$C$3:$C$62,H916)&gt;0,Справочник_ОКВЭД_НР!$L$9,
  IF(COUNTIF(Справочник_ОКВЭД_НР!$E$3:$E$62,H916)&gt;0,Справочник_ОКВЭД_НР!$L$10,
   IF(COUNTIF(Справочник_ОКВЭД_НР!$G$3:$G$62,H916)&gt;0,Справочник_ОКВЭД_НР!$L$11,50))))</f>
        <v>30</v>
      </c>
      <c r="J916" s="30" cm="1">
        <f t="array" ref="J916">IFERROR(
 (SUMPRODUCT(ISNUMBER(SEARCH(","&amp;Справочник_ОКВЭД_НР!$A$3:$A$62&amp;".",","&amp;SUBSTITUTE(F916," ","")&amp;",")))*Справочник_ОКВЭД_НР!$L$9 +
  SUMPRODUCT(ISNUMBER(SEARCH(","&amp;Справочник_ОКВЭД_НР!$C$3:$C$62&amp;".",","&amp;SUBSTITUTE(F916," ","")&amp;",")))*Справочник_ОКВЭД_НР!$L$10 +
  SUMPRODUCT(ISNUMBER(SEARCH(","&amp;Справочник_ОКВЭД_НР!$E$3:$E$62&amp;".",","&amp;SUBSTITUTE(F916," ","")&amp;",")))*Справочник_ОКВЭД_НР!$L$11 +
  SUMPRODUCT(ISNUMBER(SEARCH(","&amp;Справочник_ОКВЭД_НР!$G$3:$G$62&amp;".",","&amp;SUBSTITUTE(F916," ","")&amp;",")))*Справочник_ОКВЭД_НР!$L$12) /
 (SUMPRODUCT(ISNUMBER(SEARCH(","&amp;Справочник_ОКВЭД_НР!$A$3:$A$62&amp;".",","&amp;SUBSTITUTE(F916," ","")&amp;","))) +
  SUMPRODUCT(ISNUMBER(SEARCH(","&amp;Справочник_ОКВЭД_НР!$C$3:$C$62&amp;".",","&amp;SUBSTITUTE(F916," ","")&amp;","))) +
  SUMPRODUCT(ISNUMBER(SEARCH(","&amp;Справочник_ОКВЭД_НР!$E$3:$E$62&amp;".",","&amp;SUBSTITUTE(F916," ","")&amp;","))) +
  SUMPRODUCT(ISNUMBER(SEARCH(","&amp;Справочник_ОКВЭД_НР!$G$3:$G$62&amp;".",","&amp;SUBSTITUTE(F916," ","")&amp;",")))),
50)</f>
        <v>50</v>
      </c>
      <c r="K916" s="30">
        <f>IFERROR(VLOOKUP(G916,Справочник_ОКВЭД_НР!$O:$P,2,FALSE()),50)</f>
        <v>50</v>
      </c>
      <c r="L916" s="45">
        <f>(I916*Справочник_ОКВЭД_НР!$L$2+J916*Справочник_ОКВЭД_НР!$L$3+K916*Справочник_ОКВЭД_НР!$L$4)*M916</f>
        <v>38</v>
      </c>
      <c r="M916" s="47">
        <f>IF(COUNTIF(Справочник_ОКВЭД_НР!$G$3:$G$62,H916)&gt;0,0,1)</f>
        <v>1</v>
      </c>
    </row>
    <row r="917" spans="1:13" x14ac:dyDescent="0.25">
      <c r="A917" s="4">
        <f>ЛИК_дляСкорингаДП!A917</f>
        <v>1175027001082</v>
      </c>
      <c r="B917" s="4">
        <f>ЛИК_дляСкорингаДП!B917</f>
        <v>5009108706</v>
      </c>
      <c r="C917" s="4" t="str">
        <f>ЛИК_дляСкорингаДП!C917</f>
        <v>ООО "ОЛИМП"</v>
      </c>
      <c r="D917" s="5" t="str">
        <f>ЛИК_дляСкорингаДП!M917</f>
        <v>Регулярные перевозки пассажиров прочим сухопутным транспортом в городском и пригородном сообщении</v>
      </c>
      <c r="E917" s="4" t="str">
        <f>ЛИК_дляСкорингаДП!L917</f>
        <v>49.31.2</v>
      </c>
      <c r="F917" t="str">
        <f>ЛИК_дляСкорингаДП!N917</f>
        <v>41.20,43.11,43.12.3,43.99,45.20,45.20.2,46.19,46.49,46.90,47.43,47.51,47.52,47.54,47.59,47.61,47.71,47.72,47.78.9,49.31,49.31.21,49.41,49.41.1,49.41.2,49.41.3,49.42,56.10,56.10.1,56.10.3,68.10,68.10.1,68.20,68.31,68.32,73.11,82.99</v>
      </c>
      <c r="G917" s="25" t="str">
        <f>ЛИК_дляСкорингаДП!AG917</f>
        <v>УСН</v>
      </c>
      <c r="H917" s="55" t="str">
        <f>IF(ISNUMBER(E917),E917,
IFERROR(LEFT(E917,FIND(".",E917)-1),E917))</f>
        <v>49</v>
      </c>
      <c r="I917" s="30">
        <f>IF(COUNTIF(Справочник_ОКВЭД_НР!$A$3:$A$62,H917)&gt;0,Справочник_ОКВЭД_НР!$L$8,
 IF(COUNTIF(Справочник_ОКВЭД_НР!$C$3:$C$62,H917)&gt;0,Справочник_ОКВЭД_НР!$L$9,
  IF(COUNTIF(Справочник_ОКВЭД_НР!$E$3:$E$62,H917)&gt;0,Справочник_ОКВЭД_НР!$L$10,
   IF(COUNTIF(Справочник_ОКВЭД_НР!$G$3:$G$62,H917)&gt;0,Справочник_ОКВЭД_НР!$L$11,50))))</f>
        <v>60</v>
      </c>
      <c r="J917" s="30" cm="1">
        <f t="array" ref="J917">IFERROR(
 (SUMPRODUCT(ISNUMBER(SEARCH(","&amp;Справочник_ОКВЭД_НР!$A$3:$A$62&amp;".",","&amp;SUBSTITUTE(F917," ","")&amp;",")))*Справочник_ОКВЭД_НР!$L$9 +
  SUMPRODUCT(ISNUMBER(SEARCH(","&amp;Справочник_ОКВЭД_НР!$C$3:$C$62&amp;".",","&amp;SUBSTITUTE(F917," ","")&amp;",")))*Справочник_ОКВЭД_НР!$L$10 +
  SUMPRODUCT(ISNUMBER(SEARCH(","&amp;Справочник_ОКВЭД_НР!$E$3:$E$62&amp;".",","&amp;SUBSTITUTE(F917," ","")&amp;",")))*Справочник_ОКВЭД_НР!$L$11 +
  SUMPRODUCT(ISNUMBER(SEARCH(","&amp;Справочник_ОКВЭД_НР!$G$3:$G$62&amp;".",","&amp;SUBSTITUTE(F917," ","")&amp;",")))*Справочник_ОКВЭД_НР!$L$12) /
 (SUMPRODUCT(ISNUMBER(SEARCH(","&amp;Справочник_ОКВЭД_НР!$A$3:$A$62&amp;".",","&amp;SUBSTITUTE(F917," ","")&amp;","))) +
  SUMPRODUCT(ISNUMBER(SEARCH(","&amp;Справочник_ОКВЭД_НР!$C$3:$C$62&amp;".",","&amp;SUBSTITUTE(F917," ","")&amp;","))) +
  SUMPRODUCT(ISNUMBER(SEARCH(","&amp;Справочник_ОКВЭД_НР!$E$3:$E$62&amp;".",","&amp;SUBSTITUTE(F917," ","")&amp;","))) +
  SUMPRODUCT(ISNUMBER(SEARCH(","&amp;Справочник_ОКВЭД_НР!$G$3:$G$62&amp;".",","&amp;SUBSTITUTE(F917," ","")&amp;",")))),
50)</f>
        <v>50</v>
      </c>
      <c r="K917" s="30">
        <f>IFERROR(VLOOKUP(G917,Справочник_ОКВЭД_НР!$O:$P,2,FALSE()),50)</f>
        <v>50</v>
      </c>
      <c r="L917" s="45">
        <f>(I917*Справочник_ОКВЭД_НР!$L$2+J917*Справочник_ОКВЭД_НР!$L$3+K917*Справочник_ОКВЭД_НР!$L$4)*M917</f>
        <v>56</v>
      </c>
      <c r="M917" s="47">
        <f>IF(COUNTIF(Справочник_ОКВЭД_НР!$G$3:$G$62,H917)&gt;0,0,1)</f>
        <v>1</v>
      </c>
    </row>
    <row r="918" spans="1:13" x14ac:dyDescent="0.25">
      <c r="A918" s="4">
        <f>ЛИК_дляСкорингаДП!A918</f>
        <v>1177746510590</v>
      </c>
      <c r="B918" s="4">
        <f>ЛИК_дляСкорингаДП!B918</f>
        <v>7724410741</v>
      </c>
      <c r="C918" s="4" t="str">
        <f>ЛИК_дляСкорингаДП!C918</f>
        <v>ООО "ОРТОМЕД"</v>
      </c>
      <c r="D918" s="5" t="str">
        <f>ЛИК_дляСкорингаДП!M918</f>
        <v>Торговля розничная изделиями, применяемыми в медицинских целях, ортопедическими изделиями в специализированных магазинах</v>
      </c>
      <c r="E918" s="4" t="str">
        <f>ЛИК_дляСкорингаДП!L918</f>
        <v>47.74</v>
      </c>
      <c r="F918" t="str">
        <f>ЛИК_дляСкорингаДП!N918</f>
        <v>46.45,46.46,46.69.8,46.69.9,47.41,47.71,47.72,47.73,47.75,47.78,77.39.2</v>
      </c>
      <c r="G918" s="25" t="str">
        <f>ЛИК_дляСкорингаДП!AG918</f>
        <v>УСН</v>
      </c>
      <c r="H918" s="55" t="str">
        <f>IF(ISNUMBER(E918),E918,
IFERROR(LEFT(E918,FIND(".",E918)-1),E918))</f>
        <v>47</v>
      </c>
      <c r="I918" s="30">
        <f>IF(COUNTIF(Справочник_ОКВЭД_НР!$A$3:$A$62,H918)&gt;0,Справочник_ОКВЭД_НР!$L$8,
 IF(COUNTIF(Справочник_ОКВЭД_НР!$C$3:$C$62,H918)&gt;0,Справочник_ОКВЭД_НР!$L$9,
  IF(COUNTIF(Справочник_ОКВЭД_НР!$E$3:$E$62,H918)&gt;0,Справочник_ОКВЭД_НР!$L$10,
   IF(COUNTIF(Справочник_ОКВЭД_НР!$G$3:$G$62,H918)&gt;0,Справочник_ОКВЭД_НР!$L$11,50))))</f>
        <v>60</v>
      </c>
      <c r="J918" s="30" cm="1">
        <f t="array" ref="J918">IFERROR(
 (SUMPRODUCT(ISNUMBER(SEARCH(","&amp;Справочник_ОКВЭД_НР!$A$3:$A$62&amp;".",","&amp;SUBSTITUTE(F918," ","")&amp;",")))*Справочник_ОКВЭД_НР!$L$9 +
  SUMPRODUCT(ISNUMBER(SEARCH(","&amp;Справочник_ОКВЭД_НР!$C$3:$C$62&amp;".",","&amp;SUBSTITUTE(F918," ","")&amp;",")))*Справочник_ОКВЭД_НР!$L$10 +
  SUMPRODUCT(ISNUMBER(SEARCH(","&amp;Справочник_ОКВЭД_НР!$E$3:$E$62&amp;".",","&amp;SUBSTITUTE(F918," ","")&amp;",")))*Справочник_ОКВЭД_НР!$L$11 +
  SUMPRODUCT(ISNUMBER(SEARCH(","&amp;Справочник_ОКВЭД_НР!$G$3:$G$62&amp;".",","&amp;SUBSTITUTE(F918," ","")&amp;",")))*Справочник_ОКВЭД_НР!$L$12) /
 (SUMPRODUCT(ISNUMBER(SEARCH(","&amp;Справочник_ОКВЭД_НР!$A$3:$A$62&amp;".",","&amp;SUBSTITUTE(F918," ","")&amp;","))) +
  SUMPRODUCT(ISNUMBER(SEARCH(","&amp;Справочник_ОКВЭД_НР!$C$3:$C$62&amp;".",","&amp;SUBSTITUTE(F918," ","")&amp;","))) +
  SUMPRODUCT(ISNUMBER(SEARCH(","&amp;Справочник_ОКВЭД_НР!$E$3:$E$62&amp;".",","&amp;SUBSTITUTE(F918," ","")&amp;","))) +
  SUMPRODUCT(ISNUMBER(SEARCH(","&amp;Справочник_ОКВЭД_НР!$G$3:$G$62&amp;".",","&amp;SUBSTITUTE(F918," ","")&amp;",")))),
50)</f>
        <v>50</v>
      </c>
      <c r="K918" s="30">
        <f>IFERROR(VLOOKUP(G918,Справочник_ОКВЭД_НР!$O:$P,2,FALSE()),50)</f>
        <v>50</v>
      </c>
      <c r="L918" s="45">
        <f>(I918*Справочник_ОКВЭД_НР!$L$2+J918*Справочник_ОКВЭД_НР!$L$3+K918*Справочник_ОКВЭД_НР!$L$4)*M918</f>
        <v>56</v>
      </c>
      <c r="M918" s="47">
        <f>IF(COUNTIF(Справочник_ОКВЭД_НР!$G$3:$G$62,H918)&gt;0,0,1)</f>
        <v>1</v>
      </c>
    </row>
    <row r="919" spans="1:13" x14ac:dyDescent="0.25">
      <c r="A919" s="4">
        <f>ЛИК_дляСкорингаДП!A919</f>
        <v>1167746615080</v>
      </c>
      <c r="B919" s="4">
        <f>ЛИК_дляСкорингаДП!B919</f>
        <v>7726380926</v>
      </c>
      <c r="C919" s="4" t="str">
        <f>ЛИК_дляСкорингаДП!C919</f>
        <v>ООО "ФИЛИППОК"</v>
      </c>
      <c r="D919" s="5" t="str">
        <f>ЛИК_дляСкорингаДП!M919</f>
        <v>Образование дополнительное детей и взрослых</v>
      </c>
      <c r="E919" s="4" t="str">
        <f>ЛИК_дляСкорингаДП!L919</f>
        <v>85.41</v>
      </c>
      <c r="F919" t="str">
        <f>ЛИК_дляСкорингаДП!N919</f>
        <v>46.49.42,47.65,85.11,85.23,85.41.9,85.42,88.10</v>
      </c>
      <c r="G919" s="25" t="str">
        <f>ЛИК_дляСкорингаДП!AG919</f>
        <v>УСН</v>
      </c>
      <c r="H919" s="55" t="str">
        <f>IF(ISNUMBER(E919),E919,
IFERROR(LEFT(E919,FIND(".",E919)-1),E919))</f>
        <v>85</v>
      </c>
      <c r="I919" s="30">
        <f>IF(COUNTIF(Справочник_ОКВЭД_НР!$A$3:$A$62,H919)&gt;0,Справочник_ОКВЭД_НР!$L$8,
 IF(COUNTIF(Справочник_ОКВЭД_НР!$C$3:$C$62,H919)&gt;0,Справочник_ОКВЭД_НР!$L$9,
  IF(COUNTIF(Справочник_ОКВЭД_НР!$E$3:$E$62,H919)&gt;0,Справочник_ОКВЭД_НР!$L$10,
   IF(COUNTIF(Справочник_ОКВЭД_НР!$G$3:$G$62,H919)&gt;0,Справочник_ОКВЭД_НР!$L$11,50))))</f>
        <v>30</v>
      </c>
      <c r="J919" s="30" cm="1">
        <f t="array" ref="J919">IFERROR(
 (SUMPRODUCT(ISNUMBER(SEARCH(","&amp;Справочник_ОКВЭД_НР!$A$3:$A$62&amp;".",","&amp;SUBSTITUTE(F919," ","")&amp;",")))*Справочник_ОКВЭД_НР!$L$9 +
  SUMPRODUCT(ISNUMBER(SEARCH(","&amp;Справочник_ОКВЭД_НР!$C$3:$C$62&amp;".",","&amp;SUBSTITUTE(F919," ","")&amp;",")))*Справочник_ОКВЭД_НР!$L$10 +
  SUMPRODUCT(ISNUMBER(SEARCH(","&amp;Справочник_ОКВЭД_НР!$E$3:$E$62&amp;".",","&amp;SUBSTITUTE(F919," ","")&amp;",")))*Справочник_ОКВЭД_НР!$L$11 +
  SUMPRODUCT(ISNUMBER(SEARCH(","&amp;Справочник_ОКВЭД_НР!$G$3:$G$62&amp;".",","&amp;SUBSTITUTE(F919," ","")&amp;",")))*Справочник_ОКВЭД_НР!$L$12) /
 (SUMPRODUCT(ISNUMBER(SEARCH(","&amp;Справочник_ОКВЭД_НР!$A$3:$A$62&amp;".",","&amp;SUBSTITUTE(F919," ","")&amp;","))) +
  SUMPRODUCT(ISNUMBER(SEARCH(","&amp;Справочник_ОКВЭД_НР!$C$3:$C$62&amp;".",","&amp;SUBSTITUTE(F919," ","")&amp;","))) +
  SUMPRODUCT(ISNUMBER(SEARCH(","&amp;Справочник_ОКВЭД_НР!$E$3:$E$62&amp;".",","&amp;SUBSTITUTE(F919," ","")&amp;","))) +
  SUMPRODUCT(ISNUMBER(SEARCH(","&amp;Справочник_ОКВЭД_НР!$G$3:$G$62&amp;".",","&amp;SUBSTITUTE(F919," ","")&amp;",")))),
50)</f>
        <v>50</v>
      </c>
      <c r="K919" s="30">
        <f>IFERROR(VLOOKUP(G919,Справочник_ОКВЭД_НР!$O:$P,2,FALSE()),50)</f>
        <v>50</v>
      </c>
      <c r="L919" s="45">
        <f>(I919*Справочник_ОКВЭД_НР!$L$2+J919*Справочник_ОКВЭД_НР!$L$3+K919*Справочник_ОКВЭД_НР!$L$4)*M919</f>
        <v>38</v>
      </c>
      <c r="M919" s="47">
        <f>IF(COUNTIF(Справочник_ОКВЭД_НР!$G$3:$G$62,H919)&gt;0,0,1)</f>
        <v>1</v>
      </c>
    </row>
    <row r="920" spans="1:13" x14ac:dyDescent="0.25">
      <c r="A920" s="4">
        <f>ЛИК_дляСкорингаДП!A920</f>
        <v>1157746682576</v>
      </c>
      <c r="B920" s="4">
        <f>ЛИК_дляСкорингаДП!B920</f>
        <v>7723401350</v>
      </c>
      <c r="C920" s="4" t="str">
        <f>ЛИК_дляСкорингаДП!C920</f>
        <v>ООО "ТОРГ-ЛАЙТ"</v>
      </c>
      <c r="D920" s="5" t="str">
        <f>ЛИК_дляСкорингаДП!M920</f>
        <v>Производство электрических ламп и осветительного оборудования</v>
      </c>
      <c r="E920" s="4" t="str">
        <f>ЛИК_дляСкорингаДП!L920</f>
        <v>27.40</v>
      </c>
      <c r="F920" t="str">
        <f>ЛИК_дляСкорингаДП!N920</f>
        <v>25.99,27.90,27.90.9,43.21,43.29,46.41,46.41.2,46.43,46.43.1,46.44,46.47.2,46.49,46.69.5,46.90,47.43,47.51,47.54,47.59.3,47.61,47.7,47.91,47.99,52.10,82.99</v>
      </c>
      <c r="G920" s="25" t="str">
        <f>ЛИК_дляСкорингаДП!AG920</f>
        <v>УСН</v>
      </c>
      <c r="H920" s="55" t="str">
        <f>IF(ISNUMBER(E920),E920,
IFERROR(LEFT(E920,FIND(".",E920)-1),E920))</f>
        <v>27</v>
      </c>
      <c r="I920" s="30">
        <f>IF(COUNTIF(Справочник_ОКВЭД_НР!$A$3:$A$62,H920)&gt;0,Справочник_ОКВЭД_НР!$L$8,
 IF(COUNTIF(Справочник_ОКВЭД_НР!$C$3:$C$62,H920)&gt;0,Справочник_ОКВЭД_НР!$L$9,
  IF(COUNTIF(Справочник_ОКВЭД_НР!$E$3:$E$62,H920)&gt;0,Справочник_ОКВЭД_НР!$L$10,
   IF(COUNTIF(Справочник_ОКВЭД_НР!$G$3:$G$62,H920)&gt;0,Справочник_ОКВЭД_НР!$L$11,50))))</f>
        <v>100</v>
      </c>
      <c r="J920" s="30" cm="1">
        <f t="array" ref="J920">IFERROR(
 (SUMPRODUCT(ISNUMBER(SEARCH(","&amp;Справочник_ОКВЭД_НР!$A$3:$A$62&amp;".",","&amp;SUBSTITUTE(F920," ","")&amp;",")))*Справочник_ОКВЭД_НР!$L$9 +
  SUMPRODUCT(ISNUMBER(SEARCH(","&amp;Справочник_ОКВЭД_НР!$C$3:$C$62&amp;".",","&amp;SUBSTITUTE(F920," ","")&amp;",")))*Справочник_ОКВЭД_НР!$L$10 +
  SUMPRODUCT(ISNUMBER(SEARCH(","&amp;Справочник_ОКВЭД_НР!$E$3:$E$62&amp;".",","&amp;SUBSTITUTE(F920," ","")&amp;",")))*Справочник_ОКВЭД_НР!$L$11 +
  SUMPRODUCT(ISNUMBER(SEARCH(","&amp;Справочник_ОКВЭД_НР!$G$3:$G$62&amp;".",","&amp;SUBSTITUTE(F920," ","")&amp;",")))*Справочник_ОКВЭД_НР!$L$12) /
 (SUMPRODUCT(ISNUMBER(SEARCH(","&amp;Справочник_ОКВЭД_НР!$A$3:$A$62&amp;".",","&amp;SUBSTITUTE(F920," ","")&amp;","))) +
  SUMPRODUCT(ISNUMBER(SEARCH(","&amp;Справочник_ОКВЭД_НР!$C$3:$C$62&amp;".",","&amp;SUBSTITUTE(F920," ","")&amp;","))) +
  SUMPRODUCT(ISNUMBER(SEARCH(","&amp;Справочник_ОКВЭД_НР!$E$3:$E$62&amp;".",","&amp;SUBSTITUTE(F920," ","")&amp;","))) +
  SUMPRODUCT(ISNUMBER(SEARCH(","&amp;Справочник_ОКВЭД_НР!$G$3:$G$62&amp;".",","&amp;SUBSTITUTE(F920," ","")&amp;",")))),
50)</f>
        <v>50</v>
      </c>
      <c r="K920" s="30">
        <f>IFERROR(VLOOKUP(G920,Справочник_ОКВЭД_НР!$O:$P,2,FALSE()),50)</f>
        <v>50</v>
      </c>
      <c r="L920" s="45">
        <f>(I920*Справочник_ОКВЭД_НР!$L$2+J920*Справочник_ОКВЭД_НР!$L$3+K920*Справочник_ОКВЭД_НР!$L$4)*M920</f>
        <v>80</v>
      </c>
      <c r="M920" s="47">
        <f>IF(COUNTIF(Справочник_ОКВЭД_НР!$G$3:$G$62,H920)&gt;0,0,1)</f>
        <v>1</v>
      </c>
    </row>
    <row r="921" spans="1:13" x14ac:dyDescent="0.25">
      <c r="A921" s="4">
        <f>ЛИК_дляСкорингаДП!A921</f>
        <v>1157746693015</v>
      </c>
      <c r="B921" s="4">
        <f>ЛИК_дляСкорингаДП!B921</f>
        <v>7718264387</v>
      </c>
      <c r="C921" s="4" t="str">
        <f>ЛИК_дляСкорингаДП!C921</f>
        <v>ООО "КАНТРИ АРТ"</v>
      </c>
      <c r="D921" s="5" t="str">
        <f>ЛИК_дляСкорингаДП!M921</f>
        <v>Торговля оптовая неспециализированная</v>
      </c>
      <c r="E921" s="4" t="str">
        <f>ЛИК_дляСкорингаДП!L921</f>
        <v>46.90</v>
      </c>
      <c r="F921" t="str">
        <f>ЛИК_дляСкорингаДП!N921</f>
        <v>46.44.1,46.49</v>
      </c>
      <c r="G921" s="25" t="str">
        <f>ЛИК_дляСкорингаДП!AG921</f>
        <v>УСН</v>
      </c>
      <c r="H921" s="55" t="str">
        <f>IF(ISNUMBER(E921),E921,
IFERROR(LEFT(E921,FIND(".",E921)-1),E921))</f>
        <v>46</v>
      </c>
      <c r="I921" s="30">
        <f>IF(COUNTIF(Справочник_ОКВЭД_НР!$A$3:$A$62,H921)&gt;0,Справочник_ОКВЭД_НР!$L$8,
 IF(COUNTIF(Справочник_ОКВЭД_НР!$C$3:$C$62,H921)&gt;0,Справочник_ОКВЭД_НР!$L$9,
  IF(COUNTIF(Справочник_ОКВЭД_НР!$E$3:$E$62,H921)&gt;0,Справочник_ОКВЭД_НР!$L$10,
   IF(COUNTIF(Справочник_ОКВЭД_НР!$G$3:$G$62,H921)&gt;0,Справочник_ОКВЭД_НР!$L$11,50))))</f>
        <v>60</v>
      </c>
      <c r="J921" s="30" cm="1">
        <f t="array" ref="J921">IFERROR(
 (SUMPRODUCT(ISNUMBER(SEARCH(","&amp;Справочник_ОКВЭД_НР!$A$3:$A$62&amp;".",","&amp;SUBSTITUTE(F921," ","")&amp;",")))*Справочник_ОКВЭД_НР!$L$9 +
  SUMPRODUCT(ISNUMBER(SEARCH(","&amp;Справочник_ОКВЭД_НР!$C$3:$C$62&amp;".",","&amp;SUBSTITUTE(F921," ","")&amp;",")))*Справочник_ОКВЭД_НР!$L$10 +
  SUMPRODUCT(ISNUMBER(SEARCH(","&amp;Справочник_ОКВЭД_НР!$E$3:$E$62&amp;".",","&amp;SUBSTITUTE(F921," ","")&amp;",")))*Справочник_ОКВЭД_НР!$L$11 +
  SUMPRODUCT(ISNUMBER(SEARCH(","&amp;Справочник_ОКВЭД_НР!$G$3:$G$62&amp;".",","&amp;SUBSTITUTE(F921," ","")&amp;",")))*Справочник_ОКВЭД_НР!$L$12) /
 (SUMPRODUCT(ISNUMBER(SEARCH(","&amp;Справочник_ОКВЭД_НР!$A$3:$A$62&amp;".",","&amp;SUBSTITUTE(F921," ","")&amp;","))) +
  SUMPRODUCT(ISNUMBER(SEARCH(","&amp;Справочник_ОКВЭД_НР!$C$3:$C$62&amp;".",","&amp;SUBSTITUTE(F921," ","")&amp;","))) +
  SUMPRODUCT(ISNUMBER(SEARCH(","&amp;Справочник_ОКВЭД_НР!$E$3:$E$62&amp;".",","&amp;SUBSTITUTE(F921," ","")&amp;","))) +
  SUMPRODUCT(ISNUMBER(SEARCH(","&amp;Справочник_ОКВЭД_НР!$G$3:$G$62&amp;".",","&amp;SUBSTITUTE(F921," ","")&amp;",")))),
50)</f>
        <v>50</v>
      </c>
      <c r="K921" s="30">
        <f>IFERROR(VLOOKUP(G921,Справочник_ОКВЭД_НР!$O:$P,2,FALSE()),50)</f>
        <v>50</v>
      </c>
      <c r="L921" s="45">
        <f>(I921*Справочник_ОКВЭД_НР!$L$2+J921*Справочник_ОКВЭД_НР!$L$3+K921*Справочник_ОКВЭД_НР!$L$4)*M921</f>
        <v>56</v>
      </c>
      <c r="M921" s="47">
        <f>IF(COUNTIF(Справочник_ОКВЭД_НР!$G$3:$G$62,H921)&gt;0,0,1)</f>
        <v>1</v>
      </c>
    </row>
    <row r="922" spans="1:13" x14ac:dyDescent="0.25">
      <c r="A922" s="4">
        <f>ЛИК_дляСкорингаДП!A922</f>
        <v>1157746628357</v>
      </c>
      <c r="B922" s="4">
        <f>ЛИК_дляСкорингаДП!B922</f>
        <v>7733241232</v>
      </c>
      <c r="C922" s="4" t="str">
        <f>ЛИК_дляСкорингаДП!C922</f>
        <v>ООО "ИНФОТУР"</v>
      </c>
      <c r="D922" s="5" t="str">
        <f>ЛИК_дляСкорингаДП!M922</f>
        <v>Деятельность туристических агентств</v>
      </c>
      <c r="E922" s="4" t="str">
        <f>ЛИК_дляСкорингаДП!L922</f>
        <v>79.11</v>
      </c>
      <c r="F922" t="str">
        <f>ЛИК_дляСкорингаДП!N922</f>
        <v>47.19,47.43,47.54,47.78.3,47.78.4,47.91.2,47.91.3,47.91.4,47.99,56.10,63.99,79.90.1,79.90.2,79.90.3,93.11,93.12,93.19,93.29,96.09</v>
      </c>
      <c r="G922" s="25" t="str">
        <f>ЛИК_дляСкорингаДП!AG922</f>
        <v>УСН</v>
      </c>
      <c r="H922" s="55" t="str">
        <f>IF(ISNUMBER(E922),E922,
IFERROR(LEFT(E922,FIND(".",E922)-1),E922))</f>
        <v>79</v>
      </c>
      <c r="I922" s="30">
        <f>IF(COUNTIF(Справочник_ОКВЭД_НР!$A$3:$A$62,H922)&gt;0,Справочник_ОКВЭД_НР!$L$8,
 IF(COUNTIF(Справочник_ОКВЭД_НР!$C$3:$C$62,H922)&gt;0,Справочник_ОКВЭД_НР!$L$9,
  IF(COUNTIF(Справочник_ОКВЭД_НР!$E$3:$E$62,H922)&gt;0,Справочник_ОКВЭД_НР!$L$10,
   IF(COUNTIF(Справочник_ОКВЭД_НР!$G$3:$G$62,H922)&gt;0,Справочник_ОКВЭД_НР!$L$11,50))))</f>
        <v>30</v>
      </c>
      <c r="J922" s="30" cm="1">
        <f t="array" ref="J922">IFERROR(
 (SUMPRODUCT(ISNUMBER(SEARCH(","&amp;Справочник_ОКВЭД_НР!$A$3:$A$62&amp;".",","&amp;SUBSTITUTE(F922," ","")&amp;",")))*Справочник_ОКВЭД_НР!$L$9 +
  SUMPRODUCT(ISNUMBER(SEARCH(","&amp;Справочник_ОКВЭД_НР!$C$3:$C$62&amp;".",","&amp;SUBSTITUTE(F922," ","")&amp;",")))*Справочник_ОКВЭД_НР!$L$10 +
  SUMPRODUCT(ISNUMBER(SEARCH(","&amp;Справочник_ОКВЭД_НР!$E$3:$E$62&amp;".",","&amp;SUBSTITUTE(F922," ","")&amp;",")))*Справочник_ОКВЭД_НР!$L$11 +
  SUMPRODUCT(ISNUMBER(SEARCH(","&amp;Справочник_ОКВЭД_НР!$G$3:$G$62&amp;".",","&amp;SUBSTITUTE(F922," ","")&amp;",")))*Справочник_ОКВЭД_НР!$L$12) /
 (SUMPRODUCT(ISNUMBER(SEARCH(","&amp;Справочник_ОКВЭД_НР!$A$3:$A$62&amp;".",","&amp;SUBSTITUTE(F922," ","")&amp;","))) +
  SUMPRODUCT(ISNUMBER(SEARCH(","&amp;Справочник_ОКВЭД_НР!$C$3:$C$62&amp;".",","&amp;SUBSTITUTE(F922," ","")&amp;","))) +
  SUMPRODUCT(ISNUMBER(SEARCH(","&amp;Справочник_ОКВЭД_НР!$E$3:$E$62&amp;".",","&amp;SUBSTITUTE(F922," ","")&amp;","))) +
  SUMPRODUCT(ISNUMBER(SEARCH(","&amp;Справочник_ОКВЭД_НР!$G$3:$G$62&amp;".",","&amp;SUBSTITUTE(F922," ","")&amp;",")))),
50)</f>
        <v>50</v>
      </c>
      <c r="K922" s="30">
        <f>IFERROR(VLOOKUP(G922,Справочник_ОКВЭД_НР!$O:$P,2,FALSE()),50)</f>
        <v>50</v>
      </c>
      <c r="L922" s="45">
        <f>(I922*Справочник_ОКВЭД_НР!$L$2+J922*Справочник_ОКВЭД_НР!$L$3+K922*Справочник_ОКВЭД_НР!$L$4)*M922</f>
        <v>38</v>
      </c>
      <c r="M922" s="47">
        <f>IF(COUNTIF(Справочник_ОКВЭД_НР!$G$3:$G$62,H922)&gt;0,0,1)</f>
        <v>1</v>
      </c>
    </row>
    <row r="923" spans="1:13" x14ac:dyDescent="0.25">
      <c r="A923" s="4">
        <f>ЛИК_дляСкорингаДП!A923</f>
        <v>1107746056186</v>
      </c>
      <c r="B923" s="4">
        <f>ЛИК_дляСкорингаДП!B923</f>
        <v>7705908683</v>
      </c>
      <c r="C923" s="4" t="str">
        <f>ЛИК_дляСкорингаДП!C923</f>
        <v>ООО "АСТРАДЕРМИКА"</v>
      </c>
      <c r="D923" s="5" t="str">
        <f>ЛИК_дляСкорингаДП!M923</f>
        <v>Торговля оптовая парфюмерными и косметическими товарами</v>
      </c>
      <c r="E923" s="4" t="str">
        <f>ЛИК_дляСкорингаДП!L923</f>
        <v>46.45</v>
      </c>
      <c r="F923" t="str">
        <f>ЛИК_дляСкорингаДП!N923</f>
        <v>20.42,46.45.1,46.45.2,46.46,46.46.1,46.46.2,46.49,46.9,47.1,47.5,47.73,47.74,47.75,47.75.1,47.75.2,47.8,47.9,47.91.1,47.91.2,47.91.3,47.91.4,47.99,49.4,49.41.3,52.10,52.24,52.29,82.92,85.42,85.42.9</v>
      </c>
      <c r="G923" s="25" t="str">
        <f>ЛИК_дляСкорингаДП!AG923</f>
        <v>УСН</v>
      </c>
      <c r="H923" s="55" t="str">
        <f>IF(ISNUMBER(E923),E923,
IFERROR(LEFT(E923,FIND(".",E923)-1),E923))</f>
        <v>46</v>
      </c>
      <c r="I923" s="30">
        <f>IF(COUNTIF(Справочник_ОКВЭД_НР!$A$3:$A$62,H923)&gt;0,Справочник_ОКВЭД_НР!$L$8,
 IF(COUNTIF(Справочник_ОКВЭД_НР!$C$3:$C$62,H923)&gt;0,Справочник_ОКВЭД_НР!$L$9,
  IF(COUNTIF(Справочник_ОКВЭД_НР!$E$3:$E$62,H923)&gt;0,Справочник_ОКВЭД_НР!$L$10,
   IF(COUNTIF(Справочник_ОКВЭД_НР!$G$3:$G$62,H923)&gt;0,Справочник_ОКВЭД_НР!$L$11,50))))</f>
        <v>60</v>
      </c>
      <c r="J923" s="30" cm="1">
        <f t="array" ref="J923">IFERROR(
 (SUMPRODUCT(ISNUMBER(SEARCH(","&amp;Справочник_ОКВЭД_НР!$A$3:$A$62&amp;".",","&amp;SUBSTITUTE(F923," ","")&amp;",")))*Справочник_ОКВЭД_НР!$L$9 +
  SUMPRODUCT(ISNUMBER(SEARCH(","&amp;Справочник_ОКВЭД_НР!$C$3:$C$62&amp;".",","&amp;SUBSTITUTE(F923," ","")&amp;",")))*Справочник_ОКВЭД_НР!$L$10 +
  SUMPRODUCT(ISNUMBER(SEARCH(","&amp;Справочник_ОКВЭД_НР!$E$3:$E$62&amp;".",","&amp;SUBSTITUTE(F923," ","")&amp;",")))*Справочник_ОКВЭД_НР!$L$11 +
  SUMPRODUCT(ISNUMBER(SEARCH(","&amp;Справочник_ОКВЭД_НР!$G$3:$G$62&amp;".",","&amp;SUBSTITUTE(F923," ","")&amp;",")))*Справочник_ОКВЭД_НР!$L$12) /
 (SUMPRODUCT(ISNUMBER(SEARCH(","&amp;Справочник_ОКВЭД_НР!$A$3:$A$62&amp;".",","&amp;SUBSTITUTE(F923," ","")&amp;","))) +
  SUMPRODUCT(ISNUMBER(SEARCH(","&amp;Справочник_ОКВЭД_НР!$C$3:$C$62&amp;".",","&amp;SUBSTITUTE(F923," ","")&amp;","))) +
  SUMPRODUCT(ISNUMBER(SEARCH(","&amp;Справочник_ОКВЭД_НР!$E$3:$E$62&amp;".",","&amp;SUBSTITUTE(F923," ","")&amp;","))) +
  SUMPRODUCT(ISNUMBER(SEARCH(","&amp;Справочник_ОКВЭД_НР!$G$3:$G$62&amp;".",","&amp;SUBSTITUTE(F923," ","")&amp;",")))),
50)</f>
        <v>50</v>
      </c>
      <c r="K923" s="30">
        <f>IFERROR(VLOOKUP(G923,Справочник_ОКВЭД_НР!$O:$P,2,FALSE()),50)</f>
        <v>50</v>
      </c>
      <c r="L923" s="45">
        <f>(I923*Справочник_ОКВЭД_НР!$L$2+J923*Справочник_ОКВЭД_НР!$L$3+K923*Справочник_ОКВЭД_НР!$L$4)*M923</f>
        <v>56</v>
      </c>
      <c r="M923" s="47">
        <f>IF(COUNTIF(Справочник_ОКВЭД_НР!$G$3:$G$62,H923)&gt;0,0,1)</f>
        <v>1</v>
      </c>
    </row>
    <row r="924" spans="1:13" x14ac:dyDescent="0.25">
      <c r="A924" s="4">
        <f>ЛИК_дляСкорингаДП!A924</f>
        <v>1157746615113</v>
      </c>
      <c r="B924" s="4">
        <f>ЛИК_дляСкорингаДП!B924</f>
        <v>7709462713</v>
      </c>
      <c r="C924" s="4" t="str">
        <f>ЛИК_дляСкорингаДП!C924</f>
        <v>ООО "АБ "ЖИЛПРОЕКТ"</v>
      </c>
      <c r="D924" s="5" t="str">
        <f>ЛИК_дляСкорингаДП!M924</f>
        <v>Деятельность в области архитектуры</v>
      </c>
      <c r="E924" s="4" t="str">
        <f>ЛИК_дляСкорингаДП!L924</f>
        <v>71.11</v>
      </c>
      <c r="F924" t="str">
        <f>ЛИК_дляСкорингаДП!N924</f>
        <v>68.20,71.12,71.12.1,71.12.13,71.12.45,71.12.5,71.12.6,71.12.61,82.99</v>
      </c>
      <c r="G924" s="25" t="str">
        <f>ЛИК_дляСкорингаДП!AG924</f>
        <v>УСН</v>
      </c>
      <c r="H924" s="55" t="str">
        <f>IF(ISNUMBER(E924),E924,
IFERROR(LEFT(E924,FIND(".",E924)-1),E924))</f>
        <v>71</v>
      </c>
      <c r="I924" s="30">
        <f>IF(COUNTIF(Справочник_ОКВЭД_НР!$A$3:$A$62,H924)&gt;0,Справочник_ОКВЭД_НР!$L$8,
 IF(COUNTIF(Справочник_ОКВЭД_НР!$C$3:$C$62,H924)&gt;0,Справочник_ОКВЭД_НР!$L$9,
  IF(COUNTIF(Справочник_ОКВЭД_НР!$E$3:$E$62,H924)&gt;0,Справочник_ОКВЭД_НР!$L$10,
   IF(COUNTIF(Справочник_ОКВЭД_НР!$G$3:$G$62,H924)&gt;0,Справочник_ОКВЭД_НР!$L$11,50))))</f>
        <v>100</v>
      </c>
      <c r="J924" s="30" cm="1">
        <f t="array" ref="J924">IFERROR(
 (SUMPRODUCT(ISNUMBER(SEARCH(","&amp;Справочник_ОКВЭД_НР!$A$3:$A$62&amp;".",","&amp;SUBSTITUTE(F924," ","")&amp;",")))*Справочник_ОКВЭД_НР!$L$9 +
  SUMPRODUCT(ISNUMBER(SEARCH(","&amp;Справочник_ОКВЭД_НР!$C$3:$C$62&amp;".",","&amp;SUBSTITUTE(F924," ","")&amp;",")))*Справочник_ОКВЭД_НР!$L$10 +
  SUMPRODUCT(ISNUMBER(SEARCH(","&amp;Справочник_ОКВЭД_НР!$E$3:$E$62&amp;".",","&amp;SUBSTITUTE(F924," ","")&amp;",")))*Справочник_ОКВЭД_НР!$L$11 +
  SUMPRODUCT(ISNUMBER(SEARCH(","&amp;Справочник_ОКВЭД_НР!$G$3:$G$62&amp;".",","&amp;SUBSTITUTE(F924," ","")&amp;",")))*Справочник_ОКВЭД_НР!$L$12) /
 (SUMPRODUCT(ISNUMBER(SEARCH(","&amp;Справочник_ОКВЭД_НР!$A$3:$A$62&amp;".",","&amp;SUBSTITUTE(F924," ","")&amp;","))) +
  SUMPRODUCT(ISNUMBER(SEARCH(","&amp;Справочник_ОКВЭД_НР!$C$3:$C$62&amp;".",","&amp;SUBSTITUTE(F924," ","")&amp;","))) +
  SUMPRODUCT(ISNUMBER(SEARCH(","&amp;Справочник_ОКВЭД_НР!$E$3:$E$62&amp;".",","&amp;SUBSTITUTE(F924," ","")&amp;","))) +
  SUMPRODUCT(ISNUMBER(SEARCH(","&amp;Справочник_ОКВЭД_НР!$G$3:$G$62&amp;".",","&amp;SUBSTITUTE(F924," ","")&amp;",")))),
50)</f>
        <v>50</v>
      </c>
      <c r="K924" s="30">
        <f>IFERROR(VLOOKUP(G924,Справочник_ОКВЭД_НР!$O:$P,2,FALSE()),50)</f>
        <v>50</v>
      </c>
      <c r="L924" s="45">
        <f>(I924*Справочник_ОКВЭД_НР!$L$2+J924*Справочник_ОКВЭД_НР!$L$3+K924*Справочник_ОКВЭД_НР!$L$4)*M924</f>
        <v>80</v>
      </c>
      <c r="M924" s="47">
        <f>IF(COUNTIF(Справочник_ОКВЭД_НР!$G$3:$G$62,H924)&gt;0,0,1)</f>
        <v>1</v>
      </c>
    </row>
    <row r="925" spans="1:13" x14ac:dyDescent="0.25">
      <c r="A925" s="4">
        <f>ЛИК_дляСкорингаДП!A925</f>
        <v>1107746151930</v>
      </c>
      <c r="B925" s="4">
        <f>ЛИК_дляСкорингаДП!B925</f>
        <v>7733726710</v>
      </c>
      <c r="C925" s="4" t="str">
        <f>ЛИК_дляСкорингаДП!C925</f>
        <v>ООО "ЛОГИСТ"</v>
      </c>
      <c r="D925" s="5" t="str">
        <f>ЛИК_дляСкорингаДП!M925</f>
        <v>Аренда и управление собственным или арендованным недвижимым имуществом</v>
      </c>
      <c r="E925" s="4" t="str">
        <f>ЛИК_дляСкорингаДП!L925</f>
        <v>68.20</v>
      </c>
      <c r="F925" t="str">
        <f>ЛИК_дляСкорингаДП!N925</f>
        <v>41.2,46.43,46.7,49.3,61.1,68.1,68.3,73.1,79.1</v>
      </c>
      <c r="G925" s="25" t="str">
        <f>ЛИК_дляСкорингаДП!AG925</f>
        <v>УСН</v>
      </c>
      <c r="H925" s="55" t="str">
        <f>IF(ISNUMBER(E925),E925,
IFERROR(LEFT(E925,FIND(".",E925)-1),E925))</f>
        <v>68</v>
      </c>
      <c r="I925" s="30">
        <f>IF(COUNTIF(Справочник_ОКВЭД_НР!$A$3:$A$62,H925)&gt;0,Справочник_ОКВЭД_НР!$L$8,
 IF(COUNTIF(Справочник_ОКВЭД_НР!$C$3:$C$62,H925)&gt;0,Справочник_ОКВЭД_НР!$L$9,
  IF(COUNTIF(Справочник_ОКВЭД_НР!$E$3:$E$62,H925)&gt;0,Справочник_ОКВЭД_НР!$L$10,
   IF(COUNTIF(Справочник_ОКВЭД_НР!$G$3:$G$62,H925)&gt;0,Справочник_ОКВЭД_НР!$L$11,50))))</f>
        <v>100</v>
      </c>
      <c r="J925" s="30" cm="1">
        <f t="array" ref="J925">IFERROR(
 (SUMPRODUCT(ISNUMBER(SEARCH(","&amp;Справочник_ОКВЭД_НР!$A$3:$A$62&amp;".",","&amp;SUBSTITUTE(F925," ","")&amp;",")))*Справочник_ОКВЭД_НР!$L$9 +
  SUMPRODUCT(ISNUMBER(SEARCH(","&amp;Справочник_ОКВЭД_НР!$C$3:$C$62&amp;".",","&amp;SUBSTITUTE(F925," ","")&amp;",")))*Справочник_ОКВЭД_НР!$L$10 +
  SUMPRODUCT(ISNUMBER(SEARCH(","&amp;Справочник_ОКВЭД_НР!$E$3:$E$62&amp;".",","&amp;SUBSTITUTE(F925," ","")&amp;",")))*Справочник_ОКВЭД_НР!$L$11 +
  SUMPRODUCT(ISNUMBER(SEARCH(","&amp;Справочник_ОКВЭД_НР!$G$3:$G$62&amp;".",","&amp;SUBSTITUTE(F925," ","")&amp;",")))*Справочник_ОКВЭД_НР!$L$12) /
 (SUMPRODUCT(ISNUMBER(SEARCH(","&amp;Справочник_ОКВЭД_НР!$A$3:$A$62&amp;".",","&amp;SUBSTITUTE(F925," ","")&amp;","))) +
  SUMPRODUCT(ISNUMBER(SEARCH(","&amp;Справочник_ОКВЭД_НР!$C$3:$C$62&amp;".",","&amp;SUBSTITUTE(F925," ","")&amp;","))) +
  SUMPRODUCT(ISNUMBER(SEARCH(","&amp;Справочник_ОКВЭД_НР!$E$3:$E$62&amp;".",","&amp;SUBSTITUTE(F925," ","")&amp;","))) +
  SUMPRODUCT(ISNUMBER(SEARCH(","&amp;Справочник_ОКВЭД_НР!$G$3:$G$62&amp;".",","&amp;SUBSTITUTE(F925," ","")&amp;",")))),
50)</f>
        <v>50</v>
      </c>
      <c r="K925" s="30">
        <f>IFERROR(VLOOKUP(G925,Справочник_ОКВЭД_НР!$O:$P,2,FALSE()),50)</f>
        <v>50</v>
      </c>
      <c r="L925" s="45">
        <f>(I925*Справочник_ОКВЭД_НР!$L$2+J925*Справочник_ОКВЭД_НР!$L$3+K925*Справочник_ОКВЭД_НР!$L$4)*M925</f>
        <v>80</v>
      </c>
      <c r="M925" s="47">
        <f>IF(COUNTIF(Справочник_ОКВЭД_НР!$G$3:$G$62,H925)&gt;0,0,1)</f>
        <v>1</v>
      </c>
    </row>
    <row r="926" spans="1:13" x14ac:dyDescent="0.25">
      <c r="A926" s="4">
        <f>ЛИК_дляСкорингаДП!A926</f>
        <v>1107746017741</v>
      </c>
      <c r="B926" s="4">
        <f>ЛИК_дляСкорингаДП!B926</f>
        <v>7713699602</v>
      </c>
      <c r="C926" s="4" t="str">
        <f>ЛИК_дляСкорингаДП!C926</f>
        <v>ООО "СОЦИАЛЬНЫЕ УСЛУГИ"</v>
      </c>
      <c r="D926" s="5" t="str">
        <f>ЛИК_дляСкорингаДП!M926</f>
        <v>Деятельность по уходу с обеспечением проживания</v>
      </c>
      <c r="E926" s="4" t="str">
        <f>ЛИК_дляСкорингаДП!L926</f>
        <v>87</v>
      </c>
      <c r="F926" t="str">
        <f>ЛИК_дляСкорингаДП!N926</f>
        <v>18.1,58,63.91,72.2,73.1,74.20,74.30,82.92,88,93.2,96.0</v>
      </c>
      <c r="G926" s="25" t="str">
        <f>ЛИК_дляСкорингаДП!AG926</f>
        <v>УСН</v>
      </c>
      <c r="H926" s="55" t="str">
        <f>IF(ISNUMBER(E926),E926,
IFERROR(LEFT(E926,FIND(".",E926)-1),E926))</f>
        <v>87</v>
      </c>
      <c r="I926" s="30">
        <f>IF(COUNTIF(Справочник_ОКВЭД_НР!$A$3:$A$62,H926)&gt;0,Справочник_ОКВЭД_НР!$L$8,
 IF(COUNTIF(Справочник_ОКВЭД_НР!$C$3:$C$62,H926)&gt;0,Справочник_ОКВЭД_НР!$L$9,
  IF(COUNTIF(Справочник_ОКВЭД_НР!$E$3:$E$62,H926)&gt;0,Справочник_ОКВЭД_НР!$L$10,
   IF(COUNTIF(Справочник_ОКВЭД_НР!$G$3:$G$62,H926)&gt;0,Справочник_ОКВЭД_НР!$L$11,50))))</f>
        <v>30</v>
      </c>
      <c r="J926" s="30" cm="1">
        <f t="array" ref="J926">IFERROR(
 (SUMPRODUCT(ISNUMBER(SEARCH(","&amp;Справочник_ОКВЭД_НР!$A$3:$A$62&amp;".",","&amp;SUBSTITUTE(F926," ","")&amp;",")))*Справочник_ОКВЭД_НР!$L$9 +
  SUMPRODUCT(ISNUMBER(SEARCH(","&amp;Справочник_ОКВЭД_НР!$C$3:$C$62&amp;".",","&amp;SUBSTITUTE(F926," ","")&amp;",")))*Справочник_ОКВЭД_НР!$L$10 +
  SUMPRODUCT(ISNUMBER(SEARCH(","&amp;Справочник_ОКВЭД_НР!$E$3:$E$62&amp;".",","&amp;SUBSTITUTE(F926," ","")&amp;",")))*Справочник_ОКВЭД_НР!$L$11 +
  SUMPRODUCT(ISNUMBER(SEARCH(","&amp;Справочник_ОКВЭД_НР!$G$3:$G$62&amp;".",","&amp;SUBSTITUTE(F926," ","")&amp;",")))*Справочник_ОКВЭД_НР!$L$12) /
 (SUMPRODUCT(ISNUMBER(SEARCH(","&amp;Справочник_ОКВЭД_НР!$A$3:$A$62&amp;".",","&amp;SUBSTITUTE(F926," ","")&amp;","))) +
  SUMPRODUCT(ISNUMBER(SEARCH(","&amp;Справочник_ОКВЭД_НР!$C$3:$C$62&amp;".",","&amp;SUBSTITUTE(F926," ","")&amp;","))) +
  SUMPRODUCT(ISNUMBER(SEARCH(","&amp;Справочник_ОКВЭД_НР!$E$3:$E$62&amp;".",","&amp;SUBSTITUTE(F926," ","")&amp;","))) +
  SUMPRODUCT(ISNUMBER(SEARCH(","&amp;Справочник_ОКВЭД_НР!$G$3:$G$62&amp;".",","&amp;SUBSTITUTE(F926," ","")&amp;",")))),
50)</f>
        <v>50</v>
      </c>
      <c r="K926" s="30">
        <f>IFERROR(VLOOKUP(G926,Справочник_ОКВЭД_НР!$O:$P,2,FALSE()),50)</f>
        <v>50</v>
      </c>
      <c r="L926" s="45">
        <f>(I926*Справочник_ОКВЭД_НР!$L$2+J926*Справочник_ОКВЭД_НР!$L$3+K926*Справочник_ОКВЭД_НР!$L$4)*M926</f>
        <v>38</v>
      </c>
      <c r="M926" s="47">
        <f>IF(COUNTIF(Справочник_ОКВЭД_НР!$G$3:$G$62,H926)&gt;0,0,1)</f>
        <v>1</v>
      </c>
    </row>
    <row r="927" spans="1:13" x14ac:dyDescent="0.25">
      <c r="A927" s="4">
        <f>ЛИК_дляСкорингаДП!A927</f>
        <v>1157746717996</v>
      </c>
      <c r="B927" s="4">
        <f>ЛИК_дляСкорингаДП!B927</f>
        <v>7726348320</v>
      </c>
      <c r="C927" s="4" t="str">
        <f>ЛИК_дляСкорингаДП!C927</f>
        <v>ООО "СТРАЙК ФОРС"</v>
      </c>
      <c r="D927" s="5" t="str">
        <f>ЛИК_дляСкорингаДП!M927</f>
        <v>Торговля оптовая неспециализированная</v>
      </c>
      <c r="E927" s="4" t="str">
        <f>ЛИК_дляСкорингаДП!L927</f>
        <v>46.90</v>
      </c>
      <c r="F927" t="str">
        <f>ЛИК_дляСкорингаДП!N927</f>
        <v>20.51,21.10,25.71,46.49,47.73,72.19,72.20,82.99,90.0,90.01,90.04,93.29,93.29.9</v>
      </c>
      <c r="G927" s="25" t="str">
        <f>ЛИК_дляСкорингаДП!AG927</f>
        <v>УСН</v>
      </c>
      <c r="H927" s="55" t="str">
        <f>IF(ISNUMBER(E927),E927,
IFERROR(LEFT(E927,FIND(".",E927)-1),E927))</f>
        <v>46</v>
      </c>
      <c r="I927" s="30">
        <f>IF(COUNTIF(Справочник_ОКВЭД_НР!$A$3:$A$62,H927)&gt;0,Справочник_ОКВЭД_НР!$L$8,
 IF(COUNTIF(Справочник_ОКВЭД_НР!$C$3:$C$62,H927)&gt;0,Справочник_ОКВЭД_НР!$L$9,
  IF(COUNTIF(Справочник_ОКВЭД_НР!$E$3:$E$62,H927)&gt;0,Справочник_ОКВЭД_НР!$L$10,
   IF(COUNTIF(Справочник_ОКВЭД_НР!$G$3:$G$62,H927)&gt;0,Справочник_ОКВЭД_НР!$L$11,50))))</f>
        <v>60</v>
      </c>
      <c r="J927" s="30" cm="1">
        <f t="array" ref="J927">IFERROR(
 (SUMPRODUCT(ISNUMBER(SEARCH(","&amp;Справочник_ОКВЭД_НР!$A$3:$A$62&amp;".",","&amp;SUBSTITUTE(F927," ","")&amp;",")))*Справочник_ОКВЭД_НР!$L$9 +
  SUMPRODUCT(ISNUMBER(SEARCH(","&amp;Справочник_ОКВЭД_НР!$C$3:$C$62&amp;".",","&amp;SUBSTITUTE(F927," ","")&amp;",")))*Справочник_ОКВЭД_НР!$L$10 +
  SUMPRODUCT(ISNUMBER(SEARCH(","&amp;Справочник_ОКВЭД_НР!$E$3:$E$62&amp;".",","&amp;SUBSTITUTE(F927," ","")&amp;",")))*Справочник_ОКВЭД_НР!$L$11 +
  SUMPRODUCT(ISNUMBER(SEARCH(","&amp;Справочник_ОКВЭД_НР!$G$3:$G$62&amp;".",","&amp;SUBSTITUTE(F927," ","")&amp;",")))*Справочник_ОКВЭД_НР!$L$12) /
 (SUMPRODUCT(ISNUMBER(SEARCH(","&amp;Справочник_ОКВЭД_НР!$A$3:$A$62&amp;".",","&amp;SUBSTITUTE(F927," ","")&amp;","))) +
  SUMPRODUCT(ISNUMBER(SEARCH(","&amp;Справочник_ОКВЭД_НР!$C$3:$C$62&amp;".",","&amp;SUBSTITUTE(F927," ","")&amp;","))) +
  SUMPRODUCT(ISNUMBER(SEARCH(","&amp;Справочник_ОКВЭД_НР!$E$3:$E$62&amp;".",","&amp;SUBSTITUTE(F927," ","")&amp;","))) +
  SUMPRODUCT(ISNUMBER(SEARCH(","&amp;Справочник_ОКВЭД_НР!$G$3:$G$62&amp;".",","&amp;SUBSTITUTE(F927," ","")&amp;",")))),
50)</f>
        <v>50</v>
      </c>
      <c r="K927" s="30">
        <f>IFERROR(VLOOKUP(G927,Справочник_ОКВЭД_НР!$O:$P,2,FALSE()),50)</f>
        <v>50</v>
      </c>
      <c r="L927" s="45">
        <f>(I927*Справочник_ОКВЭД_НР!$L$2+J927*Справочник_ОКВЭД_НР!$L$3+K927*Справочник_ОКВЭД_НР!$L$4)*M927</f>
        <v>56</v>
      </c>
      <c r="M927" s="47">
        <f>IF(COUNTIF(Справочник_ОКВЭД_НР!$G$3:$G$62,H927)&gt;0,0,1)</f>
        <v>1</v>
      </c>
    </row>
    <row r="928" spans="1:13" x14ac:dyDescent="0.25">
      <c r="A928" s="4">
        <f>ЛИК_дляСкорингаДП!A928</f>
        <v>1107746014353</v>
      </c>
      <c r="B928" s="4">
        <f>ЛИК_дляСкорингаДП!B928</f>
        <v>7723744526</v>
      </c>
      <c r="C928" s="4" t="str">
        <f>ЛИК_дляСкорингаДП!C928</f>
        <v>ООО "ВИНТЕР"</v>
      </c>
      <c r="D928" s="5" t="str">
        <f>ЛИК_дляСкорингаДП!M928</f>
        <v>Предоставление посреднических услуг по аренде нежилого недвижимого имущества за вознаграждение или на договорной основе</v>
      </c>
      <c r="E928" s="4" t="str">
        <f>ЛИК_дляСкорингаДП!L928</f>
        <v>68.31.22</v>
      </c>
      <c r="F928" t="str">
        <f>ЛИК_дляСкорингаДП!N928</f>
        <v>41.2,41.20,47.1,52.10,56.10,68.10,68.10.22,68.10.23,68.20,68.20.2,68.3,68.32,77.2,81.29.9,96.09</v>
      </c>
      <c r="G928" s="25" t="str">
        <f>ЛИК_дляСкорингаДП!AG928</f>
        <v>УСН</v>
      </c>
      <c r="H928" s="55" t="str">
        <f>IF(ISNUMBER(E928),E928,
IFERROR(LEFT(E928,FIND(".",E928)-1),E928))</f>
        <v>68</v>
      </c>
      <c r="I928" s="30">
        <f>IF(COUNTIF(Справочник_ОКВЭД_НР!$A$3:$A$62,H928)&gt;0,Справочник_ОКВЭД_НР!$L$8,
 IF(COUNTIF(Справочник_ОКВЭД_НР!$C$3:$C$62,H928)&gt;0,Справочник_ОКВЭД_НР!$L$9,
  IF(COUNTIF(Справочник_ОКВЭД_НР!$E$3:$E$62,H928)&gt;0,Справочник_ОКВЭД_НР!$L$10,
   IF(COUNTIF(Справочник_ОКВЭД_НР!$G$3:$G$62,H928)&gt;0,Справочник_ОКВЭД_НР!$L$11,50))))</f>
        <v>100</v>
      </c>
      <c r="J928" s="30" cm="1">
        <f t="array" ref="J928">IFERROR(
 (SUMPRODUCT(ISNUMBER(SEARCH(","&amp;Справочник_ОКВЭД_НР!$A$3:$A$62&amp;".",","&amp;SUBSTITUTE(F928," ","")&amp;",")))*Справочник_ОКВЭД_НР!$L$9 +
  SUMPRODUCT(ISNUMBER(SEARCH(","&amp;Справочник_ОКВЭД_НР!$C$3:$C$62&amp;".",","&amp;SUBSTITUTE(F928," ","")&amp;",")))*Справочник_ОКВЭД_НР!$L$10 +
  SUMPRODUCT(ISNUMBER(SEARCH(","&amp;Справочник_ОКВЭД_НР!$E$3:$E$62&amp;".",","&amp;SUBSTITUTE(F928," ","")&amp;",")))*Справочник_ОКВЭД_НР!$L$11 +
  SUMPRODUCT(ISNUMBER(SEARCH(","&amp;Справочник_ОКВЭД_НР!$G$3:$G$62&amp;".",","&amp;SUBSTITUTE(F928," ","")&amp;",")))*Справочник_ОКВЭД_НР!$L$12) /
 (SUMPRODUCT(ISNUMBER(SEARCH(","&amp;Справочник_ОКВЭД_НР!$A$3:$A$62&amp;".",","&amp;SUBSTITUTE(F928," ","")&amp;","))) +
  SUMPRODUCT(ISNUMBER(SEARCH(","&amp;Справочник_ОКВЭД_НР!$C$3:$C$62&amp;".",","&amp;SUBSTITUTE(F928," ","")&amp;","))) +
  SUMPRODUCT(ISNUMBER(SEARCH(","&amp;Справочник_ОКВЭД_НР!$E$3:$E$62&amp;".",","&amp;SUBSTITUTE(F928," ","")&amp;","))) +
  SUMPRODUCT(ISNUMBER(SEARCH(","&amp;Справочник_ОКВЭД_НР!$G$3:$G$62&amp;".",","&amp;SUBSTITUTE(F928," ","")&amp;",")))),
50)</f>
        <v>50</v>
      </c>
      <c r="K928" s="30">
        <f>IFERROR(VLOOKUP(G928,Справочник_ОКВЭД_НР!$O:$P,2,FALSE()),50)</f>
        <v>50</v>
      </c>
      <c r="L928" s="45">
        <f>(I928*Справочник_ОКВЭД_НР!$L$2+J928*Справочник_ОКВЭД_НР!$L$3+K928*Справочник_ОКВЭД_НР!$L$4)*M928</f>
        <v>80</v>
      </c>
      <c r="M928" s="47">
        <f>IF(COUNTIF(Справочник_ОКВЭД_НР!$G$3:$G$62,H928)&gt;0,0,1)</f>
        <v>1</v>
      </c>
    </row>
    <row r="929" spans="1:13" x14ac:dyDescent="0.25">
      <c r="A929" s="4">
        <f>ЛИК_дляСкорингаДП!A929</f>
        <v>1157746719900</v>
      </c>
      <c r="B929" s="4">
        <f>ЛИК_дляСкорингаДП!B929</f>
        <v>7725283616</v>
      </c>
      <c r="C929" s="4" t="str">
        <f>ЛИК_дляСкорингаДП!C929</f>
        <v>ООО "МИКСТРОЙЭКСПЕРТ"</v>
      </c>
      <c r="D929" s="5" t="str">
        <f>ЛИК_дляСкорингаДП!M929</f>
        <v>Строительство жилых и нежилых зданий</v>
      </c>
      <c r="E929" s="4" t="str">
        <f>ЛИК_дляСкорингаДП!L929</f>
        <v>41.20</v>
      </c>
      <c r="F929" t="str">
        <f>ЛИК_дляСкорингаДП!N929</f>
        <v>43.11,43.12.3,43.21,43.22,43.29,43.31,43.32,43.33,43.34,43.39,43.91,43.99,43.99,43.99.1,49.4,52.10,52.24,63.11.1,68.10,68.20,68.32,71.20,71.20.3,71.20.6,71.20.9,77.39.25,77.39.29,82.99</v>
      </c>
      <c r="G929" s="25" t="str">
        <f>ЛИК_дляСкорингаДП!AG929</f>
        <v>УСН</v>
      </c>
      <c r="H929" s="55" t="str">
        <f>IF(ISNUMBER(E929),E929,
IFERROR(LEFT(E929,FIND(".",E929)-1),E929))</f>
        <v>41</v>
      </c>
      <c r="I929" s="30">
        <f>IF(COUNTIF(Справочник_ОКВЭД_НР!$A$3:$A$62,H929)&gt;0,Справочник_ОКВЭД_НР!$L$8,
 IF(COUNTIF(Справочник_ОКВЭД_НР!$C$3:$C$62,H929)&gt;0,Справочник_ОКВЭД_НР!$L$9,
  IF(COUNTIF(Справочник_ОКВЭД_НР!$E$3:$E$62,H929)&gt;0,Справочник_ОКВЭД_НР!$L$10,
   IF(COUNTIF(Справочник_ОКВЭД_НР!$G$3:$G$62,H929)&gt;0,Справочник_ОКВЭД_НР!$L$11,50))))</f>
        <v>100</v>
      </c>
      <c r="J929" s="30" cm="1">
        <f t="array" ref="J929">IFERROR(
 (SUMPRODUCT(ISNUMBER(SEARCH(","&amp;Справочник_ОКВЭД_НР!$A$3:$A$62&amp;".",","&amp;SUBSTITUTE(F929," ","")&amp;",")))*Справочник_ОКВЭД_НР!$L$9 +
  SUMPRODUCT(ISNUMBER(SEARCH(","&amp;Справочник_ОКВЭД_НР!$C$3:$C$62&amp;".",","&amp;SUBSTITUTE(F929," ","")&amp;",")))*Справочник_ОКВЭД_НР!$L$10 +
  SUMPRODUCT(ISNUMBER(SEARCH(","&amp;Справочник_ОКВЭД_НР!$E$3:$E$62&amp;".",","&amp;SUBSTITUTE(F929," ","")&amp;",")))*Справочник_ОКВЭД_НР!$L$11 +
  SUMPRODUCT(ISNUMBER(SEARCH(","&amp;Справочник_ОКВЭД_НР!$G$3:$G$62&amp;".",","&amp;SUBSTITUTE(F929," ","")&amp;",")))*Справочник_ОКВЭД_НР!$L$12) /
 (SUMPRODUCT(ISNUMBER(SEARCH(","&amp;Справочник_ОКВЭД_НР!$A$3:$A$62&amp;".",","&amp;SUBSTITUTE(F929," ","")&amp;","))) +
  SUMPRODUCT(ISNUMBER(SEARCH(","&amp;Справочник_ОКВЭД_НР!$C$3:$C$62&amp;".",","&amp;SUBSTITUTE(F929," ","")&amp;","))) +
  SUMPRODUCT(ISNUMBER(SEARCH(","&amp;Справочник_ОКВЭД_НР!$E$3:$E$62&amp;".",","&amp;SUBSTITUTE(F929," ","")&amp;","))) +
  SUMPRODUCT(ISNUMBER(SEARCH(","&amp;Справочник_ОКВЭД_НР!$G$3:$G$62&amp;".",","&amp;SUBSTITUTE(F929," ","")&amp;",")))),
50)</f>
        <v>50</v>
      </c>
      <c r="K929" s="30">
        <f>IFERROR(VLOOKUP(G929,Справочник_ОКВЭД_НР!$O:$P,2,FALSE()),50)</f>
        <v>50</v>
      </c>
      <c r="L929" s="45">
        <f>(I929*Справочник_ОКВЭД_НР!$L$2+J929*Справочник_ОКВЭД_НР!$L$3+K929*Справочник_ОКВЭД_НР!$L$4)*M929</f>
        <v>80</v>
      </c>
      <c r="M929" s="47">
        <f>IF(COUNTIF(Справочник_ОКВЭД_НР!$G$3:$G$62,H929)&gt;0,0,1)</f>
        <v>1</v>
      </c>
    </row>
    <row r="930" spans="1:13" x14ac:dyDescent="0.25">
      <c r="A930" s="4">
        <f>ЛИК_дляСкорингаДП!A930</f>
        <v>1157746734650</v>
      </c>
      <c r="B930" s="4">
        <f>ЛИК_дляСкорингаДП!B930</f>
        <v>7723403830</v>
      </c>
      <c r="C930" s="4" t="str">
        <f>ЛИК_дляСкорингаДП!C930</f>
        <v>ООО "КОМПОЗИТ-ПРОЕКТ"</v>
      </c>
      <c r="D930" s="5" t="str">
        <f>ЛИК_дляСкорингаДП!M930</f>
        <v>Производство пластмасс и синтетических смол в первичных формах</v>
      </c>
      <c r="E930" s="4" t="str">
        <f>ЛИК_дляСкорингаДП!L930</f>
        <v>20.16</v>
      </c>
      <c r="F930" t="str">
        <f>ЛИК_дляСкорингаДП!N930</f>
        <v>20.60,22.11,22.19,22.21,22.22,22.23,22.29,30.11,30.12,33.15,43.11,43.12.3,43.21,43.22,43.31,43.32,43.33,43.34,43.39,43.99,46.18,46.41,46.41.2,46.44,46.49,46.73,46.75,46.90,47.51,47.51.1,47.51.2,47.52,47.52.1,47.52.2,47.52.3,47.52.4,47.52.5,47.52.6,47.52.7,47.52.71,47.52.72,47.52.73,47.53.2,47.53.3,47.59,47.59.1,47.59.2,47.59.3,47.59.4,47.59.9,47.65,47.71.1,47.71.2,47.71.3,47.71.4,47.71.5,47.71.6,47.71.7,47.71.8,47.72.1,47.72.2,47.76.1,47.91.1,47.91.2,47.91.3,47.91.4,49.31.25,49.41.1,49.41.2,49.41.3</v>
      </c>
      <c r="G930" s="25" t="str">
        <f>ЛИК_дляСкорингаДП!AG930</f>
        <v>УСН</v>
      </c>
      <c r="H930" s="55" t="str">
        <f>IF(ISNUMBER(E930),E930,
IFERROR(LEFT(E930,FIND(".",E930)-1),E930))</f>
        <v>20</v>
      </c>
      <c r="I930" s="30">
        <f>IF(COUNTIF(Справочник_ОКВЭД_НР!$A$3:$A$62,H930)&gt;0,Справочник_ОКВЭД_НР!$L$8,
 IF(COUNTIF(Справочник_ОКВЭД_НР!$C$3:$C$62,H930)&gt;0,Справочник_ОКВЭД_НР!$L$9,
  IF(COUNTIF(Справочник_ОКВЭД_НР!$E$3:$E$62,H930)&gt;0,Справочник_ОКВЭД_НР!$L$10,
   IF(COUNTIF(Справочник_ОКВЭД_НР!$G$3:$G$62,H930)&gt;0,Справочник_ОКВЭД_НР!$L$11,50))))</f>
        <v>60</v>
      </c>
      <c r="J930" s="30" cm="1">
        <f t="array" ref="J930">IFERROR(
 (SUMPRODUCT(ISNUMBER(SEARCH(","&amp;Справочник_ОКВЭД_НР!$A$3:$A$62&amp;".",","&amp;SUBSTITUTE(F930," ","")&amp;",")))*Справочник_ОКВЭД_НР!$L$9 +
  SUMPRODUCT(ISNUMBER(SEARCH(","&amp;Справочник_ОКВЭД_НР!$C$3:$C$62&amp;".",","&amp;SUBSTITUTE(F930," ","")&amp;",")))*Справочник_ОКВЭД_НР!$L$10 +
  SUMPRODUCT(ISNUMBER(SEARCH(","&amp;Справочник_ОКВЭД_НР!$E$3:$E$62&amp;".",","&amp;SUBSTITUTE(F930," ","")&amp;",")))*Справочник_ОКВЭД_НР!$L$11 +
  SUMPRODUCT(ISNUMBER(SEARCH(","&amp;Справочник_ОКВЭД_НР!$G$3:$G$62&amp;".",","&amp;SUBSTITUTE(F930," ","")&amp;",")))*Справочник_ОКВЭД_НР!$L$12) /
 (SUMPRODUCT(ISNUMBER(SEARCH(","&amp;Справочник_ОКВЭД_НР!$A$3:$A$62&amp;".",","&amp;SUBSTITUTE(F930," ","")&amp;","))) +
  SUMPRODUCT(ISNUMBER(SEARCH(","&amp;Справочник_ОКВЭД_НР!$C$3:$C$62&amp;".",","&amp;SUBSTITUTE(F930," ","")&amp;","))) +
  SUMPRODUCT(ISNUMBER(SEARCH(","&amp;Справочник_ОКВЭД_НР!$E$3:$E$62&amp;".",","&amp;SUBSTITUTE(F930," ","")&amp;","))) +
  SUMPRODUCT(ISNUMBER(SEARCH(","&amp;Справочник_ОКВЭД_НР!$G$3:$G$62&amp;".",","&amp;SUBSTITUTE(F930," ","")&amp;",")))),
50)</f>
        <v>50</v>
      </c>
      <c r="K930" s="30">
        <f>IFERROR(VLOOKUP(G930,Справочник_ОКВЭД_НР!$O:$P,2,FALSE()),50)</f>
        <v>50</v>
      </c>
      <c r="L930" s="45">
        <f>(I930*Справочник_ОКВЭД_НР!$L$2+J930*Справочник_ОКВЭД_НР!$L$3+K930*Справочник_ОКВЭД_НР!$L$4)*M930</f>
        <v>56</v>
      </c>
      <c r="M930" s="47">
        <f>IF(COUNTIF(Справочник_ОКВЭД_НР!$G$3:$G$62,H930)&gt;0,0,1)</f>
        <v>1</v>
      </c>
    </row>
    <row r="931" spans="1:13" x14ac:dyDescent="0.25">
      <c r="A931" s="4">
        <f>ЛИК_дляСкорингаДП!A931</f>
        <v>1157746692179</v>
      </c>
      <c r="B931" s="4">
        <f>ЛИК_дляСкорингаДП!B931</f>
        <v>7727215763</v>
      </c>
      <c r="C931" s="4" t="str">
        <f>ЛИК_дляСкорингаДП!C931</f>
        <v>ООО "РЕШЕНИЕ"</v>
      </c>
      <c r="D931" s="5" t="str">
        <f>ЛИК_дляСкорингаДП!M931</f>
        <v>Прочие виды полиграфической деятельности</v>
      </c>
      <c r="E931" s="4" t="str">
        <f>ЛИК_дляСкорингаДП!L931</f>
        <v>18.12</v>
      </c>
      <c r="F931" t="str">
        <f>ЛИК_дляСкорингаДП!N931</f>
        <v>17.21,17.22,17.23,17.29,18.14,22.22,22.29,32.40,32.99,46.49,47.11,47.19,47.61,47.99,56.10,56.10.1,56.10.3,56.30,58.11,58.14,64.91,64.92,64.99,66.19,68.32,73.11,77.33,82.99,85.11,85.12,85.42.9</v>
      </c>
      <c r="G931" s="25" t="str">
        <f>ЛИК_дляСкорингаДП!AG931</f>
        <v>УСН</v>
      </c>
      <c r="H931" s="55" t="str">
        <f>IF(ISNUMBER(E931),E931,
IFERROR(LEFT(E931,FIND(".",E931)-1),E931))</f>
        <v>18</v>
      </c>
      <c r="I931" s="30">
        <f>IF(COUNTIF(Справочник_ОКВЭД_НР!$A$3:$A$62,H931)&gt;0,Справочник_ОКВЭД_НР!$L$8,
 IF(COUNTIF(Справочник_ОКВЭД_НР!$C$3:$C$62,H931)&gt;0,Справочник_ОКВЭД_НР!$L$9,
  IF(COUNTIF(Справочник_ОКВЭД_НР!$E$3:$E$62,H931)&gt;0,Справочник_ОКВЭД_НР!$L$10,
   IF(COUNTIF(Справочник_ОКВЭД_НР!$G$3:$G$62,H931)&gt;0,Справочник_ОКВЭД_НР!$L$11,50))))</f>
        <v>30</v>
      </c>
      <c r="J931" s="30" cm="1">
        <f t="array" ref="J931">IFERROR(
 (SUMPRODUCT(ISNUMBER(SEARCH(","&amp;Справочник_ОКВЭД_НР!$A$3:$A$62&amp;".",","&amp;SUBSTITUTE(F931," ","")&amp;",")))*Справочник_ОКВЭД_НР!$L$9 +
  SUMPRODUCT(ISNUMBER(SEARCH(","&amp;Справочник_ОКВЭД_НР!$C$3:$C$62&amp;".",","&amp;SUBSTITUTE(F931," ","")&amp;",")))*Справочник_ОКВЭД_НР!$L$10 +
  SUMPRODUCT(ISNUMBER(SEARCH(","&amp;Справочник_ОКВЭД_НР!$E$3:$E$62&amp;".",","&amp;SUBSTITUTE(F931," ","")&amp;",")))*Справочник_ОКВЭД_НР!$L$11 +
  SUMPRODUCT(ISNUMBER(SEARCH(","&amp;Справочник_ОКВЭД_НР!$G$3:$G$62&amp;".",","&amp;SUBSTITUTE(F931," ","")&amp;",")))*Справочник_ОКВЭД_НР!$L$12) /
 (SUMPRODUCT(ISNUMBER(SEARCH(","&amp;Справочник_ОКВЭД_НР!$A$3:$A$62&amp;".",","&amp;SUBSTITUTE(F931," ","")&amp;","))) +
  SUMPRODUCT(ISNUMBER(SEARCH(","&amp;Справочник_ОКВЭД_НР!$C$3:$C$62&amp;".",","&amp;SUBSTITUTE(F931," ","")&amp;","))) +
  SUMPRODUCT(ISNUMBER(SEARCH(","&amp;Справочник_ОКВЭД_НР!$E$3:$E$62&amp;".",","&amp;SUBSTITUTE(F931," ","")&amp;","))) +
  SUMPRODUCT(ISNUMBER(SEARCH(","&amp;Справочник_ОКВЭД_НР!$G$3:$G$62&amp;".",","&amp;SUBSTITUTE(F931," ","")&amp;",")))),
50)</f>
        <v>50</v>
      </c>
      <c r="K931" s="30">
        <f>IFERROR(VLOOKUP(G931,Справочник_ОКВЭД_НР!$O:$P,2,FALSE()),50)</f>
        <v>50</v>
      </c>
      <c r="L931" s="45">
        <f>(I931*Справочник_ОКВЭД_НР!$L$2+J931*Справочник_ОКВЭД_НР!$L$3+K931*Справочник_ОКВЭД_НР!$L$4)*M931</f>
        <v>38</v>
      </c>
      <c r="M931" s="47">
        <f>IF(COUNTIF(Справочник_ОКВЭД_НР!$G$3:$G$62,H931)&gt;0,0,1)</f>
        <v>1</v>
      </c>
    </row>
    <row r="932" spans="1:13" x14ac:dyDescent="0.25">
      <c r="A932" s="4">
        <f>ЛИК_дляСкорингаДП!A932</f>
        <v>1157746742218</v>
      </c>
      <c r="B932" s="4">
        <f>ЛИК_дляСкорингаДП!B932</f>
        <v>9715210669</v>
      </c>
      <c r="C932" s="4" t="str">
        <f>ЛИК_дляСкорингаДП!C932</f>
        <v>ООО "ПРОФФИЛЛИНГ"</v>
      </c>
      <c r="D932" s="5" t="str">
        <f>ЛИК_дляСкорингаДП!M932</f>
        <v>Производство прочих изделий из гипса, бетона или цемента</v>
      </c>
      <c r="E932" s="4" t="str">
        <f>ЛИК_дляСкорингаДП!L932</f>
        <v>23.69</v>
      </c>
      <c r="F932" t="str">
        <f>ЛИК_дляСкорингаДП!N932</f>
        <v>20.30.2,23.20,23.61,23.62,23.64,23.70.3,23.99.1,23.99.6,25.61,38.32.59,46.12.31,46.73.5,46.73.6,46.90,47.41,47.52.3,47.52.7,47.52.73,47.78,47.78.9,47.9,47.99,62.09,72.19</v>
      </c>
      <c r="G932" s="25" t="str">
        <f>ЛИК_дляСкорингаДП!AG932</f>
        <v>УСН</v>
      </c>
      <c r="H932" s="55" t="str">
        <f>IF(ISNUMBER(E932),E932,
IFERROR(LEFT(E932,FIND(".",E932)-1),E932))</f>
        <v>23</v>
      </c>
      <c r="I932" s="30">
        <f>IF(COUNTIF(Справочник_ОКВЭД_НР!$A$3:$A$62,H932)&gt;0,Справочник_ОКВЭД_НР!$L$8,
 IF(COUNTIF(Справочник_ОКВЭД_НР!$C$3:$C$62,H932)&gt;0,Справочник_ОКВЭД_НР!$L$9,
  IF(COUNTIF(Справочник_ОКВЭД_НР!$E$3:$E$62,H932)&gt;0,Справочник_ОКВЭД_НР!$L$10,
   IF(COUNTIF(Справочник_ОКВЭД_НР!$G$3:$G$62,H932)&gt;0,Справочник_ОКВЭД_НР!$L$11,50))))</f>
        <v>60</v>
      </c>
      <c r="J932" s="30" cm="1">
        <f t="array" ref="J932">IFERROR(
 (SUMPRODUCT(ISNUMBER(SEARCH(","&amp;Справочник_ОКВЭД_НР!$A$3:$A$62&amp;".",","&amp;SUBSTITUTE(F932," ","")&amp;",")))*Справочник_ОКВЭД_НР!$L$9 +
  SUMPRODUCT(ISNUMBER(SEARCH(","&amp;Справочник_ОКВЭД_НР!$C$3:$C$62&amp;".",","&amp;SUBSTITUTE(F932," ","")&amp;",")))*Справочник_ОКВЭД_НР!$L$10 +
  SUMPRODUCT(ISNUMBER(SEARCH(","&amp;Справочник_ОКВЭД_НР!$E$3:$E$62&amp;".",","&amp;SUBSTITUTE(F932," ","")&amp;",")))*Справочник_ОКВЭД_НР!$L$11 +
  SUMPRODUCT(ISNUMBER(SEARCH(","&amp;Справочник_ОКВЭД_НР!$G$3:$G$62&amp;".",","&amp;SUBSTITUTE(F932," ","")&amp;",")))*Справочник_ОКВЭД_НР!$L$12) /
 (SUMPRODUCT(ISNUMBER(SEARCH(","&amp;Справочник_ОКВЭД_НР!$A$3:$A$62&amp;".",","&amp;SUBSTITUTE(F932," ","")&amp;","))) +
  SUMPRODUCT(ISNUMBER(SEARCH(","&amp;Справочник_ОКВЭД_НР!$C$3:$C$62&amp;".",","&amp;SUBSTITUTE(F932," ","")&amp;","))) +
  SUMPRODUCT(ISNUMBER(SEARCH(","&amp;Справочник_ОКВЭД_НР!$E$3:$E$62&amp;".",","&amp;SUBSTITUTE(F932," ","")&amp;","))) +
  SUMPRODUCT(ISNUMBER(SEARCH(","&amp;Справочник_ОКВЭД_НР!$G$3:$G$62&amp;".",","&amp;SUBSTITUTE(F932," ","")&amp;",")))),
50)</f>
        <v>50</v>
      </c>
      <c r="K932" s="30">
        <f>IFERROR(VLOOKUP(G932,Справочник_ОКВЭД_НР!$O:$P,2,FALSE()),50)</f>
        <v>50</v>
      </c>
      <c r="L932" s="45">
        <f>(I932*Справочник_ОКВЭД_НР!$L$2+J932*Справочник_ОКВЭД_НР!$L$3+K932*Справочник_ОКВЭД_НР!$L$4)*M932</f>
        <v>56</v>
      </c>
      <c r="M932" s="47">
        <f>IF(COUNTIF(Справочник_ОКВЭД_НР!$G$3:$G$62,H932)&gt;0,0,1)</f>
        <v>1</v>
      </c>
    </row>
    <row r="933" spans="1:13" x14ac:dyDescent="0.25">
      <c r="A933" s="4">
        <f>ЛИК_дляСкорингаДП!A933</f>
        <v>1107746010382</v>
      </c>
      <c r="B933" s="4">
        <f>ЛИК_дляСкорингаДП!B933</f>
        <v>7715791716</v>
      </c>
      <c r="C933" s="4" t="str">
        <f>ЛИК_дляСкорингаДП!C933</f>
        <v>ООО "УМНАЯ ЭЛЕКТРОНИКА"</v>
      </c>
      <c r="D933" s="5" t="str">
        <f>ЛИК_дляСкорингаДП!M933</f>
        <v>Торговля розничная, осуществляемая непосредственно при помощи информационно-коммуникационной сети Интернет</v>
      </c>
      <c r="E933" s="4" t="str">
        <f>ЛИК_дляСкорингаДП!L933</f>
        <v>47.91.2</v>
      </c>
      <c r="F933" t="str">
        <f>ЛИК_дляСкорингаДП!N933</f>
        <v>33.14,33.20,43.2,43.21,43.22,43.29,43.99.1,47.42,47.91.3,47.91.4</v>
      </c>
      <c r="G933" s="25" t="str">
        <f>ЛИК_дляСкорингаДП!AG933</f>
        <v>УСН</v>
      </c>
      <c r="H933" s="55" t="str">
        <f>IF(ISNUMBER(E933),E933,
IFERROR(LEFT(E933,FIND(".",E933)-1),E933))</f>
        <v>47</v>
      </c>
      <c r="I933" s="30">
        <f>IF(COUNTIF(Справочник_ОКВЭД_НР!$A$3:$A$62,H933)&gt;0,Справочник_ОКВЭД_НР!$L$8,
 IF(COUNTIF(Справочник_ОКВЭД_НР!$C$3:$C$62,H933)&gt;0,Справочник_ОКВЭД_НР!$L$9,
  IF(COUNTIF(Справочник_ОКВЭД_НР!$E$3:$E$62,H933)&gt;0,Справочник_ОКВЭД_НР!$L$10,
   IF(COUNTIF(Справочник_ОКВЭД_НР!$G$3:$G$62,H933)&gt;0,Справочник_ОКВЭД_НР!$L$11,50))))</f>
        <v>60</v>
      </c>
      <c r="J933" s="30" cm="1">
        <f t="array" ref="J933">IFERROR(
 (SUMPRODUCT(ISNUMBER(SEARCH(","&amp;Справочник_ОКВЭД_НР!$A$3:$A$62&amp;".",","&amp;SUBSTITUTE(F933," ","")&amp;",")))*Справочник_ОКВЭД_НР!$L$9 +
  SUMPRODUCT(ISNUMBER(SEARCH(","&amp;Справочник_ОКВЭД_НР!$C$3:$C$62&amp;".",","&amp;SUBSTITUTE(F933," ","")&amp;",")))*Справочник_ОКВЭД_НР!$L$10 +
  SUMPRODUCT(ISNUMBER(SEARCH(","&amp;Справочник_ОКВЭД_НР!$E$3:$E$62&amp;".",","&amp;SUBSTITUTE(F933," ","")&amp;",")))*Справочник_ОКВЭД_НР!$L$11 +
  SUMPRODUCT(ISNUMBER(SEARCH(","&amp;Справочник_ОКВЭД_НР!$G$3:$G$62&amp;".",","&amp;SUBSTITUTE(F933," ","")&amp;",")))*Справочник_ОКВЭД_НР!$L$12) /
 (SUMPRODUCT(ISNUMBER(SEARCH(","&amp;Справочник_ОКВЭД_НР!$A$3:$A$62&amp;".",","&amp;SUBSTITUTE(F933," ","")&amp;","))) +
  SUMPRODUCT(ISNUMBER(SEARCH(","&amp;Справочник_ОКВЭД_НР!$C$3:$C$62&amp;".",","&amp;SUBSTITUTE(F933," ","")&amp;","))) +
  SUMPRODUCT(ISNUMBER(SEARCH(","&amp;Справочник_ОКВЭД_НР!$E$3:$E$62&amp;".",","&amp;SUBSTITUTE(F933," ","")&amp;","))) +
  SUMPRODUCT(ISNUMBER(SEARCH(","&amp;Справочник_ОКВЭД_НР!$G$3:$G$62&amp;".",","&amp;SUBSTITUTE(F933," ","")&amp;",")))),
50)</f>
        <v>50</v>
      </c>
      <c r="K933" s="30">
        <f>IFERROR(VLOOKUP(G933,Справочник_ОКВЭД_НР!$O:$P,2,FALSE()),50)</f>
        <v>50</v>
      </c>
      <c r="L933" s="45">
        <f>(I933*Справочник_ОКВЭД_НР!$L$2+J933*Справочник_ОКВЭД_НР!$L$3+K933*Справочник_ОКВЭД_НР!$L$4)*M933</f>
        <v>56</v>
      </c>
      <c r="M933" s="47">
        <f>IF(COUNTIF(Справочник_ОКВЭД_НР!$G$3:$G$62,H933)&gt;0,0,1)</f>
        <v>1</v>
      </c>
    </row>
    <row r="934" spans="1:13" x14ac:dyDescent="0.25">
      <c r="A934" s="4">
        <f>ЛИК_дляСкорингаДП!A934</f>
        <v>1157746683016</v>
      </c>
      <c r="B934" s="4">
        <f>ЛИК_дляСкорингаДП!B934</f>
        <v>7743112525</v>
      </c>
      <c r="C934" s="4" t="str">
        <f>ЛИК_дляСкорингаДП!C934</f>
        <v>ООО "БИОТРАНС"</v>
      </c>
      <c r="D934" s="5" t="str">
        <f>ЛИК_дляСкорингаДП!M934</f>
        <v>Деятельность по складированию и хранению</v>
      </c>
      <c r="E934" s="4" t="str">
        <f>ЛИК_дляСкорингаДП!L934</f>
        <v>52.10</v>
      </c>
      <c r="F934" t="str">
        <f>ЛИК_дляСкорингаДП!N934</f>
        <v>46.46.1,49.4,52.29,66.22</v>
      </c>
      <c r="G934" s="25" t="str">
        <f>ЛИК_дляСкорингаДП!AG934</f>
        <v>УСН</v>
      </c>
      <c r="H934" s="55" t="str">
        <f>IF(ISNUMBER(E934),E934,
IFERROR(LEFT(E934,FIND(".",E934)-1),E934))</f>
        <v>52</v>
      </c>
      <c r="I934" s="30">
        <f>IF(COUNTIF(Справочник_ОКВЭД_НР!$A$3:$A$62,H934)&gt;0,Справочник_ОКВЭД_НР!$L$8,
 IF(COUNTIF(Справочник_ОКВЭД_НР!$C$3:$C$62,H934)&gt;0,Справочник_ОКВЭД_НР!$L$9,
  IF(COUNTIF(Справочник_ОКВЭД_НР!$E$3:$E$62,H934)&gt;0,Справочник_ОКВЭД_НР!$L$10,
   IF(COUNTIF(Справочник_ОКВЭД_НР!$G$3:$G$62,H934)&gt;0,Справочник_ОКВЭД_НР!$L$11,50))))</f>
        <v>60</v>
      </c>
      <c r="J934" s="30" cm="1">
        <f t="array" ref="J934">IFERROR(
 (SUMPRODUCT(ISNUMBER(SEARCH(","&amp;Справочник_ОКВЭД_НР!$A$3:$A$62&amp;".",","&amp;SUBSTITUTE(F934," ","")&amp;",")))*Справочник_ОКВЭД_НР!$L$9 +
  SUMPRODUCT(ISNUMBER(SEARCH(","&amp;Справочник_ОКВЭД_НР!$C$3:$C$62&amp;".",","&amp;SUBSTITUTE(F934," ","")&amp;",")))*Справочник_ОКВЭД_НР!$L$10 +
  SUMPRODUCT(ISNUMBER(SEARCH(","&amp;Справочник_ОКВЭД_НР!$E$3:$E$62&amp;".",","&amp;SUBSTITUTE(F934," ","")&amp;",")))*Справочник_ОКВЭД_НР!$L$11 +
  SUMPRODUCT(ISNUMBER(SEARCH(","&amp;Справочник_ОКВЭД_НР!$G$3:$G$62&amp;".",","&amp;SUBSTITUTE(F934," ","")&amp;",")))*Справочник_ОКВЭД_НР!$L$12) /
 (SUMPRODUCT(ISNUMBER(SEARCH(","&amp;Справочник_ОКВЭД_НР!$A$3:$A$62&amp;".",","&amp;SUBSTITUTE(F934," ","")&amp;","))) +
  SUMPRODUCT(ISNUMBER(SEARCH(","&amp;Справочник_ОКВЭД_НР!$C$3:$C$62&amp;".",","&amp;SUBSTITUTE(F934," ","")&amp;","))) +
  SUMPRODUCT(ISNUMBER(SEARCH(","&amp;Справочник_ОКВЭД_НР!$E$3:$E$62&amp;".",","&amp;SUBSTITUTE(F934," ","")&amp;","))) +
  SUMPRODUCT(ISNUMBER(SEARCH(","&amp;Справочник_ОКВЭД_НР!$G$3:$G$62&amp;".",","&amp;SUBSTITUTE(F934," ","")&amp;",")))),
50)</f>
        <v>50</v>
      </c>
      <c r="K934" s="30">
        <f>IFERROR(VLOOKUP(G934,Справочник_ОКВЭД_НР!$O:$P,2,FALSE()),50)</f>
        <v>50</v>
      </c>
      <c r="L934" s="45">
        <f>(I934*Справочник_ОКВЭД_НР!$L$2+J934*Справочник_ОКВЭД_НР!$L$3+K934*Справочник_ОКВЭД_НР!$L$4)*M934</f>
        <v>56</v>
      </c>
      <c r="M934" s="47">
        <f>IF(COUNTIF(Справочник_ОКВЭД_НР!$G$3:$G$62,H934)&gt;0,0,1)</f>
        <v>1</v>
      </c>
    </row>
    <row r="935" spans="1:13" x14ac:dyDescent="0.25">
      <c r="A935" s="4">
        <f>ЛИК_дляСкорингаДП!A935</f>
        <v>1117746990349</v>
      </c>
      <c r="B935" s="4">
        <f>ЛИК_дляСкорингаДП!B935</f>
        <v>7723821428</v>
      </c>
      <c r="C935" s="4" t="str">
        <f>ЛИК_дляСкорингаДП!C935</f>
        <v>ООО "КАР СИТИ"</v>
      </c>
      <c r="D935" s="5" t="str">
        <f>ЛИК_дляСкорингаДП!M935</f>
        <v>Мойка автотранспортных средств, полирование и предоставление аналогичных услуг</v>
      </c>
      <c r="E935" s="4" t="str">
        <f>ЛИК_дляСкорингаДП!L935</f>
        <v>45.20.3</v>
      </c>
      <c r="F935" t="str">
        <f>ЛИК_дляСкорингаДП!N935</f>
        <v>45.1,45.11.4,45.19.1,45.19.2,45.19.3,45.19.4,45.2,45.20.1,45.3,45.31.1,45.31.2,45.32,45.4,45.40.1,45.40.2,45.40.3,45.40.4,45.40.5,47.3,47.9,47.91.1,47.91.2,47.91.3,47.91.4,47.99,49.32,49.39,49.41,49.42,52.10,52.24,52.24.1,52.24.2,52.29,56.10,56.10.1,56.10.3,56.3,74.20,74.30,77.12,82.92,82.99</v>
      </c>
      <c r="G935" s="25" t="str">
        <f>ЛИК_дляСкорингаДП!AG935</f>
        <v>УСН</v>
      </c>
      <c r="H935" s="55" t="str">
        <f>IF(ISNUMBER(E935),E935,
IFERROR(LEFT(E935,FIND(".",E935)-1),E935))</f>
        <v>45</v>
      </c>
      <c r="I935" s="30">
        <f>IF(COUNTIF(Справочник_ОКВЭД_НР!$A$3:$A$62,H935)&gt;0,Справочник_ОКВЭД_НР!$L$8,
 IF(COUNTIF(Справочник_ОКВЭД_НР!$C$3:$C$62,H935)&gt;0,Справочник_ОКВЭД_НР!$L$9,
  IF(COUNTIF(Справочник_ОКВЭД_НР!$E$3:$E$62,H935)&gt;0,Справочник_ОКВЭД_НР!$L$10,
   IF(COUNTIF(Справочник_ОКВЭД_НР!$G$3:$G$62,H935)&gt;0,Справочник_ОКВЭД_НР!$L$11,50))))</f>
        <v>60</v>
      </c>
      <c r="J935" s="30" cm="1">
        <f t="array" ref="J935">IFERROR(
 (SUMPRODUCT(ISNUMBER(SEARCH(","&amp;Справочник_ОКВЭД_НР!$A$3:$A$62&amp;".",","&amp;SUBSTITUTE(F935," ","")&amp;",")))*Справочник_ОКВЭД_НР!$L$9 +
  SUMPRODUCT(ISNUMBER(SEARCH(","&amp;Справочник_ОКВЭД_НР!$C$3:$C$62&amp;".",","&amp;SUBSTITUTE(F935," ","")&amp;",")))*Справочник_ОКВЭД_НР!$L$10 +
  SUMPRODUCT(ISNUMBER(SEARCH(","&amp;Справочник_ОКВЭД_НР!$E$3:$E$62&amp;".",","&amp;SUBSTITUTE(F935," ","")&amp;",")))*Справочник_ОКВЭД_НР!$L$11 +
  SUMPRODUCT(ISNUMBER(SEARCH(","&amp;Справочник_ОКВЭД_НР!$G$3:$G$62&amp;".",","&amp;SUBSTITUTE(F935," ","")&amp;",")))*Справочник_ОКВЭД_НР!$L$12) /
 (SUMPRODUCT(ISNUMBER(SEARCH(","&amp;Справочник_ОКВЭД_НР!$A$3:$A$62&amp;".",","&amp;SUBSTITUTE(F935," ","")&amp;","))) +
  SUMPRODUCT(ISNUMBER(SEARCH(","&amp;Справочник_ОКВЭД_НР!$C$3:$C$62&amp;".",","&amp;SUBSTITUTE(F935," ","")&amp;","))) +
  SUMPRODUCT(ISNUMBER(SEARCH(","&amp;Справочник_ОКВЭД_НР!$E$3:$E$62&amp;".",","&amp;SUBSTITUTE(F935," ","")&amp;","))) +
  SUMPRODUCT(ISNUMBER(SEARCH(","&amp;Справочник_ОКВЭД_НР!$G$3:$G$62&amp;".",","&amp;SUBSTITUTE(F935," ","")&amp;",")))),
50)</f>
        <v>50</v>
      </c>
      <c r="K935" s="30">
        <f>IFERROR(VLOOKUP(G935,Справочник_ОКВЭД_НР!$O:$P,2,FALSE()),50)</f>
        <v>50</v>
      </c>
      <c r="L935" s="45">
        <f>(I935*Справочник_ОКВЭД_НР!$L$2+J935*Справочник_ОКВЭД_НР!$L$3+K935*Справочник_ОКВЭД_НР!$L$4)*M935</f>
        <v>56</v>
      </c>
      <c r="M935" s="47">
        <f>IF(COUNTIF(Справочник_ОКВЭД_НР!$G$3:$G$62,H935)&gt;0,0,1)</f>
        <v>1</v>
      </c>
    </row>
    <row r="936" spans="1:13" x14ac:dyDescent="0.25">
      <c r="A936" s="4">
        <f>ЛИК_дляСкорингаДП!A936</f>
        <v>1157746581849</v>
      </c>
      <c r="B936" s="4">
        <f>ЛИК_дляСкорингаДП!B936</f>
        <v>7701356618</v>
      </c>
      <c r="C936" s="4" t="str">
        <f>ЛИК_дляСкорингаДП!C936</f>
        <v>ООО "ОЛИМП-БИЗНЕС"</v>
      </c>
      <c r="D936" s="5" t="str">
        <f>ЛИК_дляСкорингаДП!M936</f>
        <v>Издание книг</v>
      </c>
      <c r="E936" s="4" t="str">
        <f>ЛИК_дляСкорингаДП!L936</f>
        <v>58.11</v>
      </c>
      <c r="F936" t="str">
        <f>ЛИК_дляСкорингаДП!N936</f>
        <v>18.12,18.13,18.14,18.20,47.61,47.62.1,52.29,93.29.9</v>
      </c>
      <c r="G936" s="25" t="str">
        <f>ЛИК_дляСкорингаДП!AG936</f>
        <v>УСН</v>
      </c>
      <c r="H936" s="55" t="str">
        <f>IF(ISNUMBER(E936),E936,
IFERROR(LEFT(E936,FIND(".",E936)-1),E936))</f>
        <v>58</v>
      </c>
      <c r="I936" s="30">
        <f>IF(COUNTIF(Справочник_ОКВЭД_НР!$A$3:$A$62,H936)&gt;0,Справочник_ОКВЭД_НР!$L$8,
 IF(COUNTIF(Справочник_ОКВЭД_НР!$C$3:$C$62,H936)&gt;0,Справочник_ОКВЭД_НР!$L$9,
  IF(COUNTIF(Справочник_ОКВЭД_НР!$E$3:$E$62,H936)&gt;0,Справочник_ОКВЭД_НР!$L$10,
   IF(COUNTIF(Справочник_ОКВЭД_НР!$G$3:$G$62,H936)&gt;0,Справочник_ОКВЭД_НР!$L$11,50))))</f>
        <v>30</v>
      </c>
      <c r="J936" s="30" cm="1">
        <f t="array" ref="J936">IFERROR(
 (SUMPRODUCT(ISNUMBER(SEARCH(","&amp;Справочник_ОКВЭД_НР!$A$3:$A$62&amp;".",","&amp;SUBSTITUTE(F936," ","")&amp;",")))*Справочник_ОКВЭД_НР!$L$9 +
  SUMPRODUCT(ISNUMBER(SEARCH(","&amp;Справочник_ОКВЭД_НР!$C$3:$C$62&amp;".",","&amp;SUBSTITUTE(F936," ","")&amp;",")))*Справочник_ОКВЭД_НР!$L$10 +
  SUMPRODUCT(ISNUMBER(SEARCH(","&amp;Справочник_ОКВЭД_НР!$E$3:$E$62&amp;".",","&amp;SUBSTITUTE(F936," ","")&amp;",")))*Справочник_ОКВЭД_НР!$L$11 +
  SUMPRODUCT(ISNUMBER(SEARCH(","&amp;Справочник_ОКВЭД_НР!$G$3:$G$62&amp;".",","&amp;SUBSTITUTE(F936," ","")&amp;",")))*Справочник_ОКВЭД_НР!$L$12) /
 (SUMPRODUCT(ISNUMBER(SEARCH(","&amp;Справочник_ОКВЭД_НР!$A$3:$A$62&amp;".",","&amp;SUBSTITUTE(F936," ","")&amp;","))) +
  SUMPRODUCT(ISNUMBER(SEARCH(","&amp;Справочник_ОКВЭД_НР!$C$3:$C$62&amp;".",","&amp;SUBSTITUTE(F936," ","")&amp;","))) +
  SUMPRODUCT(ISNUMBER(SEARCH(","&amp;Справочник_ОКВЭД_НР!$E$3:$E$62&amp;".",","&amp;SUBSTITUTE(F936," ","")&amp;","))) +
  SUMPRODUCT(ISNUMBER(SEARCH(","&amp;Справочник_ОКВЭД_НР!$G$3:$G$62&amp;".",","&amp;SUBSTITUTE(F936," ","")&amp;",")))),
50)</f>
        <v>50</v>
      </c>
      <c r="K936" s="30">
        <f>IFERROR(VLOOKUP(G936,Справочник_ОКВЭД_НР!$O:$P,2,FALSE()),50)</f>
        <v>50</v>
      </c>
      <c r="L936" s="45">
        <f>(I936*Справочник_ОКВЭД_НР!$L$2+J936*Справочник_ОКВЭД_НР!$L$3+K936*Справочник_ОКВЭД_НР!$L$4)*M936</f>
        <v>38</v>
      </c>
      <c r="M936" s="47">
        <f>IF(COUNTIF(Справочник_ОКВЭД_НР!$G$3:$G$62,H936)&gt;0,0,1)</f>
        <v>1</v>
      </c>
    </row>
    <row r="937" spans="1:13" x14ac:dyDescent="0.25">
      <c r="A937" s="4">
        <f>ЛИК_дляСкорингаДП!A937</f>
        <v>1107746085721</v>
      </c>
      <c r="B937" s="4">
        <f>ЛИК_дляСкорингаДП!B937</f>
        <v>7730621620</v>
      </c>
      <c r="C937" s="4" t="str">
        <f>ЛИК_дляСкорингаДП!C937</f>
        <v>ООО "САММЕД"</v>
      </c>
      <c r="D937" s="5" t="str">
        <f>ЛИК_дляСкорингаДП!M937</f>
        <v>Торговля оптовая фармацевтической продукцией</v>
      </c>
      <c r="E937" s="4" t="str">
        <f>ЛИК_дляСкорингаДП!L937</f>
        <v>46.46</v>
      </c>
      <c r="F937" t="str">
        <f>ЛИК_дляСкорингаДП!N937</f>
        <v>46.46.1,47.74</v>
      </c>
      <c r="G937" s="25" t="str">
        <f>ЛИК_дляСкорингаДП!AG937</f>
        <v>УСН</v>
      </c>
      <c r="H937" s="55" t="str">
        <f>IF(ISNUMBER(E937),E937,
IFERROR(LEFT(E937,FIND(".",E937)-1),E937))</f>
        <v>46</v>
      </c>
      <c r="I937" s="30">
        <f>IF(COUNTIF(Справочник_ОКВЭД_НР!$A$3:$A$62,H937)&gt;0,Справочник_ОКВЭД_НР!$L$8,
 IF(COUNTIF(Справочник_ОКВЭД_НР!$C$3:$C$62,H937)&gt;0,Справочник_ОКВЭД_НР!$L$9,
  IF(COUNTIF(Справочник_ОКВЭД_НР!$E$3:$E$62,H937)&gt;0,Справочник_ОКВЭД_НР!$L$10,
   IF(COUNTIF(Справочник_ОКВЭД_НР!$G$3:$G$62,H937)&gt;0,Справочник_ОКВЭД_НР!$L$11,50))))</f>
        <v>60</v>
      </c>
      <c r="J937" s="30" cm="1">
        <f t="array" ref="J937">IFERROR(
 (SUMPRODUCT(ISNUMBER(SEARCH(","&amp;Справочник_ОКВЭД_НР!$A$3:$A$62&amp;".",","&amp;SUBSTITUTE(F937," ","")&amp;",")))*Справочник_ОКВЭД_НР!$L$9 +
  SUMPRODUCT(ISNUMBER(SEARCH(","&amp;Справочник_ОКВЭД_НР!$C$3:$C$62&amp;".",","&amp;SUBSTITUTE(F937," ","")&amp;",")))*Справочник_ОКВЭД_НР!$L$10 +
  SUMPRODUCT(ISNUMBER(SEARCH(","&amp;Справочник_ОКВЭД_НР!$E$3:$E$62&amp;".",","&amp;SUBSTITUTE(F937," ","")&amp;",")))*Справочник_ОКВЭД_НР!$L$11 +
  SUMPRODUCT(ISNUMBER(SEARCH(","&amp;Справочник_ОКВЭД_НР!$G$3:$G$62&amp;".",","&amp;SUBSTITUTE(F937," ","")&amp;",")))*Справочник_ОКВЭД_НР!$L$12) /
 (SUMPRODUCT(ISNUMBER(SEARCH(","&amp;Справочник_ОКВЭД_НР!$A$3:$A$62&amp;".",","&amp;SUBSTITUTE(F937," ","")&amp;","))) +
  SUMPRODUCT(ISNUMBER(SEARCH(","&amp;Справочник_ОКВЭД_НР!$C$3:$C$62&amp;".",","&amp;SUBSTITUTE(F937," ","")&amp;","))) +
  SUMPRODUCT(ISNUMBER(SEARCH(","&amp;Справочник_ОКВЭД_НР!$E$3:$E$62&amp;".",","&amp;SUBSTITUTE(F937," ","")&amp;","))) +
  SUMPRODUCT(ISNUMBER(SEARCH(","&amp;Справочник_ОКВЭД_НР!$G$3:$G$62&amp;".",","&amp;SUBSTITUTE(F937," ","")&amp;",")))),
50)</f>
        <v>50</v>
      </c>
      <c r="K937" s="30">
        <f>IFERROR(VLOOKUP(G937,Справочник_ОКВЭД_НР!$O:$P,2,FALSE()),50)</f>
        <v>50</v>
      </c>
      <c r="L937" s="45">
        <f>(I937*Справочник_ОКВЭД_НР!$L$2+J937*Справочник_ОКВЭД_НР!$L$3+K937*Справочник_ОКВЭД_НР!$L$4)*M937</f>
        <v>56</v>
      </c>
      <c r="M937" s="47">
        <f>IF(COUNTIF(Справочник_ОКВЭД_НР!$G$3:$G$62,H937)&gt;0,0,1)</f>
        <v>1</v>
      </c>
    </row>
    <row r="938" spans="1:13" x14ac:dyDescent="0.25">
      <c r="A938" s="4">
        <f>ЛИК_дляСкорингаДП!A938</f>
        <v>1107746086491</v>
      </c>
      <c r="B938" s="4">
        <f>ЛИК_дляСкорингаДП!B938</f>
        <v>7728726143</v>
      </c>
      <c r="C938" s="4" t="str">
        <f>ЛИК_дляСкорингаДП!C938</f>
        <v>ООО "ПРОФГЕОКОМ"</v>
      </c>
      <c r="D938" s="5" t="str">
        <f>ЛИК_дляСкорингаДП!M938</f>
        <v>Деятельность геодезическая и картографическая</v>
      </c>
      <c r="E938" s="4" t="str">
        <f>ЛИК_дляСкорингаДП!L938</f>
        <v>71.12.4</v>
      </c>
      <c r="F938" t="str">
        <f>ЛИК_дляСкорингаДП!N938</f>
        <v>71.12.41,71.12.42,71.12.45,71.12.9</v>
      </c>
      <c r="G938" s="25" t="str">
        <f>ЛИК_дляСкорингаДП!AG938</f>
        <v>УСН</v>
      </c>
      <c r="H938" s="55" t="str">
        <f>IF(ISNUMBER(E938),E938,
IFERROR(LEFT(E938,FIND(".",E938)-1),E938))</f>
        <v>71</v>
      </c>
      <c r="I938" s="30">
        <f>IF(COUNTIF(Справочник_ОКВЭД_НР!$A$3:$A$62,H938)&gt;0,Справочник_ОКВЭД_НР!$L$8,
 IF(COUNTIF(Справочник_ОКВЭД_НР!$C$3:$C$62,H938)&gt;0,Справочник_ОКВЭД_НР!$L$9,
  IF(COUNTIF(Справочник_ОКВЭД_НР!$E$3:$E$62,H938)&gt;0,Справочник_ОКВЭД_НР!$L$10,
   IF(COUNTIF(Справочник_ОКВЭД_НР!$G$3:$G$62,H938)&gt;0,Справочник_ОКВЭД_НР!$L$11,50))))</f>
        <v>100</v>
      </c>
      <c r="J938" s="30" cm="1">
        <f t="array" ref="J938">IFERROR(
 (SUMPRODUCT(ISNUMBER(SEARCH(","&amp;Справочник_ОКВЭД_НР!$A$3:$A$62&amp;".",","&amp;SUBSTITUTE(F938," ","")&amp;",")))*Справочник_ОКВЭД_НР!$L$9 +
  SUMPRODUCT(ISNUMBER(SEARCH(","&amp;Справочник_ОКВЭД_НР!$C$3:$C$62&amp;".",","&amp;SUBSTITUTE(F938," ","")&amp;",")))*Справочник_ОКВЭД_НР!$L$10 +
  SUMPRODUCT(ISNUMBER(SEARCH(","&amp;Справочник_ОКВЭД_НР!$E$3:$E$62&amp;".",","&amp;SUBSTITUTE(F938," ","")&amp;",")))*Справочник_ОКВЭД_НР!$L$11 +
  SUMPRODUCT(ISNUMBER(SEARCH(","&amp;Справочник_ОКВЭД_НР!$G$3:$G$62&amp;".",","&amp;SUBSTITUTE(F938," ","")&amp;",")))*Справочник_ОКВЭД_НР!$L$12) /
 (SUMPRODUCT(ISNUMBER(SEARCH(","&amp;Справочник_ОКВЭД_НР!$A$3:$A$62&amp;".",","&amp;SUBSTITUTE(F938," ","")&amp;","))) +
  SUMPRODUCT(ISNUMBER(SEARCH(","&amp;Справочник_ОКВЭД_НР!$C$3:$C$62&amp;".",","&amp;SUBSTITUTE(F938," ","")&amp;","))) +
  SUMPRODUCT(ISNUMBER(SEARCH(","&amp;Справочник_ОКВЭД_НР!$E$3:$E$62&amp;".",","&amp;SUBSTITUTE(F938," ","")&amp;","))) +
  SUMPRODUCT(ISNUMBER(SEARCH(","&amp;Справочник_ОКВЭД_НР!$G$3:$G$62&amp;".",","&amp;SUBSTITUTE(F938," ","")&amp;",")))),
50)</f>
        <v>50</v>
      </c>
      <c r="K938" s="30">
        <f>IFERROR(VLOOKUP(G938,Справочник_ОКВЭД_НР!$O:$P,2,FALSE()),50)</f>
        <v>50</v>
      </c>
      <c r="L938" s="45">
        <f>(I938*Справочник_ОКВЭД_НР!$L$2+J938*Справочник_ОКВЭД_НР!$L$3+K938*Справочник_ОКВЭД_НР!$L$4)*M938</f>
        <v>80</v>
      </c>
      <c r="M938" s="47">
        <f>IF(COUNTIF(Справочник_ОКВЭД_НР!$G$3:$G$62,H938)&gt;0,0,1)</f>
        <v>1</v>
      </c>
    </row>
    <row r="939" spans="1:13" x14ac:dyDescent="0.25">
      <c r="A939" s="4">
        <f>ЛИК_дляСкорингаДП!A939</f>
        <v>1157746748081</v>
      </c>
      <c r="B939" s="4">
        <f>ЛИК_дляСкорингаДП!B939</f>
        <v>7709465626</v>
      </c>
      <c r="C939" s="4" t="str">
        <f>ЛИК_дляСкорингаДП!C939</f>
        <v>ООО "КРАСКИ АНГЛИИ"</v>
      </c>
      <c r="D939" s="5" t="str">
        <f>ЛИК_дляСкорингаДП!M939</f>
        <v>Торговля розничная лакокрасочными материалами в специализированных магазинах</v>
      </c>
      <c r="E939" s="4" t="str">
        <f>ЛИК_дляСкорингаДП!L939</f>
        <v>47.52.2</v>
      </c>
      <c r="F939" t="str">
        <f>ЛИК_дляСкорингаДП!N939</f>
        <v>46.73.3,46.73.4,46.73.5,46.73.6</v>
      </c>
      <c r="G939" s="25" t="str">
        <f>ЛИК_дляСкорингаДП!AG939</f>
        <v>УСН</v>
      </c>
      <c r="H939" s="55" t="str">
        <f>IF(ISNUMBER(E939),E939,
IFERROR(LEFT(E939,FIND(".",E939)-1),E939))</f>
        <v>47</v>
      </c>
      <c r="I939" s="30">
        <f>IF(COUNTIF(Справочник_ОКВЭД_НР!$A$3:$A$62,H939)&gt;0,Справочник_ОКВЭД_НР!$L$8,
 IF(COUNTIF(Справочник_ОКВЭД_НР!$C$3:$C$62,H939)&gt;0,Справочник_ОКВЭД_НР!$L$9,
  IF(COUNTIF(Справочник_ОКВЭД_НР!$E$3:$E$62,H939)&gt;0,Справочник_ОКВЭД_НР!$L$10,
   IF(COUNTIF(Справочник_ОКВЭД_НР!$G$3:$G$62,H939)&gt;0,Справочник_ОКВЭД_НР!$L$11,50))))</f>
        <v>60</v>
      </c>
      <c r="J939" s="30" cm="1">
        <f t="array" ref="J939">IFERROR(
 (SUMPRODUCT(ISNUMBER(SEARCH(","&amp;Справочник_ОКВЭД_НР!$A$3:$A$62&amp;".",","&amp;SUBSTITUTE(F939," ","")&amp;",")))*Справочник_ОКВЭД_НР!$L$9 +
  SUMPRODUCT(ISNUMBER(SEARCH(","&amp;Справочник_ОКВЭД_НР!$C$3:$C$62&amp;".",","&amp;SUBSTITUTE(F939," ","")&amp;",")))*Справочник_ОКВЭД_НР!$L$10 +
  SUMPRODUCT(ISNUMBER(SEARCH(","&amp;Справочник_ОКВЭД_НР!$E$3:$E$62&amp;".",","&amp;SUBSTITUTE(F939," ","")&amp;",")))*Справочник_ОКВЭД_НР!$L$11 +
  SUMPRODUCT(ISNUMBER(SEARCH(","&amp;Справочник_ОКВЭД_НР!$G$3:$G$62&amp;".",","&amp;SUBSTITUTE(F939," ","")&amp;",")))*Справочник_ОКВЭД_НР!$L$12) /
 (SUMPRODUCT(ISNUMBER(SEARCH(","&amp;Справочник_ОКВЭД_НР!$A$3:$A$62&amp;".",","&amp;SUBSTITUTE(F939," ","")&amp;","))) +
  SUMPRODUCT(ISNUMBER(SEARCH(","&amp;Справочник_ОКВЭД_НР!$C$3:$C$62&amp;".",","&amp;SUBSTITUTE(F939," ","")&amp;","))) +
  SUMPRODUCT(ISNUMBER(SEARCH(","&amp;Справочник_ОКВЭД_НР!$E$3:$E$62&amp;".",","&amp;SUBSTITUTE(F939," ","")&amp;","))) +
  SUMPRODUCT(ISNUMBER(SEARCH(","&amp;Справочник_ОКВЭД_НР!$G$3:$G$62&amp;".",","&amp;SUBSTITUTE(F939," ","")&amp;",")))),
50)</f>
        <v>50</v>
      </c>
      <c r="K939" s="30">
        <f>IFERROR(VLOOKUP(G939,Справочник_ОКВЭД_НР!$O:$P,2,FALSE()),50)</f>
        <v>50</v>
      </c>
      <c r="L939" s="45">
        <f>(I939*Справочник_ОКВЭД_НР!$L$2+J939*Справочник_ОКВЭД_НР!$L$3+K939*Справочник_ОКВЭД_НР!$L$4)*M939</f>
        <v>56</v>
      </c>
      <c r="M939" s="47">
        <f>IF(COUNTIF(Справочник_ОКВЭД_НР!$G$3:$G$62,H939)&gt;0,0,1)</f>
        <v>1</v>
      </c>
    </row>
    <row r="940" spans="1:13" x14ac:dyDescent="0.25">
      <c r="A940" s="4">
        <f>ЛИК_дляСкорингаДП!A940</f>
        <v>1157746648289</v>
      </c>
      <c r="B940" s="4">
        <f>ЛИК_дляСкорингаДП!B940</f>
        <v>7708261980</v>
      </c>
      <c r="C940" s="4" t="str">
        <f>ЛИК_дляСкорингаДП!C940</f>
        <v>ООО "НИТРОГАЗ"</v>
      </c>
      <c r="D940" s="5" t="str">
        <f>ЛИК_дляСкорингаДП!M940</f>
        <v>Торговля оптовая промышленными химикатами</v>
      </c>
      <c r="E940" s="4" t="str">
        <f>ЛИК_дляСкорингаДП!L940</f>
        <v>46.75.2</v>
      </c>
      <c r="F940" t="str">
        <f>ЛИК_дляСкорингаДП!N940</f>
        <v>25.11,42.21,43.21,43.29,43.99,46.18.9,46.46,46.90,47.78.9,47.9,47.91.2,47.91.3,47.91.4,52.24,52.29</v>
      </c>
      <c r="G940" s="25" t="str">
        <f>ЛИК_дляСкорингаДП!AG940</f>
        <v>УСН</v>
      </c>
      <c r="H940" s="55" t="str">
        <f>IF(ISNUMBER(E940),E940,
IFERROR(LEFT(E940,FIND(".",E940)-1),E940))</f>
        <v>46</v>
      </c>
      <c r="I940" s="30">
        <f>IF(COUNTIF(Справочник_ОКВЭД_НР!$A$3:$A$62,H940)&gt;0,Справочник_ОКВЭД_НР!$L$8,
 IF(COUNTIF(Справочник_ОКВЭД_НР!$C$3:$C$62,H940)&gt;0,Справочник_ОКВЭД_НР!$L$9,
  IF(COUNTIF(Справочник_ОКВЭД_НР!$E$3:$E$62,H940)&gt;0,Справочник_ОКВЭД_НР!$L$10,
   IF(COUNTIF(Справочник_ОКВЭД_НР!$G$3:$G$62,H940)&gt;0,Справочник_ОКВЭД_НР!$L$11,50))))</f>
        <v>60</v>
      </c>
      <c r="J940" s="30" cm="1">
        <f t="array" ref="J940">IFERROR(
 (SUMPRODUCT(ISNUMBER(SEARCH(","&amp;Справочник_ОКВЭД_НР!$A$3:$A$62&amp;".",","&amp;SUBSTITUTE(F940," ","")&amp;",")))*Справочник_ОКВЭД_НР!$L$9 +
  SUMPRODUCT(ISNUMBER(SEARCH(","&amp;Справочник_ОКВЭД_НР!$C$3:$C$62&amp;".",","&amp;SUBSTITUTE(F940," ","")&amp;",")))*Справочник_ОКВЭД_НР!$L$10 +
  SUMPRODUCT(ISNUMBER(SEARCH(","&amp;Справочник_ОКВЭД_НР!$E$3:$E$62&amp;".",","&amp;SUBSTITUTE(F940," ","")&amp;",")))*Справочник_ОКВЭД_НР!$L$11 +
  SUMPRODUCT(ISNUMBER(SEARCH(","&amp;Справочник_ОКВЭД_НР!$G$3:$G$62&amp;".",","&amp;SUBSTITUTE(F940," ","")&amp;",")))*Справочник_ОКВЭД_НР!$L$12) /
 (SUMPRODUCT(ISNUMBER(SEARCH(","&amp;Справочник_ОКВЭД_НР!$A$3:$A$62&amp;".",","&amp;SUBSTITUTE(F940," ","")&amp;","))) +
  SUMPRODUCT(ISNUMBER(SEARCH(","&amp;Справочник_ОКВЭД_НР!$C$3:$C$62&amp;".",","&amp;SUBSTITUTE(F940," ","")&amp;","))) +
  SUMPRODUCT(ISNUMBER(SEARCH(","&amp;Справочник_ОКВЭД_НР!$E$3:$E$62&amp;".",","&amp;SUBSTITUTE(F940," ","")&amp;","))) +
  SUMPRODUCT(ISNUMBER(SEARCH(","&amp;Справочник_ОКВЭД_НР!$G$3:$G$62&amp;".",","&amp;SUBSTITUTE(F940," ","")&amp;",")))),
50)</f>
        <v>50</v>
      </c>
      <c r="K940" s="30">
        <f>IFERROR(VLOOKUP(G940,Справочник_ОКВЭД_НР!$O:$P,2,FALSE()),50)</f>
        <v>50</v>
      </c>
      <c r="L940" s="45">
        <f>(I940*Справочник_ОКВЭД_НР!$L$2+J940*Справочник_ОКВЭД_НР!$L$3+K940*Справочник_ОКВЭД_НР!$L$4)*M940</f>
        <v>56</v>
      </c>
      <c r="M940" s="47">
        <f>IF(COUNTIF(Справочник_ОКВЭД_НР!$G$3:$G$62,H940)&gt;0,0,1)</f>
        <v>1</v>
      </c>
    </row>
    <row r="941" spans="1:13" x14ac:dyDescent="0.25">
      <c r="A941" s="4">
        <f>ЛИК_дляСкорингаДП!A941</f>
        <v>1087746214346</v>
      </c>
      <c r="B941" s="4">
        <f>ЛИК_дляСкорингаДП!B941</f>
        <v>7723648580</v>
      </c>
      <c r="C941" s="4" t="str">
        <f>ЛИК_дляСкорингаДП!C941</f>
        <v>ООО "СПЕЦ-ТРАНС"</v>
      </c>
      <c r="D941" s="5" t="str">
        <f>ЛИК_дляСкорингаДП!M941</f>
        <v>Деятельность по чистке и уборке прочая</v>
      </c>
      <c r="E941" s="4" t="str">
        <f>ЛИК_дляСкорингаДП!L941</f>
        <v>81.29</v>
      </c>
      <c r="F941" t="str">
        <f>ЛИК_дляСкорингаДП!N941</f>
        <v>49.3,49.31,49.32,52.10,52.29,56.10,56.10.1,56.10.3,56.29,56.29,56.30,64.99,68.10,68.20,73.11,77.11,77.39.11,81.22,81.29.2,81.29.9</v>
      </c>
      <c r="G941" s="25" t="str">
        <f>ЛИК_дляСкорингаДП!AG941</f>
        <v>УСН</v>
      </c>
      <c r="H941" s="55" t="str">
        <f>IF(ISNUMBER(E941),E941,
IFERROR(LEFT(E941,FIND(".",E941)-1),E941))</f>
        <v>81</v>
      </c>
      <c r="I941" s="30">
        <f>IF(COUNTIF(Справочник_ОКВЭД_НР!$A$3:$A$62,H941)&gt;0,Справочник_ОКВЭД_НР!$L$8,
 IF(COUNTIF(Справочник_ОКВЭД_НР!$C$3:$C$62,H941)&gt;0,Справочник_ОКВЭД_НР!$L$9,
  IF(COUNTIF(Справочник_ОКВЭД_НР!$E$3:$E$62,H941)&gt;0,Справочник_ОКВЭД_НР!$L$10,
   IF(COUNTIF(Справочник_ОКВЭД_НР!$G$3:$G$62,H941)&gt;0,Справочник_ОКВЭД_НР!$L$11,50))))</f>
        <v>30</v>
      </c>
      <c r="J941" s="30" cm="1">
        <f t="array" ref="J941">IFERROR(
 (SUMPRODUCT(ISNUMBER(SEARCH(","&amp;Справочник_ОКВЭД_НР!$A$3:$A$62&amp;".",","&amp;SUBSTITUTE(F941," ","")&amp;",")))*Справочник_ОКВЭД_НР!$L$9 +
  SUMPRODUCT(ISNUMBER(SEARCH(","&amp;Справочник_ОКВЭД_НР!$C$3:$C$62&amp;".",","&amp;SUBSTITUTE(F941," ","")&amp;",")))*Справочник_ОКВЭД_НР!$L$10 +
  SUMPRODUCT(ISNUMBER(SEARCH(","&amp;Справочник_ОКВЭД_НР!$E$3:$E$62&amp;".",","&amp;SUBSTITUTE(F941," ","")&amp;",")))*Справочник_ОКВЭД_НР!$L$11 +
  SUMPRODUCT(ISNUMBER(SEARCH(","&amp;Справочник_ОКВЭД_НР!$G$3:$G$62&amp;".",","&amp;SUBSTITUTE(F941," ","")&amp;",")))*Справочник_ОКВЭД_НР!$L$12) /
 (SUMPRODUCT(ISNUMBER(SEARCH(","&amp;Справочник_ОКВЭД_НР!$A$3:$A$62&amp;".",","&amp;SUBSTITUTE(F941," ","")&amp;","))) +
  SUMPRODUCT(ISNUMBER(SEARCH(","&amp;Справочник_ОКВЭД_НР!$C$3:$C$62&amp;".",","&amp;SUBSTITUTE(F941," ","")&amp;","))) +
  SUMPRODUCT(ISNUMBER(SEARCH(","&amp;Справочник_ОКВЭД_НР!$E$3:$E$62&amp;".",","&amp;SUBSTITUTE(F941," ","")&amp;","))) +
  SUMPRODUCT(ISNUMBER(SEARCH(","&amp;Справочник_ОКВЭД_НР!$G$3:$G$62&amp;".",","&amp;SUBSTITUTE(F941," ","")&amp;",")))),
50)</f>
        <v>50</v>
      </c>
      <c r="K941" s="30">
        <f>IFERROR(VLOOKUP(G941,Справочник_ОКВЭД_НР!$O:$P,2,FALSE()),50)</f>
        <v>50</v>
      </c>
      <c r="L941" s="45">
        <f>(I941*Справочник_ОКВЭД_НР!$L$2+J941*Справочник_ОКВЭД_НР!$L$3+K941*Справочник_ОКВЭД_НР!$L$4)*M941</f>
        <v>38</v>
      </c>
      <c r="M941" s="47">
        <f>IF(COUNTIF(Справочник_ОКВЭД_НР!$G$3:$G$62,H941)&gt;0,0,1)</f>
        <v>1</v>
      </c>
    </row>
    <row r="942" spans="1:13" x14ac:dyDescent="0.25">
      <c r="A942" s="4">
        <f>ЛИК_дляСкорингаДП!A942</f>
        <v>1107746182400</v>
      </c>
      <c r="B942" s="4">
        <f>ЛИК_дляСкорингаДП!B942</f>
        <v>7726648725</v>
      </c>
      <c r="C942" s="4" t="str">
        <f>ЛИК_дляСкорингаДП!C942</f>
        <v>ООО "СБЛ ГРУПП"</v>
      </c>
      <c r="D942" s="5" t="str">
        <f>ЛИК_дляСкорингаДП!M942</f>
        <v>Работы строительные специализированные прочие, не включенные в другие группировки</v>
      </c>
      <c r="E942" s="4" t="str">
        <f>ЛИК_дляСкорингаДП!L942</f>
        <v>43.99</v>
      </c>
      <c r="F942" t="str">
        <f>ЛИК_дляСкорингаДП!N942</f>
        <v>41.10,42.21,42.91,42.99,43.11,43.13,43.21,43.22,43.29,43.33,43.34,43.39,46.1,46.4,47.5,47.9,49.3,49.4,68.3,69,79.11</v>
      </c>
      <c r="G942" s="25" t="str">
        <f>ЛИК_дляСкорингаДП!AG942</f>
        <v>УСН</v>
      </c>
      <c r="H942" s="55" t="str">
        <f>IF(ISNUMBER(E942),E942,
IFERROR(LEFT(E942,FIND(".",E942)-1),E942))</f>
        <v>43</v>
      </c>
      <c r="I942" s="30">
        <f>IF(COUNTIF(Справочник_ОКВЭД_НР!$A$3:$A$62,H942)&gt;0,Справочник_ОКВЭД_НР!$L$8,
 IF(COUNTIF(Справочник_ОКВЭД_НР!$C$3:$C$62,H942)&gt;0,Справочник_ОКВЭД_НР!$L$9,
  IF(COUNTIF(Справочник_ОКВЭД_НР!$E$3:$E$62,H942)&gt;0,Справочник_ОКВЭД_НР!$L$10,
   IF(COUNTIF(Справочник_ОКВЭД_НР!$G$3:$G$62,H942)&gt;0,Справочник_ОКВЭД_НР!$L$11,50))))</f>
        <v>100</v>
      </c>
      <c r="J942" s="30" cm="1">
        <f t="array" ref="J942">IFERROR(
 (SUMPRODUCT(ISNUMBER(SEARCH(","&amp;Справочник_ОКВЭД_НР!$A$3:$A$62&amp;".",","&amp;SUBSTITUTE(F942," ","")&amp;",")))*Справочник_ОКВЭД_НР!$L$9 +
  SUMPRODUCT(ISNUMBER(SEARCH(","&amp;Справочник_ОКВЭД_НР!$C$3:$C$62&amp;".",","&amp;SUBSTITUTE(F942," ","")&amp;",")))*Справочник_ОКВЭД_НР!$L$10 +
  SUMPRODUCT(ISNUMBER(SEARCH(","&amp;Справочник_ОКВЭД_НР!$E$3:$E$62&amp;".",","&amp;SUBSTITUTE(F942," ","")&amp;",")))*Справочник_ОКВЭД_НР!$L$11 +
  SUMPRODUCT(ISNUMBER(SEARCH(","&amp;Справочник_ОКВЭД_НР!$G$3:$G$62&amp;".",","&amp;SUBSTITUTE(F942," ","")&amp;",")))*Справочник_ОКВЭД_НР!$L$12) /
 (SUMPRODUCT(ISNUMBER(SEARCH(","&amp;Справочник_ОКВЭД_НР!$A$3:$A$62&amp;".",","&amp;SUBSTITUTE(F942," ","")&amp;","))) +
  SUMPRODUCT(ISNUMBER(SEARCH(","&amp;Справочник_ОКВЭД_НР!$C$3:$C$62&amp;".",","&amp;SUBSTITUTE(F942," ","")&amp;","))) +
  SUMPRODUCT(ISNUMBER(SEARCH(","&amp;Справочник_ОКВЭД_НР!$E$3:$E$62&amp;".",","&amp;SUBSTITUTE(F942," ","")&amp;","))) +
  SUMPRODUCT(ISNUMBER(SEARCH(","&amp;Справочник_ОКВЭД_НР!$G$3:$G$62&amp;".",","&amp;SUBSTITUTE(F942," ","")&amp;",")))),
50)</f>
        <v>50</v>
      </c>
      <c r="K942" s="30">
        <f>IFERROR(VLOOKUP(G942,Справочник_ОКВЭД_НР!$O:$P,2,FALSE()),50)</f>
        <v>50</v>
      </c>
      <c r="L942" s="45">
        <f>(I942*Справочник_ОКВЭД_НР!$L$2+J942*Справочник_ОКВЭД_НР!$L$3+K942*Справочник_ОКВЭД_НР!$L$4)*M942</f>
        <v>80</v>
      </c>
      <c r="M942" s="47">
        <f>IF(COUNTIF(Справочник_ОКВЭД_НР!$G$3:$G$62,H942)&gt;0,0,1)</f>
        <v>1</v>
      </c>
    </row>
    <row r="943" spans="1:13" x14ac:dyDescent="0.25">
      <c r="A943" s="4">
        <f>ЛИК_дляСкорингаДП!A943</f>
        <v>1107746181113</v>
      </c>
      <c r="B943" s="4">
        <f>ЛИК_дляСкорингаДП!B943</f>
        <v>7714802637</v>
      </c>
      <c r="C943" s="4" t="str">
        <f>ЛИК_дляСкорингаДП!C943</f>
        <v>ООО "ЦБР-СЕРВИС"</v>
      </c>
      <c r="D943" s="5" t="str">
        <f>ЛИК_дляСкорингаДП!M943</f>
        <v>Ремонт компьютеров и периферийного компьютерного оборудования</v>
      </c>
      <c r="E943" s="4" t="str">
        <f>ЛИК_дляСкорингаДП!L943</f>
        <v>95.11</v>
      </c>
      <c r="F943" t="str">
        <f>ЛИК_дляСкорингаДП!N943</f>
        <v>18.12,18.13,18.14,18.2,18.20,33.12,33.13,33.14,33.19,46.51,46.90,47.41,47.41.4,47.59.1,47.78.1,47.91.2,47.91.3,47.91.4,52.10,52.24,52.29,61.10.4,62.02,62.02.9,62.03,62.03.1,62.03.11,62.09,63.11.1,63.11.9,73.11,74.10,82.99,90.03,90.04,95.21</v>
      </c>
      <c r="G943" s="25" t="str">
        <f>ЛИК_дляСкорингаДП!AG943</f>
        <v>УСН</v>
      </c>
      <c r="H943" s="55" t="str">
        <f>IF(ISNUMBER(E943),E943,
IFERROR(LEFT(E943,FIND(".",E943)-1),E943))</f>
        <v>95</v>
      </c>
      <c r="I943" s="30">
        <f>IF(COUNTIF(Справочник_ОКВЭД_НР!$A$3:$A$62,H943)&gt;0,Справочник_ОКВЭД_НР!$L$8,
 IF(COUNTIF(Справочник_ОКВЭД_НР!$C$3:$C$62,H943)&gt;0,Справочник_ОКВЭД_НР!$L$9,
  IF(COUNTIF(Справочник_ОКВЭД_НР!$E$3:$E$62,H943)&gt;0,Справочник_ОКВЭД_НР!$L$10,
   IF(COUNTIF(Справочник_ОКВЭД_НР!$G$3:$G$62,H943)&gt;0,Справочник_ОКВЭД_НР!$L$11,50))))</f>
        <v>30</v>
      </c>
      <c r="J943" s="30" cm="1">
        <f t="array" ref="J943">IFERROR(
 (SUMPRODUCT(ISNUMBER(SEARCH(","&amp;Справочник_ОКВЭД_НР!$A$3:$A$62&amp;".",","&amp;SUBSTITUTE(F943," ","")&amp;",")))*Справочник_ОКВЭД_НР!$L$9 +
  SUMPRODUCT(ISNUMBER(SEARCH(","&amp;Справочник_ОКВЭД_НР!$C$3:$C$62&amp;".",","&amp;SUBSTITUTE(F943," ","")&amp;",")))*Справочник_ОКВЭД_НР!$L$10 +
  SUMPRODUCT(ISNUMBER(SEARCH(","&amp;Справочник_ОКВЭД_НР!$E$3:$E$62&amp;".",","&amp;SUBSTITUTE(F943," ","")&amp;",")))*Справочник_ОКВЭД_НР!$L$11 +
  SUMPRODUCT(ISNUMBER(SEARCH(","&amp;Справочник_ОКВЭД_НР!$G$3:$G$62&amp;".",","&amp;SUBSTITUTE(F943," ","")&amp;",")))*Справочник_ОКВЭД_НР!$L$12) /
 (SUMPRODUCT(ISNUMBER(SEARCH(","&amp;Справочник_ОКВЭД_НР!$A$3:$A$62&amp;".",","&amp;SUBSTITUTE(F943," ","")&amp;","))) +
  SUMPRODUCT(ISNUMBER(SEARCH(","&amp;Справочник_ОКВЭД_НР!$C$3:$C$62&amp;".",","&amp;SUBSTITUTE(F943," ","")&amp;","))) +
  SUMPRODUCT(ISNUMBER(SEARCH(","&amp;Справочник_ОКВЭД_НР!$E$3:$E$62&amp;".",","&amp;SUBSTITUTE(F943," ","")&amp;","))) +
  SUMPRODUCT(ISNUMBER(SEARCH(","&amp;Справочник_ОКВЭД_НР!$G$3:$G$62&amp;".",","&amp;SUBSTITUTE(F943," ","")&amp;",")))),
50)</f>
        <v>50</v>
      </c>
      <c r="K943" s="30">
        <f>IFERROR(VLOOKUP(G943,Справочник_ОКВЭД_НР!$O:$P,2,FALSE()),50)</f>
        <v>50</v>
      </c>
      <c r="L943" s="45">
        <f>(I943*Справочник_ОКВЭД_НР!$L$2+J943*Справочник_ОКВЭД_НР!$L$3+K943*Справочник_ОКВЭД_НР!$L$4)*M943</f>
        <v>38</v>
      </c>
      <c r="M943" s="47">
        <f>IF(COUNTIF(Справочник_ОКВЭД_НР!$G$3:$G$62,H943)&gt;0,0,1)</f>
        <v>1</v>
      </c>
    </row>
    <row r="944" spans="1:13" x14ac:dyDescent="0.25">
      <c r="A944" s="4">
        <f>ЛИК_дляСкорингаДП!A944</f>
        <v>1107746151919</v>
      </c>
      <c r="B944" s="4">
        <f>ЛИК_дляСкорингаДП!B944</f>
        <v>7723749838</v>
      </c>
      <c r="C944" s="4" t="str">
        <f>ЛИК_дляСкорингаДП!C944</f>
        <v>ООО "АЛЬМЕРА"</v>
      </c>
      <c r="D944" s="5" t="str">
        <f>ЛИК_дляСкорингаДП!M944</f>
        <v>Деятельность рекламная</v>
      </c>
      <c r="E944" s="4" t="str">
        <f>ЛИК_дляСкорингаДП!L944</f>
        <v>73.1</v>
      </c>
      <c r="F944" t="str">
        <f>ЛИК_дляСкорингаДП!N944</f>
        <v>18.11,18.12,46.19,56.10,56.21,56.29,58.11.1,58.11.2,58.13.1,58.13.2,58.14.1,58.14.2,58.19,59.11,59.12,59.13,62.02,62.09,63.1,63.11.1,63.12,63.91,63.99.1,63.99.2,73.11,73.12,73.20.1,73.20.2,78.10,78.20,78.30,79.90,81.10,82.30,82.99,85.41.9,93.29.9,96.09</v>
      </c>
      <c r="G944" s="25" t="str">
        <f>ЛИК_дляСкорингаДП!AG944</f>
        <v>УСН</v>
      </c>
      <c r="H944" s="55" t="str">
        <f>IF(ISNUMBER(E944),E944,
IFERROR(LEFT(E944,FIND(".",E944)-1),E944))</f>
        <v>73</v>
      </c>
      <c r="I944" s="30">
        <f>IF(COUNTIF(Справочник_ОКВЭД_НР!$A$3:$A$62,H944)&gt;0,Справочник_ОКВЭД_НР!$L$8,
 IF(COUNTIF(Справочник_ОКВЭД_НР!$C$3:$C$62,H944)&gt;0,Справочник_ОКВЭД_НР!$L$9,
  IF(COUNTIF(Справочник_ОКВЭД_НР!$E$3:$E$62,H944)&gt;0,Справочник_ОКВЭД_НР!$L$10,
   IF(COUNTIF(Справочник_ОКВЭД_НР!$G$3:$G$62,H944)&gt;0,Справочник_ОКВЭД_НР!$L$11,50))))</f>
        <v>30</v>
      </c>
      <c r="J944" s="30" cm="1">
        <f t="array" ref="J944">IFERROR(
 (SUMPRODUCT(ISNUMBER(SEARCH(","&amp;Справочник_ОКВЭД_НР!$A$3:$A$62&amp;".",","&amp;SUBSTITUTE(F944," ","")&amp;",")))*Справочник_ОКВЭД_НР!$L$9 +
  SUMPRODUCT(ISNUMBER(SEARCH(","&amp;Справочник_ОКВЭД_НР!$C$3:$C$62&amp;".",","&amp;SUBSTITUTE(F944," ","")&amp;",")))*Справочник_ОКВЭД_НР!$L$10 +
  SUMPRODUCT(ISNUMBER(SEARCH(","&amp;Справочник_ОКВЭД_НР!$E$3:$E$62&amp;".",","&amp;SUBSTITUTE(F944," ","")&amp;",")))*Справочник_ОКВЭД_НР!$L$11 +
  SUMPRODUCT(ISNUMBER(SEARCH(","&amp;Справочник_ОКВЭД_НР!$G$3:$G$62&amp;".",","&amp;SUBSTITUTE(F944," ","")&amp;",")))*Справочник_ОКВЭД_НР!$L$12) /
 (SUMPRODUCT(ISNUMBER(SEARCH(","&amp;Справочник_ОКВЭД_НР!$A$3:$A$62&amp;".",","&amp;SUBSTITUTE(F944," ","")&amp;","))) +
  SUMPRODUCT(ISNUMBER(SEARCH(","&amp;Справочник_ОКВЭД_НР!$C$3:$C$62&amp;".",","&amp;SUBSTITUTE(F944," ","")&amp;","))) +
  SUMPRODUCT(ISNUMBER(SEARCH(","&amp;Справочник_ОКВЭД_НР!$E$3:$E$62&amp;".",","&amp;SUBSTITUTE(F944," ","")&amp;","))) +
  SUMPRODUCT(ISNUMBER(SEARCH(","&amp;Справочник_ОКВЭД_НР!$G$3:$G$62&amp;".",","&amp;SUBSTITUTE(F944," ","")&amp;",")))),
50)</f>
        <v>50</v>
      </c>
      <c r="K944" s="30">
        <f>IFERROR(VLOOKUP(G944,Справочник_ОКВЭД_НР!$O:$P,2,FALSE()),50)</f>
        <v>50</v>
      </c>
      <c r="L944" s="45">
        <f>(I944*Справочник_ОКВЭД_НР!$L$2+J944*Справочник_ОКВЭД_НР!$L$3+K944*Справочник_ОКВЭД_НР!$L$4)*M944</f>
        <v>38</v>
      </c>
      <c r="M944" s="47">
        <f>IF(COUNTIF(Справочник_ОКВЭД_НР!$G$3:$G$62,H944)&gt;0,0,1)</f>
        <v>1</v>
      </c>
    </row>
    <row r="945" spans="1:13" x14ac:dyDescent="0.25">
      <c r="A945" s="4">
        <f>ЛИК_дляСкорингаДП!A945</f>
        <v>1107746175305</v>
      </c>
      <c r="B945" s="4">
        <f>ЛИК_дляСкорингаДП!B945</f>
        <v>7734631683</v>
      </c>
      <c r="C945" s="4" t="str">
        <f>ЛИК_дляСкорингаДП!C945</f>
        <v>ООО "АВАТАР АВТО"</v>
      </c>
      <c r="D945" s="5" t="str">
        <f>ЛИК_дляСкорингаДП!M945</f>
        <v>Торговля оптовая автомобильными деталями, узлами и принадлежностями, кроме деятельности агентов</v>
      </c>
      <c r="E945" s="4" t="str">
        <f>ЛИК_дляСкорингаДП!L945</f>
        <v>45.31.1</v>
      </c>
      <c r="F945" t="str">
        <f>ЛИК_дляСкорингаДП!N945</f>
        <v>45.20,45.32,46.14.9,46.73.4,46.90,47.3,47.52.2,81.29.9,84.21</v>
      </c>
      <c r="G945" s="25" t="str">
        <f>ЛИК_дляСкорингаДП!AG945</f>
        <v>УСН</v>
      </c>
      <c r="H945" s="55" t="str">
        <f>IF(ISNUMBER(E945),E945,
IFERROR(LEFT(E945,FIND(".",E945)-1),E945))</f>
        <v>45</v>
      </c>
      <c r="I945" s="30">
        <f>IF(COUNTIF(Справочник_ОКВЭД_НР!$A$3:$A$62,H945)&gt;0,Справочник_ОКВЭД_НР!$L$8,
 IF(COUNTIF(Справочник_ОКВЭД_НР!$C$3:$C$62,H945)&gt;0,Справочник_ОКВЭД_НР!$L$9,
  IF(COUNTIF(Справочник_ОКВЭД_НР!$E$3:$E$62,H945)&gt;0,Справочник_ОКВЭД_НР!$L$10,
   IF(COUNTIF(Справочник_ОКВЭД_НР!$G$3:$G$62,H945)&gt;0,Справочник_ОКВЭД_НР!$L$11,50))))</f>
        <v>60</v>
      </c>
      <c r="J945" s="30" cm="1">
        <f t="array" ref="J945">IFERROR(
 (SUMPRODUCT(ISNUMBER(SEARCH(","&amp;Справочник_ОКВЭД_НР!$A$3:$A$62&amp;".",","&amp;SUBSTITUTE(F945," ","")&amp;",")))*Справочник_ОКВЭД_НР!$L$9 +
  SUMPRODUCT(ISNUMBER(SEARCH(","&amp;Справочник_ОКВЭД_НР!$C$3:$C$62&amp;".",","&amp;SUBSTITUTE(F945," ","")&amp;",")))*Справочник_ОКВЭД_НР!$L$10 +
  SUMPRODUCT(ISNUMBER(SEARCH(","&amp;Справочник_ОКВЭД_НР!$E$3:$E$62&amp;".",","&amp;SUBSTITUTE(F945," ","")&amp;",")))*Справочник_ОКВЭД_НР!$L$11 +
  SUMPRODUCT(ISNUMBER(SEARCH(","&amp;Справочник_ОКВЭД_НР!$G$3:$G$62&amp;".",","&amp;SUBSTITUTE(F945," ","")&amp;",")))*Справочник_ОКВЭД_НР!$L$12) /
 (SUMPRODUCT(ISNUMBER(SEARCH(","&amp;Справочник_ОКВЭД_НР!$A$3:$A$62&amp;".",","&amp;SUBSTITUTE(F945," ","")&amp;","))) +
  SUMPRODUCT(ISNUMBER(SEARCH(","&amp;Справочник_ОКВЭД_НР!$C$3:$C$62&amp;".",","&amp;SUBSTITUTE(F945," ","")&amp;","))) +
  SUMPRODUCT(ISNUMBER(SEARCH(","&amp;Справочник_ОКВЭД_НР!$E$3:$E$62&amp;".",","&amp;SUBSTITUTE(F945," ","")&amp;","))) +
  SUMPRODUCT(ISNUMBER(SEARCH(","&amp;Справочник_ОКВЭД_НР!$G$3:$G$62&amp;".",","&amp;SUBSTITUTE(F945," ","")&amp;",")))),
50)</f>
        <v>50</v>
      </c>
      <c r="K945" s="30">
        <f>IFERROR(VLOOKUP(G945,Справочник_ОКВЭД_НР!$O:$P,2,FALSE()),50)</f>
        <v>50</v>
      </c>
      <c r="L945" s="45">
        <f>(I945*Справочник_ОКВЭД_НР!$L$2+J945*Справочник_ОКВЭД_НР!$L$3+K945*Справочник_ОКВЭД_НР!$L$4)*M945</f>
        <v>56</v>
      </c>
      <c r="M945" s="47">
        <f>IF(COUNTIF(Справочник_ОКВЭД_НР!$G$3:$G$62,H945)&gt;0,0,1)</f>
        <v>1</v>
      </c>
    </row>
    <row r="946" spans="1:13" x14ac:dyDescent="0.25">
      <c r="A946" s="4">
        <f>ЛИК_дляСкорингаДП!A946</f>
        <v>1107746127180</v>
      </c>
      <c r="B946" s="4">
        <f>ЛИК_дляСкорингаДП!B946</f>
        <v>7704747472</v>
      </c>
      <c r="C946" s="4" t="str">
        <f>ЛИК_дляСкорингаДП!C946</f>
        <v>ООО "ОРИОН 2010"</v>
      </c>
      <c r="D946" s="5" t="str">
        <f>ЛИК_дляСкорингаДП!M946</f>
        <v>Управление недвижимым имуществом за вознаграждение или на договорной основе</v>
      </c>
      <c r="E946" s="4" t="str">
        <f>ЛИК_дляСкорингаДП!L946</f>
        <v>68.32</v>
      </c>
      <c r="F946" t="str">
        <f>ЛИК_дляСкорингаДП!N946</f>
        <v>68.31.1,68.31.2,68.31.3,68.31.4,69,69.10,69.20,70.10.1,70.10.2,71.12.57,71.12.63,73.11,73.20.1,77.11,77.3,77.33,78.20,78.30,81.22,81.29.9,93.29</v>
      </c>
      <c r="G946" s="25" t="str">
        <f>ЛИК_дляСкорингаДП!AG946</f>
        <v>УСН</v>
      </c>
      <c r="H946" s="55" t="str">
        <f>IF(ISNUMBER(E946),E946,
IFERROR(LEFT(E946,FIND(".",E946)-1),E946))</f>
        <v>68</v>
      </c>
      <c r="I946" s="30">
        <f>IF(COUNTIF(Справочник_ОКВЭД_НР!$A$3:$A$62,H946)&gt;0,Справочник_ОКВЭД_НР!$L$8,
 IF(COUNTIF(Справочник_ОКВЭД_НР!$C$3:$C$62,H946)&gt;0,Справочник_ОКВЭД_НР!$L$9,
  IF(COUNTIF(Справочник_ОКВЭД_НР!$E$3:$E$62,H946)&gt;0,Справочник_ОКВЭД_НР!$L$10,
   IF(COUNTIF(Справочник_ОКВЭД_НР!$G$3:$G$62,H946)&gt;0,Справочник_ОКВЭД_НР!$L$11,50))))</f>
        <v>100</v>
      </c>
      <c r="J946" s="30" cm="1">
        <f t="array" ref="J946">IFERROR(
 (SUMPRODUCT(ISNUMBER(SEARCH(","&amp;Справочник_ОКВЭД_НР!$A$3:$A$62&amp;".",","&amp;SUBSTITUTE(F946," ","")&amp;",")))*Справочник_ОКВЭД_НР!$L$9 +
  SUMPRODUCT(ISNUMBER(SEARCH(","&amp;Справочник_ОКВЭД_НР!$C$3:$C$62&amp;".",","&amp;SUBSTITUTE(F946," ","")&amp;",")))*Справочник_ОКВЭД_НР!$L$10 +
  SUMPRODUCT(ISNUMBER(SEARCH(","&amp;Справочник_ОКВЭД_НР!$E$3:$E$62&amp;".",","&amp;SUBSTITUTE(F946," ","")&amp;",")))*Справочник_ОКВЭД_НР!$L$11 +
  SUMPRODUCT(ISNUMBER(SEARCH(","&amp;Справочник_ОКВЭД_НР!$G$3:$G$62&amp;".",","&amp;SUBSTITUTE(F946," ","")&amp;",")))*Справочник_ОКВЭД_НР!$L$12) /
 (SUMPRODUCT(ISNUMBER(SEARCH(","&amp;Справочник_ОКВЭД_НР!$A$3:$A$62&amp;".",","&amp;SUBSTITUTE(F946," ","")&amp;","))) +
  SUMPRODUCT(ISNUMBER(SEARCH(","&amp;Справочник_ОКВЭД_НР!$C$3:$C$62&amp;".",","&amp;SUBSTITUTE(F946," ","")&amp;","))) +
  SUMPRODUCT(ISNUMBER(SEARCH(","&amp;Справочник_ОКВЭД_НР!$E$3:$E$62&amp;".",","&amp;SUBSTITUTE(F946," ","")&amp;","))) +
  SUMPRODUCT(ISNUMBER(SEARCH(","&amp;Справочник_ОКВЭД_НР!$G$3:$G$62&amp;".",","&amp;SUBSTITUTE(F946," ","")&amp;",")))),
50)</f>
        <v>50</v>
      </c>
      <c r="K946" s="30">
        <f>IFERROR(VLOOKUP(G946,Справочник_ОКВЭД_НР!$O:$P,2,FALSE()),50)</f>
        <v>50</v>
      </c>
      <c r="L946" s="45">
        <f>(I946*Справочник_ОКВЭД_НР!$L$2+J946*Справочник_ОКВЭД_НР!$L$3+K946*Справочник_ОКВЭД_НР!$L$4)*M946</f>
        <v>80</v>
      </c>
      <c r="M946" s="47">
        <f>IF(COUNTIF(Справочник_ОКВЭД_НР!$G$3:$G$62,H946)&gt;0,0,1)</f>
        <v>1</v>
      </c>
    </row>
    <row r="947" spans="1:13" x14ac:dyDescent="0.25">
      <c r="A947" s="4">
        <f>ЛИК_дляСкорингаДП!A947</f>
        <v>1107746070453</v>
      </c>
      <c r="B947" s="4">
        <f>ЛИК_дляСкорингаДП!B947</f>
        <v>7723746989</v>
      </c>
      <c r="C947" s="4" t="str">
        <f>ЛИК_дляСкорингаДП!C947</f>
        <v>ООО "ЗСК"</v>
      </c>
      <c r="D947" s="5" t="str">
        <f>ЛИК_дляСкорингаДП!M947</f>
        <v>Деятельность геодезическая и картографическая</v>
      </c>
      <c r="E947" s="4" t="str">
        <f>ЛИК_дляСкорингаДП!L947</f>
        <v>71.12.4</v>
      </c>
      <c r="F947" t="str">
        <f>ЛИК_дляСкорингаДП!N947</f>
        <v>62.09,66.21,66.29.1,68.31,68.31.5,68.31.51,68.31.52,68.32,82.99</v>
      </c>
      <c r="G947" s="25" t="str">
        <f>ЛИК_дляСкорингаДП!AG947</f>
        <v>УСН</v>
      </c>
      <c r="H947" s="55" t="str">
        <f>IF(ISNUMBER(E947),E947,
IFERROR(LEFT(E947,FIND(".",E947)-1),E947))</f>
        <v>71</v>
      </c>
      <c r="I947" s="30">
        <f>IF(COUNTIF(Справочник_ОКВЭД_НР!$A$3:$A$62,H947)&gt;0,Справочник_ОКВЭД_НР!$L$8,
 IF(COUNTIF(Справочник_ОКВЭД_НР!$C$3:$C$62,H947)&gt;0,Справочник_ОКВЭД_НР!$L$9,
  IF(COUNTIF(Справочник_ОКВЭД_НР!$E$3:$E$62,H947)&gt;0,Справочник_ОКВЭД_НР!$L$10,
   IF(COUNTIF(Справочник_ОКВЭД_НР!$G$3:$G$62,H947)&gt;0,Справочник_ОКВЭД_НР!$L$11,50))))</f>
        <v>100</v>
      </c>
      <c r="J947" s="30" cm="1">
        <f t="array" ref="J947">IFERROR(
 (SUMPRODUCT(ISNUMBER(SEARCH(","&amp;Справочник_ОКВЭД_НР!$A$3:$A$62&amp;".",","&amp;SUBSTITUTE(F947," ","")&amp;",")))*Справочник_ОКВЭД_НР!$L$9 +
  SUMPRODUCT(ISNUMBER(SEARCH(","&amp;Справочник_ОКВЭД_НР!$C$3:$C$62&amp;".",","&amp;SUBSTITUTE(F947," ","")&amp;",")))*Справочник_ОКВЭД_НР!$L$10 +
  SUMPRODUCT(ISNUMBER(SEARCH(","&amp;Справочник_ОКВЭД_НР!$E$3:$E$62&amp;".",","&amp;SUBSTITUTE(F947," ","")&amp;",")))*Справочник_ОКВЭД_НР!$L$11 +
  SUMPRODUCT(ISNUMBER(SEARCH(","&amp;Справочник_ОКВЭД_НР!$G$3:$G$62&amp;".",","&amp;SUBSTITUTE(F947," ","")&amp;",")))*Справочник_ОКВЭД_НР!$L$12) /
 (SUMPRODUCT(ISNUMBER(SEARCH(","&amp;Справочник_ОКВЭД_НР!$A$3:$A$62&amp;".",","&amp;SUBSTITUTE(F947," ","")&amp;","))) +
  SUMPRODUCT(ISNUMBER(SEARCH(","&amp;Справочник_ОКВЭД_НР!$C$3:$C$62&amp;".",","&amp;SUBSTITUTE(F947," ","")&amp;","))) +
  SUMPRODUCT(ISNUMBER(SEARCH(","&amp;Справочник_ОКВЭД_НР!$E$3:$E$62&amp;".",","&amp;SUBSTITUTE(F947," ","")&amp;","))) +
  SUMPRODUCT(ISNUMBER(SEARCH(","&amp;Справочник_ОКВЭД_НР!$G$3:$G$62&amp;".",","&amp;SUBSTITUTE(F947," ","")&amp;",")))),
50)</f>
        <v>50</v>
      </c>
      <c r="K947" s="30">
        <f>IFERROR(VLOOKUP(G947,Справочник_ОКВЭД_НР!$O:$P,2,FALSE()),50)</f>
        <v>50</v>
      </c>
      <c r="L947" s="45">
        <f>(I947*Справочник_ОКВЭД_НР!$L$2+J947*Справочник_ОКВЭД_НР!$L$3+K947*Справочник_ОКВЭД_НР!$L$4)*M947</f>
        <v>80</v>
      </c>
      <c r="M947" s="47">
        <f>IF(COUNTIF(Справочник_ОКВЭД_НР!$G$3:$G$62,H947)&gt;0,0,1)</f>
        <v>1</v>
      </c>
    </row>
    <row r="948" spans="1:13" x14ac:dyDescent="0.25">
      <c r="A948" s="4">
        <f>ЛИК_дляСкорингаДП!A948</f>
        <v>1157746733011</v>
      </c>
      <c r="B948" s="4">
        <f>ЛИК_дляСкорингаДП!B948</f>
        <v>7751008895</v>
      </c>
      <c r="C948" s="4" t="str">
        <f>ЛИК_дляСкорингаДП!C948</f>
        <v>ООО "ЦВ"</v>
      </c>
      <c r="D948" s="5" t="str">
        <f>ЛИК_дляСкорингаДП!M948</f>
        <v>Технические испытания, исследования, анализ и сертификация</v>
      </c>
      <c r="E948" s="4" t="str">
        <f>ЛИК_дляСкорингаДП!L948</f>
        <v>71.20</v>
      </c>
      <c r="F948" t="str">
        <f>ЛИК_дляСкорингаДП!N948</f>
        <v>46.46,46.90,62.02,63.11,69.10,69.20,70.22,71.12.6,77.39.25,85.41,85.41.9,85.42,85.42.9</v>
      </c>
      <c r="G948" s="25" t="str">
        <f>ЛИК_дляСкорингаДП!AG948</f>
        <v>УСН</v>
      </c>
      <c r="H948" s="55" t="str">
        <f>IF(ISNUMBER(E948),E948,
IFERROR(LEFT(E948,FIND(".",E948)-1),E948))</f>
        <v>71</v>
      </c>
      <c r="I948" s="30">
        <f>IF(COUNTIF(Справочник_ОКВЭД_НР!$A$3:$A$62,H948)&gt;0,Справочник_ОКВЭД_НР!$L$8,
 IF(COUNTIF(Справочник_ОКВЭД_НР!$C$3:$C$62,H948)&gt;0,Справочник_ОКВЭД_НР!$L$9,
  IF(COUNTIF(Справочник_ОКВЭД_НР!$E$3:$E$62,H948)&gt;0,Справочник_ОКВЭД_НР!$L$10,
   IF(COUNTIF(Справочник_ОКВЭД_НР!$G$3:$G$62,H948)&gt;0,Справочник_ОКВЭД_НР!$L$11,50))))</f>
        <v>100</v>
      </c>
      <c r="J948" s="30" cm="1">
        <f t="array" ref="J948">IFERROR(
 (SUMPRODUCT(ISNUMBER(SEARCH(","&amp;Справочник_ОКВЭД_НР!$A$3:$A$62&amp;".",","&amp;SUBSTITUTE(F948," ","")&amp;",")))*Справочник_ОКВЭД_НР!$L$9 +
  SUMPRODUCT(ISNUMBER(SEARCH(","&amp;Справочник_ОКВЭД_НР!$C$3:$C$62&amp;".",","&amp;SUBSTITUTE(F948," ","")&amp;",")))*Справочник_ОКВЭД_НР!$L$10 +
  SUMPRODUCT(ISNUMBER(SEARCH(","&amp;Справочник_ОКВЭД_НР!$E$3:$E$62&amp;".",","&amp;SUBSTITUTE(F948," ","")&amp;",")))*Справочник_ОКВЭД_НР!$L$11 +
  SUMPRODUCT(ISNUMBER(SEARCH(","&amp;Справочник_ОКВЭД_НР!$G$3:$G$62&amp;".",","&amp;SUBSTITUTE(F948," ","")&amp;",")))*Справочник_ОКВЭД_НР!$L$12) /
 (SUMPRODUCT(ISNUMBER(SEARCH(","&amp;Справочник_ОКВЭД_НР!$A$3:$A$62&amp;".",","&amp;SUBSTITUTE(F948," ","")&amp;","))) +
  SUMPRODUCT(ISNUMBER(SEARCH(","&amp;Справочник_ОКВЭД_НР!$C$3:$C$62&amp;".",","&amp;SUBSTITUTE(F948," ","")&amp;","))) +
  SUMPRODUCT(ISNUMBER(SEARCH(","&amp;Справочник_ОКВЭД_НР!$E$3:$E$62&amp;".",","&amp;SUBSTITUTE(F948," ","")&amp;","))) +
  SUMPRODUCT(ISNUMBER(SEARCH(","&amp;Справочник_ОКВЭД_НР!$G$3:$G$62&amp;".",","&amp;SUBSTITUTE(F948," ","")&amp;",")))),
50)</f>
        <v>50</v>
      </c>
      <c r="K948" s="30">
        <f>IFERROR(VLOOKUP(G948,Справочник_ОКВЭД_НР!$O:$P,2,FALSE()),50)</f>
        <v>50</v>
      </c>
      <c r="L948" s="45">
        <f>(I948*Справочник_ОКВЭД_НР!$L$2+J948*Справочник_ОКВЭД_НР!$L$3+K948*Справочник_ОКВЭД_НР!$L$4)*M948</f>
        <v>80</v>
      </c>
      <c r="M948" s="47">
        <f>IF(COUNTIF(Справочник_ОКВЭД_НР!$G$3:$G$62,H948)&gt;0,0,1)</f>
        <v>1</v>
      </c>
    </row>
    <row r="949" spans="1:13" x14ac:dyDescent="0.25">
      <c r="A949" s="4">
        <f>ЛИК_дляСкорингаДП!A949</f>
        <v>1157746720812</v>
      </c>
      <c r="B949" s="4">
        <f>ЛИК_дляСкорингаДП!B949</f>
        <v>7717297284</v>
      </c>
      <c r="C949" s="4" t="str">
        <f>ЛИК_дляСкорингаДП!C949</f>
        <v>ООО "РЭЛ ТРЕЙДИНГ"</v>
      </c>
      <c r="D949" s="5" t="str">
        <f>ЛИК_дляСкорингаДП!M949</f>
        <v>Деятельность агентов по оптовой торговле лесоматериалами</v>
      </c>
      <c r="E949" s="4" t="str">
        <f>ЛИК_дляСкорингаДП!L949</f>
        <v>46.13.1</v>
      </c>
      <c r="F949">
        <f>ЛИК_дляСкорингаДП!N949</f>
        <v>0</v>
      </c>
      <c r="G949" s="25" t="str">
        <f>ЛИК_дляСкорингаДП!AG949</f>
        <v>УСН</v>
      </c>
      <c r="H949" s="55" t="str">
        <f>IF(ISNUMBER(E949),E949,
IFERROR(LEFT(E949,FIND(".",E949)-1),E949))</f>
        <v>46</v>
      </c>
      <c r="I949" s="30">
        <f>IF(COUNTIF(Справочник_ОКВЭД_НР!$A$3:$A$62,H949)&gt;0,Справочник_ОКВЭД_НР!$L$8,
 IF(COUNTIF(Справочник_ОКВЭД_НР!$C$3:$C$62,H949)&gt;0,Справочник_ОКВЭД_НР!$L$9,
  IF(COUNTIF(Справочник_ОКВЭД_НР!$E$3:$E$62,H949)&gt;0,Справочник_ОКВЭД_НР!$L$10,
   IF(COUNTIF(Справочник_ОКВЭД_НР!$G$3:$G$62,H949)&gt;0,Справочник_ОКВЭД_НР!$L$11,50))))</f>
        <v>60</v>
      </c>
      <c r="J949" s="30" cm="1">
        <f t="array" ref="J949">IFERROR(
 (SUMPRODUCT(ISNUMBER(SEARCH(","&amp;Справочник_ОКВЭД_НР!$A$3:$A$62&amp;".",","&amp;SUBSTITUTE(F949," ","")&amp;",")))*Справочник_ОКВЭД_НР!$L$9 +
  SUMPRODUCT(ISNUMBER(SEARCH(","&amp;Справочник_ОКВЭД_НР!$C$3:$C$62&amp;".",","&amp;SUBSTITUTE(F949," ","")&amp;",")))*Справочник_ОКВЭД_НР!$L$10 +
  SUMPRODUCT(ISNUMBER(SEARCH(","&amp;Справочник_ОКВЭД_НР!$E$3:$E$62&amp;".",","&amp;SUBSTITUTE(F949," ","")&amp;",")))*Справочник_ОКВЭД_НР!$L$11 +
  SUMPRODUCT(ISNUMBER(SEARCH(","&amp;Справочник_ОКВЭД_НР!$G$3:$G$62&amp;".",","&amp;SUBSTITUTE(F949," ","")&amp;",")))*Справочник_ОКВЭД_НР!$L$12) /
 (SUMPRODUCT(ISNUMBER(SEARCH(","&amp;Справочник_ОКВЭД_НР!$A$3:$A$62&amp;".",","&amp;SUBSTITUTE(F949," ","")&amp;","))) +
  SUMPRODUCT(ISNUMBER(SEARCH(","&amp;Справочник_ОКВЭД_НР!$C$3:$C$62&amp;".",","&amp;SUBSTITUTE(F949," ","")&amp;","))) +
  SUMPRODUCT(ISNUMBER(SEARCH(","&amp;Справочник_ОКВЭД_НР!$E$3:$E$62&amp;".",","&amp;SUBSTITUTE(F949," ","")&amp;","))) +
  SUMPRODUCT(ISNUMBER(SEARCH(","&amp;Справочник_ОКВЭД_НР!$G$3:$G$62&amp;".",","&amp;SUBSTITUTE(F949," ","")&amp;",")))),
50)</f>
        <v>50</v>
      </c>
      <c r="K949" s="30">
        <f>IFERROR(VLOOKUP(G949,Справочник_ОКВЭД_НР!$O:$P,2,FALSE()),50)</f>
        <v>50</v>
      </c>
      <c r="L949" s="45">
        <f>(I949*Справочник_ОКВЭД_НР!$L$2+J949*Справочник_ОКВЭД_НР!$L$3+K949*Справочник_ОКВЭД_НР!$L$4)*M949</f>
        <v>56</v>
      </c>
      <c r="M949" s="47">
        <f>IF(COUNTIF(Справочник_ОКВЭД_НР!$G$3:$G$62,H949)&gt;0,0,1)</f>
        <v>1</v>
      </c>
    </row>
    <row r="950" spans="1:13" x14ac:dyDescent="0.25">
      <c r="A950" s="4">
        <f>ЛИК_дляСкорингаДП!A950</f>
        <v>1107746096248</v>
      </c>
      <c r="B950" s="4">
        <f>ЛИК_дляСкорингаДП!B950</f>
        <v>7701866217</v>
      </c>
      <c r="C950" s="4" t="str">
        <f>ЛИК_дляСкорингаДП!C950</f>
        <v>ООО "ЯМАК ТРИКО"</v>
      </c>
      <c r="D950" s="5" t="str">
        <f>ЛИК_дляСкорингаДП!M950</f>
        <v>Торговля оптовая текстильными изделиями</v>
      </c>
      <c r="E950" s="4" t="str">
        <f>ЛИК_дляСкорингаДП!L950</f>
        <v>46.41</v>
      </c>
      <c r="F950" t="str">
        <f>ЛИК_дляСкорингаДП!N950</f>
        <v>46.16.1,46.41.1,46.41.2,46.41.2,46.42,46.42.14,46.9,47.51,47.71.1,47.71.4</v>
      </c>
      <c r="G950" s="25" t="str">
        <f>ЛИК_дляСкорингаДП!AG950</f>
        <v>УСН</v>
      </c>
      <c r="H950" s="55" t="str">
        <f>IF(ISNUMBER(E950),E950,
IFERROR(LEFT(E950,FIND(".",E950)-1),E950))</f>
        <v>46</v>
      </c>
      <c r="I950" s="30">
        <f>IF(COUNTIF(Справочник_ОКВЭД_НР!$A$3:$A$62,H950)&gt;0,Справочник_ОКВЭД_НР!$L$8,
 IF(COUNTIF(Справочник_ОКВЭД_НР!$C$3:$C$62,H950)&gt;0,Справочник_ОКВЭД_НР!$L$9,
  IF(COUNTIF(Справочник_ОКВЭД_НР!$E$3:$E$62,H950)&gt;0,Справочник_ОКВЭД_НР!$L$10,
   IF(COUNTIF(Справочник_ОКВЭД_НР!$G$3:$G$62,H950)&gt;0,Справочник_ОКВЭД_НР!$L$11,50))))</f>
        <v>60</v>
      </c>
      <c r="J950" s="30" cm="1">
        <f t="array" ref="J950">IFERROR(
 (SUMPRODUCT(ISNUMBER(SEARCH(","&amp;Справочник_ОКВЭД_НР!$A$3:$A$62&amp;".",","&amp;SUBSTITUTE(F950," ","")&amp;",")))*Справочник_ОКВЭД_НР!$L$9 +
  SUMPRODUCT(ISNUMBER(SEARCH(","&amp;Справочник_ОКВЭД_НР!$C$3:$C$62&amp;".",","&amp;SUBSTITUTE(F950," ","")&amp;",")))*Справочник_ОКВЭД_НР!$L$10 +
  SUMPRODUCT(ISNUMBER(SEARCH(","&amp;Справочник_ОКВЭД_НР!$E$3:$E$62&amp;".",","&amp;SUBSTITUTE(F950," ","")&amp;",")))*Справочник_ОКВЭД_НР!$L$11 +
  SUMPRODUCT(ISNUMBER(SEARCH(","&amp;Справочник_ОКВЭД_НР!$G$3:$G$62&amp;".",","&amp;SUBSTITUTE(F950," ","")&amp;",")))*Справочник_ОКВЭД_НР!$L$12) /
 (SUMPRODUCT(ISNUMBER(SEARCH(","&amp;Справочник_ОКВЭД_НР!$A$3:$A$62&amp;".",","&amp;SUBSTITUTE(F950," ","")&amp;","))) +
  SUMPRODUCT(ISNUMBER(SEARCH(","&amp;Справочник_ОКВЭД_НР!$C$3:$C$62&amp;".",","&amp;SUBSTITUTE(F950," ","")&amp;","))) +
  SUMPRODUCT(ISNUMBER(SEARCH(","&amp;Справочник_ОКВЭД_НР!$E$3:$E$62&amp;".",","&amp;SUBSTITUTE(F950," ","")&amp;","))) +
  SUMPRODUCT(ISNUMBER(SEARCH(","&amp;Справочник_ОКВЭД_НР!$G$3:$G$62&amp;".",","&amp;SUBSTITUTE(F950," ","")&amp;",")))),
50)</f>
        <v>50</v>
      </c>
      <c r="K950" s="30">
        <f>IFERROR(VLOOKUP(G950,Справочник_ОКВЭД_НР!$O:$P,2,FALSE()),50)</f>
        <v>50</v>
      </c>
      <c r="L950" s="45">
        <f>(I950*Справочник_ОКВЭД_НР!$L$2+J950*Справочник_ОКВЭД_НР!$L$3+K950*Справочник_ОКВЭД_НР!$L$4)*M950</f>
        <v>56</v>
      </c>
      <c r="M950" s="47">
        <f>IF(COUNTIF(Справочник_ОКВЭД_НР!$G$3:$G$62,H950)&gt;0,0,1)</f>
        <v>1</v>
      </c>
    </row>
    <row r="951" spans="1:13" x14ac:dyDescent="0.25">
      <c r="A951" s="4">
        <f>ЛИК_дляСкорингаДП!A951</f>
        <v>1157746745287</v>
      </c>
      <c r="B951" s="4">
        <f>ЛИК_дляСкорингаДП!B951</f>
        <v>7714351374</v>
      </c>
      <c r="C951" s="4" t="str">
        <f>ЛИК_дляСкорингаДП!C951</f>
        <v>ООО "ЕВ"</v>
      </c>
      <c r="D951" s="5" t="str">
        <f>ЛИК_дляСкорингаДП!M951</f>
        <v>Деятельность по созданию и использованию баз данных и информационных ресурсов</v>
      </c>
      <c r="E951" s="4" t="str">
        <f>ЛИК_дляСкорингаДП!L951</f>
        <v>63.11.1</v>
      </c>
      <c r="F951" t="str">
        <f>ЛИК_дляСкорингаДП!N951</f>
        <v>61.10.4,61.10.9,62.01,62.02,62.09,63.11,63.91,64.99,72.19,72.20,73.11,73.20,95.11</v>
      </c>
      <c r="G951" s="25" t="str">
        <f>ЛИК_дляСкорингаДП!AG951</f>
        <v>УСН</v>
      </c>
      <c r="H951" s="55" t="str">
        <f>IF(ISNUMBER(E951),E951,
IFERROR(LEFT(E951,FIND(".",E951)-1),E951))</f>
        <v>63</v>
      </c>
      <c r="I951" s="30">
        <f>IF(COUNTIF(Справочник_ОКВЭД_НР!$A$3:$A$62,H951)&gt;0,Справочник_ОКВЭД_НР!$L$8,
 IF(COUNTIF(Справочник_ОКВЭД_НР!$C$3:$C$62,H951)&gt;0,Справочник_ОКВЭД_НР!$L$9,
  IF(COUNTIF(Справочник_ОКВЭД_НР!$E$3:$E$62,H951)&gt;0,Справочник_ОКВЭД_НР!$L$10,
   IF(COUNTIF(Справочник_ОКВЭД_НР!$G$3:$G$62,H951)&gt;0,Справочник_ОКВЭД_НР!$L$11,50))))</f>
        <v>100</v>
      </c>
      <c r="J951" s="30" cm="1">
        <f t="array" ref="J951">IFERROR(
 (SUMPRODUCT(ISNUMBER(SEARCH(","&amp;Справочник_ОКВЭД_НР!$A$3:$A$62&amp;".",","&amp;SUBSTITUTE(F951," ","")&amp;",")))*Справочник_ОКВЭД_НР!$L$9 +
  SUMPRODUCT(ISNUMBER(SEARCH(","&amp;Справочник_ОКВЭД_НР!$C$3:$C$62&amp;".",","&amp;SUBSTITUTE(F951," ","")&amp;",")))*Справочник_ОКВЭД_НР!$L$10 +
  SUMPRODUCT(ISNUMBER(SEARCH(","&amp;Справочник_ОКВЭД_НР!$E$3:$E$62&amp;".",","&amp;SUBSTITUTE(F951," ","")&amp;",")))*Справочник_ОКВЭД_НР!$L$11 +
  SUMPRODUCT(ISNUMBER(SEARCH(","&amp;Справочник_ОКВЭД_НР!$G$3:$G$62&amp;".",","&amp;SUBSTITUTE(F951," ","")&amp;",")))*Справочник_ОКВЭД_НР!$L$12) /
 (SUMPRODUCT(ISNUMBER(SEARCH(","&amp;Справочник_ОКВЭД_НР!$A$3:$A$62&amp;".",","&amp;SUBSTITUTE(F951," ","")&amp;","))) +
  SUMPRODUCT(ISNUMBER(SEARCH(","&amp;Справочник_ОКВЭД_НР!$C$3:$C$62&amp;".",","&amp;SUBSTITUTE(F951," ","")&amp;","))) +
  SUMPRODUCT(ISNUMBER(SEARCH(","&amp;Справочник_ОКВЭД_НР!$E$3:$E$62&amp;".",","&amp;SUBSTITUTE(F951," ","")&amp;","))) +
  SUMPRODUCT(ISNUMBER(SEARCH(","&amp;Справочник_ОКВЭД_НР!$G$3:$G$62&amp;".",","&amp;SUBSTITUTE(F951," ","")&amp;",")))),
50)</f>
        <v>50</v>
      </c>
      <c r="K951" s="30">
        <f>IFERROR(VLOOKUP(G951,Справочник_ОКВЭД_НР!$O:$P,2,FALSE()),50)</f>
        <v>50</v>
      </c>
      <c r="L951" s="45">
        <f>(I951*Справочник_ОКВЭД_НР!$L$2+J951*Справочник_ОКВЭД_НР!$L$3+K951*Справочник_ОКВЭД_НР!$L$4)*M951</f>
        <v>80</v>
      </c>
      <c r="M951" s="47">
        <f>IF(COUNTIF(Справочник_ОКВЭД_НР!$G$3:$G$62,H951)&gt;0,0,1)</f>
        <v>1</v>
      </c>
    </row>
    <row r="952" spans="1:13" x14ac:dyDescent="0.25">
      <c r="A952" s="4">
        <f>ЛИК_дляСкорингаДП!A952</f>
        <v>1157746576360</v>
      </c>
      <c r="B952" s="4">
        <f>ЛИК_дляСкорингаДП!B952</f>
        <v>7716797615</v>
      </c>
      <c r="C952" s="4" t="str">
        <f>ЛИК_дляСкорингаДП!C952</f>
        <v>ООО "АСМОДЕЙ+"</v>
      </c>
      <c r="D952" s="5" t="str">
        <f>ЛИК_дляСкорингаДП!M952</f>
        <v>Аренда и управление собственным или арендованным нежилым недвижимым имуществом</v>
      </c>
      <c r="E952" s="4" t="str">
        <f>ЛИК_дляСкорингаДП!L952</f>
        <v>68.20.2</v>
      </c>
      <c r="F952" t="str">
        <f>ЛИК_дляСкорингаДП!N952</f>
        <v>23.32,23.61,41.20,45.11.2,45.11.3,45.19.2,45.19.3,45.20.1,46.15.9,46.17.21,46.17.22,46.17.3,46.32,46.32.3,46.36.1,46.38.1,46.38.21,46.41.1,46.45.1,56.10,56.10.1,56.10.3,73.11,79.90.2,79.90.3,85.42.9</v>
      </c>
      <c r="G952" s="25" t="str">
        <f>ЛИК_дляСкорингаДП!AG952</f>
        <v>УСН</v>
      </c>
      <c r="H952" s="55" t="str">
        <f>IF(ISNUMBER(E952),E952,
IFERROR(LEFT(E952,FIND(".",E952)-1),E952))</f>
        <v>68</v>
      </c>
      <c r="I952" s="30">
        <f>IF(COUNTIF(Справочник_ОКВЭД_НР!$A$3:$A$62,H952)&gt;0,Справочник_ОКВЭД_НР!$L$8,
 IF(COUNTIF(Справочник_ОКВЭД_НР!$C$3:$C$62,H952)&gt;0,Справочник_ОКВЭД_НР!$L$9,
  IF(COUNTIF(Справочник_ОКВЭД_НР!$E$3:$E$62,H952)&gt;0,Справочник_ОКВЭД_НР!$L$10,
   IF(COUNTIF(Справочник_ОКВЭД_НР!$G$3:$G$62,H952)&gt;0,Справочник_ОКВЭД_НР!$L$11,50))))</f>
        <v>100</v>
      </c>
      <c r="J952" s="30" cm="1">
        <f t="array" ref="J952">IFERROR(
 (SUMPRODUCT(ISNUMBER(SEARCH(","&amp;Справочник_ОКВЭД_НР!$A$3:$A$62&amp;".",","&amp;SUBSTITUTE(F952," ","")&amp;",")))*Справочник_ОКВЭД_НР!$L$9 +
  SUMPRODUCT(ISNUMBER(SEARCH(","&amp;Справочник_ОКВЭД_НР!$C$3:$C$62&amp;".",","&amp;SUBSTITUTE(F952," ","")&amp;",")))*Справочник_ОКВЭД_НР!$L$10 +
  SUMPRODUCT(ISNUMBER(SEARCH(","&amp;Справочник_ОКВЭД_НР!$E$3:$E$62&amp;".",","&amp;SUBSTITUTE(F952," ","")&amp;",")))*Справочник_ОКВЭД_НР!$L$11 +
  SUMPRODUCT(ISNUMBER(SEARCH(","&amp;Справочник_ОКВЭД_НР!$G$3:$G$62&amp;".",","&amp;SUBSTITUTE(F952," ","")&amp;",")))*Справочник_ОКВЭД_НР!$L$12) /
 (SUMPRODUCT(ISNUMBER(SEARCH(","&amp;Справочник_ОКВЭД_НР!$A$3:$A$62&amp;".",","&amp;SUBSTITUTE(F952," ","")&amp;","))) +
  SUMPRODUCT(ISNUMBER(SEARCH(","&amp;Справочник_ОКВЭД_НР!$C$3:$C$62&amp;".",","&amp;SUBSTITUTE(F952," ","")&amp;","))) +
  SUMPRODUCT(ISNUMBER(SEARCH(","&amp;Справочник_ОКВЭД_НР!$E$3:$E$62&amp;".",","&amp;SUBSTITUTE(F952," ","")&amp;","))) +
  SUMPRODUCT(ISNUMBER(SEARCH(","&amp;Справочник_ОКВЭД_НР!$G$3:$G$62&amp;".",","&amp;SUBSTITUTE(F952," ","")&amp;",")))),
50)</f>
        <v>50</v>
      </c>
      <c r="K952" s="30">
        <f>IFERROR(VLOOKUP(G952,Справочник_ОКВЭД_НР!$O:$P,2,FALSE()),50)</f>
        <v>50</v>
      </c>
      <c r="L952" s="45">
        <f>(I952*Справочник_ОКВЭД_НР!$L$2+J952*Справочник_ОКВЭД_НР!$L$3+K952*Справочник_ОКВЭД_НР!$L$4)*M952</f>
        <v>80</v>
      </c>
      <c r="M952" s="47">
        <f>IF(COUNTIF(Справочник_ОКВЭД_НР!$G$3:$G$62,H952)&gt;0,0,1)</f>
        <v>1</v>
      </c>
    </row>
    <row r="953" spans="1:13" x14ac:dyDescent="0.25">
      <c r="A953" s="4">
        <f>ЛИК_дляСкорингаДП!A953</f>
        <v>1107746048244</v>
      </c>
      <c r="B953" s="4">
        <f>ЛИК_дляСкорингаДП!B953</f>
        <v>7724734721</v>
      </c>
      <c r="C953" s="4" t="str">
        <f>ЛИК_дляСкорингаДП!C953</f>
        <v>ООО "ОТК"</v>
      </c>
      <c r="D953" s="5" t="str">
        <f>ЛИК_дляСкорингаДП!M953</f>
        <v>Производство прочих пищевых продуктов</v>
      </c>
      <c r="E953" s="4" t="str">
        <f>ЛИК_дляСкорингаДП!L953</f>
        <v>10.8</v>
      </c>
      <c r="F953" t="str">
        <f>ЛИК_дляСкорингаДП!N953</f>
        <v>11.0,46.1,46.3,47.1,47.2,52.10,52.2,52.24,52.29,82.92</v>
      </c>
      <c r="G953" s="25" t="str">
        <f>ЛИК_дляСкорингаДП!AG953</f>
        <v>УСН</v>
      </c>
      <c r="H953" s="55" t="str">
        <f>IF(ISNUMBER(E953),E953,
IFERROR(LEFT(E953,FIND(".",E953)-1),E953))</f>
        <v>10</v>
      </c>
      <c r="I953" s="30">
        <f>IF(COUNTIF(Справочник_ОКВЭД_НР!$A$3:$A$62,H953)&gt;0,Справочник_ОКВЭД_НР!$L$8,
 IF(COUNTIF(Справочник_ОКВЭД_НР!$C$3:$C$62,H953)&gt;0,Справочник_ОКВЭД_НР!$L$9,
  IF(COUNTIF(Справочник_ОКВЭД_НР!$E$3:$E$62,H953)&gt;0,Справочник_ОКВЭД_НР!$L$10,
   IF(COUNTIF(Справочник_ОКВЭД_НР!$G$3:$G$62,H953)&gt;0,Справочник_ОКВЭД_НР!$L$11,50))))</f>
        <v>100</v>
      </c>
      <c r="J953" s="30" cm="1">
        <f t="array" ref="J953">IFERROR(
 (SUMPRODUCT(ISNUMBER(SEARCH(","&amp;Справочник_ОКВЭД_НР!$A$3:$A$62&amp;".",","&amp;SUBSTITUTE(F953," ","")&amp;",")))*Справочник_ОКВЭД_НР!$L$9 +
  SUMPRODUCT(ISNUMBER(SEARCH(","&amp;Справочник_ОКВЭД_НР!$C$3:$C$62&amp;".",","&amp;SUBSTITUTE(F953," ","")&amp;",")))*Справочник_ОКВЭД_НР!$L$10 +
  SUMPRODUCT(ISNUMBER(SEARCH(","&amp;Справочник_ОКВЭД_НР!$E$3:$E$62&amp;".",","&amp;SUBSTITUTE(F953," ","")&amp;",")))*Справочник_ОКВЭД_НР!$L$11 +
  SUMPRODUCT(ISNUMBER(SEARCH(","&amp;Справочник_ОКВЭД_НР!$G$3:$G$62&amp;".",","&amp;SUBSTITUTE(F953," ","")&amp;",")))*Справочник_ОКВЭД_НР!$L$12) /
 (SUMPRODUCT(ISNUMBER(SEARCH(","&amp;Справочник_ОКВЭД_НР!$A$3:$A$62&amp;".",","&amp;SUBSTITUTE(F953," ","")&amp;","))) +
  SUMPRODUCT(ISNUMBER(SEARCH(","&amp;Справочник_ОКВЭД_НР!$C$3:$C$62&amp;".",","&amp;SUBSTITUTE(F953," ","")&amp;","))) +
  SUMPRODUCT(ISNUMBER(SEARCH(","&amp;Справочник_ОКВЭД_НР!$E$3:$E$62&amp;".",","&amp;SUBSTITUTE(F953," ","")&amp;","))) +
  SUMPRODUCT(ISNUMBER(SEARCH(","&amp;Справочник_ОКВЭД_НР!$G$3:$G$62&amp;".",","&amp;SUBSTITUTE(F953," ","")&amp;",")))),
50)</f>
        <v>50</v>
      </c>
      <c r="K953" s="30">
        <f>IFERROR(VLOOKUP(G953,Справочник_ОКВЭД_НР!$O:$P,2,FALSE()),50)</f>
        <v>50</v>
      </c>
      <c r="L953" s="45">
        <f>(I953*Справочник_ОКВЭД_НР!$L$2+J953*Справочник_ОКВЭД_НР!$L$3+K953*Справочник_ОКВЭД_НР!$L$4)*M953</f>
        <v>80</v>
      </c>
      <c r="M953" s="47">
        <f>IF(COUNTIF(Справочник_ОКВЭД_НР!$G$3:$G$62,H953)&gt;0,0,1)</f>
        <v>1</v>
      </c>
    </row>
    <row r="954" spans="1:13" x14ac:dyDescent="0.25">
      <c r="A954" s="4">
        <f>ЛИК_дляСкорингаДП!A954</f>
        <v>1107746165636</v>
      </c>
      <c r="B954" s="4">
        <f>ЛИК_дляСкорингаДП!B954</f>
        <v>7727712444</v>
      </c>
      <c r="C954" s="4" t="str">
        <f>ЛИК_дляСкорингаДП!C954</f>
        <v>ООО "ВЫСОТА-СЕРВИС ПЛЮС"</v>
      </c>
      <c r="D954" s="5" t="str">
        <f>ЛИК_дляСкорингаДП!M954</f>
        <v>Управление недвижимым имуществом за вознаграждение или на договорной основе</v>
      </c>
      <c r="E954" s="4" t="str">
        <f>ЛИК_дляСкорингаДП!L954</f>
        <v>68.32</v>
      </c>
      <c r="F954" t="str">
        <f>ЛИК_дляСкорингаДП!N954</f>
        <v>33.12,43.21,43.39,68.1,68.10.23,68.3,68.32.1,68.32.2,71.12.61,71.12.62,71.12.63</v>
      </c>
      <c r="G954" s="25" t="str">
        <f>ЛИК_дляСкорингаДП!AG954</f>
        <v>УСН</v>
      </c>
      <c r="H954" s="55" t="str">
        <f>IF(ISNUMBER(E954),E954,
IFERROR(LEFT(E954,FIND(".",E954)-1),E954))</f>
        <v>68</v>
      </c>
      <c r="I954" s="30">
        <f>IF(COUNTIF(Справочник_ОКВЭД_НР!$A$3:$A$62,H954)&gt;0,Справочник_ОКВЭД_НР!$L$8,
 IF(COUNTIF(Справочник_ОКВЭД_НР!$C$3:$C$62,H954)&gt;0,Справочник_ОКВЭД_НР!$L$9,
  IF(COUNTIF(Справочник_ОКВЭД_НР!$E$3:$E$62,H954)&gt;0,Справочник_ОКВЭД_НР!$L$10,
   IF(COUNTIF(Справочник_ОКВЭД_НР!$G$3:$G$62,H954)&gt;0,Справочник_ОКВЭД_НР!$L$11,50))))</f>
        <v>100</v>
      </c>
      <c r="J954" s="30" cm="1">
        <f t="array" ref="J954">IFERROR(
 (SUMPRODUCT(ISNUMBER(SEARCH(","&amp;Справочник_ОКВЭД_НР!$A$3:$A$62&amp;".",","&amp;SUBSTITUTE(F954," ","")&amp;",")))*Справочник_ОКВЭД_НР!$L$9 +
  SUMPRODUCT(ISNUMBER(SEARCH(","&amp;Справочник_ОКВЭД_НР!$C$3:$C$62&amp;".",","&amp;SUBSTITUTE(F954," ","")&amp;",")))*Справочник_ОКВЭД_НР!$L$10 +
  SUMPRODUCT(ISNUMBER(SEARCH(","&amp;Справочник_ОКВЭД_НР!$E$3:$E$62&amp;".",","&amp;SUBSTITUTE(F954," ","")&amp;",")))*Справочник_ОКВЭД_НР!$L$11 +
  SUMPRODUCT(ISNUMBER(SEARCH(","&amp;Справочник_ОКВЭД_НР!$G$3:$G$62&amp;".",","&amp;SUBSTITUTE(F954," ","")&amp;",")))*Справочник_ОКВЭД_НР!$L$12) /
 (SUMPRODUCT(ISNUMBER(SEARCH(","&amp;Справочник_ОКВЭД_НР!$A$3:$A$62&amp;".",","&amp;SUBSTITUTE(F954," ","")&amp;","))) +
  SUMPRODUCT(ISNUMBER(SEARCH(","&amp;Справочник_ОКВЭД_НР!$C$3:$C$62&amp;".",","&amp;SUBSTITUTE(F954," ","")&amp;","))) +
  SUMPRODUCT(ISNUMBER(SEARCH(","&amp;Справочник_ОКВЭД_НР!$E$3:$E$62&amp;".",","&amp;SUBSTITUTE(F954," ","")&amp;","))) +
  SUMPRODUCT(ISNUMBER(SEARCH(","&amp;Справочник_ОКВЭД_НР!$G$3:$G$62&amp;".",","&amp;SUBSTITUTE(F954," ","")&amp;",")))),
50)</f>
        <v>50</v>
      </c>
      <c r="K954" s="30">
        <f>IFERROR(VLOOKUP(G954,Справочник_ОКВЭД_НР!$O:$P,2,FALSE()),50)</f>
        <v>50</v>
      </c>
      <c r="L954" s="45">
        <f>(I954*Справочник_ОКВЭД_НР!$L$2+J954*Справочник_ОКВЭД_НР!$L$3+K954*Справочник_ОКВЭД_НР!$L$4)*M954</f>
        <v>80</v>
      </c>
      <c r="M954" s="47">
        <f>IF(COUNTIF(Справочник_ОКВЭД_НР!$G$3:$G$62,H954)&gt;0,0,1)</f>
        <v>1</v>
      </c>
    </row>
    <row r="955" spans="1:13" x14ac:dyDescent="0.25">
      <c r="A955" s="4">
        <f>ЛИК_дляСкорингаДП!A955</f>
        <v>1175029026160</v>
      </c>
      <c r="B955" s="4">
        <f>ЛИК_дляСкорингаДП!B955</f>
        <v>5047204665</v>
      </c>
      <c r="C955" s="4" t="str">
        <f>ЛИК_дляСкорингаДП!C955</f>
        <v>ООО "01-СЕРВИС"</v>
      </c>
      <c r="D955" s="5" t="str">
        <f>ЛИК_дляСкорингаДП!M955</f>
        <v>Производство электромонтажных работ</v>
      </c>
      <c r="E955" s="4" t="str">
        <f>ЛИК_дляСкорингаДП!L955</f>
        <v>43.21</v>
      </c>
      <c r="F955" t="str">
        <f>ЛИК_дляСкорингаДП!N955</f>
        <v>16.10,16.10.9,25.61,33.11,33.12,33.14,43.22,43.99,43.99.1,43.99.9,47.89.1,47.99,49.41.2,62.01,62.02.3,62.03,62.09,71.12.1,71.12.45,80.20,85.42,85.42.9</v>
      </c>
      <c r="G955" s="25" t="str">
        <f>ЛИК_дляСкорингаДП!AG955</f>
        <v>УСН</v>
      </c>
      <c r="H955" s="55" t="str">
        <f>IF(ISNUMBER(E955),E955,
IFERROR(LEFT(E955,FIND(".",E955)-1),E955))</f>
        <v>43</v>
      </c>
      <c r="I955" s="30">
        <f>IF(COUNTIF(Справочник_ОКВЭД_НР!$A$3:$A$62,H955)&gt;0,Справочник_ОКВЭД_НР!$L$8,
 IF(COUNTIF(Справочник_ОКВЭД_НР!$C$3:$C$62,H955)&gt;0,Справочник_ОКВЭД_НР!$L$9,
  IF(COUNTIF(Справочник_ОКВЭД_НР!$E$3:$E$62,H955)&gt;0,Справочник_ОКВЭД_НР!$L$10,
   IF(COUNTIF(Справочник_ОКВЭД_НР!$G$3:$G$62,H955)&gt;0,Справочник_ОКВЭД_НР!$L$11,50))))</f>
        <v>100</v>
      </c>
      <c r="J955" s="30" cm="1">
        <f t="array" ref="J955">IFERROR(
 (SUMPRODUCT(ISNUMBER(SEARCH(","&amp;Справочник_ОКВЭД_НР!$A$3:$A$62&amp;".",","&amp;SUBSTITUTE(F955," ","")&amp;",")))*Справочник_ОКВЭД_НР!$L$9 +
  SUMPRODUCT(ISNUMBER(SEARCH(","&amp;Справочник_ОКВЭД_НР!$C$3:$C$62&amp;".",","&amp;SUBSTITUTE(F955," ","")&amp;",")))*Справочник_ОКВЭД_НР!$L$10 +
  SUMPRODUCT(ISNUMBER(SEARCH(","&amp;Справочник_ОКВЭД_НР!$E$3:$E$62&amp;".",","&amp;SUBSTITUTE(F955," ","")&amp;",")))*Справочник_ОКВЭД_НР!$L$11 +
  SUMPRODUCT(ISNUMBER(SEARCH(","&amp;Справочник_ОКВЭД_НР!$G$3:$G$62&amp;".",","&amp;SUBSTITUTE(F955," ","")&amp;",")))*Справочник_ОКВЭД_НР!$L$12) /
 (SUMPRODUCT(ISNUMBER(SEARCH(","&amp;Справочник_ОКВЭД_НР!$A$3:$A$62&amp;".",","&amp;SUBSTITUTE(F955," ","")&amp;","))) +
  SUMPRODUCT(ISNUMBER(SEARCH(","&amp;Справочник_ОКВЭД_НР!$C$3:$C$62&amp;".",","&amp;SUBSTITUTE(F955," ","")&amp;","))) +
  SUMPRODUCT(ISNUMBER(SEARCH(","&amp;Справочник_ОКВЭД_НР!$E$3:$E$62&amp;".",","&amp;SUBSTITUTE(F955," ","")&amp;","))) +
  SUMPRODUCT(ISNUMBER(SEARCH(","&amp;Справочник_ОКВЭД_НР!$G$3:$G$62&amp;".",","&amp;SUBSTITUTE(F955," ","")&amp;",")))),
50)</f>
        <v>50</v>
      </c>
      <c r="K955" s="30">
        <f>IFERROR(VLOOKUP(G955,Справочник_ОКВЭД_НР!$O:$P,2,FALSE()),50)</f>
        <v>50</v>
      </c>
      <c r="L955" s="45">
        <f>(I955*Справочник_ОКВЭД_НР!$L$2+J955*Справочник_ОКВЭД_НР!$L$3+K955*Справочник_ОКВЭД_НР!$L$4)*M955</f>
        <v>80</v>
      </c>
      <c r="M955" s="47">
        <f>IF(COUNTIF(Справочник_ОКВЭД_НР!$G$3:$G$62,H955)&gt;0,0,1)</f>
        <v>1</v>
      </c>
    </row>
    <row r="956" spans="1:13" x14ac:dyDescent="0.25">
      <c r="A956" s="4">
        <f>ЛИК_дляСкорингаДП!A956</f>
        <v>1107746054020</v>
      </c>
      <c r="B956" s="4">
        <f>ЛИК_дляСкорингаДП!B956</f>
        <v>7709847294</v>
      </c>
      <c r="C956" s="4" t="str">
        <f>ЛИК_дляСкорингаДП!C956</f>
        <v>ООО "КОНТУР"</v>
      </c>
      <c r="D956" s="5" t="str">
        <f>ЛИК_дляСкорингаДП!M956</f>
        <v>Деятельность в области медицины прочая</v>
      </c>
      <c r="E956" s="4" t="str">
        <f>ЛИК_дляСкорингаДП!L956</f>
        <v>86.90</v>
      </c>
      <c r="F956" t="str">
        <f>ЛИК_дляСкорингаДП!N956</f>
        <v>47.19,47.74,47.75,69,69.10,69.20,70.22,73.20,82.99,96.02,96.04,96.09</v>
      </c>
      <c r="G956" s="25" t="str">
        <f>ЛИК_дляСкорингаДП!AG956</f>
        <v>УСН</v>
      </c>
      <c r="H956" s="55" t="str">
        <f>IF(ISNUMBER(E956),E956,
IFERROR(LEFT(E956,FIND(".",E956)-1),E956))</f>
        <v>86</v>
      </c>
      <c r="I956" s="30">
        <f>IF(COUNTIF(Справочник_ОКВЭД_НР!$A$3:$A$62,H956)&gt;0,Справочник_ОКВЭД_НР!$L$8,
 IF(COUNTIF(Справочник_ОКВЭД_НР!$C$3:$C$62,H956)&gt;0,Справочник_ОКВЭД_НР!$L$9,
  IF(COUNTIF(Справочник_ОКВЭД_НР!$E$3:$E$62,H956)&gt;0,Справочник_ОКВЭД_НР!$L$10,
   IF(COUNTIF(Справочник_ОКВЭД_НР!$G$3:$G$62,H956)&gt;0,Справочник_ОКВЭД_НР!$L$11,50))))</f>
        <v>100</v>
      </c>
      <c r="J956" s="30" cm="1">
        <f t="array" ref="J956">IFERROR(
 (SUMPRODUCT(ISNUMBER(SEARCH(","&amp;Справочник_ОКВЭД_НР!$A$3:$A$62&amp;".",","&amp;SUBSTITUTE(F956," ","")&amp;",")))*Справочник_ОКВЭД_НР!$L$9 +
  SUMPRODUCT(ISNUMBER(SEARCH(","&amp;Справочник_ОКВЭД_НР!$C$3:$C$62&amp;".",","&amp;SUBSTITUTE(F956," ","")&amp;",")))*Справочник_ОКВЭД_НР!$L$10 +
  SUMPRODUCT(ISNUMBER(SEARCH(","&amp;Справочник_ОКВЭД_НР!$E$3:$E$62&amp;".",","&amp;SUBSTITUTE(F956," ","")&amp;",")))*Справочник_ОКВЭД_НР!$L$11 +
  SUMPRODUCT(ISNUMBER(SEARCH(","&amp;Справочник_ОКВЭД_НР!$G$3:$G$62&amp;".",","&amp;SUBSTITUTE(F956," ","")&amp;",")))*Справочник_ОКВЭД_НР!$L$12) /
 (SUMPRODUCT(ISNUMBER(SEARCH(","&amp;Справочник_ОКВЭД_НР!$A$3:$A$62&amp;".",","&amp;SUBSTITUTE(F956," ","")&amp;","))) +
  SUMPRODUCT(ISNUMBER(SEARCH(","&amp;Справочник_ОКВЭД_НР!$C$3:$C$62&amp;".",","&amp;SUBSTITUTE(F956," ","")&amp;","))) +
  SUMPRODUCT(ISNUMBER(SEARCH(","&amp;Справочник_ОКВЭД_НР!$E$3:$E$62&amp;".",","&amp;SUBSTITUTE(F956," ","")&amp;","))) +
  SUMPRODUCT(ISNUMBER(SEARCH(","&amp;Справочник_ОКВЭД_НР!$G$3:$G$62&amp;".",","&amp;SUBSTITUTE(F956," ","")&amp;",")))),
50)</f>
        <v>50</v>
      </c>
      <c r="K956" s="30">
        <f>IFERROR(VLOOKUP(G956,Справочник_ОКВЭД_НР!$O:$P,2,FALSE()),50)</f>
        <v>50</v>
      </c>
      <c r="L956" s="45">
        <f>(I956*Справочник_ОКВЭД_НР!$L$2+J956*Справочник_ОКВЭД_НР!$L$3+K956*Справочник_ОКВЭД_НР!$L$4)*M956</f>
        <v>80</v>
      </c>
      <c r="M956" s="47">
        <f>IF(COUNTIF(Справочник_ОКВЭД_НР!$G$3:$G$62,H956)&gt;0,0,1)</f>
        <v>1</v>
      </c>
    </row>
    <row r="957" spans="1:13" x14ac:dyDescent="0.25">
      <c r="A957" s="4">
        <f>ЛИК_дляСкорингаДП!A957</f>
        <v>1107746077900</v>
      </c>
      <c r="B957" s="4">
        <f>ЛИК_дляСкорингаДП!B957</f>
        <v>7714800206</v>
      </c>
      <c r="C957" s="4" t="str">
        <f>ЛИК_дляСкорингаДП!C957</f>
        <v>ООО "АВИС ЭЛЕКТРОНИКС"</v>
      </c>
      <c r="D957" s="5" t="str">
        <f>ЛИК_дляСкорингаДП!M957</f>
        <v>Торговля оптовая прочими бытовыми товарами</v>
      </c>
      <c r="E957" s="4" t="str">
        <f>ЛИК_дляСкорингаДП!L957</f>
        <v>46.49</v>
      </c>
      <c r="F957" t="str">
        <f>ЛИК_дляСкорингаДП!N957</f>
        <v>46.43,47.43,47.54,47.73,47.74,47.75,47.9,47.91,53.20.3,56.10,56.10.1,56.10.3,73.11,82.99,95.21</v>
      </c>
      <c r="G957" s="25" t="str">
        <f>ЛИК_дляСкорингаДП!AG957</f>
        <v>УСН</v>
      </c>
      <c r="H957" s="55" t="str">
        <f>IF(ISNUMBER(E957),E957,
IFERROR(LEFT(E957,FIND(".",E957)-1),E957))</f>
        <v>46</v>
      </c>
      <c r="I957" s="30">
        <f>IF(COUNTIF(Справочник_ОКВЭД_НР!$A$3:$A$62,H957)&gt;0,Справочник_ОКВЭД_НР!$L$8,
 IF(COUNTIF(Справочник_ОКВЭД_НР!$C$3:$C$62,H957)&gt;0,Справочник_ОКВЭД_НР!$L$9,
  IF(COUNTIF(Справочник_ОКВЭД_НР!$E$3:$E$62,H957)&gt;0,Справочник_ОКВЭД_НР!$L$10,
   IF(COUNTIF(Справочник_ОКВЭД_НР!$G$3:$G$62,H957)&gt;0,Справочник_ОКВЭД_НР!$L$11,50))))</f>
        <v>60</v>
      </c>
      <c r="J957" s="30" cm="1">
        <f t="array" ref="J957">IFERROR(
 (SUMPRODUCT(ISNUMBER(SEARCH(","&amp;Справочник_ОКВЭД_НР!$A$3:$A$62&amp;".",","&amp;SUBSTITUTE(F957," ","")&amp;",")))*Справочник_ОКВЭД_НР!$L$9 +
  SUMPRODUCT(ISNUMBER(SEARCH(","&amp;Справочник_ОКВЭД_НР!$C$3:$C$62&amp;".",","&amp;SUBSTITUTE(F957," ","")&amp;",")))*Справочник_ОКВЭД_НР!$L$10 +
  SUMPRODUCT(ISNUMBER(SEARCH(","&amp;Справочник_ОКВЭД_НР!$E$3:$E$62&amp;".",","&amp;SUBSTITUTE(F957," ","")&amp;",")))*Справочник_ОКВЭД_НР!$L$11 +
  SUMPRODUCT(ISNUMBER(SEARCH(","&amp;Справочник_ОКВЭД_НР!$G$3:$G$62&amp;".",","&amp;SUBSTITUTE(F957," ","")&amp;",")))*Справочник_ОКВЭД_НР!$L$12) /
 (SUMPRODUCT(ISNUMBER(SEARCH(","&amp;Справочник_ОКВЭД_НР!$A$3:$A$62&amp;".",","&amp;SUBSTITUTE(F957," ","")&amp;","))) +
  SUMPRODUCT(ISNUMBER(SEARCH(","&amp;Справочник_ОКВЭД_НР!$C$3:$C$62&amp;".",","&amp;SUBSTITUTE(F957," ","")&amp;","))) +
  SUMPRODUCT(ISNUMBER(SEARCH(","&amp;Справочник_ОКВЭД_НР!$E$3:$E$62&amp;".",","&amp;SUBSTITUTE(F957," ","")&amp;","))) +
  SUMPRODUCT(ISNUMBER(SEARCH(","&amp;Справочник_ОКВЭД_НР!$G$3:$G$62&amp;".",","&amp;SUBSTITUTE(F957," ","")&amp;",")))),
50)</f>
        <v>50</v>
      </c>
      <c r="K957" s="30">
        <f>IFERROR(VLOOKUP(G957,Справочник_ОКВЭД_НР!$O:$P,2,FALSE()),50)</f>
        <v>50</v>
      </c>
      <c r="L957" s="45">
        <f>(I957*Справочник_ОКВЭД_НР!$L$2+J957*Справочник_ОКВЭД_НР!$L$3+K957*Справочник_ОКВЭД_НР!$L$4)*M957</f>
        <v>56</v>
      </c>
      <c r="M957" s="47">
        <f>IF(COUNTIF(Справочник_ОКВЭД_НР!$G$3:$G$62,H957)&gt;0,0,1)</f>
        <v>1</v>
      </c>
    </row>
    <row r="958" spans="1:13" x14ac:dyDescent="0.25">
      <c r="A958" s="4">
        <f>ЛИК_дляСкорингаДП!A958</f>
        <v>1107746115212</v>
      </c>
      <c r="B958" s="4">
        <f>ЛИК_дляСкорингаДП!B958</f>
        <v>7704747088</v>
      </c>
      <c r="C958" s="4" t="str">
        <f>ЛИК_дляСкорингаДП!C958</f>
        <v>ООО "АЙКОНФУД"</v>
      </c>
      <c r="D958" s="5" t="str">
        <f>ЛИК_дляСкорингаДП!M958</f>
        <v>Аренда интеллектуальной собственности и подобной продукции, кроме авторских прав</v>
      </c>
      <c r="E958" s="4" t="str">
        <f>ЛИК_дляСкорингаДП!L958</f>
        <v>77.40</v>
      </c>
      <c r="F958" t="str">
        <f>ЛИК_дляСкорингаДП!N958</f>
        <v>33.14,43.22,43.31,43.32,43.33,43.34,53.20.3,68.10,68.2,68.3,69.10,69.20,70.22,73.11,78.10</v>
      </c>
      <c r="G958" s="25" t="str">
        <f>ЛИК_дляСкорингаДП!AG958</f>
        <v>УСН</v>
      </c>
      <c r="H958" s="55" t="str">
        <f>IF(ISNUMBER(E958),E958,
IFERROR(LEFT(E958,FIND(".",E958)-1),E958))</f>
        <v>77</v>
      </c>
      <c r="I958" s="30">
        <f>IF(COUNTIF(Справочник_ОКВЭД_НР!$A$3:$A$62,H958)&gt;0,Справочник_ОКВЭД_НР!$L$8,
 IF(COUNTIF(Справочник_ОКВЭД_НР!$C$3:$C$62,H958)&gt;0,Справочник_ОКВЭД_НР!$L$9,
  IF(COUNTIF(Справочник_ОКВЭД_НР!$E$3:$E$62,H958)&gt;0,Справочник_ОКВЭД_НР!$L$10,
   IF(COUNTIF(Справочник_ОКВЭД_НР!$G$3:$G$62,H958)&gt;0,Справочник_ОКВЭД_НР!$L$11,50))))</f>
        <v>60</v>
      </c>
      <c r="J958" s="30" cm="1">
        <f t="array" ref="J958">IFERROR(
 (SUMPRODUCT(ISNUMBER(SEARCH(","&amp;Справочник_ОКВЭД_НР!$A$3:$A$62&amp;".",","&amp;SUBSTITUTE(F958," ","")&amp;",")))*Справочник_ОКВЭД_НР!$L$9 +
  SUMPRODUCT(ISNUMBER(SEARCH(","&amp;Справочник_ОКВЭД_НР!$C$3:$C$62&amp;".",","&amp;SUBSTITUTE(F958," ","")&amp;",")))*Справочник_ОКВЭД_НР!$L$10 +
  SUMPRODUCT(ISNUMBER(SEARCH(","&amp;Справочник_ОКВЭД_НР!$E$3:$E$62&amp;".",","&amp;SUBSTITUTE(F958," ","")&amp;",")))*Справочник_ОКВЭД_НР!$L$11 +
  SUMPRODUCT(ISNUMBER(SEARCH(","&amp;Справочник_ОКВЭД_НР!$G$3:$G$62&amp;".",","&amp;SUBSTITUTE(F958," ","")&amp;",")))*Справочник_ОКВЭД_НР!$L$12) /
 (SUMPRODUCT(ISNUMBER(SEARCH(","&amp;Справочник_ОКВЭД_НР!$A$3:$A$62&amp;".",","&amp;SUBSTITUTE(F958," ","")&amp;","))) +
  SUMPRODUCT(ISNUMBER(SEARCH(","&amp;Справочник_ОКВЭД_НР!$C$3:$C$62&amp;".",","&amp;SUBSTITUTE(F958," ","")&amp;","))) +
  SUMPRODUCT(ISNUMBER(SEARCH(","&amp;Справочник_ОКВЭД_НР!$E$3:$E$62&amp;".",","&amp;SUBSTITUTE(F958," ","")&amp;","))) +
  SUMPRODUCT(ISNUMBER(SEARCH(","&amp;Справочник_ОКВЭД_НР!$G$3:$G$62&amp;".",","&amp;SUBSTITUTE(F958," ","")&amp;",")))),
50)</f>
        <v>50</v>
      </c>
      <c r="K958" s="30">
        <f>IFERROR(VLOOKUP(G958,Справочник_ОКВЭД_НР!$O:$P,2,FALSE()),50)</f>
        <v>50</v>
      </c>
      <c r="L958" s="45">
        <f>(I958*Справочник_ОКВЭД_НР!$L$2+J958*Справочник_ОКВЭД_НР!$L$3+K958*Справочник_ОКВЭД_НР!$L$4)*M958</f>
        <v>56</v>
      </c>
      <c r="M958" s="47">
        <f>IF(COUNTIF(Справочник_ОКВЭД_НР!$G$3:$G$62,H958)&gt;0,0,1)</f>
        <v>1</v>
      </c>
    </row>
    <row r="959" spans="1:13" x14ac:dyDescent="0.25">
      <c r="A959" s="4">
        <f>ЛИК_дляСкорингаДП!A959</f>
        <v>1107746184622</v>
      </c>
      <c r="B959" s="4">
        <f>ЛИК_дляСкорингаДП!B959</f>
        <v>7713702950</v>
      </c>
      <c r="C959" s="4" t="str">
        <f>ЛИК_дляСкорингаДП!C959</f>
        <v>ООО "НПЛ "ЭНЕРГОСИТ"</v>
      </c>
      <c r="D959" s="5" t="str">
        <f>ЛИК_дляСкорингаДП!M959</f>
        <v>Монтаж промышленных машин и оборудования</v>
      </c>
      <c r="E959" s="4" t="str">
        <f>ЛИК_дляСкорингаДП!L959</f>
        <v>33.20</v>
      </c>
      <c r="F959" t="str">
        <f>ЛИК_дляСкорингаДП!N959</f>
        <v>33.12,33.14,35.30,42.21,42.22,42.91,43.21,43.22,47.9,62.01,62.02,71.11.1,71.12,71.12.8,71.20,72.19,74.90</v>
      </c>
      <c r="G959" s="25" t="str">
        <f>ЛИК_дляСкорингаДП!AG959</f>
        <v>УСН</v>
      </c>
      <c r="H959" s="55" t="str">
        <f>IF(ISNUMBER(E959),E959,
IFERROR(LEFT(E959,FIND(".",E959)-1),E959))</f>
        <v>33</v>
      </c>
      <c r="I959" s="30">
        <f>IF(COUNTIF(Справочник_ОКВЭД_НР!$A$3:$A$62,H959)&gt;0,Справочник_ОКВЭД_НР!$L$8,
 IF(COUNTIF(Справочник_ОКВЭД_НР!$C$3:$C$62,H959)&gt;0,Справочник_ОКВЭД_НР!$L$9,
  IF(COUNTIF(Справочник_ОКВЭД_НР!$E$3:$E$62,H959)&gt;0,Справочник_ОКВЭД_НР!$L$10,
   IF(COUNTIF(Справочник_ОКВЭД_НР!$G$3:$G$62,H959)&gt;0,Справочник_ОКВЭД_НР!$L$11,50))))</f>
        <v>60</v>
      </c>
      <c r="J959" s="30" cm="1">
        <f t="array" ref="J959">IFERROR(
 (SUMPRODUCT(ISNUMBER(SEARCH(","&amp;Справочник_ОКВЭД_НР!$A$3:$A$62&amp;".",","&amp;SUBSTITUTE(F959," ","")&amp;",")))*Справочник_ОКВЭД_НР!$L$9 +
  SUMPRODUCT(ISNUMBER(SEARCH(","&amp;Справочник_ОКВЭД_НР!$C$3:$C$62&amp;".",","&amp;SUBSTITUTE(F959," ","")&amp;",")))*Справочник_ОКВЭД_НР!$L$10 +
  SUMPRODUCT(ISNUMBER(SEARCH(","&amp;Справочник_ОКВЭД_НР!$E$3:$E$62&amp;".",","&amp;SUBSTITUTE(F959," ","")&amp;",")))*Справочник_ОКВЭД_НР!$L$11 +
  SUMPRODUCT(ISNUMBER(SEARCH(","&amp;Справочник_ОКВЭД_НР!$G$3:$G$62&amp;".",","&amp;SUBSTITUTE(F959," ","")&amp;",")))*Справочник_ОКВЭД_НР!$L$12) /
 (SUMPRODUCT(ISNUMBER(SEARCH(","&amp;Справочник_ОКВЭД_НР!$A$3:$A$62&amp;".",","&amp;SUBSTITUTE(F959," ","")&amp;","))) +
  SUMPRODUCT(ISNUMBER(SEARCH(","&amp;Справочник_ОКВЭД_НР!$C$3:$C$62&amp;".",","&amp;SUBSTITUTE(F959," ","")&amp;","))) +
  SUMPRODUCT(ISNUMBER(SEARCH(","&amp;Справочник_ОКВЭД_НР!$E$3:$E$62&amp;".",","&amp;SUBSTITUTE(F959," ","")&amp;","))) +
  SUMPRODUCT(ISNUMBER(SEARCH(","&amp;Справочник_ОКВЭД_НР!$G$3:$G$62&amp;".",","&amp;SUBSTITUTE(F959," ","")&amp;",")))),
50)</f>
        <v>50</v>
      </c>
      <c r="K959" s="30">
        <f>IFERROR(VLOOKUP(G959,Справочник_ОКВЭД_НР!$O:$P,2,FALSE()),50)</f>
        <v>50</v>
      </c>
      <c r="L959" s="45">
        <f>(I959*Справочник_ОКВЭД_НР!$L$2+J959*Справочник_ОКВЭД_НР!$L$3+K959*Справочник_ОКВЭД_НР!$L$4)*M959</f>
        <v>56</v>
      </c>
      <c r="M959" s="47">
        <f>IF(COUNTIF(Справочник_ОКВЭД_НР!$G$3:$G$62,H959)&gt;0,0,1)</f>
        <v>1</v>
      </c>
    </row>
    <row r="960" spans="1:13" x14ac:dyDescent="0.25">
      <c r="A960" s="4">
        <f>ЛИК_дляСкорингаДП!A960</f>
        <v>1157746881236</v>
      </c>
      <c r="B960" s="4">
        <f>ЛИК_дляСкорингаДП!B960</f>
        <v>7704330343</v>
      </c>
      <c r="C960" s="4" t="str">
        <f>ЛИК_дляСкорингаДП!C960</f>
        <v>ООО "КАМ.ИН"</v>
      </c>
      <c r="D960" s="5" t="str">
        <f>ЛИК_дляСкорингаДП!M960</f>
        <v>Работы строительные специализированные, не включенные в другие группировки</v>
      </c>
      <c r="E960" s="4" t="str">
        <f>ЛИК_дляСкорингаДП!L960</f>
        <v>43.99.9</v>
      </c>
      <c r="F960" t="str">
        <f>ЛИК_дляСкорингаДП!N960</f>
        <v>41.20,43.21,43.29,43.39,43.99.1,43.99.6,46.44.1,46.49,46.74.2,46.90,47.52.71,47.52.72,47.54,47.78,47.99,82.99</v>
      </c>
      <c r="G960" s="25" t="str">
        <f>ЛИК_дляСкорингаДП!AG960</f>
        <v>УСН</v>
      </c>
      <c r="H960" s="55" t="str">
        <f>IF(ISNUMBER(E960),E960,
IFERROR(LEFT(E960,FIND(".",E960)-1),E960))</f>
        <v>43</v>
      </c>
      <c r="I960" s="30">
        <f>IF(COUNTIF(Справочник_ОКВЭД_НР!$A$3:$A$62,H960)&gt;0,Справочник_ОКВЭД_НР!$L$8,
 IF(COUNTIF(Справочник_ОКВЭД_НР!$C$3:$C$62,H960)&gt;0,Справочник_ОКВЭД_НР!$L$9,
  IF(COUNTIF(Справочник_ОКВЭД_НР!$E$3:$E$62,H960)&gt;0,Справочник_ОКВЭД_НР!$L$10,
   IF(COUNTIF(Справочник_ОКВЭД_НР!$G$3:$G$62,H960)&gt;0,Справочник_ОКВЭД_НР!$L$11,50))))</f>
        <v>100</v>
      </c>
      <c r="J960" s="30" cm="1">
        <f t="array" ref="J960">IFERROR(
 (SUMPRODUCT(ISNUMBER(SEARCH(","&amp;Справочник_ОКВЭД_НР!$A$3:$A$62&amp;".",","&amp;SUBSTITUTE(F960," ","")&amp;",")))*Справочник_ОКВЭД_НР!$L$9 +
  SUMPRODUCT(ISNUMBER(SEARCH(","&amp;Справочник_ОКВЭД_НР!$C$3:$C$62&amp;".",","&amp;SUBSTITUTE(F960," ","")&amp;",")))*Справочник_ОКВЭД_НР!$L$10 +
  SUMPRODUCT(ISNUMBER(SEARCH(","&amp;Справочник_ОКВЭД_НР!$E$3:$E$62&amp;".",","&amp;SUBSTITUTE(F960," ","")&amp;",")))*Справочник_ОКВЭД_НР!$L$11 +
  SUMPRODUCT(ISNUMBER(SEARCH(","&amp;Справочник_ОКВЭД_НР!$G$3:$G$62&amp;".",","&amp;SUBSTITUTE(F960," ","")&amp;",")))*Справочник_ОКВЭД_НР!$L$12) /
 (SUMPRODUCT(ISNUMBER(SEARCH(","&amp;Справочник_ОКВЭД_НР!$A$3:$A$62&amp;".",","&amp;SUBSTITUTE(F960," ","")&amp;","))) +
  SUMPRODUCT(ISNUMBER(SEARCH(","&amp;Справочник_ОКВЭД_НР!$C$3:$C$62&amp;".",","&amp;SUBSTITUTE(F960," ","")&amp;","))) +
  SUMPRODUCT(ISNUMBER(SEARCH(","&amp;Справочник_ОКВЭД_НР!$E$3:$E$62&amp;".",","&amp;SUBSTITUTE(F960," ","")&amp;","))) +
  SUMPRODUCT(ISNUMBER(SEARCH(","&amp;Справочник_ОКВЭД_НР!$G$3:$G$62&amp;".",","&amp;SUBSTITUTE(F960," ","")&amp;",")))),
50)</f>
        <v>50</v>
      </c>
      <c r="K960" s="30">
        <f>IFERROR(VLOOKUP(G960,Справочник_ОКВЭД_НР!$O:$P,2,FALSE()),50)</f>
        <v>50</v>
      </c>
      <c r="L960" s="45">
        <f>(I960*Справочник_ОКВЭД_НР!$L$2+J960*Справочник_ОКВЭД_НР!$L$3+K960*Справочник_ОКВЭД_НР!$L$4)*M960</f>
        <v>80</v>
      </c>
      <c r="M960" s="47">
        <f>IF(COUNTIF(Справочник_ОКВЭД_НР!$G$3:$G$62,H960)&gt;0,0,1)</f>
        <v>1</v>
      </c>
    </row>
    <row r="961" spans="1:13" x14ac:dyDescent="0.25">
      <c r="A961" s="4">
        <f>ЛИК_дляСкорингаДП!A961</f>
        <v>1157746921254</v>
      </c>
      <c r="B961" s="4">
        <f>ЛИК_дляСкорингаДП!B961</f>
        <v>7702391421</v>
      </c>
      <c r="C961" s="4" t="str">
        <f>ЛИК_дляСкорингаДП!C961</f>
        <v>ООО "ГИДРОМАССАЖСЕРВИС"</v>
      </c>
      <c r="D961" s="5" t="str">
        <f>ЛИК_дляСкорингаДП!M961</f>
        <v>Производство санитарно-технических работ, монтаж отопительных систем и систем кондиционирования воздуха</v>
      </c>
      <c r="E961" s="4" t="str">
        <f>ЛИК_дляСкорингаДП!L961</f>
        <v>43.22</v>
      </c>
      <c r="F961" t="str">
        <f>ЛИК_дляСкорингаДП!N961</f>
        <v>33.13,33.14,33.20,35.30.4,35.30.5,41.20,43.21,43.29,43.39,43.99,46.15,46.18,46.43,46.44,46.49,46.74,46.90,47.43,47.52,47.54,47.59,47.9,47.99,81.22,81.29.9,82.99,95.22.1,95.29</v>
      </c>
      <c r="G961" s="25" t="str">
        <f>ЛИК_дляСкорингаДП!AG961</f>
        <v>УСН</v>
      </c>
      <c r="H961" s="55" t="str">
        <f>IF(ISNUMBER(E961),E961,
IFERROR(LEFT(E961,FIND(".",E961)-1),E961))</f>
        <v>43</v>
      </c>
      <c r="I961" s="30">
        <f>IF(COUNTIF(Справочник_ОКВЭД_НР!$A$3:$A$62,H961)&gt;0,Справочник_ОКВЭД_НР!$L$8,
 IF(COUNTIF(Справочник_ОКВЭД_НР!$C$3:$C$62,H961)&gt;0,Справочник_ОКВЭД_НР!$L$9,
  IF(COUNTIF(Справочник_ОКВЭД_НР!$E$3:$E$62,H961)&gt;0,Справочник_ОКВЭД_НР!$L$10,
   IF(COUNTIF(Справочник_ОКВЭД_НР!$G$3:$G$62,H961)&gt;0,Справочник_ОКВЭД_НР!$L$11,50))))</f>
        <v>100</v>
      </c>
      <c r="J961" s="30" cm="1">
        <f t="array" ref="J961">IFERROR(
 (SUMPRODUCT(ISNUMBER(SEARCH(","&amp;Справочник_ОКВЭД_НР!$A$3:$A$62&amp;".",","&amp;SUBSTITUTE(F961," ","")&amp;",")))*Справочник_ОКВЭД_НР!$L$9 +
  SUMPRODUCT(ISNUMBER(SEARCH(","&amp;Справочник_ОКВЭД_НР!$C$3:$C$62&amp;".",","&amp;SUBSTITUTE(F961," ","")&amp;",")))*Справочник_ОКВЭД_НР!$L$10 +
  SUMPRODUCT(ISNUMBER(SEARCH(","&amp;Справочник_ОКВЭД_НР!$E$3:$E$62&amp;".",","&amp;SUBSTITUTE(F961," ","")&amp;",")))*Справочник_ОКВЭД_НР!$L$11 +
  SUMPRODUCT(ISNUMBER(SEARCH(","&amp;Справочник_ОКВЭД_НР!$G$3:$G$62&amp;".",","&amp;SUBSTITUTE(F961," ","")&amp;",")))*Справочник_ОКВЭД_НР!$L$12) /
 (SUMPRODUCT(ISNUMBER(SEARCH(","&amp;Справочник_ОКВЭД_НР!$A$3:$A$62&amp;".",","&amp;SUBSTITUTE(F961," ","")&amp;","))) +
  SUMPRODUCT(ISNUMBER(SEARCH(","&amp;Справочник_ОКВЭД_НР!$C$3:$C$62&amp;".",","&amp;SUBSTITUTE(F961," ","")&amp;","))) +
  SUMPRODUCT(ISNUMBER(SEARCH(","&amp;Справочник_ОКВЭД_НР!$E$3:$E$62&amp;".",","&amp;SUBSTITUTE(F961," ","")&amp;","))) +
  SUMPRODUCT(ISNUMBER(SEARCH(","&amp;Справочник_ОКВЭД_НР!$G$3:$G$62&amp;".",","&amp;SUBSTITUTE(F961," ","")&amp;",")))),
50)</f>
        <v>50</v>
      </c>
      <c r="K961" s="30">
        <f>IFERROR(VLOOKUP(G961,Справочник_ОКВЭД_НР!$O:$P,2,FALSE()),50)</f>
        <v>50</v>
      </c>
      <c r="L961" s="45">
        <f>(I961*Справочник_ОКВЭД_НР!$L$2+J961*Справочник_ОКВЭД_НР!$L$3+K961*Справочник_ОКВЭД_НР!$L$4)*M961</f>
        <v>80</v>
      </c>
      <c r="M961" s="47">
        <f>IF(COUNTIF(Справочник_ОКВЭД_НР!$G$3:$G$62,H961)&gt;0,0,1)</f>
        <v>1</v>
      </c>
    </row>
    <row r="962" spans="1:13" x14ac:dyDescent="0.25">
      <c r="A962" s="4">
        <f>ЛИК_дляСкорингаДП!A962</f>
        <v>1157746858026</v>
      </c>
      <c r="B962" s="4">
        <f>ЛИК_дляСкорингаДП!B962</f>
        <v>7730186417</v>
      </c>
      <c r="C962" s="4" t="str">
        <f>ЛИК_дляСкорингаДП!C962</f>
        <v>ООО "ТВЕРЬГАЗСТРОЙ"</v>
      </c>
      <c r="D962" s="5" t="str">
        <f>ЛИК_дляСкорингаДП!M962</f>
        <v>Строительство инженерных коммуникаций для водоснабжения и водоотведения, газоснабжения</v>
      </c>
      <c r="E962" s="4" t="str">
        <f>ЛИК_дляСкорингаДП!L962</f>
        <v>42.21</v>
      </c>
      <c r="F962" t="str">
        <f>ЛИК_дляСкорингаДП!N962</f>
        <v>25.30,41.10,41.20,42.22.1,42.22.2,43.22,43.29,71.11,71.12,71.20</v>
      </c>
      <c r="G962" s="25" t="str">
        <f>ЛИК_дляСкорингаДП!AG962</f>
        <v>УСН</v>
      </c>
      <c r="H962" s="55" t="str">
        <f>IF(ISNUMBER(E962),E962,
IFERROR(LEFT(E962,FIND(".",E962)-1),E962))</f>
        <v>42</v>
      </c>
      <c r="I962" s="30">
        <f>IF(COUNTIF(Справочник_ОКВЭД_НР!$A$3:$A$62,H962)&gt;0,Справочник_ОКВЭД_НР!$L$8,
 IF(COUNTIF(Справочник_ОКВЭД_НР!$C$3:$C$62,H962)&gt;0,Справочник_ОКВЭД_НР!$L$9,
  IF(COUNTIF(Справочник_ОКВЭД_НР!$E$3:$E$62,H962)&gt;0,Справочник_ОКВЭД_НР!$L$10,
   IF(COUNTIF(Справочник_ОКВЭД_НР!$G$3:$G$62,H962)&gt;0,Справочник_ОКВЭД_НР!$L$11,50))))</f>
        <v>100</v>
      </c>
      <c r="J962" s="30" cm="1">
        <f t="array" ref="J962">IFERROR(
 (SUMPRODUCT(ISNUMBER(SEARCH(","&amp;Справочник_ОКВЭД_НР!$A$3:$A$62&amp;".",","&amp;SUBSTITUTE(F962," ","")&amp;",")))*Справочник_ОКВЭД_НР!$L$9 +
  SUMPRODUCT(ISNUMBER(SEARCH(","&amp;Справочник_ОКВЭД_НР!$C$3:$C$62&amp;".",","&amp;SUBSTITUTE(F962," ","")&amp;",")))*Справочник_ОКВЭД_НР!$L$10 +
  SUMPRODUCT(ISNUMBER(SEARCH(","&amp;Справочник_ОКВЭД_НР!$E$3:$E$62&amp;".",","&amp;SUBSTITUTE(F962," ","")&amp;",")))*Справочник_ОКВЭД_НР!$L$11 +
  SUMPRODUCT(ISNUMBER(SEARCH(","&amp;Справочник_ОКВЭД_НР!$G$3:$G$62&amp;".",","&amp;SUBSTITUTE(F962," ","")&amp;",")))*Справочник_ОКВЭД_НР!$L$12) /
 (SUMPRODUCT(ISNUMBER(SEARCH(","&amp;Справочник_ОКВЭД_НР!$A$3:$A$62&amp;".",","&amp;SUBSTITUTE(F962," ","")&amp;","))) +
  SUMPRODUCT(ISNUMBER(SEARCH(","&amp;Справочник_ОКВЭД_НР!$C$3:$C$62&amp;".",","&amp;SUBSTITUTE(F962," ","")&amp;","))) +
  SUMPRODUCT(ISNUMBER(SEARCH(","&amp;Справочник_ОКВЭД_НР!$E$3:$E$62&amp;".",","&amp;SUBSTITUTE(F962," ","")&amp;","))) +
  SUMPRODUCT(ISNUMBER(SEARCH(","&amp;Справочник_ОКВЭД_НР!$G$3:$G$62&amp;".",","&amp;SUBSTITUTE(F962," ","")&amp;",")))),
50)</f>
        <v>50</v>
      </c>
      <c r="K962" s="30">
        <f>IFERROR(VLOOKUP(G962,Справочник_ОКВЭД_НР!$O:$P,2,FALSE()),50)</f>
        <v>50</v>
      </c>
      <c r="L962" s="45">
        <f>(I962*Справочник_ОКВЭД_НР!$L$2+J962*Справочник_ОКВЭД_НР!$L$3+K962*Справочник_ОКВЭД_НР!$L$4)*M962</f>
        <v>80</v>
      </c>
      <c r="M962" s="47">
        <f>IF(COUNTIF(Справочник_ОКВЭД_НР!$G$3:$G$62,H962)&gt;0,0,1)</f>
        <v>1</v>
      </c>
    </row>
    <row r="963" spans="1:13" x14ac:dyDescent="0.25">
      <c r="A963" s="4">
        <f>ЛИК_дляСкорингаДП!A963</f>
        <v>1107746182312</v>
      </c>
      <c r="B963" s="4">
        <f>ЛИК_дляСкорингаДП!B963</f>
        <v>7743772320</v>
      </c>
      <c r="C963" s="4" t="str">
        <f>ЛИК_дляСкорингаДП!C963</f>
        <v>ООО "ПОСТКИНО"</v>
      </c>
      <c r="D963" s="5" t="str">
        <f>ЛИК_дляСкорингаДП!M963</f>
        <v>Производство кинофильмов, видеофильмов и телевизионных программ</v>
      </c>
      <c r="E963" s="4" t="str">
        <f>ЛИК_дляСкорингаДП!L963</f>
        <v>59.11</v>
      </c>
      <c r="F963" t="str">
        <f>ЛИК_дляСкорингаДП!N963</f>
        <v>47.5,47.9,47.91.1,47.91.2,47.91.3,47.91.4,47.99,59.1,59.13,59.14,60.10,60.20,62.0,62.09,63.11,63.11.1,64.99,64.99.11,64.99.12,64.99.3,64.99.4,68.1,68.10.1,68.10.22,68.20,72.19,73.1,74.20,84.21,85.23,85.42.9,90.01,90.03,93.2</v>
      </c>
      <c r="G963" s="25" t="str">
        <f>ЛИК_дляСкорингаДП!AG963</f>
        <v>УСН</v>
      </c>
      <c r="H963" s="55" t="str">
        <f>IF(ISNUMBER(E963),E963,
IFERROR(LEFT(E963,FIND(".",E963)-1),E963))</f>
        <v>59</v>
      </c>
      <c r="I963" s="30">
        <f>IF(COUNTIF(Справочник_ОКВЭД_НР!$A$3:$A$62,H963)&gt;0,Справочник_ОКВЭД_НР!$L$8,
 IF(COUNTIF(Справочник_ОКВЭД_НР!$C$3:$C$62,H963)&gt;0,Справочник_ОКВЭД_НР!$L$9,
  IF(COUNTIF(Справочник_ОКВЭД_НР!$E$3:$E$62,H963)&gt;0,Справочник_ОКВЭД_НР!$L$10,
   IF(COUNTIF(Справочник_ОКВЭД_НР!$G$3:$G$62,H963)&gt;0,Справочник_ОКВЭД_НР!$L$11,50))))</f>
        <v>30</v>
      </c>
      <c r="J963" s="30" cm="1">
        <f t="array" ref="J963">IFERROR(
 (SUMPRODUCT(ISNUMBER(SEARCH(","&amp;Справочник_ОКВЭД_НР!$A$3:$A$62&amp;".",","&amp;SUBSTITUTE(F963," ","")&amp;",")))*Справочник_ОКВЭД_НР!$L$9 +
  SUMPRODUCT(ISNUMBER(SEARCH(","&amp;Справочник_ОКВЭД_НР!$C$3:$C$62&amp;".",","&amp;SUBSTITUTE(F963," ","")&amp;",")))*Справочник_ОКВЭД_НР!$L$10 +
  SUMPRODUCT(ISNUMBER(SEARCH(","&amp;Справочник_ОКВЭД_НР!$E$3:$E$62&amp;".",","&amp;SUBSTITUTE(F963," ","")&amp;",")))*Справочник_ОКВЭД_НР!$L$11 +
  SUMPRODUCT(ISNUMBER(SEARCH(","&amp;Справочник_ОКВЭД_НР!$G$3:$G$62&amp;".",","&amp;SUBSTITUTE(F963," ","")&amp;",")))*Справочник_ОКВЭД_НР!$L$12) /
 (SUMPRODUCT(ISNUMBER(SEARCH(","&amp;Справочник_ОКВЭД_НР!$A$3:$A$62&amp;".",","&amp;SUBSTITUTE(F963," ","")&amp;","))) +
  SUMPRODUCT(ISNUMBER(SEARCH(","&amp;Справочник_ОКВЭД_НР!$C$3:$C$62&amp;".",","&amp;SUBSTITUTE(F963," ","")&amp;","))) +
  SUMPRODUCT(ISNUMBER(SEARCH(","&amp;Справочник_ОКВЭД_НР!$E$3:$E$62&amp;".",","&amp;SUBSTITUTE(F963," ","")&amp;","))) +
  SUMPRODUCT(ISNUMBER(SEARCH(","&amp;Справочник_ОКВЭД_НР!$G$3:$G$62&amp;".",","&amp;SUBSTITUTE(F963," ","")&amp;",")))),
50)</f>
        <v>50</v>
      </c>
      <c r="K963" s="30">
        <f>IFERROR(VLOOKUP(G963,Справочник_ОКВЭД_НР!$O:$P,2,FALSE()),50)</f>
        <v>50</v>
      </c>
      <c r="L963" s="45">
        <f>(I963*Справочник_ОКВЭД_НР!$L$2+J963*Справочник_ОКВЭД_НР!$L$3+K963*Справочник_ОКВЭД_НР!$L$4)*M963</f>
        <v>38</v>
      </c>
      <c r="M963" s="47">
        <f>IF(COUNTIF(Справочник_ОКВЭД_НР!$G$3:$G$62,H963)&gt;0,0,1)</f>
        <v>1</v>
      </c>
    </row>
    <row r="964" spans="1:13" x14ac:dyDescent="0.25">
      <c r="A964" s="4">
        <f>ЛИК_дляСкорингаДП!A964</f>
        <v>1107746014331</v>
      </c>
      <c r="B964" s="4">
        <f>ЛИК_дляСкорингаДП!B964</f>
        <v>7708711847</v>
      </c>
      <c r="C964" s="4" t="str">
        <f>ЛИК_дляСкорингаДП!C964</f>
        <v>ООО "АЛЬДЕТРАНС"</v>
      </c>
      <c r="D964" s="5" t="str">
        <f>ЛИК_дляСкорингаДП!M964</f>
        <v>Деятельность вспомогательная прочая, связанная с перевозками</v>
      </c>
      <c r="E964" s="4" t="str">
        <f>ЛИК_дляСкорингаДП!L964</f>
        <v>52.29</v>
      </c>
      <c r="F964" t="str">
        <f>ЛИК_дляСкорингаДП!N964</f>
        <v>45.1,45.3,45.40,46.1,46.12,46.6,47.30,49.10,49.20,49.3,49.31,49.4,50.10,50.20,50.20.3,50.20.42,50.30,50.30.2,50.40,50.40.2,51.10.1,51.21.1,52.10,52.21,52.22,52.23,52.24,66.29.9,68.1,70.10.1,70.10.2,70.22,73.11,73.20.1,73.20.2,82.99</v>
      </c>
      <c r="G964" s="25" t="str">
        <f>ЛИК_дляСкорингаДП!AG964</f>
        <v>УСН</v>
      </c>
      <c r="H964" s="55" t="str">
        <f>IF(ISNUMBER(E964),E964,
IFERROR(LEFT(E964,FIND(".",E964)-1),E964))</f>
        <v>52</v>
      </c>
      <c r="I964" s="30">
        <f>IF(COUNTIF(Справочник_ОКВЭД_НР!$A$3:$A$62,H964)&gt;0,Справочник_ОКВЭД_НР!$L$8,
 IF(COUNTIF(Справочник_ОКВЭД_НР!$C$3:$C$62,H964)&gt;0,Справочник_ОКВЭД_НР!$L$9,
  IF(COUNTIF(Справочник_ОКВЭД_НР!$E$3:$E$62,H964)&gt;0,Справочник_ОКВЭД_НР!$L$10,
   IF(COUNTIF(Справочник_ОКВЭД_НР!$G$3:$G$62,H964)&gt;0,Справочник_ОКВЭД_НР!$L$11,50))))</f>
        <v>60</v>
      </c>
      <c r="J964" s="30" cm="1">
        <f t="array" ref="J964">IFERROR(
 (SUMPRODUCT(ISNUMBER(SEARCH(","&amp;Справочник_ОКВЭД_НР!$A$3:$A$62&amp;".",","&amp;SUBSTITUTE(F964," ","")&amp;",")))*Справочник_ОКВЭД_НР!$L$9 +
  SUMPRODUCT(ISNUMBER(SEARCH(","&amp;Справочник_ОКВЭД_НР!$C$3:$C$62&amp;".",","&amp;SUBSTITUTE(F964," ","")&amp;",")))*Справочник_ОКВЭД_НР!$L$10 +
  SUMPRODUCT(ISNUMBER(SEARCH(","&amp;Справочник_ОКВЭД_НР!$E$3:$E$62&amp;".",","&amp;SUBSTITUTE(F964," ","")&amp;",")))*Справочник_ОКВЭД_НР!$L$11 +
  SUMPRODUCT(ISNUMBER(SEARCH(","&amp;Справочник_ОКВЭД_НР!$G$3:$G$62&amp;".",","&amp;SUBSTITUTE(F964," ","")&amp;",")))*Справочник_ОКВЭД_НР!$L$12) /
 (SUMPRODUCT(ISNUMBER(SEARCH(","&amp;Справочник_ОКВЭД_НР!$A$3:$A$62&amp;".",","&amp;SUBSTITUTE(F964," ","")&amp;","))) +
  SUMPRODUCT(ISNUMBER(SEARCH(","&amp;Справочник_ОКВЭД_НР!$C$3:$C$62&amp;".",","&amp;SUBSTITUTE(F964," ","")&amp;","))) +
  SUMPRODUCT(ISNUMBER(SEARCH(","&amp;Справочник_ОКВЭД_НР!$E$3:$E$62&amp;".",","&amp;SUBSTITUTE(F964," ","")&amp;","))) +
  SUMPRODUCT(ISNUMBER(SEARCH(","&amp;Справочник_ОКВЭД_НР!$G$3:$G$62&amp;".",","&amp;SUBSTITUTE(F964," ","")&amp;",")))),
50)</f>
        <v>50</v>
      </c>
      <c r="K964" s="30">
        <f>IFERROR(VLOOKUP(G964,Справочник_ОКВЭД_НР!$O:$P,2,FALSE()),50)</f>
        <v>50</v>
      </c>
      <c r="L964" s="45">
        <f>(I964*Справочник_ОКВЭД_НР!$L$2+J964*Справочник_ОКВЭД_НР!$L$3+K964*Справочник_ОКВЭД_НР!$L$4)*M964</f>
        <v>56</v>
      </c>
      <c r="M964" s="47">
        <f>IF(COUNTIF(Справочник_ОКВЭД_НР!$G$3:$G$62,H964)&gt;0,0,1)</f>
        <v>1</v>
      </c>
    </row>
    <row r="965" spans="1:13" x14ac:dyDescent="0.25">
      <c r="A965" s="4">
        <f>ЛИК_дляСкорингаДП!A965</f>
        <v>1107746009249</v>
      </c>
      <c r="B965" s="4">
        <f>ЛИК_дляСкорингаДП!B965</f>
        <v>7743766782</v>
      </c>
      <c r="C965" s="4" t="str">
        <f>ЛИК_дляСкорингаДП!C965</f>
        <v>ООО "ПАРУС ФИЛЬМ"</v>
      </c>
      <c r="D965" s="5" t="str">
        <f>ЛИК_дляСкорингаДП!M965</f>
        <v>Производство кинофильмов, видеофильмов и телевизионных программ</v>
      </c>
      <c r="E965" s="4" t="str">
        <f>ЛИК_дляСкорингаДП!L965</f>
        <v>59.11</v>
      </c>
      <c r="F965" t="str">
        <f>ЛИК_дляСкорингаДП!N965</f>
        <v>41.20,42.22.3,42.91,43.2,43.3,43.99,46.1,46.13,46.73,46.90,59.13,59.14,60.10,60.20,64.9,68.20,71.11.1,73.11,73.12,74.20,77.32,90.01,90.02,90.03,90.04,93.29,93.29.9</v>
      </c>
      <c r="G965" s="25" t="str">
        <f>ЛИК_дляСкорингаДП!AG965</f>
        <v>УСН</v>
      </c>
      <c r="H965" s="55" t="str">
        <f>IF(ISNUMBER(E965),E965,
IFERROR(LEFT(E965,FIND(".",E965)-1),E965))</f>
        <v>59</v>
      </c>
      <c r="I965" s="30">
        <f>IF(COUNTIF(Справочник_ОКВЭД_НР!$A$3:$A$62,H965)&gt;0,Справочник_ОКВЭД_НР!$L$8,
 IF(COUNTIF(Справочник_ОКВЭД_НР!$C$3:$C$62,H965)&gt;0,Справочник_ОКВЭД_НР!$L$9,
  IF(COUNTIF(Справочник_ОКВЭД_НР!$E$3:$E$62,H965)&gt;0,Справочник_ОКВЭД_НР!$L$10,
   IF(COUNTIF(Справочник_ОКВЭД_НР!$G$3:$G$62,H965)&gt;0,Справочник_ОКВЭД_НР!$L$11,50))))</f>
        <v>30</v>
      </c>
      <c r="J965" s="30" cm="1">
        <f t="array" ref="J965">IFERROR(
 (SUMPRODUCT(ISNUMBER(SEARCH(","&amp;Справочник_ОКВЭД_НР!$A$3:$A$62&amp;".",","&amp;SUBSTITUTE(F965," ","")&amp;",")))*Справочник_ОКВЭД_НР!$L$9 +
  SUMPRODUCT(ISNUMBER(SEARCH(","&amp;Справочник_ОКВЭД_НР!$C$3:$C$62&amp;".",","&amp;SUBSTITUTE(F965," ","")&amp;",")))*Справочник_ОКВЭД_НР!$L$10 +
  SUMPRODUCT(ISNUMBER(SEARCH(","&amp;Справочник_ОКВЭД_НР!$E$3:$E$62&amp;".",","&amp;SUBSTITUTE(F965," ","")&amp;",")))*Справочник_ОКВЭД_НР!$L$11 +
  SUMPRODUCT(ISNUMBER(SEARCH(","&amp;Справочник_ОКВЭД_НР!$G$3:$G$62&amp;".",","&amp;SUBSTITUTE(F965," ","")&amp;",")))*Справочник_ОКВЭД_НР!$L$12) /
 (SUMPRODUCT(ISNUMBER(SEARCH(","&amp;Справочник_ОКВЭД_НР!$A$3:$A$62&amp;".",","&amp;SUBSTITUTE(F965," ","")&amp;","))) +
  SUMPRODUCT(ISNUMBER(SEARCH(","&amp;Справочник_ОКВЭД_НР!$C$3:$C$62&amp;".",","&amp;SUBSTITUTE(F965," ","")&amp;","))) +
  SUMPRODUCT(ISNUMBER(SEARCH(","&amp;Справочник_ОКВЭД_НР!$E$3:$E$62&amp;".",","&amp;SUBSTITUTE(F965," ","")&amp;","))) +
  SUMPRODUCT(ISNUMBER(SEARCH(","&amp;Справочник_ОКВЭД_НР!$G$3:$G$62&amp;".",","&amp;SUBSTITUTE(F965," ","")&amp;",")))),
50)</f>
        <v>50</v>
      </c>
      <c r="K965" s="30">
        <f>IFERROR(VLOOKUP(G965,Справочник_ОКВЭД_НР!$O:$P,2,FALSE()),50)</f>
        <v>50</v>
      </c>
      <c r="L965" s="45">
        <f>(I965*Справочник_ОКВЭД_НР!$L$2+J965*Справочник_ОКВЭД_НР!$L$3+K965*Справочник_ОКВЭД_НР!$L$4)*M965</f>
        <v>38</v>
      </c>
      <c r="M965" s="47">
        <f>IF(COUNTIF(Справочник_ОКВЭД_НР!$G$3:$G$62,H965)&gt;0,0,1)</f>
        <v>1</v>
      </c>
    </row>
    <row r="966" spans="1:13" x14ac:dyDescent="0.25">
      <c r="A966" s="4">
        <f>ЛИК_дляСкорингаДП!A966</f>
        <v>1237700145000</v>
      </c>
      <c r="B966" s="4">
        <f>ЛИК_дляСкорингаДП!B966</f>
        <v>9704201447</v>
      </c>
      <c r="C966" s="4" t="str">
        <f>ЛИК_дляСкорингаДП!C966</f>
        <v>ООО "ПЕРСПЕКТИВА"</v>
      </c>
      <c r="D966" s="5" t="str">
        <f>ЛИК_дляСкорингаДП!M966</f>
        <v>Деятельность ресторанов и услуги по доставке продуктов питания</v>
      </c>
      <c r="E966" s="4" t="str">
        <f>ЛИК_дляСкорингаДП!L966</f>
        <v>56.10</v>
      </c>
      <c r="F966" t="str">
        <f>ЛИК_дляСкорингаДП!N966</f>
        <v>47.91,52.10,52.24,53.20.3,53.20.31,53.20.32,53.20.39,56.10.1,56.10.2,56.10.21,56.10.22,56.10.23,56.10.24,56.10.3,56.21,56.29,56.29.1,56.29.2,56.30,68.10.2,68.20,68.20.2,77.11,77.12</v>
      </c>
      <c r="G966" s="25" t="str">
        <f>ЛИК_дляСкорингаДП!AG966</f>
        <v>УСН</v>
      </c>
      <c r="H966" s="55" t="str">
        <f>IF(ISNUMBER(E966),E966,
IFERROR(LEFT(E966,FIND(".",E966)-1),E966))</f>
        <v>56</v>
      </c>
      <c r="I966" s="30">
        <f>IF(COUNTIF(Справочник_ОКВЭД_НР!$A$3:$A$62,H966)&gt;0,Справочник_ОКВЭД_НР!$L$8,
 IF(COUNTIF(Справочник_ОКВЭД_НР!$C$3:$C$62,H966)&gt;0,Справочник_ОКВЭД_НР!$L$9,
  IF(COUNTIF(Справочник_ОКВЭД_НР!$E$3:$E$62,H966)&gt;0,Справочник_ОКВЭД_НР!$L$10,
   IF(COUNTIF(Справочник_ОКВЭД_НР!$G$3:$G$62,H966)&gt;0,Справочник_ОКВЭД_НР!$L$11,50))))</f>
        <v>30</v>
      </c>
      <c r="J966" s="30" cm="1">
        <f t="array" ref="J966">IFERROR(
 (SUMPRODUCT(ISNUMBER(SEARCH(","&amp;Справочник_ОКВЭД_НР!$A$3:$A$62&amp;".",","&amp;SUBSTITUTE(F966," ","")&amp;",")))*Справочник_ОКВЭД_НР!$L$9 +
  SUMPRODUCT(ISNUMBER(SEARCH(","&amp;Справочник_ОКВЭД_НР!$C$3:$C$62&amp;".",","&amp;SUBSTITUTE(F966," ","")&amp;",")))*Справочник_ОКВЭД_НР!$L$10 +
  SUMPRODUCT(ISNUMBER(SEARCH(","&amp;Справочник_ОКВЭД_НР!$E$3:$E$62&amp;".",","&amp;SUBSTITUTE(F966," ","")&amp;",")))*Справочник_ОКВЭД_НР!$L$11 +
  SUMPRODUCT(ISNUMBER(SEARCH(","&amp;Справочник_ОКВЭД_НР!$G$3:$G$62&amp;".",","&amp;SUBSTITUTE(F966," ","")&amp;",")))*Справочник_ОКВЭД_НР!$L$12) /
 (SUMPRODUCT(ISNUMBER(SEARCH(","&amp;Справочник_ОКВЭД_НР!$A$3:$A$62&amp;".",","&amp;SUBSTITUTE(F966," ","")&amp;","))) +
  SUMPRODUCT(ISNUMBER(SEARCH(","&amp;Справочник_ОКВЭД_НР!$C$3:$C$62&amp;".",","&amp;SUBSTITUTE(F966," ","")&amp;","))) +
  SUMPRODUCT(ISNUMBER(SEARCH(","&amp;Справочник_ОКВЭД_НР!$E$3:$E$62&amp;".",","&amp;SUBSTITUTE(F966," ","")&amp;","))) +
  SUMPRODUCT(ISNUMBER(SEARCH(","&amp;Справочник_ОКВЭД_НР!$G$3:$G$62&amp;".",","&amp;SUBSTITUTE(F966," ","")&amp;",")))),
50)</f>
        <v>50</v>
      </c>
      <c r="K966" s="30">
        <f>IFERROR(VLOOKUP(G966,Справочник_ОКВЭД_НР!$O:$P,2,FALSE()),50)</f>
        <v>50</v>
      </c>
      <c r="L966" s="45">
        <f>(I966*Справочник_ОКВЭД_НР!$L$2+J966*Справочник_ОКВЭД_НР!$L$3+K966*Справочник_ОКВЭД_НР!$L$4)*M966</f>
        <v>38</v>
      </c>
      <c r="M966" s="47">
        <f>IF(COUNTIF(Справочник_ОКВЭД_НР!$G$3:$G$62,H966)&gt;0,0,1)</f>
        <v>1</v>
      </c>
    </row>
    <row r="967" spans="1:13" x14ac:dyDescent="0.25">
      <c r="A967" s="4">
        <f>ЛИК_дляСкорингаДП!A967</f>
        <v>1157746921496</v>
      </c>
      <c r="B967" s="4">
        <f>ЛИК_дляСкорингаДП!B967</f>
        <v>7707352578</v>
      </c>
      <c r="C967" s="4" t="str">
        <f>ЛИК_дляСкорингаДП!C967</f>
        <v>ООО "ТОРТ НА ЗАКАЗ"</v>
      </c>
      <c r="D967" s="5" t="str">
        <f>ЛИК_дляСкорингаДП!M967</f>
        <v>Производство хлеба и мучных кондитерских изделий, тортов и пирожных недлительного хранения</v>
      </c>
      <c r="E967" s="4" t="str">
        <f>ЛИК_дляСкорингаДП!L967</f>
        <v>10.71</v>
      </c>
      <c r="F967" t="str">
        <f>ЛИК_дляСкорингаДП!N967</f>
        <v>46.38,47.24,47.99</v>
      </c>
      <c r="G967" s="25" t="str">
        <f>ЛИК_дляСкорингаДП!AG967</f>
        <v>УСН</v>
      </c>
      <c r="H967" s="55" t="str">
        <f>IF(ISNUMBER(E967),E967,
IFERROR(LEFT(E967,FIND(".",E967)-1),E967))</f>
        <v>10</v>
      </c>
      <c r="I967" s="30">
        <f>IF(COUNTIF(Справочник_ОКВЭД_НР!$A$3:$A$62,H967)&gt;0,Справочник_ОКВЭД_НР!$L$8,
 IF(COUNTIF(Справочник_ОКВЭД_НР!$C$3:$C$62,H967)&gt;0,Справочник_ОКВЭД_НР!$L$9,
  IF(COUNTIF(Справочник_ОКВЭД_НР!$E$3:$E$62,H967)&gt;0,Справочник_ОКВЭД_НР!$L$10,
   IF(COUNTIF(Справочник_ОКВЭД_НР!$G$3:$G$62,H967)&gt;0,Справочник_ОКВЭД_НР!$L$11,50))))</f>
        <v>100</v>
      </c>
      <c r="J967" s="30" cm="1">
        <f t="array" ref="J967">IFERROR(
 (SUMPRODUCT(ISNUMBER(SEARCH(","&amp;Справочник_ОКВЭД_НР!$A$3:$A$62&amp;".",","&amp;SUBSTITUTE(F967," ","")&amp;",")))*Справочник_ОКВЭД_НР!$L$9 +
  SUMPRODUCT(ISNUMBER(SEARCH(","&amp;Справочник_ОКВЭД_НР!$C$3:$C$62&amp;".",","&amp;SUBSTITUTE(F967," ","")&amp;",")))*Справочник_ОКВЭД_НР!$L$10 +
  SUMPRODUCT(ISNUMBER(SEARCH(","&amp;Справочник_ОКВЭД_НР!$E$3:$E$62&amp;".",","&amp;SUBSTITUTE(F967," ","")&amp;",")))*Справочник_ОКВЭД_НР!$L$11 +
  SUMPRODUCT(ISNUMBER(SEARCH(","&amp;Справочник_ОКВЭД_НР!$G$3:$G$62&amp;".",","&amp;SUBSTITUTE(F967," ","")&amp;",")))*Справочник_ОКВЭД_НР!$L$12) /
 (SUMPRODUCT(ISNUMBER(SEARCH(","&amp;Справочник_ОКВЭД_НР!$A$3:$A$62&amp;".",","&amp;SUBSTITUTE(F967," ","")&amp;","))) +
  SUMPRODUCT(ISNUMBER(SEARCH(","&amp;Справочник_ОКВЭД_НР!$C$3:$C$62&amp;".",","&amp;SUBSTITUTE(F967," ","")&amp;","))) +
  SUMPRODUCT(ISNUMBER(SEARCH(","&amp;Справочник_ОКВЭД_НР!$E$3:$E$62&amp;".",","&amp;SUBSTITUTE(F967," ","")&amp;","))) +
  SUMPRODUCT(ISNUMBER(SEARCH(","&amp;Справочник_ОКВЭД_НР!$G$3:$G$62&amp;".",","&amp;SUBSTITUTE(F967," ","")&amp;",")))),
50)</f>
        <v>50</v>
      </c>
      <c r="K967" s="30">
        <f>IFERROR(VLOOKUP(G967,Справочник_ОКВЭД_НР!$O:$P,2,FALSE()),50)</f>
        <v>50</v>
      </c>
      <c r="L967" s="45">
        <f>(I967*Справочник_ОКВЭД_НР!$L$2+J967*Справочник_ОКВЭД_НР!$L$3+K967*Справочник_ОКВЭД_НР!$L$4)*M967</f>
        <v>80</v>
      </c>
      <c r="M967" s="47">
        <f>IF(COUNTIF(Справочник_ОКВЭД_НР!$G$3:$G$62,H967)&gt;0,0,1)</f>
        <v>1</v>
      </c>
    </row>
    <row r="968" spans="1:13" x14ac:dyDescent="0.25">
      <c r="A968" s="4">
        <f>ЛИК_дляСкорингаДП!A968</f>
        <v>1157746905942</v>
      </c>
      <c r="B968" s="4">
        <f>ЛИК_дляСкорингаДП!B968</f>
        <v>7743122001</v>
      </c>
      <c r="C968" s="4" t="str">
        <f>ЛИК_дляСкорингаДП!C968</f>
        <v>ООО "КИБЕРХАБ"</v>
      </c>
      <c r="D968" s="5" t="str">
        <f>ЛИК_дляСкорингаДП!M968</f>
        <v>Деятельность, связанная с использованием вычислительной техники и информационных технологий, прочая</v>
      </c>
      <c r="E968" s="4" t="str">
        <f>ЛИК_дляСкорингаДП!L968</f>
        <v>62.09</v>
      </c>
      <c r="F968" t="str">
        <f>ЛИК_дляСкорингаДП!N968</f>
        <v>60.20,61.10,61.10.9,61.20,62.01,62.02,63.11,63.11.1,63.12,63.99.1,72.19,72.20,73.11,82.99,93.11,93.19,93.29</v>
      </c>
      <c r="G968" s="25" t="str">
        <f>ЛИК_дляСкорингаДП!AG968</f>
        <v>УСН</v>
      </c>
      <c r="H968" s="55" t="str">
        <f>IF(ISNUMBER(E968),E968,
IFERROR(LEFT(E968,FIND(".",E968)-1),E968))</f>
        <v>62</v>
      </c>
      <c r="I968" s="30">
        <f>IF(COUNTIF(Справочник_ОКВЭД_НР!$A$3:$A$62,H968)&gt;0,Справочник_ОКВЭД_НР!$L$8,
 IF(COUNTIF(Справочник_ОКВЭД_НР!$C$3:$C$62,H968)&gt;0,Справочник_ОКВЭД_НР!$L$9,
  IF(COUNTIF(Справочник_ОКВЭД_НР!$E$3:$E$62,H968)&gt;0,Справочник_ОКВЭД_НР!$L$10,
   IF(COUNTIF(Справочник_ОКВЭД_НР!$G$3:$G$62,H968)&gt;0,Справочник_ОКВЭД_НР!$L$11,50))))</f>
        <v>100</v>
      </c>
      <c r="J968" s="30" cm="1">
        <f t="array" ref="J968">IFERROR(
 (SUMPRODUCT(ISNUMBER(SEARCH(","&amp;Справочник_ОКВЭД_НР!$A$3:$A$62&amp;".",","&amp;SUBSTITUTE(F968," ","")&amp;",")))*Справочник_ОКВЭД_НР!$L$9 +
  SUMPRODUCT(ISNUMBER(SEARCH(","&amp;Справочник_ОКВЭД_НР!$C$3:$C$62&amp;".",","&amp;SUBSTITUTE(F968," ","")&amp;",")))*Справочник_ОКВЭД_НР!$L$10 +
  SUMPRODUCT(ISNUMBER(SEARCH(","&amp;Справочник_ОКВЭД_НР!$E$3:$E$62&amp;".",","&amp;SUBSTITUTE(F968," ","")&amp;",")))*Справочник_ОКВЭД_НР!$L$11 +
  SUMPRODUCT(ISNUMBER(SEARCH(","&amp;Справочник_ОКВЭД_НР!$G$3:$G$62&amp;".",","&amp;SUBSTITUTE(F968," ","")&amp;",")))*Справочник_ОКВЭД_НР!$L$12) /
 (SUMPRODUCT(ISNUMBER(SEARCH(","&amp;Справочник_ОКВЭД_НР!$A$3:$A$62&amp;".",","&amp;SUBSTITUTE(F968," ","")&amp;","))) +
  SUMPRODUCT(ISNUMBER(SEARCH(","&amp;Справочник_ОКВЭД_НР!$C$3:$C$62&amp;".",","&amp;SUBSTITUTE(F968," ","")&amp;","))) +
  SUMPRODUCT(ISNUMBER(SEARCH(","&amp;Справочник_ОКВЭД_НР!$E$3:$E$62&amp;".",","&amp;SUBSTITUTE(F968," ","")&amp;","))) +
  SUMPRODUCT(ISNUMBER(SEARCH(","&amp;Справочник_ОКВЭД_НР!$G$3:$G$62&amp;".",","&amp;SUBSTITUTE(F968," ","")&amp;",")))),
50)</f>
        <v>50</v>
      </c>
      <c r="K968" s="30">
        <f>IFERROR(VLOOKUP(G968,Справочник_ОКВЭД_НР!$O:$P,2,FALSE()),50)</f>
        <v>50</v>
      </c>
      <c r="L968" s="45">
        <f>(I968*Справочник_ОКВЭД_НР!$L$2+J968*Справочник_ОКВЭД_НР!$L$3+K968*Справочник_ОКВЭД_НР!$L$4)*M968</f>
        <v>80</v>
      </c>
      <c r="M968" s="47">
        <f>IF(COUNTIF(Справочник_ОКВЭД_НР!$G$3:$G$62,H968)&gt;0,0,1)</f>
        <v>1</v>
      </c>
    </row>
    <row r="969" spans="1:13" x14ac:dyDescent="0.25">
      <c r="A969" s="4">
        <f>ЛИК_дляСкорингаДП!A969</f>
        <v>1157746814994</v>
      </c>
      <c r="B969" s="4">
        <f>ЛИК_дляСкорингаДП!B969</f>
        <v>7707350436</v>
      </c>
      <c r="C969" s="4" t="str">
        <f>ЛИК_дляСкорингаДП!C969</f>
        <v>ООО "ПИОН"</v>
      </c>
      <c r="D969" s="5" t="str">
        <f>ЛИК_дляСкорингаДП!M969</f>
        <v>Деятельность ресторанов и услуги по доставке продуктов питания</v>
      </c>
      <c r="E969" s="4" t="str">
        <f>ЛИК_дляСкорингаДП!L969</f>
        <v>56.10</v>
      </c>
      <c r="F969" t="str">
        <f>ЛИК_дляСкорингаДП!N969</f>
        <v>46.34.2,46.34.23,46.35,46.38,46.38.29,46.39,47.11,47.25,47.25.1,47.25.11,47.25.12,47.25.2,47.26,47.29,47.29.3,47.29.39,56.10.1,56.10.3,56.30,94.99</v>
      </c>
      <c r="G969" s="25" t="str">
        <f>ЛИК_дляСкорингаДП!AG969</f>
        <v>УСН</v>
      </c>
      <c r="H969" s="55" t="str">
        <f>IF(ISNUMBER(E969),E969,
IFERROR(LEFT(E969,FIND(".",E969)-1),E969))</f>
        <v>56</v>
      </c>
      <c r="I969" s="30">
        <f>IF(COUNTIF(Справочник_ОКВЭД_НР!$A$3:$A$62,H969)&gt;0,Справочник_ОКВЭД_НР!$L$8,
 IF(COUNTIF(Справочник_ОКВЭД_НР!$C$3:$C$62,H969)&gt;0,Справочник_ОКВЭД_НР!$L$9,
  IF(COUNTIF(Справочник_ОКВЭД_НР!$E$3:$E$62,H969)&gt;0,Справочник_ОКВЭД_НР!$L$10,
   IF(COUNTIF(Справочник_ОКВЭД_НР!$G$3:$G$62,H969)&gt;0,Справочник_ОКВЭД_НР!$L$11,50))))</f>
        <v>30</v>
      </c>
      <c r="J969" s="30" cm="1">
        <f t="array" ref="J969">IFERROR(
 (SUMPRODUCT(ISNUMBER(SEARCH(","&amp;Справочник_ОКВЭД_НР!$A$3:$A$62&amp;".",","&amp;SUBSTITUTE(F969," ","")&amp;",")))*Справочник_ОКВЭД_НР!$L$9 +
  SUMPRODUCT(ISNUMBER(SEARCH(","&amp;Справочник_ОКВЭД_НР!$C$3:$C$62&amp;".",","&amp;SUBSTITUTE(F969," ","")&amp;",")))*Справочник_ОКВЭД_НР!$L$10 +
  SUMPRODUCT(ISNUMBER(SEARCH(","&amp;Справочник_ОКВЭД_НР!$E$3:$E$62&amp;".",","&amp;SUBSTITUTE(F969," ","")&amp;",")))*Справочник_ОКВЭД_НР!$L$11 +
  SUMPRODUCT(ISNUMBER(SEARCH(","&amp;Справочник_ОКВЭД_НР!$G$3:$G$62&amp;".",","&amp;SUBSTITUTE(F969," ","")&amp;",")))*Справочник_ОКВЭД_НР!$L$12) /
 (SUMPRODUCT(ISNUMBER(SEARCH(","&amp;Справочник_ОКВЭД_НР!$A$3:$A$62&amp;".",","&amp;SUBSTITUTE(F969," ","")&amp;","))) +
  SUMPRODUCT(ISNUMBER(SEARCH(","&amp;Справочник_ОКВЭД_НР!$C$3:$C$62&amp;".",","&amp;SUBSTITUTE(F969," ","")&amp;","))) +
  SUMPRODUCT(ISNUMBER(SEARCH(","&amp;Справочник_ОКВЭД_НР!$E$3:$E$62&amp;".",","&amp;SUBSTITUTE(F969," ","")&amp;","))) +
  SUMPRODUCT(ISNUMBER(SEARCH(","&amp;Справочник_ОКВЭД_НР!$G$3:$G$62&amp;".",","&amp;SUBSTITUTE(F969," ","")&amp;",")))),
50)</f>
        <v>50</v>
      </c>
      <c r="K969" s="30">
        <f>IFERROR(VLOOKUP(G969,Справочник_ОКВЭД_НР!$O:$P,2,FALSE()),50)</f>
        <v>50</v>
      </c>
      <c r="L969" s="45">
        <f>(I969*Справочник_ОКВЭД_НР!$L$2+J969*Справочник_ОКВЭД_НР!$L$3+K969*Справочник_ОКВЭД_НР!$L$4)*M969</f>
        <v>38</v>
      </c>
      <c r="M969" s="47">
        <f>IF(COUNTIF(Справочник_ОКВЭД_НР!$G$3:$G$62,H969)&gt;0,0,1)</f>
        <v>1</v>
      </c>
    </row>
    <row r="970" spans="1:13" x14ac:dyDescent="0.25">
      <c r="A970" s="4">
        <f>ЛИК_дляСкорингаДП!A970</f>
        <v>1217700390050</v>
      </c>
      <c r="B970" s="4">
        <f>ЛИК_дляСкорингаДП!B970</f>
        <v>7734445408</v>
      </c>
      <c r="C970" s="4" t="str">
        <f>ЛИК_дляСкорингаДП!C970</f>
        <v>ООО "РУС ТРЕЙД"</v>
      </c>
      <c r="D970" s="5" t="str">
        <f>ЛИК_дляСкорингаДП!M970</f>
        <v>Торговля оптовая фармацевтической продукцией</v>
      </c>
      <c r="E970" s="4" t="str">
        <f>ЛИК_дляСкорингаДП!L970</f>
        <v>46.46.1</v>
      </c>
      <c r="F970" t="str">
        <f>ЛИК_дляСкорингаДП!N970</f>
        <v>46.46.2,68.20,68.20.2,77.39.21,77.39.26,77.39.29</v>
      </c>
      <c r="G970" s="25" t="str">
        <f>ЛИК_дляСкорингаДП!AG970</f>
        <v>УСН</v>
      </c>
      <c r="H970" s="55" t="str">
        <f>IF(ISNUMBER(E970),E970,
IFERROR(LEFT(E970,FIND(".",E970)-1),E970))</f>
        <v>46</v>
      </c>
      <c r="I970" s="30">
        <f>IF(COUNTIF(Справочник_ОКВЭД_НР!$A$3:$A$62,H970)&gt;0,Справочник_ОКВЭД_НР!$L$8,
 IF(COUNTIF(Справочник_ОКВЭД_НР!$C$3:$C$62,H970)&gt;0,Справочник_ОКВЭД_НР!$L$9,
  IF(COUNTIF(Справочник_ОКВЭД_НР!$E$3:$E$62,H970)&gt;0,Справочник_ОКВЭД_НР!$L$10,
   IF(COUNTIF(Справочник_ОКВЭД_НР!$G$3:$G$62,H970)&gt;0,Справочник_ОКВЭД_НР!$L$11,50))))</f>
        <v>60</v>
      </c>
      <c r="J970" s="30" cm="1">
        <f t="array" ref="J970">IFERROR(
 (SUMPRODUCT(ISNUMBER(SEARCH(","&amp;Справочник_ОКВЭД_НР!$A$3:$A$62&amp;".",","&amp;SUBSTITUTE(F970," ","")&amp;",")))*Справочник_ОКВЭД_НР!$L$9 +
  SUMPRODUCT(ISNUMBER(SEARCH(","&amp;Справочник_ОКВЭД_НР!$C$3:$C$62&amp;".",","&amp;SUBSTITUTE(F970," ","")&amp;",")))*Справочник_ОКВЭД_НР!$L$10 +
  SUMPRODUCT(ISNUMBER(SEARCH(","&amp;Справочник_ОКВЭД_НР!$E$3:$E$62&amp;".",","&amp;SUBSTITUTE(F970," ","")&amp;",")))*Справочник_ОКВЭД_НР!$L$11 +
  SUMPRODUCT(ISNUMBER(SEARCH(","&amp;Справочник_ОКВЭД_НР!$G$3:$G$62&amp;".",","&amp;SUBSTITUTE(F970," ","")&amp;",")))*Справочник_ОКВЭД_НР!$L$12) /
 (SUMPRODUCT(ISNUMBER(SEARCH(","&amp;Справочник_ОКВЭД_НР!$A$3:$A$62&amp;".",","&amp;SUBSTITUTE(F970," ","")&amp;","))) +
  SUMPRODUCT(ISNUMBER(SEARCH(","&amp;Справочник_ОКВЭД_НР!$C$3:$C$62&amp;".",","&amp;SUBSTITUTE(F970," ","")&amp;","))) +
  SUMPRODUCT(ISNUMBER(SEARCH(","&amp;Справочник_ОКВЭД_НР!$E$3:$E$62&amp;".",","&amp;SUBSTITUTE(F970," ","")&amp;","))) +
  SUMPRODUCT(ISNUMBER(SEARCH(","&amp;Справочник_ОКВЭД_НР!$G$3:$G$62&amp;".",","&amp;SUBSTITUTE(F970," ","")&amp;",")))),
50)</f>
        <v>50</v>
      </c>
      <c r="K970" s="30">
        <f>IFERROR(VLOOKUP(G970,Справочник_ОКВЭД_НР!$O:$P,2,FALSE()),50)</f>
        <v>50</v>
      </c>
      <c r="L970" s="45">
        <f>(I970*Справочник_ОКВЭД_НР!$L$2+J970*Справочник_ОКВЭД_НР!$L$3+K970*Справочник_ОКВЭД_НР!$L$4)*M970</f>
        <v>56</v>
      </c>
      <c r="M970" s="47">
        <f>IF(COUNTIF(Справочник_ОКВЭД_НР!$G$3:$G$62,H970)&gt;0,0,1)</f>
        <v>1</v>
      </c>
    </row>
    <row r="971" spans="1:13" x14ac:dyDescent="0.25">
      <c r="A971" s="4">
        <f>ЛИК_дляСкорингаДП!A971</f>
        <v>1107746043668</v>
      </c>
      <c r="B971" s="4">
        <f>ЛИК_дляСкорингаДП!B971</f>
        <v>7704744760</v>
      </c>
      <c r="C971" s="4" t="str">
        <f>ЛИК_дляСкорингаДП!C971</f>
        <v>ООО "СТАР КОМПАНИ СМОЛЕНКА"</v>
      </c>
      <c r="D971" s="5" t="str">
        <f>ЛИК_дляСкорингаДП!M971</f>
        <v>Деятельность ресторанов и услуги по доставке продуктов питания</v>
      </c>
      <c r="E971" s="4" t="str">
        <f>ЛИК_дляСкорингаДП!L971</f>
        <v>56.10</v>
      </c>
      <c r="F971" t="str">
        <f>ЛИК_дляСкорингаДП!N971</f>
        <v>46.19,46.49,46.90,47.43,47.54,47.7,47.9,56.10.1,56.10.3,56.29</v>
      </c>
      <c r="G971" s="25" t="str">
        <f>ЛИК_дляСкорингаДП!AG971</f>
        <v>УСН</v>
      </c>
      <c r="H971" s="55" t="str">
        <f>IF(ISNUMBER(E971),E971,
IFERROR(LEFT(E971,FIND(".",E971)-1),E971))</f>
        <v>56</v>
      </c>
      <c r="I971" s="30">
        <f>IF(COUNTIF(Справочник_ОКВЭД_НР!$A$3:$A$62,H971)&gt;0,Справочник_ОКВЭД_НР!$L$8,
 IF(COUNTIF(Справочник_ОКВЭД_НР!$C$3:$C$62,H971)&gt;0,Справочник_ОКВЭД_НР!$L$9,
  IF(COUNTIF(Справочник_ОКВЭД_НР!$E$3:$E$62,H971)&gt;0,Справочник_ОКВЭД_НР!$L$10,
   IF(COUNTIF(Справочник_ОКВЭД_НР!$G$3:$G$62,H971)&gt;0,Справочник_ОКВЭД_НР!$L$11,50))))</f>
        <v>30</v>
      </c>
      <c r="J971" s="30" cm="1">
        <f t="array" ref="J971">IFERROR(
 (SUMPRODUCT(ISNUMBER(SEARCH(","&amp;Справочник_ОКВЭД_НР!$A$3:$A$62&amp;".",","&amp;SUBSTITUTE(F971," ","")&amp;",")))*Справочник_ОКВЭД_НР!$L$9 +
  SUMPRODUCT(ISNUMBER(SEARCH(","&amp;Справочник_ОКВЭД_НР!$C$3:$C$62&amp;".",","&amp;SUBSTITUTE(F971," ","")&amp;",")))*Справочник_ОКВЭД_НР!$L$10 +
  SUMPRODUCT(ISNUMBER(SEARCH(","&amp;Справочник_ОКВЭД_НР!$E$3:$E$62&amp;".",","&amp;SUBSTITUTE(F971," ","")&amp;",")))*Справочник_ОКВЭД_НР!$L$11 +
  SUMPRODUCT(ISNUMBER(SEARCH(","&amp;Справочник_ОКВЭД_НР!$G$3:$G$62&amp;".",","&amp;SUBSTITUTE(F971," ","")&amp;",")))*Справочник_ОКВЭД_НР!$L$12) /
 (SUMPRODUCT(ISNUMBER(SEARCH(","&amp;Справочник_ОКВЭД_НР!$A$3:$A$62&amp;".",","&amp;SUBSTITUTE(F971," ","")&amp;","))) +
  SUMPRODUCT(ISNUMBER(SEARCH(","&amp;Справочник_ОКВЭД_НР!$C$3:$C$62&amp;".",","&amp;SUBSTITUTE(F971," ","")&amp;","))) +
  SUMPRODUCT(ISNUMBER(SEARCH(","&amp;Справочник_ОКВЭД_НР!$E$3:$E$62&amp;".",","&amp;SUBSTITUTE(F971," ","")&amp;","))) +
  SUMPRODUCT(ISNUMBER(SEARCH(","&amp;Справочник_ОКВЭД_НР!$G$3:$G$62&amp;".",","&amp;SUBSTITUTE(F971," ","")&amp;",")))),
50)</f>
        <v>50</v>
      </c>
      <c r="K971" s="30">
        <f>IFERROR(VLOOKUP(G971,Справочник_ОКВЭД_НР!$O:$P,2,FALSE()),50)</f>
        <v>50</v>
      </c>
      <c r="L971" s="45">
        <f>(I971*Справочник_ОКВЭД_НР!$L$2+J971*Справочник_ОКВЭД_НР!$L$3+K971*Справочник_ОКВЭД_НР!$L$4)*M971</f>
        <v>38</v>
      </c>
      <c r="M971" s="47">
        <f>IF(COUNTIF(Справочник_ОКВЭД_НР!$G$3:$G$62,H971)&gt;0,0,1)</f>
        <v>1</v>
      </c>
    </row>
    <row r="972" spans="1:13" x14ac:dyDescent="0.25">
      <c r="A972" s="4">
        <f>ЛИК_дляСкорингаДП!A972</f>
        <v>1157746923498</v>
      </c>
      <c r="B972" s="4">
        <f>ЛИК_дляСкорингаДП!B972</f>
        <v>9710002680</v>
      </c>
      <c r="C972" s="4" t="str">
        <f>ЛИК_дляСкорингаДП!C972</f>
        <v>ООО "Д-МЕНЕДЖМЕНТ"</v>
      </c>
      <c r="D972" s="5" t="str">
        <f>ЛИК_дляСкорингаДП!M972</f>
        <v>Деятельность предприятий общественного питания по прочим видам организации питания</v>
      </c>
      <c r="E972" s="4" t="str">
        <f>ЛИК_дляСкорингаДП!L972</f>
        <v>56.29</v>
      </c>
      <c r="F972" t="str">
        <f>ЛИК_дляСкорингаДП!N972</f>
        <v>10.72,10.82.2,46.17.1,46.19,46.31,46.31.11,46.36.2,46.36.3,46.36.4,46.38.26,46.39,46.90,47.11,47.21,47.22,47.23,47.24,47.25.2,47.29.3,47.29.39,47.9,52.10,52.24,56.10,56.10.1,56.10.3,56.21,56.30,70.22,71.20.2,73.11,73.20,77.39.11,77.39.27,82.92</v>
      </c>
      <c r="G972" s="25" t="str">
        <f>ЛИК_дляСкорингаДП!AG972</f>
        <v>УСН</v>
      </c>
      <c r="H972" s="55" t="str">
        <f>IF(ISNUMBER(E972),E972,
IFERROR(LEFT(E972,FIND(".",E972)-1),E972))</f>
        <v>56</v>
      </c>
      <c r="I972" s="30">
        <f>IF(COUNTIF(Справочник_ОКВЭД_НР!$A$3:$A$62,H972)&gt;0,Справочник_ОКВЭД_НР!$L$8,
 IF(COUNTIF(Справочник_ОКВЭД_НР!$C$3:$C$62,H972)&gt;0,Справочник_ОКВЭД_НР!$L$9,
  IF(COUNTIF(Справочник_ОКВЭД_НР!$E$3:$E$62,H972)&gt;0,Справочник_ОКВЭД_НР!$L$10,
   IF(COUNTIF(Справочник_ОКВЭД_НР!$G$3:$G$62,H972)&gt;0,Справочник_ОКВЭД_НР!$L$11,50))))</f>
        <v>30</v>
      </c>
      <c r="J972" s="30" cm="1">
        <f t="array" ref="J972">IFERROR(
 (SUMPRODUCT(ISNUMBER(SEARCH(","&amp;Справочник_ОКВЭД_НР!$A$3:$A$62&amp;".",","&amp;SUBSTITUTE(F972," ","")&amp;",")))*Справочник_ОКВЭД_НР!$L$9 +
  SUMPRODUCT(ISNUMBER(SEARCH(","&amp;Справочник_ОКВЭД_НР!$C$3:$C$62&amp;".",","&amp;SUBSTITUTE(F972," ","")&amp;",")))*Справочник_ОКВЭД_НР!$L$10 +
  SUMPRODUCT(ISNUMBER(SEARCH(","&amp;Справочник_ОКВЭД_НР!$E$3:$E$62&amp;".",","&amp;SUBSTITUTE(F972," ","")&amp;",")))*Справочник_ОКВЭД_НР!$L$11 +
  SUMPRODUCT(ISNUMBER(SEARCH(","&amp;Справочник_ОКВЭД_НР!$G$3:$G$62&amp;".",","&amp;SUBSTITUTE(F972," ","")&amp;",")))*Справочник_ОКВЭД_НР!$L$12) /
 (SUMPRODUCT(ISNUMBER(SEARCH(","&amp;Справочник_ОКВЭД_НР!$A$3:$A$62&amp;".",","&amp;SUBSTITUTE(F972," ","")&amp;","))) +
  SUMPRODUCT(ISNUMBER(SEARCH(","&amp;Справочник_ОКВЭД_НР!$C$3:$C$62&amp;".",","&amp;SUBSTITUTE(F972," ","")&amp;","))) +
  SUMPRODUCT(ISNUMBER(SEARCH(","&amp;Справочник_ОКВЭД_НР!$E$3:$E$62&amp;".",","&amp;SUBSTITUTE(F972," ","")&amp;","))) +
  SUMPRODUCT(ISNUMBER(SEARCH(","&amp;Справочник_ОКВЭД_НР!$G$3:$G$62&amp;".",","&amp;SUBSTITUTE(F972," ","")&amp;",")))),
50)</f>
        <v>50</v>
      </c>
      <c r="K972" s="30">
        <f>IFERROR(VLOOKUP(G972,Справочник_ОКВЭД_НР!$O:$P,2,FALSE()),50)</f>
        <v>50</v>
      </c>
      <c r="L972" s="45">
        <f>(I972*Справочник_ОКВЭД_НР!$L$2+J972*Справочник_ОКВЭД_НР!$L$3+K972*Справочник_ОКВЭД_НР!$L$4)*M972</f>
        <v>38</v>
      </c>
      <c r="M972" s="47">
        <f>IF(COUNTIF(Справочник_ОКВЭД_НР!$G$3:$G$62,H972)&gt;0,0,1)</f>
        <v>1</v>
      </c>
    </row>
    <row r="973" spans="1:13" x14ac:dyDescent="0.25">
      <c r="A973" s="4">
        <f>ЛИК_дляСкорингаДП!A973</f>
        <v>1157746917900</v>
      </c>
      <c r="B973" s="4">
        <f>ЛИК_дляСкорингаДП!B973</f>
        <v>7719426464</v>
      </c>
      <c r="C973" s="4" t="str">
        <f>ЛИК_дляСкорингаДП!C973</f>
        <v>ООО "ДОЛ "ОРГРЭС"</v>
      </c>
      <c r="D973" s="5" t="str">
        <f>ЛИК_дляСкорингаДП!M973</f>
        <v>Деятельность по организации отдыха детей и их оздоровления</v>
      </c>
      <c r="E973" s="4" t="str">
        <f>ЛИК_дляСкорингаДП!L973</f>
        <v>85.41.91</v>
      </c>
      <c r="F973" t="str">
        <f>ЛИК_дляСкорингаДП!N973</f>
        <v>49.39.13,49.39.32,55.20,55.90,85.41.9,85.42.9,86.90.4</v>
      </c>
      <c r="G973" s="25" t="str">
        <f>ЛИК_дляСкорингаДП!AG973</f>
        <v>УСН</v>
      </c>
      <c r="H973" s="55" t="str">
        <f>IF(ISNUMBER(E973),E973,
IFERROR(LEFT(E973,FIND(".",E973)-1),E973))</f>
        <v>85</v>
      </c>
      <c r="I973" s="30">
        <f>IF(COUNTIF(Справочник_ОКВЭД_НР!$A$3:$A$62,H973)&gt;0,Справочник_ОКВЭД_НР!$L$8,
 IF(COUNTIF(Справочник_ОКВЭД_НР!$C$3:$C$62,H973)&gt;0,Справочник_ОКВЭД_НР!$L$9,
  IF(COUNTIF(Справочник_ОКВЭД_НР!$E$3:$E$62,H973)&gt;0,Справочник_ОКВЭД_НР!$L$10,
   IF(COUNTIF(Справочник_ОКВЭД_НР!$G$3:$G$62,H973)&gt;0,Справочник_ОКВЭД_НР!$L$11,50))))</f>
        <v>30</v>
      </c>
      <c r="J973" s="30" cm="1">
        <f t="array" ref="J973">IFERROR(
 (SUMPRODUCT(ISNUMBER(SEARCH(","&amp;Справочник_ОКВЭД_НР!$A$3:$A$62&amp;".",","&amp;SUBSTITUTE(F973," ","")&amp;",")))*Справочник_ОКВЭД_НР!$L$9 +
  SUMPRODUCT(ISNUMBER(SEARCH(","&amp;Справочник_ОКВЭД_НР!$C$3:$C$62&amp;".",","&amp;SUBSTITUTE(F973," ","")&amp;",")))*Справочник_ОКВЭД_НР!$L$10 +
  SUMPRODUCT(ISNUMBER(SEARCH(","&amp;Справочник_ОКВЭД_НР!$E$3:$E$62&amp;".",","&amp;SUBSTITUTE(F973," ","")&amp;",")))*Справочник_ОКВЭД_НР!$L$11 +
  SUMPRODUCT(ISNUMBER(SEARCH(","&amp;Справочник_ОКВЭД_НР!$G$3:$G$62&amp;".",","&amp;SUBSTITUTE(F973," ","")&amp;",")))*Справочник_ОКВЭД_НР!$L$12) /
 (SUMPRODUCT(ISNUMBER(SEARCH(","&amp;Справочник_ОКВЭД_НР!$A$3:$A$62&amp;".",","&amp;SUBSTITUTE(F973," ","")&amp;","))) +
  SUMPRODUCT(ISNUMBER(SEARCH(","&amp;Справочник_ОКВЭД_НР!$C$3:$C$62&amp;".",","&amp;SUBSTITUTE(F973," ","")&amp;","))) +
  SUMPRODUCT(ISNUMBER(SEARCH(","&amp;Справочник_ОКВЭД_НР!$E$3:$E$62&amp;".",","&amp;SUBSTITUTE(F973," ","")&amp;","))) +
  SUMPRODUCT(ISNUMBER(SEARCH(","&amp;Справочник_ОКВЭД_НР!$G$3:$G$62&amp;".",","&amp;SUBSTITUTE(F973," ","")&amp;",")))),
50)</f>
        <v>50</v>
      </c>
      <c r="K973" s="30">
        <f>IFERROR(VLOOKUP(G973,Справочник_ОКВЭД_НР!$O:$P,2,FALSE()),50)</f>
        <v>50</v>
      </c>
      <c r="L973" s="45">
        <f>(I973*Справочник_ОКВЭД_НР!$L$2+J973*Справочник_ОКВЭД_НР!$L$3+K973*Справочник_ОКВЭД_НР!$L$4)*M973</f>
        <v>38</v>
      </c>
      <c r="M973" s="47">
        <f>IF(COUNTIF(Справочник_ОКВЭД_НР!$G$3:$G$62,H973)&gt;0,0,1)</f>
        <v>1</v>
      </c>
    </row>
    <row r="974" spans="1:13" x14ac:dyDescent="0.25">
      <c r="A974" s="4">
        <f>ЛИК_дляСкорингаДП!A974</f>
        <v>1157746881775</v>
      </c>
      <c r="B974" s="4">
        <f>ЛИК_дляСкорингаДП!B974</f>
        <v>7707351856</v>
      </c>
      <c r="C974" s="4" t="str">
        <f>ЛИК_дляСкорингаДП!C974</f>
        <v>ООО "ПИР"</v>
      </c>
      <c r="D974" s="5" t="str">
        <f>ЛИК_дляСкорингаДП!M974</f>
        <v>Деятельность ресторанов и услуги по доставке продуктов питания</v>
      </c>
      <c r="E974" s="4" t="str">
        <f>ЛИК_дляСкорингаДП!L974</f>
        <v>56.10</v>
      </c>
      <c r="F974" t="str">
        <f>ЛИК_дляСкорингаДП!N974</f>
        <v>10.71,10.72,10.82.2,10.85,18.12,47.24,47.24.2,47.24.21,47.24.22,47.25,47.25.1,47.25.2,47.26,47.29,47.29.39,56.10.1,56.10.3,56.29,56.30,68.32,69.10,69.20,70.22,71.20.2,73.11,73.20,78.10,82.92,93.29,93.29.9</v>
      </c>
      <c r="G974" s="25" t="str">
        <f>ЛИК_дляСкорингаДП!AG974</f>
        <v>УСН</v>
      </c>
      <c r="H974" s="55" t="str">
        <f>IF(ISNUMBER(E974),E974,
IFERROR(LEFT(E974,FIND(".",E974)-1),E974))</f>
        <v>56</v>
      </c>
      <c r="I974" s="30">
        <f>IF(COUNTIF(Справочник_ОКВЭД_НР!$A$3:$A$62,H974)&gt;0,Справочник_ОКВЭД_НР!$L$8,
 IF(COUNTIF(Справочник_ОКВЭД_НР!$C$3:$C$62,H974)&gt;0,Справочник_ОКВЭД_НР!$L$9,
  IF(COUNTIF(Справочник_ОКВЭД_НР!$E$3:$E$62,H974)&gt;0,Справочник_ОКВЭД_НР!$L$10,
   IF(COUNTIF(Справочник_ОКВЭД_НР!$G$3:$G$62,H974)&gt;0,Справочник_ОКВЭД_НР!$L$11,50))))</f>
        <v>30</v>
      </c>
      <c r="J974" s="30" cm="1">
        <f t="array" ref="J974">IFERROR(
 (SUMPRODUCT(ISNUMBER(SEARCH(","&amp;Справочник_ОКВЭД_НР!$A$3:$A$62&amp;".",","&amp;SUBSTITUTE(F974," ","")&amp;",")))*Справочник_ОКВЭД_НР!$L$9 +
  SUMPRODUCT(ISNUMBER(SEARCH(","&amp;Справочник_ОКВЭД_НР!$C$3:$C$62&amp;".",","&amp;SUBSTITUTE(F974," ","")&amp;",")))*Справочник_ОКВЭД_НР!$L$10 +
  SUMPRODUCT(ISNUMBER(SEARCH(","&amp;Справочник_ОКВЭД_НР!$E$3:$E$62&amp;".",","&amp;SUBSTITUTE(F974," ","")&amp;",")))*Справочник_ОКВЭД_НР!$L$11 +
  SUMPRODUCT(ISNUMBER(SEARCH(","&amp;Справочник_ОКВЭД_НР!$G$3:$G$62&amp;".",","&amp;SUBSTITUTE(F974," ","")&amp;",")))*Справочник_ОКВЭД_НР!$L$12) /
 (SUMPRODUCT(ISNUMBER(SEARCH(","&amp;Справочник_ОКВЭД_НР!$A$3:$A$62&amp;".",","&amp;SUBSTITUTE(F974," ","")&amp;","))) +
  SUMPRODUCT(ISNUMBER(SEARCH(","&amp;Справочник_ОКВЭД_НР!$C$3:$C$62&amp;".",","&amp;SUBSTITUTE(F974," ","")&amp;","))) +
  SUMPRODUCT(ISNUMBER(SEARCH(","&amp;Справочник_ОКВЭД_НР!$E$3:$E$62&amp;".",","&amp;SUBSTITUTE(F974," ","")&amp;","))) +
  SUMPRODUCT(ISNUMBER(SEARCH(","&amp;Справочник_ОКВЭД_НР!$G$3:$G$62&amp;".",","&amp;SUBSTITUTE(F974," ","")&amp;",")))),
50)</f>
        <v>50</v>
      </c>
      <c r="K974" s="30">
        <f>IFERROR(VLOOKUP(G974,Справочник_ОКВЭД_НР!$O:$P,2,FALSE()),50)</f>
        <v>50</v>
      </c>
      <c r="L974" s="45">
        <f>(I974*Справочник_ОКВЭД_НР!$L$2+J974*Справочник_ОКВЭД_НР!$L$3+K974*Справочник_ОКВЭД_НР!$L$4)*M974</f>
        <v>38</v>
      </c>
      <c r="M974" s="47">
        <f>IF(COUNTIF(Справочник_ОКВЭД_НР!$G$3:$G$62,H974)&gt;0,0,1)</f>
        <v>1</v>
      </c>
    </row>
    <row r="975" spans="1:13" x14ac:dyDescent="0.25">
      <c r="A975" s="4">
        <f>ЛИК_дляСкорингаДП!A975</f>
        <v>1107746027290</v>
      </c>
      <c r="B975" s="4">
        <f>ЛИК_дляСкорингаДП!B975</f>
        <v>7717666982</v>
      </c>
      <c r="C975" s="4" t="str">
        <f>ЛИК_дляСкорингаДП!C975</f>
        <v>ООО "ПРОСВИМ"</v>
      </c>
      <c r="D975" s="5" t="str">
        <f>ЛИК_дляСкорингаДП!M975</f>
        <v>Торговля розничная спортивной одеждой в специализированных магазинах</v>
      </c>
      <c r="E975" s="4" t="str">
        <f>ЛИК_дляСкорингаДП!L975</f>
        <v>47.71.5</v>
      </c>
      <c r="F975" t="str">
        <f>ЛИК_дляСкорингаДП!N975</f>
        <v>46.42.11,46.42.14,46.42.2,46.49.43,46.90,47.64,47.72.1,82.99,93.19</v>
      </c>
      <c r="G975" s="25" t="str">
        <f>ЛИК_дляСкорингаДП!AG975</f>
        <v>УСН</v>
      </c>
      <c r="H975" s="55" t="str">
        <f>IF(ISNUMBER(E975),E975,
IFERROR(LEFT(E975,FIND(".",E975)-1),E975))</f>
        <v>47</v>
      </c>
      <c r="I975" s="30">
        <f>IF(COUNTIF(Справочник_ОКВЭД_НР!$A$3:$A$62,H975)&gt;0,Справочник_ОКВЭД_НР!$L$8,
 IF(COUNTIF(Справочник_ОКВЭД_НР!$C$3:$C$62,H975)&gt;0,Справочник_ОКВЭД_НР!$L$9,
  IF(COUNTIF(Справочник_ОКВЭД_НР!$E$3:$E$62,H975)&gt;0,Справочник_ОКВЭД_НР!$L$10,
   IF(COUNTIF(Справочник_ОКВЭД_НР!$G$3:$G$62,H975)&gt;0,Справочник_ОКВЭД_НР!$L$11,50))))</f>
        <v>60</v>
      </c>
      <c r="J975" s="30" cm="1">
        <f t="array" ref="J975">IFERROR(
 (SUMPRODUCT(ISNUMBER(SEARCH(","&amp;Справочник_ОКВЭД_НР!$A$3:$A$62&amp;".",","&amp;SUBSTITUTE(F975," ","")&amp;",")))*Справочник_ОКВЭД_НР!$L$9 +
  SUMPRODUCT(ISNUMBER(SEARCH(","&amp;Справочник_ОКВЭД_НР!$C$3:$C$62&amp;".",","&amp;SUBSTITUTE(F975," ","")&amp;",")))*Справочник_ОКВЭД_НР!$L$10 +
  SUMPRODUCT(ISNUMBER(SEARCH(","&amp;Справочник_ОКВЭД_НР!$E$3:$E$62&amp;".",","&amp;SUBSTITUTE(F975," ","")&amp;",")))*Справочник_ОКВЭД_НР!$L$11 +
  SUMPRODUCT(ISNUMBER(SEARCH(","&amp;Справочник_ОКВЭД_НР!$G$3:$G$62&amp;".",","&amp;SUBSTITUTE(F975," ","")&amp;",")))*Справочник_ОКВЭД_НР!$L$12) /
 (SUMPRODUCT(ISNUMBER(SEARCH(","&amp;Справочник_ОКВЭД_НР!$A$3:$A$62&amp;".",","&amp;SUBSTITUTE(F975," ","")&amp;","))) +
  SUMPRODUCT(ISNUMBER(SEARCH(","&amp;Справочник_ОКВЭД_НР!$C$3:$C$62&amp;".",","&amp;SUBSTITUTE(F975," ","")&amp;","))) +
  SUMPRODUCT(ISNUMBER(SEARCH(","&amp;Справочник_ОКВЭД_НР!$E$3:$E$62&amp;".",","&amp;SUBSTITUTE(F975," ","")&amp;","))) +
  SUMPRODUCT(ISNUMBER(SEARCH(","&amp;Справочник_ОКВЭД_НР!$G$3:$G$62&amp;".",","&amp;SUBSTITUTE(F975," ","")&amp;",")))),
50)</f>
        <v>50</v>
      </c>
      <c r="K975" s="30">
        <f>IFERROR(VLOOKUP(G975,Справочник_ОКВЭД_НР!$O:$P,2,FALSE()),50)</f>
        <v>50</v>
      </c>
      <c r="L975" s="45">
        <f>(I975*Справочник_ОКВЭД_НР!$L$2+J975*Справочник_ОКВЭД_НР!$L$3+K975*Справочник_ОКВЭД_НР!$L$4)*M975</f>
        <v>56</v>
      </c>
      <c r="M975" s="47">
        <f>IF(COUNTIF(Справочник_ОКВЭД_НР!$G$3:$G$62,H975)&gt;0,0,1)</f>
        <v>1</v>
      </c>
    </row>
    <row r="976" spans="1:13" x14ac:dyDescent="0.25">
      <c r="A976" s="4">
        <f>ЛИК_дляСкорингаДП!A976</f>
        <v>1157746820868</v>
      </c>
      <c r="B976" s="4">
        <f>ЛИК_дляСкорингаДП!B976</f>
        <v>7736252352</v>
      </c>
      <c r="C976" s="4" t="str">
        <f>ЛИК_дляСкорингаДП!C976</f>
        <v>ООО "ТРИУМФ МЕД КОМПАНИ"</v>
      </c>
      <c r="D976" s="5" t="str">
        <f>ЛИК_дляСкорингаДП!M976</f>
        <v>Торговля оптовая фармацевтической продукцией</v>
      </c>
      <c r="E976" s="4" t="str">
        <f>ЛИК_дляСкорингаДП!L976</f>
        <v>46.46</v>
      </c>
      <c r="F976" t="str">
        <f>ЛИК_дляСкорингаДП!N976</f>
        <v>41.20,43.21,43.22,43.29,43.39,43.99,45.1,45.20,45.3,45.40,46.18.1,46.19,46.34,46.35,46.39,46.41,46.41.2,46.42,46.45,46.46.1,46.46.2,46.49,46.62,46.63,46.66,46.69,46.73,46.90,47.11,47.19,47.29,47.43,47.51,47.52,47.54,47.7,47.73,47.74,47.75,47.9,47.91.2,47.91.3,47.91.4,52.10,52.24,52.29,55.10,56.10,56.10.1,56.10.3,62.01,62.02,62.09,63.11,63.11.1,68.10,68.20,68.31,68.32,69.10,69.20,70.22,71.1,71.12.5,71.12.6,71.20,72.19,73.20,77.29.9,77.39.26,79.11,82.99,86.10,95.11</v>
      </c>
      <c r="G976" s="25" t="str">
        <f>ЛИК_дляСкорингаДП!AG976</f>
        <v>УСН</v>
      </c>
      <c r="H976" s="55" t="str">
        <f>IF(ISNUMBER(E976),E976,
IFERROR(LEFT(E976,FIND(".",E976)-1),E976))</f>
        <v>46</v>
      </c>
      <c r="I976" s="30">
        <f>IF(COUNTIF(Справочник_ОКВЭД_НР!$A$3:$A$62,H976)&gt;0,Справочник_ОКВЭД_НР!$L$8,
 IF(COUNTIF(Справочник_ОКВЭД_НР!$C$3:$C$62,H976)&gt;0,Справочник_ОКВЭД_НР!$L$9,
  IF(COUNTIF(Справочник_ОКВЭД_НР!$E$3:$E$62,H976)&gt;0,Справочник_ОКВЭД_НР!$L$10,
   IF(COUNTIF(Справочник_ОКВЭД_НР!$G$3:$G$62,H976)&gt;0,Справочник_ОКВЭД_НР!$L$11,50))))</f>
        <v>60</v>
      </c>
      <c r="J976" s="30" cm="1">
        <f t="array" ref="J976">IFERROR(
 (SUMPRODUCT(ISNUMBER(SEARCH(","&amp;Справочник_ОКВЭД_НР!$A$3:$A$62&amp;".",","&amp;SUBSTITUTE(F976," ","")&amp;",")))*Справочник_ОКВЭД_НР!$L$9 +
  SUMPRODUCT(ISNUMBER(SEARCH(","&amp;Справочник_ОКВЭД_НР!$C$3:$C$62&amp;".",","&amp;SUBSTITUTE(F976," ","")&amp;",")))*Справочник_ОКВЭД_НР!$L$10 +
  SUMPRODUCT(ISNUMBER(SEARCH(","&amp;Справочник_ОКВЭД_НР!$E$3:$E$62&amp;".",","&amp;SUBSTITUTE(F976," ","")&amp;",")))*Справочник_ОКВЭД_НР!$L$11 +
  SUMPRODUCT(ISNUMBER(SEARCH(","&amp;Справочник_ОКВЭД_НР!$G$3:$G$62&amp;".",","&amp;SUBSTITUTE(F976," ","")&amp;",")))*Справочник_ОКВЭД_НР!$L$12) /
 (SUMPRODUCT(ISNUMBER(SEARCH(","&amp;Справочник_ОКВЭД_НР!$A$3:$A$62&amp;".",","&amp;SUBSTITUTE(F976," ","")&amp;","))) +
  SUMPRODUCT(ISNUMBER(SEARCH(","&amp;Справочник_ОКВЭД_НР!$C$3:$C$62&amp;".",","&amp;SUBSTITUTE(F976," ","")&amp;","))) +
  SUMPRODUCT(ISNUMBER(SEARCH(","&amp;Справочник_ОКВЭД_НР!$E$3:$E$62&amp;".",","&amp;SUBSTITUTE(F976," ","")&amp;","))) +
  SUMPRODUCT(ISNUMBER(SEARCH(","&amp;Справочник_ОКВЭД_НР!$G$3:$G$62&amp;".",","&amp;SUBSTITUTE(F976," ","")&amp;",")))),
50)</f>
        <v>50</v>
      </c>
      <c r="K976" s="30">
        <f>IFERROR(VLOOKUP(G976,Справочник_ОКВЭД_НР!$O:$P,2,FALSE()),50)</f>
        <v>50</v>
      </c>
      <c r="L976" s="45">
        <f>(I976*Справочник_ОКВЭД_НР!$L$2+J976*Справочник_ОКВЭД_НР!$L$3+K976*Справочник_ОКВЭД_НР!$L$4)*M976</f>
        <v>56</v>
      </c>
      <c r="M976" s="47">
        <f>IF(COUNTIF(Справочник_ОКВЭД_НР!$G$3:$G$62,H976)&gt;0,0,1)</f>
        <v>1</v>
      </c>
    </row>
    <row r="977" spans="1:13" x14ac:dyDescent="0.25">
      <c r="A977" s="4">
        <f>ЛИК_дляСкорингаДП!A977</f>
        <v>1157746836763</v>
      </c>
      <c r="B977" s="4">
        <f>ЛИК_дляСкорингаДП!B977</f>
        <v>9710001647</v>
      </c>
      <c r="C977" s="4" t="str">
        <f>ЛИК_дляСкорингаДП!C977</f>
        <v>ООО "МУЗЫКА И КУЛЬТУРА"</v>
      </c>
      <c r="D977" s="5" t="str">
        <f>ЛИК_дляСкорингаДП!M977</f>
        <v>Деятельность по обработке данных, предоставление услуг по размещению информации и связанная с этим деятельность</v>
      </c>
      <c r="E977" s="4" t="str">
        <f>ЛИК_дляСкорингаДП!L977</f>
        <v>63.11</v>
      </c>
      <c r="F977" t="str">
        <f>ЛИК_дляСкорингаДП!N977</f>
        <v>18.12,18.20,46.49.32,46.49.41,47.59.5,47.62.1,47.91,58.11,58.11.1,58.13,58.14,58.19,59.20,59.20.3,62.01,62.02,62.02.1,62.02.4,62.03.13,62.09,63.11.1,63.12,63.99,70.21,74.90,85.41,85.42,90.0,90.01,90.03,93.29.9</v>
      </c>
      <c r="G977" s="25" t="str">
        <f>ЛИК_дляСкорингаДП!AG977</f>
        <v>УСН</v>
      </c>
      <c r="H977" s="55" t="str">
        <f>IF(ISNUMBER(E977),E977,
IFERROR(LEFT(E977,FIND(".",E977)-1),E977))</f>
        <v>63</v>
      </c>
      <c r="I977" s="30">
        <f>IF(COUNTIF(Справочник_ОКВЭД_НР!$A$3:$A$62,H977)&gt;0,Справочник_ОКВЭД_НР!$L$8,
 IF(COUNTIF(Справочник_ОКВЭД_НР!$C$3:$C$62,H977)&gt;0,Справочник_ОКВЭД_НР!$L$9,
  IF(COUNTIF(Справочник_ОКВЭД_НР!$E$3:$E$62,H977)&gt;0,Справочник_ОКВЭД_НР!$L$10,
   IF(COUNTIF(Справочник_ОКВЭД_НР!$G$3:$G$62,H977)&gt;0,Справочник_ОКВЭД_НР!$L$11,50))))</f>
        <v>100</v>
      </c>
      <c r="J977" s="30" cm="1">
        <f t="array" ref="J977">IFERROR(
 (SUMPRODUCT(ISNUMBER(SEARCH(","&amp;Справочник_ОКВЭД_НР!$A$3:$A$62&amp;".",","&amp;SUBSTITUTE(F977," ","")&amp;",")))*Справочник_ОКВЭД_НР!$L$9 +
  SUMPRODUCT(ISNUMBER(SEARCH(","&amp;Справочник_ОКВЭД_НР!$C$3:$C$62&amp;".",","&amp;SUBSTITUTE(F977," ","")&amp;",")))*Справочник_ОКВЭД_НР!$L$10 +
  SUMPRODUCT(ISNUMBER(SEARCH(","&amp;Справочник_ОКВЭД_НР!$E$3:$E$62&amp;".",","&amp;SUBSTITUTE(F977," ","")&amp;",")))*Справочник_ОКВЭД_НР!$L$11 +
  SUMPRODUCT(ISNUMBER(SEARCH(","&amp;Справочник_ОКВЭД_НР!$G$3:$G$62&amp;".",","&amp;SUBSTITUTE(F977," ","")&amp;",")))*Справочник_ОКВЭД_НР!$L$12) /
 (SUMPRODUCT(ISNUMBER(SEARCH(","&amp;Справочник_ОКВЭД_НР!$A$3:$A$62&amp;".",","&amp;SUBSTITUTE(F977," ","")&amp;","))) +
  SUMPRODUCT(ISNUMBER(SEARCH(","&amp;Справочник_ОКВЭД_НР!$C$3:$C$62&amp;".",","&amp;SUBSTITUTE(F977," ","")&amp;","))) +
  SUMPRODUCT(ISNUMBER(SEARCH(","&amp;Справочник_ОКВЭД_НР!$E$3:$E$62&amp;".",","&amp;SUBSTITUTE(F977," ","")&amp;","))) +
  SUMPRODUCT(ISNUMBER(SEARCH(","&amp;Справочник_ОКВЭД_НР!$G$3:$G$62&amp;".",","&amp;SUBSTITUTE(F977," ","")&amp;",")))),
50)</f>
        <v>50</v>
      </c>
      <c r="K977" s="30">
        <f>IFERROR(VLOOKUP(G977,Справочник_ОКВЭД_НР!$O:$P,2,FALSE()),50)</f>
        <v>50</v>
      </c>
      <c r="L977" s="45">
        <f>(I977*Справочник_ОКВЭД_НР!$L$2+J977*Справочник_ОКВЭД_НР!$L$3+K977*Справочник_ОКВЭД_НР!$L$4)*M977</f>
        <v>80</v>
      </c>
      <c r="M977" s="47">
        <f>IF(COUNTIF(Справочник_ОКВЭД_НР!$G$3:$G$62,H977)&gt;0,0,1)</f>
        <v>1</v>
      </c>
    </row>
    <row r="978" spans="1:13" x14ac:dyDescent="0.25">
      <c r="A978" s="4">
        <f>ЛИК_дляСкорингаДП!A978</f>
        <v>1107746082696</v>
      </c>
      <c r="B978" s="4">
        <f>ЛИК_дляСкорингаДП!B978</f>
        <v>7701865679</v>
      </c>
      <c r="C978" s="4" t="str">
        <f>ЛИК_дляСкорингаДП!C978</f>
        <v>ООО "МЕРКАТОР"</v>
      </c>
      <c r="D978" s="5" t="str">
        <f>ЛИК_дляСкорингаДП!M978</f>
        <v>Производство кинофильмов, видеофильмов и телевизионных программ</v>
      </c>
      <c r="E978" s="4" t="str">
        <f>ЛИК_дляСкорингаДП!L978</f>
        <v>59.11</v>
      </c>
      <c r="F978" t="str">
        <f>ЛИК_дляСкорингаДП!N978</f>
        <v>18.12,18.2,18.20,18.20,18.20,58.11.3,58.13,58.14,58.19,60.10,60.20,62.01,62.02,62.09,63.11,63.11.1,70.22,73.11,73.20,90.01,93.29</v>
      </c>
      <c r="G978" s="25" t="str">
        <f>ЛИК_дляСкорингаДП!AG978</f>
        <v>УСН</v>
      </c>
      <c r="H978" s="55" t="str">
        <f>IF(ISNUMBER(E978),E978,
IFERROR(LEFT(E978,FIND(".",E978)-1),E978))</f>
        <v>59</v>
      </c>
      <c r="I978" s="30">
        <f>IF(COUNTIF(Справочник_ОКВЭД_НР!$A$3:$A$62,H978)&gt;0,Справочник_ОКВЭД_НР!$L$8,
 IF(COUNTIF(Справочник_ОКВЭД_НР!$C$3:$C$62,H978)&gt;0,Справочник_ОКВЭД_НР!$L$9,
  IF(COUNTIF(Справочник_ОКВЭД_НР!$E$3:$E$62,H978)&gt;0,Справочник_ОКВЭД_НР!$L$10,
   IF(COUNTIF(Справочник_ОКВЭД_НР!$G$3:$G$62,H978)&gt;0,Справочник_ОКВЭД_НР!$L$11,50))))</f>
        <v>30</v>
      </c>
      <c r="J978" s="30" cm="1">
        <f t="array" ref="J978">IFERROR(
 (SUMPRODUCT(ISNUMBER(SEARCH(","&amp;Справочник_ОКВЭД_НР!$A$3:$A$62&amp;".",","&amp;SUBSTITUTE(F978," ","")&amp;",")))*Справочник_ОКВЭД_НР!$L$9 +
  SUMPRODUCT(ISNUMBER(SEARCH(","&amp;Справочник_ОКВЭД_НР!$C$3:$C$62&amp;".",","&amp;SUBSTITUTE(F978," ","")&amp;",")))*Справочник_ОКВЭД_НР!$L$10 +
  SUMPRODUCT(ISNUMBER(SEARCH(","&amp;Справочник_ОКВЭД_НР!$E$3:$E$62&amp;".",","&amp;SUBSTITUTE(F978," ","")&amp;",")))*Справочник_ОКВЭД_НР!$L$11 +
  SUMPRODUCT(ISNUMBER(SEARCH(","&amp;Справочник_ОКВЭД_НР!$G$3:$G$62&amp;".",","&amp;SUBSTITUTE(F978," ","")&amp;",")))*Справочник_ОКВЭД_НР!$L$12) /
 (SUMPRODUCT(ISNUMBER(SEARCH(","&amp;Справочник_ОКВЭД_НР!$A$3:$A$62&amp;".",","&amp;SUBSTITUTE(F978," ","")&amp;","))) +
  SUMPRODUCT(ISNUMBER(SEARCH(","&amp;Справочник_ОКВЭД_НР!$C$3:$C$62&amp;".",","&amp;SUBSTITUTE(F978," ","")&amp;","))) +
  SUMPRODUCT(ISNUMBER(SEARCH(","&amp;Справочник_ОКВЭД_НР!$E$3:$E$62&amp;".",","&amp;SUBSTITUTE(F978," ","")&amp;","))) +
  SUMPRODUCT(ISNUMBER(SEARCH(","&amp;Справочник_ОКВЭД_НР!$G$3:$G$62&amp;".",","&amp;SUBSTITUTE(F978," ","")&amp;",")))),
50)</f>
        <v>50</v>
      </c>
      <c r="K978" s="30">
        <f>IFERROR(VLOOKUP(G978,Справочник_ОКВЭД_НР!$O:$P,2,FALSE()),50)</f>
        <v>50</v>
      </c>
      <c r="L978" s="45">
        <f>(I978*Справочник_ОКВЭД_НР!$L$2+J978*Справочник_ОКВЭД_НР!$L$3+K978*Справочник_ОКВЭД_НР!$L$4)*M978</f>
        <v>38</v>
      </c>
      <c r="M978" s="47">
        <f>IF(COUNTIF(Справочник_ОКВЭД_НР!$G$3:$G$62,H978)&gt;0,0,1)</f>
        <v>1</v>
      </c>
    </row>
    <row r="979" spans="1:13" x14ac:dyDescent="0.25">
      <c r="A979" s="4">
        <f>ЛИК_дляСкорингаДП!A979</f>
        <v>1157746918218</v>
      </c>
      <c r="B979" s="4">
        <f>ЛИК_дляСкорингаДП!B979</f>
        <v>7731293997</v>
      </c>
      <c r="C979" s="4" t="str">
        <f>ЛИК_дляСкорингаДП!C979</f>
        <v>ООО "МКС ЭКСПЕРТ"</v>
      </c>
      <c r="D979" s="5" t="str">
        <f>ЛИК_дляСкорингаДП!M979</f>
        <v>Разработка компьютерного программного обеспечения</v>
      </c>
      <c r="E979" s="4" t="str">
        <f>ЛИК_дляСкорингаДП!L979</f>
        <v>62.01</v>
      </c>
      <c r="F979" t="str">
        <f>ЛИК_дляСкорингаДП!N979</f>
        <v>62.02</v>
      </c>
      <c r="G979" s="25" t="str">
        <f>ЛИК_дляСкорингаДП!AG979</f>
        <v>УСН</v>
      </c>
      <c r="H979" s="55" t="str">
        <f>IF(ISNUMBER(E979),E979,
IFERROR(LEFT(E979,FIND(".",E979)-1),E979))</f>
        <v>62</v>
      </c>
      <c r="I979" s="30">
        <f>IF(COUNTIF(Справочник_ОКВЭД_НР!$A$3:$A$62,H979)&gt;0,Справочник_ОКВЭД_НР!$L$8,
 IF(COUNTIF(Справочник_ОКВЭД_НР!$C$3:$C$62,H979)&gt;0,Справочник_ОКВЭД_НР!$L$9,
  IF(COUNTIF(Справочник_ОКВЭД_НР!$E$3:$E$62,H979)&gt;0,Справочник_ОКВЭД_НР!$L$10,
   IF(COUNTIF(Справочник_ОКВЭД_НР!$G$3:$G$62,H979)&gt;0,Справочник_ОКВЭД_НР!$L$11,50))))</f>
        <v>100</v>
      </c>
      <c r="J979" s="30" cm="1">
        <f t="array" ref="J979">IFERROR(
 (SUMPRODUCT(ISNUMBER(SEARCH(","&amp;Справочник_ОКВЭД_НР!$A$3:$A$62&amp;".",","&amp;SUBSTITUTE(F979," ","")&amp;",")))*Справочник_ОКВЭД_НР!$L$9 +
  SUMPRODUCT(ISNUMBER(SEARCH(","&amp;Справочник_ОКВЭД_НР!$C$3:$C$62&amp;".",","&amp;SUBSTITUTE(F979," ","")&amp;",")))*Справочник_ОКВЭД_НР!$L$10 +
  SUMPRODUCT(ISNUMBER(SEARCH(","&amp;Справочник_ОКВЭД_НР!$E$3:$E$62&amp;".",","&amp;SUBSTITUTE(F979," ","")&amp;",")))*Справочник_ОКВЭД_НР!$L$11 +
  SUMPRODUCT(ISNUMBER(SEARCH(","&amp;Справочник_ОКВЭД_НР!$G$3:$G$62&amp;".",","&amp;SUBSTITUTE(F979," ","")&amp;",")))*Справочник_ОКВЭД_НР!$L$12) /
 (SUMPRODUCT(ISNUMBER(SEARCH(","&amp;Справочник_ОКВЭД_НР!$A$3:$A$62&amp;".",","&amp;SUBSTITUTE(F979," ","")&amp;","))) +
  SUMPRODUCT(ISNUMBER(SEARCH(","&amp;Справочник_ОКВЭД_НР!$C$3:$C$62&amp;".",","&amp;SUBSTITUTE(F979," ","")&amp;","))) +
  SUMPRODUCT(ISNUMBER(SEARCH(","&amp;Справочник_ОКВЭД_НР!$E$3:$E$62&amp;".",","&amp;SUBSTITUTE(F979," ","")&amp;","))) +
  SUMPRODUCT(ISNUMBER(SEARCH(","&amp;Справочник_ОКВЭД_НР!$G$3:$G$62&amp;".",","&amp;SUBSTITUTE(F979," ","")&amp;",")))),
50)</f>
        <v>50</v>
      </c>
      <c r="K979" s="30">
        <f>IFERROR(VLOOKUP(G979,Справочник_ОКВЭД_НР!$O:$P,2,FALSE()),50)</f>
        <v>50</v>
      </c>
      <c r="L979" s="45">
        <f>(I979*Справочник_ОКВЭД_НР!$L$2+J979*Справочник_ОКВЭД_НР!$L$3+K979*Справочник_ОКВЭД_НР!$L$4)*M979</f>
        <v>80</v>
      </c>
      <c r="M979" s="47">
        <f>IF(COUNTIF(Справочник_ОКВЭД_НР!$G$3:$G$62,H979)&gt;0,0,1)</f>
        <v>1</v>
      </c>
    </row>
    <row r="980" spans="1:13" x14ac:dyDescent="0.25">
      <c r="A980" s="4">
        <f>ЛИК_дляСкорингаДП!A980</f>
        <v>1157746929218</v>
      </c>
      <c r="B980" s="4">
        <f>ЛИК_дляСкорингаДП!B980</f>
        <v>7703399374</v>
      </c>
      <c r="C980" s="4" t="str">
        <f>ЛИК_дляСкорингаДП!C980</f>
        <v>ООО "ПРОФ-СОЮЗ"</v>
      </c>
      <c r="D980" s="5" t="str">
        <f>ЛИК_дляСкорингаДП!M980</f>
        <v>Торговля оптовая неспециализированная</v>
      </c>
      <c r="E980" s="4" t="str">
        <f>ЛИК_дляСкорингаДП!L980</f>
        <v>46.90</v>
      </c>
      <c r="F980" t="str">
        <f>ЛИК_дляСкорингаДП!N980</f>
        <v>46.16,46.42,46.42.13,46.49.49,47.91.2,47.91.3,47.91.4,49.4,63.11.1,73.11,96.09</v>
      </c>
      <c r="G980" s="25" t="str">
        <f>ЛИК_дляСкорингаДП!AG980</f>
        <v>УСН</v>
      </c>
      <c r="H980" s="55" t="str">
        <f>IF(ISNUMBER(E980),E980,
IFERROR(LEFT(E980,FIND(".",E980)-1),E980))</f>
        <v>46</v>
      </c>
      <c r="I980" s="30">
        <f>IF(COUNTIF(Справочник_ОКВЭД_НР!$A$3:$A$62,H980)&gt;0,Справочник_ОКВЭД_НР!$L$8,
 IF(COUNTIF(Справочник_ОКВЭД_НР!$C$3:$C$62,H980)&gt;0,Справочник_ОКВЭД_НР!$L$9,
  IF(COUNTIF(Справочник_ОКВЭД_НР!$E$3:$E$62,H980)&gt;0,Справочник_ОКВЭД_НР!$L$10,
   IF(COUNTIF(Справочник_ОКВЭД_НР!$G$3:$G$62,H980)&gt;0,Справочник_ОКВЭД_НР!$L$11,50))))</f>
        <v>60</v>
      </c>
      <c r="J980" s="30" cm="1">
        <f t="array" ref="J980">IFERROR(
 (SUMPRODUCT(ISNUMBER(SEARCH(","&amp;Справочник_ОКВЭД_НР!$A$3:$A$62&amp;".",","&amp;SUBSTITUTE(F980," ","")&amp;",")))*Справочник_ОКВЭД_НР!$L$9 +
  SUMPRODUCT(ISNUMBER(SEARCH(","&amp;Справочник_ОКВЭД_НР!$C$3:$C$62&amp;".",","&amp;SUBSTITUTE(F980," ","")&amp;",")))*Справочник_ОКВЭД_НР!$L$10 +
  SUMPRODUCT(ISNUMBER(SEARCH(","&amp;Справочник_ОКВЭД_НР!$E$3:$E$62&amp;".",","&amp;SUBSTITUTE(F980," ","")&amp;",")))*Справочник_ОКВЭД_НР!$L$11 +
  SUMPRODUCT(ISNUMBER(SEARCH(","&amp;Справочник_ОКВЭД_НР!$G$3:$G$62&amp;".",","&amp;SUBSTITUTE(F980," ","")&amp;",")))*Справочник_ОКВЭД_НР!$L$12) /
 (SUMPRODUCT(ISNUMBER(SEARCH(","&amp;Справочник_ОКВЭД_НР!$A$3:$A$62&amp;".",","&amp;SUBSTITUTE(F980," ","")&amp;","))) +
  SUMPRODUCT(ISNUMBER(SEARCH(","&amp;Справочник_ОКВЭД_НР!$C$3:$C$62&amp;".",","&amp;SUBSTITUTE(F980," ","")&amp;","))) +
  SUMPRODUCT(ISNUMBER(SEARCH(","&amp;Справочник_ОКВЭД_НР!$E$3:$E$62&amp;".",","&amp;SUBSTITUTE(F980," ","")&amp;","))) +
  SUMPRODUCT(ISNUMBER(SEARCH(","&amp;Справочник_ОКВЭД_НР!$G$3:$G$62&amp;".",","&amp;SUBSTITUTE(F980," ","")&amp;",")))),
50)</f>
        <v>50</v>
      </c>
      <c r="K980" s="30">
        <f>IFERROR(VLOOKUP(G980,Справочник_ОКВЭД_НР!$O:$P,2,FALSE()),50)</f>
        <v>50</v>
      </c>
      <c r="L980" s="45">
        <f>(I980*Справочник_ОКВЭД_НР!$L$2+J980*Справочник_ОКВЭД_НР!$L$3+K980*Справочник_ОКВЭД_НР!$L$4)*M980</f>
        <v>56</v>
      </c>
      <c r="M980" s="47">
        <f>IF(COUNTIF(Справочник_ОКВЭД_НР!$G$3:$G$62,H980)&gt;0,0,1)</f>
        <v>1</v>
      </c>
    </row>
    <row r="981" spans="1:13" x14ac:dyDescent="0.25">
      <c r="A981" s="4">
        <f>ЛИК_дляСкорингаДП!A981</f>
        <v>1107746031260</v>
      </c>
      <c r="B981" s="4">
        <f>ЛИК_дляСкорингаДП!B981</f>
        <v>7704744457</v>
      </c>
      <c r="C981" s="4" t="str">
        <f>ЛИК_дляСкорингаДП!C981</f>
        <v>ООО МЭК "ОПТИМА"</v>
      </c>
      <c r="D981" s="5" t="str">
        <f>ЛИК_дляСкорингаДП!M981</f>
        <v>Ремонт машин и оборудования</v>
      </c>
      <c r="E981" s="4" t="str">
        <f>ЛИК_дляСкорингаДП!L981</f>
        <v>33.12</v>
      </c>
      <c r="F981" t="str">
        <f>ЛИК_дляСкорингаДП!N981</f>
        <v>25.11,25.12,25.61,25.62,28.22.9,43.21,43.22,43.29,43.99,43.99.1,43.99.2,43.99.4,43.99.5,43.99.9,46.63,46.69.2,46.69.3,71.12,71.12.11,71.12.12,77.32,77.39.23</v>
      </c>
      <c r="G981" s="25" t="str">
        <f>ЛИК_дляСкорингаДП!AG981</f>
        <v>УСН</v>
      </c>
      <c r="H981" s="55" t="str">
        <f>IF(ISNUMBER(E981),E981,
IFERROR(LEFT(E981,FIND(".",E981)-1),E981))</f>
        <v>33</v>
      </c>
      <c r="I981" s="30">
        <f>IF(COUNTIF(Справочник_ОКВЭД_НР!$A$3:$A$62,H981)&gt;0,Справочник_ОКВЭД_НР!$L$8,
 IF(COUNTIF(Справочник_ОКВЭД_НР!$C$3:$C$62,H981)&gt;0,Справочник_ОКВЭД_НР!$L$9,
  IF(COUNTIF(Справочник_ОКВЭД_НР!$E$3:$E$62,H981)&gt;0,Справочник_ОКВЭД_НР!$L$10,
   IF(COUNTIF(Справочник_ОКВЭД_НР!$G$3:$G$62,H981)&gt;0,Справочник_ОКВЭД_НР!$L$11,50))))</f>
        <v>60</v>
      </c>
      <c r="J981" s="30" cm="1">
        <f t="array" ref="J981">IFERROR(
 (SUMPRODUCT(ISNUMBER(SEARCH(","&amp;Справочник_ОКВЭД_НР!$A$3:$A$62&amp;".",","&amp;SUBSTITUTE(F981," ","")&amp;",")))*Справочник_ОКВЭД_НР!$L$9 +
  SUMPRODUCT(ISNUMBER(SEARCH(","&amp;Справочник_ОКВЭД_НР!$C$3:$C$62&amp;".",","&amp;SUBSTITUTE(F981," ","")&amp;",")))*Справочник_ОКВЭД_НР!$L$10 +
  SUMPRODUCT(ISNUMBER(SEARCH(","&amp;Справочник_ОКВЭД_НР!$E$3:$E$62&amp;".",","&amp;SUBSTITUTE(F981," ","")&amp;",")))*Справочник_ОКВЭД_НР!$L$11 +
  SUMPRODUCT(ISNUMBER(SEARCH(","&amp;Справочник_ОКВЭД_НР!$G$3:$G$62&amp;".",","&amp;SUBSTITUTE(F981," ","")&amp;",")))*Справочник_ОКВЭД_НР!$L$12) /
 (SUMPRODUCT(ISNUMBER(SEARCH(","&amp;Справочник_ОКВЭД_НР!$A$3:$A$62&amp;".",","&amp;SUBSTITUTE(F981," ","")&amp;","))) +
  SUMPRODUCT(ISNUMBER(SEARCH(","&amp;Справочник_ОКВЭД_НР!$C$3:$C$62&amp;".",","&amp;SUBSTITUTE(F981," ","")&amp;","))) +
  SUMPRODUCT(ISNUMBER(SEARCH(","&amp;Справочник_ОКВЭД_НР!$E$3:$E$62&amp;".",","&amp;SUBSTITUTE(F981," ","")&amp;","))) +
  SUMPRODUCT(ISNUMBER(SEARCH(","&amp;Справочник_ОКВЭД_НР!$G$3:$G$62&amp;".",","&amp;SUBSTITUTE(F981," ","")&amp;",")))),
50)</f>
        <v>50</v>
      </c>
      <c r="K981" s="30">
        <f>IFERROR(VLOOKUP(G981,Справочник_ОКВЭД_НР!$O:$P,2,FALSE()),50)</f>
        <v>50</v>
      </c>
      <c r="L981" s="45">
        <f>(I981*Справочник_ОКВЭД_НР!$L$2+J981*Справочник_ОКВЭД_НР!$L$3+K981*Справочник_ОКВЭД_НР!$L$4)*M981</f>
        <v>56</v>
      </c>
      <c r="M981" s="47">
        <f>IF(COUNTIF(Справочник_ОКВЭД_НР!$G$3:$G$62,H981)&gt;0,0,1)</f>
        <v>1</v>
      </c>
    </row>
    <row r="982" spans="1:13" x14ac:dyDescent="0.25">
      <c r="A982" s="4">
        <f>ЛИК_дляСкорингаДП!A982</f>
        <v>1157746858752</v>
      </c>
      <c r="B982" s="4">
        <f>ЛИК_дляСкорингаДП!B982</f>
        <v>9710001950</v>
      </c>
      <c r="C982" s="4" t="str">
        <f>ЛИК_дляСкорингаДП!C982</f>
        <v>ООО "КОСТА"</v>
      </c>
      <c r="D982" s="5" t="str">
        <f>ЛИК_дляСкорингаДП!M982</f>
        <v>Деятельность ресторанов и услуги по доставке продуктов питания</v>
      </c>
      <c r="E982" s="4" t="str">
        <f>ЛИК_дляСкорингаДП!L982</f>
        <v>56.10</v>
      </c>
      <c r="F982" t="str">
        <f>ЛИК_дляСкорингаДП!N982</f>
        <v>10.13.1,10.13.2,10.13.3,10.13.4,10.13.5,10.13.6,10.13.7,10.71,10.72,47.24,47.25,47.29.3,56.10.1,56.10.3,56.30</v>
      </c>
      <c r="G982" s="25" t="str">
        <f>ЛИК_дляСкорингаДП!AG982</f>
        <v>УСН</v>
      </c>
      <c r="H982" s="55" t="str">
        <f>IF(ISNUMBER(E982),E982,
IFERROR(LEFT(E982,FIND(".",E982)-1),E982))</f>
        <v>56</v>
      </c>
      <c r="I982" s="30">
        <f>IF(COUNTIF(Справочник_ОКВЭД_НР!$A$3:$A$62,H982)&gt;0,Справочник_ОКВЭД_НР!$L$8,
 IF(COUNTIF(Справочник_ОКВЭД_НР!$C$3:$C$62,H982)&gt;0,Справочник_ОКВЭД_НР!$L$9,
  IF(COUNTIF(Справочник_ОКВЭД_НР!$E$3:$E$62,H982)&gt;0,Справочник_ОКВЭД_НР!$L$10,
   IF(COUNTIF(Справочник_ОКВЭД_НР!$G$3:$G$62,H982)&gt;0,Справочник_ОКВЭД_НР!$L$11,50))))</f>
        <v>30</v>
      </c>
      <c r="J982" s="30" cm="1">
        <f t="array" ref="J982">IFERROR(
 (SUMPRODUCT(ISNUMBER(SEARCH(","&amp;Справочник_ОКВЭД_НР!$A$3:$A$62&amp;".",","&amp;SUBSTITUTE(F982," ","")&amp;",")))*Справочник_ОКВЭД_НР!$L$9 +
  SUMPRODUCT(ISNUMBER(SEARCH(","&amp;Справочник_ОКВЭД_НР!$C$3:$C$62&amp;".",","&amp;SUBSTITUTE(F982," ","")&amp;",")))*Справочник_ОКВЭД_НР!$L$10 +
  SUMPRODUCT(ISNUMBER(SEARCH(","&amp;Справочник_ОКВЭД_НР!$E$3:$E$62&amp;".",","&amp;SUBSTITUTE(F982," ","")&amp;",")))*Справочник_ОКВЭД_НР!$L$11 +
  SUMPRODUCT(ISNUMBER(SEARCH(","&amp;Справочник_ОКВЭД_НР!$G$3:$G$62&amp;".",","&amp;SUBSTITUTE(F982," ","")&amp;",")))*Справочник_ОКВЭД_НР!$L$12) /
 (SUMPRODUCT(ISNUMBER(SEARCH(","&amp;Справочник_ОКВЭД_НР!$A$3:$A$62&amp;".",","&amp;SUBSTITUTE(F982," ","")&amp;","))) +
  SUMPRODUCT(ISNUMBER(SEARCH(","&amp;Справочник_ОКВЭД_НР!$C$3:$C$62&amp;".",","&amp;SUBSTITUTE(F982," ","")&amp;","))) +
  SUMPRODUCT(ISNUMBER(SEARCH(","&amp;Справочник_ОКВЭД_НР!$E$3:$E$62&amp;".",","&amp;SUBSTITUTE(F982," ","")&amp;","))) +
  SUMPRODUCT(ISNUMBER(SEARCH(","&amp;Справочник_ОКВЭД_НР!$G$3:$G$62&amp;".",","&amp;SUBSTITUTE(F982," ","")&amp;",")))),
50)</f>
        <v>50</v>
      </c>
      <c r="K982" s="30">
        <f>IFERROR(VLOOKUP(G982,Справочник_ОКВЭД_НР!$O:$P,2,FALSE()),50)</f>
        <v>50</v>
      </c>
      <c r="L982" s="45">
        <f>(I982*Справочник_ОКВЭД_НР!$L$2+J982*Справочник_ОКВЭД_НР!$L$3+K982*Справочник_ОКВЭД_НР!$L$4)*M982</f>
        <v>38</v>
      </c>
      <c r="M982" s="47">
        <f>IF(COUNTIF(Справочник_ОКВЭД_НР!$G$3:$G$62,H982)&gt;0,0,1)</f>
        <v>1</v>
      </c>
    </row>
    <row r="983" spans="1:13" x14ac:dyDescent="0.25">
      <c r="A983" s="4">
        <f>ЛИК_дляСкорингаДП!A983</f>
        <v>1107746096061</v>
      </c>
      <c r="B983" s="4">
        <f>ЛИК_дляСкорингаДП!B983</f>
        <v>7701866182</v>
      </c>
      <c r="C983" s="4" t="str">
        <f>ЛИК_дляСкорингаДП!C983</f>
        <v>ООО  "АВЕНТА-СОФТ"</v>
      </c>
      <c r="D983" s="5" t="str">
        <f>ЛИК_дляСкорингаДП!M983</f>
        <v>Разработка компьютерного программного обеспечения, консультационные услуги в данной области и другие сопутствующие услуги</v>
      </c>
      <c r="E983" s="4" t="str">
        <f>ЛИК_дляСкорингаДП!L983</f>
        <v>62.0</v>
      </c>
      <c r="F983" t="str">
        <f>ЛИК_дляСкорингаДП!N983</f>
        <v>47.41,62.02,62.09,63.11,63.11.1</v>
      </c>
      <c r="G983" s="25" t="str">
        <f>ЛИК_дляСкорингаДП!AG983</f>
        <v>УСН</v>
      </c>
      <c r="H983" s="55" t="str">
        <f>IF(ISNUMBER(E983),E983,
IFERROR(LEFT(E983,FIND(".",E983)-1),E983))</f>
        <v>62</v>
      </c>
      <c r="I983" s="30">
        <f>IF(COUNTIF(Справочник_ОКВЭД_НР!$A$3:$A$62,H983)&gt;0,Справочник_ОКВЭД_НР!$L$8,
 IF(COUNTIF(Справочник_ОКВЭД_НР!$C$3:$C$62,H983)&gt;0,Справочник_ОКВЭД_НР!$L$9,
  IF(COUNTIF(Справочник_ОКВЭД_НР!$E$3:$E$62,H983)&gt;0,Справочник_ОКВЭД_НР!$L$10,
   IF(COUNTIF(Справочник_ОКВЭД_НР!$G$3:$G$62,H983)&gt;0,Справочник_ОКВЭД_НР!$L$11,50))))</f>
        <v>100</v>
      </c>
      <c r="J983" s="30" cm="1">
        <f t="array" ref="J983">IFERROR(
 (SUMPRODUCT(ISNUMBER(SEARCH(","&amp;Справочник_ОКВЭД_НР!$A$3:$A$62&amp;".",","&amp;SUBSTITUTE(F983," ","")&amp;",")))*Справочник_ОКВЭД_НР!$L$9 +
  SUMPRODUCT(ISNUMBER(SEARCH(","&amp;Справочник_ОКВЭД_НР!$C$3:$C$62&amp;".",","&amp;SUBSTITUTE(F983," ","")&amp;",")))*Справочник_ОКВЭД_НР!$L$10 +
  SUMPRODUCT(ISNUMBER(SEARCH(","&amp;Справочник_ОКВЭД_НР!$E$3:$E$62&amp;".",","&amp;SUBSTITUTE(F983," ","")&amp;",")))*Справочник_ОКВЭД_НР!$L$11 +
  SUMPRODUCT(ISNUMBER(SEARCH(","&amp;Справочник_ОКВЭД_НР!$G$3:$G$62&amp;".",","&amp;SUBSTITUTE(F983," ","")&amp;",")))*Справочник_ОКВЭД_НР!$L$12) /
 (SUMPRODUCT(ISNUMBER(SEARCH(","&amp;Справочник_ОКВЭД_НР!$A$3:$A$62&amp;".",","&amp;SUBSTITUTE(F983," ","")&amp;","))) +
  SUMPRODUCT(ISNUMBER(SEARCH(","&amp;Справочник_ОКВЭД_НР!$C$3:$C$62&amp;".",","&amp;SUBSTITUTE(F983," ","")&amp;","))) +
  SUMPRODUCT(ISNUMBER(SEARCH(","&amp;Справочник_ОКВЭД_НР!$E$3:$E$62&amp;".",","&amp;SUBSTITUTE(F983," ","")&amp;","))) +
  SUMPRODUCT(ISNUMBER(SEARCH(","&amp;Справочник_ОКВЭД_НР!$G$3:$G$62&amp;".",","&amp;SUBSTITUTE(F983," ","")&amp;",")))),
50)</f>
        <v>50</v>
      </c>
      <c r="K983" s="30">
        <f>IFERROR(VLOOKUP(G983,Справочник_ОКВЭД_НР!$O:$P,2,FALSE()),50)</f>
        <v>50</v>
      </c>
      <c r="L983" s="45">
        <f>(I983*Справочник_ОКВЭД_НР!$L$2+J983*Справочник_ОКВЭД_НР!$L$3+K983*Справочник_ОКВЭД_НР!$L$4)*M983</f>
        <v>80</v>
      </c>
      <c r="M983" s="47">
        <f>IF(COUNTIF(Справочник_ОКВЭД_НР!$G$3:$G$62,H983)&gt;0,0,1)</f>
        <v>1</v>
      </c>
    </row>
    <row r="984" spans="1:13" x14ac:dyDescent="0.25">
      <c r="A984" s="4">
        <f>ЛИК_дляСкорингаДП!A984</f>
        <v>1107746073291</v>
      </c>
      <c r="B984" s="4">
        <f>ЛИК_дляСкорингаДП!B984</f>
        <v>7728725735</v>
      </c>
      <c r="C984" s="4" t="str">
        <f>ЛИК_дляСкорингаДП!C984</f>
        <v>ООО "ЭЛИТ"</v>
      </c>
      <c r="D984" s="5" t="str">
        <f>ЛИК_дляСкорингаДП!M984</f>
        <v>Деятельность ресторанов и услуги по доставке продуктов питания</v>
      </c>
      <c r="E984" s="4" t="str">
        <f>ЛИК_дляСкорингаДП!L984</f>
        <v>56.10</v>
      </c>
      <c r="F984" t="str">
        <f>ЛИК_дляСкорингаДП!N984</f>
        <v>46.1,46.3,46.4,47.1,47.5,47.9,56.10.1,56.10.3,56.29,56.3,73.20.1</v>
      </c>
      <c r="G984" s="25" t="str">
        <f>ЛИК_дляСкорингаДП!AG984</f>
        <v>УСН</v>
      </c>
      <c r="H984" s="55" t="str">
        <f>IF(ISNUMBER(E984),E984,
IFERROR(LEFT(E984,FIND(".",E984)-1),E984))</f>
        <v>56</v>
      </c>
      <c r="I984" s="30">
        <f>IF(COUNTIF(Справочник_ОКВЭД_НР!$A$3:$A$62,H984)&gt;0,Справочник_ОКВЭД_НР!$L$8,
 IF(COUNTIF(Справочник_ОКВЭД_НР!$C$3:$C$62,H984)&gt;0,Справочник_ОКВЭД_НР!$L$9,
  IF(COUNTIF(Справочник_ОКВЭД_НР!$E$3:$E$62,H984)&gt;0,Справочник_ОКВЭД_НР!$L$10,
   IF(COUNTIF(Справочник_ОКВЭД_НР!$G$3:$G$62,H984)&gt;0,Справочник_ОКВЭД_НР!$L$11,50))))</f>
        <v>30</v>
      </c>
      <c r="J984" s="30" cm="1">
        <f t="array" ref="J984">IFERROR(
 (SUMPRODUCT(ISNUMBER(SEARCH(","&amp;Справочник_ОКВЭД_НР!$A$3:$A$62&amp;".",","&amp;SUBSTITUTE(F984," ","")&amp;",")))*Справочник_ОКВЭД_НР!$L$9 +
  SUMPRODUCT(ISNUMBER(SEARCH(","&amp;Справочник_ОКВЭД_НР!$C$3:$C$62&amp;".",","&amp;SUBSTITUTE(F984," ","")&amp;",")))*Справочник_ОКВЭД_НР!$L$10 +
  SUMPRODUCT(ISNUMBER(SEARCH(","&amp;Справочник_ОКВЭД_НР!$E$3:$E$62&amp;".",","&amp;SUBSTITUTE(F984," ","")&amp;",")))*Справочник_ОКВЭД_НР!$L$11 +
  SUMPRODUCT(ISNUMBER(SEARCH(","&amp;Справочник_ОКВЭД_НР!$G$3:$G$62&amp;".",","&amp;SUBSTITUTE(F984," ","")&amp;",")))*Справочник_ОКВЭД_НР!$L$12) /
 (SUMPRODUCT(ISNUMBER(SEARCH(","&amp;Справочник_ОКВЭД_НР!$A$3:$A$62&amp;".",","&amp;SUBSTITUTE(F984," ","")&amp;","))) +
  SUMPRODUCT(ISNUMBER(SEARCH(","&amp;Справочник_ОКВЭД_НР!$C$3:$C$62&amp;".",","&amp;SUBSTITUTE(F984," ","")&amp;","))) +
  SUMPRODUCT(ISNUMBER(SEARCH(","&amp;Справочник_ОКВЭД_НР!$E$3:$E$62&amp;".",","&amp;SUBSTITUTE(F984," ","")&amp;","))) +
  SUMPRODUCT(ISNUMBER(SEARCH(","&amp;Справочник_ОКВЭД_НР!$G$3:$G$62&amp;".",","&amp;SUBSTITUTE(F984," ","")&amp;",")))),
50)</f>
        <v>50</v>
      </c>
      <c r="K984" s="30">
        <f>IFERROR(VLOOKUP(G984,Справочник_ОКВЭД_НР!$O:$P,2,FALSE()),50)</f>
        <v>50</v>
      </c>
      <c r="L984" s="45">
        <f>(I984*Справочник_ОКВЭД_НР!$L$2+J984*Справочник_ОКВЭД_НР!$L$3+K984*Справочник_ОКВЭД_НР!$L$4)*M984</f>
        <v>38</v>
      </c>
      <c r="M984" s="47">
        <f>IF(COUNTIF(Справочник_ОКВЭД_НР!$G$3:$G$62,H984)&gt;0,0,1)</f>
        <v>1</v>
      </c>
    </row>
    <row r="985" spans="1:13" x14ac:dyDescent="0.25">
      <c r="A985" s="4">
        <f>ЛИК_дляСкорингаДП!A985</f>
        <v>1107746153459</v>
      </c>
      <c r="B985" s="4">
        <f>ЛИК_дляСкорингаДП!B985</f>
        <v>7717669599</v>
      </c>
      <c r="C985" s="4" t="str">
        <f>ЛИК_дляСкорингаДП!C985</f>
        <v>ООО "ЭСТЕТ-ТВ"</v>
      </c>
      <c r="D985" s="5" t="str">
        <f>ЛИК_дляСкорингаДП!M985</f>
        <v>Деятельность в области телевизионного вещания</v>
      </c>
      <c r="E985" s="4" t="str">
        <f>ЛИК_дляСкорингаДП!L985</f>
        <v>60.20</v>
      </c>
      <c r="F985" t="str">
        <f>ЛИК_дляСкорингаДП!N985</f>
        <v>18.1,58,58.13,58.14,60.10,63.91,70.10.1,70.10.2,70.22,73.11,73.20</v>
      </c>
      <c r="G985" s="25" t="str">
        <f>ЛИК_дляСкорингаДП!AG985</f>
        <v>УСН</v>
      </c>
      <c r="H985" s="55" t="str">
        <f>IF(ISNUMBER(E985),E985,
IFERROR(LEFT(E985,FIND(".",E985)-1),E985))</f>
        <v>60</v>
      </c>
      <c r="I985" s="30">
        <f>IF(COUNTIF(Справочник_ОКВЭД_НР!$A$3:$A$62,H985)&gt;0,Справочник_ОКВЭД_НР!$L$8,
 IF(COUNTIF(Справочник_ОКВЭД_НР!$C$3:$C$62,H985)&gt;0,Справочник_ОКВЭД_НР!$L$9,
  IF(COUNTIF(Справочник_ОКВЭД_НР!$E$3:$E$62,H985)&gt;0,Справочник_ОКВЭД_НР!$L$10,
   IF(COUNTIF(Справочник_ОКВЭД_НР!$G$3:$G$62,H985)&gt;0,Справочник_ОКВЭД_НР!$L$11,50))))</f>
        <v>30</v>
      </c>
      <c r="J985" s="30" cm="1">
        <f t="array" ref="J985">IFERROR(
 (SUMPRODUCT(ISNUMBER(SEARCH(","&amp;Справочник_ОКВЭД_НР!$A$3:$A$62&amp;".",","&amp;SUBSTITUTE(F985," ","")&amp;",")))*Справочник_ОКВЭД_НР!$L$9 +
  SUMPRODUCT(ISNUMBER(SEARCH(","&amp;Справочник_ОКВЭД_НР!$C$3:$C$62&amp;".",","&amp;SUBSTITUTE(F985," ","")&amp;",")))*Справочник_ОКВЭД_НР!$L$10 +
  SUMPRODUCT(ISNUMBER(SEARCH(","&amp;Справочник_ОКВЭД_НР!$E$3:$E$62&amp;".",","&amp;SUBSTITUTE(F985," ","")&amp;",")))*Справочник_ОКВЭД_НР!$L$11 +
  SUMPRODUCT(ISNUMBER(SEARCH(","&amp;Справочник_ОКВЭД_НР!$G$3:$G$62&amp;".",","&amp;SUBSTITUTE(F985," ","")&amp;",")))*Справочник_ОКВЭД_НР!$L$12) /
 (SUMPRODUCT(ISNUMBER(SEARCH(","&amp;Справочник_ОКВЭД_НР!$A$3:$A$62&amp;".",","&amp;SUBSTITUTE(F985," ","")&amp;","))) +
  SUMPRODUCT(ISNUMBER(SEARCH(","&amp;Справочник_ОКВЭД_НР!$C$3:$C$62&amp;".",","&amp;SUBSTITUTE(F985," ","")&amp;","))) +
  SUMPRODUCT(ISNUMBER(SEARCH(","&amp;Справочник_ОКВЭД_НР!$E$3:$E$62&amp;".",","&amp;SUBSTITUTE(F985," ","")&amp;","))) +
  SUMPRODUCT(ISNUMBER(SEARCH(","&amp;Справочник_ОКВЭД_НР!$G$3:$G$62&amp;".",","&amp;SUBSTITUTE(F985," ","")&amp;",")))),
50)</f>
        <v>50</v>
      </c>
      <c r="K985" s="30">
        <f>IFERROR(VLOOKUP(G985,Справочник_ОКВЭД_НР!$O:$P,2,FALSE()),50)</f>
        <v>50</v>
      </c>
      <c r="L985" s="45">
        <f>(I985*Справочник_ОКВЭД_НР!$L$2+J985*Справочник_ОКВЭД_НР!$L$3+K985*Справочник_ОКВЭД_НР!$L$4)*M985</f>
        <v>38</v>
      </c>
      <c r="M985" s="47">
        <f>IF(COUNTIF(Справочник_ОКВЭД_НР!$G$3:$G$62,H985)&gt;0,0,1)</f>
        <v>1</v>
      </c>
    </row>
    <row r="986" spans="1:13" x14ac:dyDescent="0.25">
      <c r="A986" s="4">
        <f>ЛИК_дляСкорингаДП!A986</f>
        <v>1217700371404</v>
      </c>
      <c r="B986" s="4">
        <f>ЛИК_дляСкорингаДП!B986</f>
        <v>9728043334</v>
      </c>
      <c r="C986" s="4" t="str">
        <f>ЛИК_дляСкорингаДП!C986</f>
        <v>ООО "МЕДРУСТОРГ"</v>
      </c>
      <c r="D986" s="5" t="str">
        <f>ЛИК_дляСкорингаДП!M986</f>
        <v>Торговля оптовая фармацевтической продукцией</v>
      </c>
      <c r="E986" s="4" t="str">
        <f>ЛИК_дляСкорингаДП!L986</f>
        <v>46.46</v>
      </c>
      <c r="F986" t="str">
        <f>ЛИК_дляСкорингаДП!N986</f>
        <v>46.46.2,70.22</v>
      </c>
      <c r="G986" s="25" t="str">
        <f>ЛИК_дляСкорингаДП!AG986</f>
        <v>УСН</v>
      </c>
      <c r="H986" s="55" t="str">
        <f>IF(ISNUMBER(E986),E986,
IFERROR(LEFT(E986,FIND(".",E986)-1),E986))</f>
        <v>46</v>
      </c>
      <c r="I986" s="30">
        <f>IF(COUNTIF(Справочник_ОКВЭД_НР!$A$3:$A$62,H986)&gt;0,Справочник_ОКВЭД_НР!$L$8,
 IF(COUNTIF(Справочник_ОКВЭД_НР!$C$3:$C$62,H986)&gt;0,Справочник_ОКВЭД_НР!$L$9,
  IF(COUNTIF(Справочник_ОКВЭД_НР!$E$3:$E$62,H986)&gt;0,Справочник_ОКВЭД_НР!$L$10,
   IF(COUNTIF(Справочник_ОКВЭД_НР!$G$3:$G$62,H986)&gt;0,Справочник_ОКВЭД_НР!$L$11,50))))</f>
        <v>60</v>
      </c>
      <c r="J986" s="30" cm="1">
        <f t="array" ref="J986">IFERROR(
 (SUMPRODUCT(ISNUMBER(SEARCH(","&amp;Справочник_ОКВЭД_НР!$A$3:$A$62&amp;".",","&amp;SUBSTITUTE(F986," ","")&amp;",")))*Справочник_ОКВЭД_НР!$L$9 +
  SUMPRODUCT(ISNUMBER(SEARCH(","&amp;Справочник_ОКВЭД_НР!$C$3:$C$62&amp;".",","&amp;SUBSTITUTE(F986," ","")&amp;",")))*Справочник_ОКВЭД_НР!$L$10 +
  SUMPRODUCT(ISNUMBER(SEARCH(","&amp;Справочник_ОКВЭД_НР!$E$3:$E$62&amp;".",","&amp;SUBSTITUTE(F986," ","")&amp;",")))*Справочник_ОКВЭД_НР!$L$11 +
  SUMPRODUCT(ISNUMBER(SEARCH(","&amp;Справочник_ОКВЭД_НР!$G$3:$G$62&amp;".",","&amp;SUBSTITUTE(F986," ","")&amp;",")))*Справочник_ОКВЭД_НР!$L$12) /
 (SUMPRODUCT(ISNUMBER(SEARCH(","&amp;Справочник_ОКВЭД_НР!$A$3:$A$62&amp;".",","&amp;SUBSTITUTE(F986," ","")&amp;","))) +
  SUMPRODUCT(ISNUMBER(SEARCH(","&amp;Справочник_ОКВЭД_НР!$C$3:$C$62&amp;".",","&amp;SUBSTITUTE(F986," ","")&amp;","))) +
  SUMPRODUCT(ISNUMBER(SEARCH(","&amp;Справочник_ОКВЭД_НР!$E$3:$E$62&amp;".",","&amp;SUBSTITUTE(F986," ","")&amp;","))) +
  SUMPRODUCT(ISNUMBER(SEARCH(","&amp;Справочник_ОКВЭД_НР!$G$3:$G$62&amp;".",","&amp;SUBSTITUTE(F986," ","")&amp;",")))),
50)</f>
        <v>50</v>
      </c>
      <c r="K986" s="30">
        <f>IFERROR(VLOOKUP(G986,Справочник_ОКВЭД_НР!$O:$P,2,FALSE()),50)</f>
        <v>50</v>
      </c>
      <c r="L986" s="45">
        <f>(I986*Справочник_ОКВЭД_НР!$L$2+J986*Справочник_ОКВЭД_НР!$L$3+K986*Справочник_ОКВЭД_НР!$L$4)*M986</f>
        <v>56</v>
      </c>
      <c r="M986" s="47">
        <f>IF(COUNTIF(Справочник_ОКВЭД_НР!$G$3:$G$62,H986)&gt;0,0,1)</f>
        <v>1</v>
      </c>
    </row>
    <row r="987" spans="1:13" x14ac:dyDescent="0.25">
      <c r="A987" s="4">
        <f>ЛИК_дляСкорингаДП!A987</f>
        <v>1157746842241</v>
      </c>
      <c r="B987" s="4">
        <f>ЛИК_дляСкорингаДП!B987</f>
        <v>7733249680</v>
      </c>
      <c r="C987" s="4" t="str">
        <f>ЛИК_дляСкорингаДП!C987</f>
        <v>ООО "КАМЕННОЕ ДЕЛО"</v>
      </c>
      <c r="D987" s="5" t="str">
        <f>ЛИК_дляСкорингаДП!M987</f>
        <v>Работы по устройству покрытий полов и облицовке стен</v>
      </c>
      <c r="E987" s="4" t="str">
        <f>ЛИК_дляСкорингаДП!L987</f>
        <v>43.33</v>
      </c>
      <c r="F987" t="str">
        <f>ЛИК_дляСкорингаДП!N987</f>
        <v>16.24,16.29.1,43.12.3,43.21,43.22,43.29,43.31,43.32,43.34,43.39,43.99,43.99.1,47.43,47.52,47.54,47.59,52.29</v>
      </c>
      <c r="G987" s="25" t="str">
        <f>ЛИК_дляСкорингаДП!AG987</f>
        <v>УСН</v>
      </c>
      <c r="H987" s="55" t="str">
        <f>IF(ISNUMBER(E987),E987,
IFERROR(LEFT(E987,FIND(".",E987)-1),E987))</f>
        <v>43</v>
      </c>
      <c r="I987" s="30">
        <f>IF(COUNTIF(Справочник_ОКВЭД_НР!$A$3:$A$62,H987)&gt;0,Справочник_ОКВЭД_НР!$L$8,
 IF(COUNTIF(Справочник_ОКВЭД_НР!$C$3:$C$62,H987)&gt;0,Справочник_ОКВЭД_НР!$L$9,
  IF(COUNTIF(Справочник_ОКВЭД_НР!$E$3:$E$62,H987)&gt;0,Справочник_ОКВЭД_НР!$L$10,
   IF(COUNTIF(Справочник_ОКВЭД_НР!$G$3:$G$62,H987)&gt;0,Справочник_ОКВЭД_НР!$L$11,50))))</f>
        <v>100</v>
      </c>
      <c r="J987" s="30" cm="1">
        <f t="array" ref="J987">IFERROR(
 (SUMPRODUCT(ISNUMBER(SEARCH(","&amp;Справочник_ОКВЭД_НР!$A$3:$A$62&amp;".",","&amp;SUBSTITUTE(F987," ","")&amp;",")))*Справочник_ОКВЭД_НР!$L$9 +
  SUMPRODUCT(ISNUMBER(SEARCH(","&amp;Справочник_ОКВЭД_НР!$C$3:$C$62&amp;".",","&amp;SUBSTITUTE(F987," ","")&amp;",")))*Справочник_ОКВЭД_НР!$L$10 +
  SUMPRODUCT(ISNUMBER(SEARCH(","&amp;Справочник_ОКВЭД_НР!$E$3:$E$62&amp;".",","&amp;SUBSTITUTE(F987," ","")&amp;",")))*Справочник_ОКВЭД_НР!$L$11 +
  SUMPRODUCT(ISNUMBER(SEARCH(","&amp;Справочник_ОКВЭД_НР!$G$3:$G$62&amp;".",","&amp;SUBSTITUTE(F987," ","")&amp;",")))*Справочник_ОКВЭД_НР!$L$12) /
 (SUMPRODUCT(ISNUMBER(SEARCH(","&amp;Справочник_ОКВЭД_НР!$A$3:$A$62&amp;".",","&amp;SUBSTITUTE(F987," ","")&amp;","))) +
  SUMPRODUCT(ISNUMBER(SEARCH(","&amp;Справочник_ОКВЭД_НР!$C$3:$C$62&amp;".",","&amp;SUBSTITUTE(F987," ","")&amp;","))) +
  SUMPRODUCT(ISNUMBER(SEARCH(","&amp;Справочник_ОКВЭД_НР!$E$3:$E$62&amp;".",","&amp;SUBSTITUTE(F987," ","")&amp;","))) +
  SUMPRODUCT(ISNUMBER(SEARCH(","&amp;Справочник_ОКВЭД_НР!$G$3:$G$62&amp;".",","&amp;SUBSTITUTE(F987," ","")&amp;",")))),
50)</f>
        <v>50</v>
      </c>
      <c r="K987" s="30">
        <f>IFERROR(VLOOKUP(G987,Справочник_ОКВЭД_НР!$O:$P,2,FALSE()),50)</f>
        <v>50</v>
      </c>
      <c r="L987" s="45">
        <f>(I987*Справочник_ОКВЭД_НР!$L$2+J987*Справочник_ОКВЭД_НР!$L$3+K987*Справочник_ОКВЭД_НР!$L$4)*M987</f>
        <v>80</v>
      </c>
      <c r="M987" s="47">
        <f>IF(COUNTIF(Справочник_ОКВЭД_НР!$G$3:$G$62,H987)&gt;0,0,1)</f>
        <v>1</v>
      </c>
    </row>
    <row r="988" spans="1:13" x14ac:dyDescent="0.25">
      <c r="A988" s="4">
        <f>ЛИК_дляСкорингаДП!A988</f>
        <v>1157746852922</v>
      </c>
      <c r="B988" s="4">
        <f>ЛИК_дляСкорингаДП!B988</f>
        <v>9715216879</v>
      </c>
      <c r="C988" s="4" t="str">
        <f>ЛИК_дляСкорингаДП!C988</f>
        <v>ООО "ТРЕЙД"</v>
      </c>
      <c r="D988" s="5" t="str">
        <f>ЛИК_дляСкорингаДП!M988</f>
        <v>Производство парфюмерных и косметических средств</v>
      </c>
      <c r="E988" s="4" t="str">
        <f>ЛИК_дляСкорингаДП!L988</f>
        <v>20.42</v>
      </c>
      <c r="F988" t="str">
        <f>ЛИК_дляСкорингаДП!N988</f>
        <v>20.12,20.13,20.14,20.14.7,20.16,20.17,20.41,20.41.2,20.41.3,20.41.4,20.59,20.59.4,20.59.5,21.10,46.12,46.43.1,46.44.2,46.45,46.45.1,46.45.2,46.46,46.46.1,46.46.2,46.49,46.69.2,46.75,46.90,47.30.2,47.54,47.73,47.74,47.75,47.75.1,47.75.2,47.78,47.78.9,47.89,47.9,47.91,47.99,49.41,52.10,52.10.2,52.10.9,62.01,68.20,68.20.2,68.20.29</v>
      </c>
      <c r="G988" s="25" t="str">
        <f>ЛИК_дляСкорингаДП!AG988</f>
        <v>УСН</v>
      </c>
      <c r="H988" s="55" t="str">
        <f>IF(ISNUMBER(E988),E988,
IFERROR(LEFT(E988,FIND(".",E988)-1),E988))</f>
        <v>20</v>
      </c>
      <c r="I988" s="30">
        <f>IF(COUNTIF(Справочник_ОКВЭД_НР!$A$3:$A$62,H988)&gt;0,Справочник_ОКВЭД_НР!$L$8,
 IF(COUNTIF(Справочник_ОКВЭД_НР!$C$3:$C$62,H988)&gt;0,Справочник_ОКВЭД_НР!$L$9,
  IF(COUNTIF(Справочник_ОКВЭД_НР!$E$3:$E$62,H988)&gt;0,Справочник_ОКВЭД_НР!$L$10,
   IF(COUNTIF(Справочник_ОКВЭД_НР!$G$3:$G$62,H988)&gt;0,Справочник_ОКВЭД_НР!$L$11,50))))</f>
        <v>60</v>
      </c>
      <c r="J988" s="30" cm="1">
        <f t="array" ref="J988">IFERROR(
 (SUMPRODUCT(ISNUMBER(SEARCH(","&amp;Справочник_ОКВЭД_НР!$A$3:$A$62&amp;".",","&amp;SUBSTITUTE(F988," ","")&amp;",")))*Справочник_ОКВЭД_НР!$L$9 +
  SUMPRODUCT(ISNUMBER(SEARCH(","&amp;Справочник_ОКВЭД_НР!$C$3:$C$62&amp;".",","&amp;SUBSTITUTE(F988," ","")&amp;",")))*Справочник_ОКВЭД_НР!$L$10 +
  SUMPRODUCT(ISNUMBER(SEARCH(","&amp;Справочник_ОКВЭД_НР!$E$3:$E$62&amp;".",","&amp;SUBSTITUTE(F988," ","")&amp;",")))*Справочник_ОКВЭД_НР!$L$11 +
  SUMPRODUCT(ISNUMBER(SEARCH(","&amp;Справочник_ОКВЭД_НР!$G$3:$G$62&amp;".",","&amp;SUBSTITUTE(F988," ","")&amp;",")))*Справочник_ОКВЭД_НР!$L$12) /
 (SUMPRODUCT(ISNUMBER(SEARCH(","&amp;Справочник_ОКВЭД_НР!$A$3:$A$62&amp;".",","&amp;SUBSTITUTE(F988," ","")&amp;","))) +
  SUMPRODUCT(ISNUMBER(SEARCH(","&amp;Справочник_ОКВЭД_НР!$C$3:$C$62&amp;".",","&amp;SUBSTITUTE(F988," ","")&amp;","))) +
  SUMPRODUCT(ISNUMBER(SEARCH(","&amp;Справочник_ОКВЭД_НР!$E$3:$E$62&amp;".",","&amp;SUBSTITUTE(F988," ","")&amp;","))) +
  SUMPRODUCT(ISNUMBER(SEARCH(","&amp;Справочник_ОКВЭД_НР!$G$3:$G$62&amp;".",","&amp;SUBSTITUTE(F988," ","")&amp;",")))),
50)</f>
        <v>50</v>
      </c>
      <c r="K988" s="30">
        <f>IFERROR(VLOOKUP(G988,Справочник_ОКВЭД_НР!$O:$P,2,FALSE()),50)</f>
        <v>50</v>
      </c>
      <c r="L988" s="45">
        <f>(I988*Справочник_ОКВЭД_НР!$L$2+J988*Справочник_ОКВЭД_НР!$L$3+K988*Справочник_ОКВЭД_НР!$L$4)*M988</f>
        <v>56</v>
      </c>
      <c r="M988" s="47">
        <f>IF(COUNTIF(Справочник_ОКВЭД_НР!$G$3:$G$62,H988)&gt;0,0,1)</f>
        <v>1</v>
      </c>
    </row>
    <row r="989" spans="1:13" x14ac:dyDescent="0.25">
      <c r="A989" s="4">
        <f>ЛИК_дляСкорингаДП!A989</f>
        <v>1107746096864</v>
      </c>
      <c r="B989" s="4">
        <f>ЛИК_дляСкорингаДП!B989</f>
        <v>7726647094</v>
      </c>
      <c r="C989" s="4" t="str">
        <f>ЛИК_дляСкорингаДП!C989</f>
        <v>ООО "ДЕЙТЕНИУМ СОФТ"</v>
      </c>
      <c r="D989" s="5" t="str">
        <f>ЛИК_дляСкорингаДП!M989</f>
        <v>Разработка компьютерного программного обеспечения, консультационные услуги в данной области и другие сопутствующие услуги</v>
      </c>
      <c r="E989" s="4" t="str">
        <f>ЛИК_дляСкорингаДП!L989</f>
        <v>62.0</v>
      </c>
      <c r="F989" t="str">
        <f>ЛИК_дляСкорингаДП!N989</f>
        <v>62.02,62.09,63.1,63.11.1,95.1</v>
      </c>
      <c r="G989" s="25" t="str">
        <f>ЛИК_дляСкорингаДП!AG989</f>
        <v>УСН</v>
      </c>
      <c r="H989" s="55" t="str">
        <f>IF(ISNUMBER(E989),E989,
IFERROR(LEFT(E989,FIND(".",E989)-1),E989))</f>
        <v>62</v>
      </c>
      <c r="I989" s="30">
        <f>IF(COUNTIF(Справочник_ОКВЭД_НР!$A$3:$A$62,H989)&gt;0,Справочник_ОКВЭД_НР!$L$8,
 IF(COUNTIF(Справочник_ОКВЭД_НР!$C$3:$C$62,H989)&gt;0,Справочник_ОКВЭД_НР!$L$9,
  IF(COUNTIF(Справочник_ОКВЭД_НР!$E$3:$E$62,H989)&gt;0,Справочник_ОКВЭД_НР!$L$10,
   IF(COUNTIF(Справочник_ОКВЭД_НР!$G$3:$G$62,H989)&gt;0,Справочник_ОКВЭД_НР!$L$11,50))))</f>
        <v>100</v>
      </c>
      <c r="J989" s="30" cm="1">
        <f t="array" ref="J989">IFERROR(
 (SUMPRODUCT(ISNUMBER(SEARCH(","&amp;Справочник_ОКВЭД_НР!$A$3:$A$62&amp;".",","&amp;SUBSTITUTE(F989," ","")&amp;",")))*Справочник_ОКВЭД_НР!$L$9 +
  SUMPRODUCT(ISNUMBER(SEARCH(","&amp;Справочник_ОКВЭД_НР!$C$3:$C$62&amp;".",","&amp;SUBSTITUTE(F989," ","")&amp;",")))*Справочник_ОКВЭД_НР!$L$10 +
  SUMPRODUCT(ISNUMBER(SEARCH(","&amp;Справочник_ОКВЭД_НР!$E$3:$E$62&amp;".",","&amp;SUBSTITUTE(F989," ","")&amp;",")))*Справочник_ОКВЭД_НР!$L$11 +
  SUMPRODUCT(ISNUMBER(SEARCH(","&amp;Справочник_ОКВЭД_НР!$G$3:$G$62&amp;".",","&amp;SUBSTITUTE(F989," ","")&amp;",")))*Справочник_ОКВЭД_НР!$L$12) /
 (SUMPRODUCT(ISNUMBER(SEARCH(","&amp;Справочник_ОКВЭД_НР!$A$3:$A$62&amp;".",","&amp;SUBSTITUTE(F989," ","")&amp;","))) +
  SUMPRODUCT(ISNUMBER(SEARCH(","&amp;Справочник_ОКВЭД_НР!$C$3:$C$62&amp;".",","&amp;SUBSTITUTE(F989," ","")&amp;","))) +
  SUMPRODUCT(ISNUMBER(SEARCH(","&amp;Справочник_ОКВЭД_НР!$E$3:$E$62&amp;".",","&amp;SUBSTITUTE(F989," ","")&amp;","))) +
  SUMPRODUCT(ISNUMBER(SEARCH(","&amp;Справочник_ОКВЭД_НР!$G$3:$G$62&amp;".",","&amp;SUBSTITUTE(F989," ","")&amp;",")))),
50)</f>
        <v>50</v>
      </c>
      <c r="K989" s="30">
        <f>IFERROR(VLOOKUP(G989,Справочник_ОКВЭД_НР!$O:$P,2,FALSE()),50)</f>
        <v>50</v>
      </c>
      <c r="L989" s="45">
        <f>(I989*Справочник_ОКВЭД_НР!$L$2+J989*Справочник_ОКВЭД_НР!$L$3+K989*Справочник_ОКВЭД_НР!$L$4)*M989</f>
        <v>80</v>
      </c>
      <c r="M989" s="47">
        <f>IF(COUNTIF(Справочник_ОКВЭД_НР!$G$3:$G$62,H989)&gt;0,0,1)</f>
        <v>1</v>
      </c>
    </row>
    <row r="990" spans="1:13" x14ac:dyDescent="0.25">
      <c r="A990" s="4">
        <f>ЛИК_дляСкорингаДП!A990</f>
        <v>1157746924323</v>
      </c>
      <c r="B990" s="4">
        <f>ЛИК_дляСкорингаДП!B990</f>
        <v>9715221050</v>
      </c>
      <c r="C990" s="4" t="str">
        <f>ЛИК_дляСкорингаДП!C990</f>
        <v>ООО "ТМСТРОЙ"</v>
      </c>
      <c r="D990" s="5" t="str">
        <f>ЛИК_дляСкорингаДП!M990</f>
        <v>Торговля оптовая лесоматериалами, строительными материалами и санитарно-техническим оборудованием</v>
      </c>
      <c r="E990" s="4" t="str">
        <f>ЛИК_дляСкорингаДП!L990</f>
        <v>46.73</v>
      </c>
      <c r="F990" t="str">
        <f>ЛИК_дляСкорингаДП!N990</f>
        <v>46.13,46.73.3,46.73.6,46.90,47.19,47.52.5,47.52.7,47.7,47.8,47.9,49.4,52.29</v>
      </c>
      <c r="G990" s="25" t="str">
        <f>ЛИК_дляСкорингаДП!AG990</f>
        <v>УСН</v>
      </c>
      <c r="H990" s="55" t="str">
        <f>IF(ISNUMBER(E990),E990,
IFERROR(LEFT(E990,FIND(".",E990)-1),E990))</f>
        <v>46</v>
      </c>
      <c r="I990" s="30">
        <f>IF(COUNTIF(Справочник_ОКВЭД_НР!$A$3:$A$62,H990)&gt;0,Справочник_ОКВЭД_НР!$L$8,
 IF(COUNTIF(Справочник_ОКВЭД_НР!$C$3:$C$62,H990)&gt;0,Справочник_ОКВЭД_НР!$L$9,
  IF(COUNTIF(Справочник_ОКВЭД_НР!$E$3:$E$62,H990)&gt;0,Справочник_ОКВЭД_НР!$L$10,
   IF(COUNTIF(Справочник_ОКВЭД_НР!$G$3:$G$62,H990)&gt;0,Справочник_ОКВЭД_НР!$L$11,50))))</f>
        <v>60</v>
      </c>
      <c r="J990" s="30" cm="1">
        <f t="array" ref="J990">IFERROR(
 (SUMPRODUCT(ISNUMBER(SEARCH(","&amp;Справочник_ОКВЭД_НР!$A$3:$A$62&amp;".",","&amp;SUBSTITUTE(F990," ","")&amp;",")))*Справочник_ОКВЭД_НР!$L$9 +
  SUMPRODUCT(ISNUMBER(SEARCH(","&amp;Справочник_ОКВЭД_НР!$C$3:$C$62&amp;".",","&amp;SUBSTITUTE(F990," ","")&amp;",")))*Справочник_ОКВЭД_НР!$L$10 +
  SUMPRODUCT(ISNUMBER(SEARCH(","&amp;Справочник_ОКВЭД_НР!$E$3:$E$62&amp;".",","&amp;SUBSTITUTE(F990," ","")&amp;",")))*Справочник_ОКВЭД_НР!$L$11 +
  SUMPRODUCT(ISNUMBER(SEARCH(","&amp;Справочник_ОКВЭД_НР!$G$3:$G$62&amp;".",","&amp;SUBSTITUTE(F990," ","")&amp;",")))*Справочник_ОКВЭД_НР!$L$12) /
 (SUMPRODUCT(ISNUMBER(SEARCH(","&amp;Справочник_ОКВЭД_НР!$A$3:$A$62&amp;".",","&amp;SUBSTITUTE(F990," ","")&amp;","))) +
  SUMPRODUCT(ISNUMBER(SEARCH(","&amp;Справочник_ОКВЭД_НР!$C$3:$C$62&amp;".",","&amp;SUBSTITUTE(F990," ","")&amp;","))) +
  SUMPRODUCT(ISNUMBER(SEARCH(","&amp;Справочник_ОКВЭД_НР!$E$3:$E$62&amp;".",","&amp;SUBSTITUTE(F990," ","")&amp;","))) +
  SUMPRODUCT(ISNUMBER(SEARCH(","&amp;Справочник_ОКВЭД_НР!$G$3:$G$62&amp;".",","&amp;SUBSTITUTE(F990," ","")&amp;",")))),
50)</f>
        <v>50</v>
      </c>
      <c r="K990" s="30">
        <f>IFERROR(VLOOKUP(G990,Справочник_ОКВЭД_НР!$O:$P,2,FALSE()),50)</f>
        <v>50</v>
      </c>
      <c r="L990" s="45">
        <f>(I990*Справочник_ОКВЭД_НР!$L$2+J990*Справочник_ОКВЭД_НР!$L$3+K990*Справочник_ОКВЭД_НР!$L$4)*M990</f>
        <v>56</v>
      </c>
      <c r="M990" s="47">
        <f>IF(COUNTIF(Справочник_ОКВЭД_НР!$G$3:$G$62,H990)&gt;0,0,1)</f>
        <v>1</v>
      </c>
    </row>
    <row r="991" spans="1:13" x14ac:dyDescent="0.25">
      <c r="A991" s="4">
        <f>ЛИК_дляСкорингаДП!A991</f>
        <v>1157746913939</v>
      </c>
      <c r="B991" s="4">
        <f>ЛИК_дляСкорингаДП!B991</f>
        <v>7724336311</v>
      </c>
      <c r="C991" s="4" t="str">
        <f>ЛИК_дляСкорингаДП!C991</f>
        <v>ООО "РЕАСИСТЕМС"</v>
      </c>
      <c r="D991" s="5" t="str">
        <f>ЛИК_дляСкорингаДП!M991</f>
        <v>Торговля розничная, осуществляемая непосредственно при помощи информационно-коммуникационной сети Интернет</v>
      </c>
      <c r="E991" s="4" t="str">
        <f>ЛИК_дляСкорингаДП!L991</f>
        <v>47.91.2</v>
      </c>
      <c r="F991" t="str">
        <f>ЛИК_дляСкорингаДП!N991</f>
        <v>46.18.1,46.18.12,46.46.2,47.73,47.74,47.91,47.91.1,47.91.3,47.91.4,47.99,52.10.9,52.24,53.20.31,62.09,73.11,73.20,77.39.26,82.92,88.10</v>
      </c>
      <c r="G991" s="25" t="str">
        <f>ЛИК_дляСкорингаДП!AG991</f>
        <v>УСН</v>
      </c>
      <c r="H991" s="55" t="str">
        <f>IF(ISNUMBER(E991),E991,
IFERROR(LEFT(E991,FIND(".",E991)-1),E991))</f>
        <v>47</v>
      </c>
      <c r="I991" s="30">
        <f>IF(COUNTIF(Справочник_ОКВЭД_НР!$A$3:$A$62,H991)&gt;0,Справочник_ОКВЭД_НР!$L$8,
 IF(COUNTIF(Справочник_ОКВЭД_НР!$C$3:$C$62,H991)&gt;0,Справочник_ОКВЭД_НР!$L$9,
  IF(COUNTIF(Справочник_ОКВЭД_НР!$E$3:$E$62,H991)&gt;0,Справочник_ОКВЭД_НР!$L$10,
   IF(COUNTIF(Справочник_ОКВЭД_НР!$G$3:$G$62,H991)&gt;0,Справочник_ОКВЭД_НР!$L$11,50))))</f>
        <v>60</v>
      </c>
      <c r="J991" s="30" cm="1">
        <f t="array" ref="J991">IFERROR(
 (SUMPRODUCT(ISNUMBER(SEARCH(","&amp;Справочник_ОКВЭД_НР!$A$3:$A$62&amp;".",","&amp;SUBSTITUTE(F991," ","")&amp;",")))*Справочник_ОКВЭД_НР!$L$9 +
  SUMPRODUCT(ISNUMBER(SEARCH(","&amp;Справочник_ОКВЭД_НР!$C$3:$C$62&amp;".",","&amp;SUBSTITUTE(F991," ","")&amp;",")))*Справочник_ОКВЭД_НР!$L$10 +
  SUMPRODUCT(ISNUMBER(SEARCH(","&amp;Справочник_ОКВЭД_НР!$E$3:$E$62&amp;".",","&amp;SUBSTITUTE(F991," ","")&amp;",")))*Справочник_ОКВЭД_НР!$L$11 +
  SUMPRODUCT(ISNUMBER(SEARCH(","&amp;Справочник_ОКВЭД_НР!$G$3:$G$62&amp;".",","&amp;SUBSTITUTE(F991," ","")&amp;",")))*Справочник_ОКВЭД_НР!$L$12) /
 (SUMPRODUCT(ISNUMBER(SEARCH(","&amp;Справочник_ОКВЭД_НР!$A$3:$A$62&amp;".",","&amp;SUBSTITUTE(F991," ","")&amp;","))) +
  SUMPRODUCT(ISNUMBER(SEARCH(","&amp;Справочник_ОКВЭД_НР!$C$3:$C$62&amp;".",","&amp;SUBSTITUTE(F991," ","")&amp;","))) +
  SUMPRODUCT(ISNUMBER(SEARCH(","&amp;Справочник_ОКВЭД_НР!$E$3:$E$62&amp;".",","&amp;SUBSTITUTE(F991," ","")&amp;","))) +
  SUMPRODUCT(ISNUMBER(SEARCH(","&amp;Справочник_ОКВЭД_НР!$G$3:$G$62&amp;".",","&amp;SUBSTITUTE(F991," ","")&amp;",")))),
50)</f>
        <v>50</v>
      </c>
      <c r="K991" s="30">
        <f>IFERROR(VLOOKUP(G991,Справочник_ОКВЭД_НР!$O:$P,2,FALSE()),50)</f>
        <v>50</v>
      </c>
      <c r="L991" s="45">
        <f>(I991*Справочник_ОКВЭД_НР!$L$2+J991*Справочник_ОКВЭД_НР!$L$3+K991*Справочник_ОКВЭД_НР!$L$4)*M991</f>
        <v>56</v>
      </c>
      <c r="M991" s="47">
        <f>IF(COUNTIF(Справочник_ОКВЭД_НР!$G$3:$G$62,H991)&gt;0,0,1)</f>
        <v>1</v>
      </c>
    </row>
    <row r="992" spans="1:13" x14ac:dyDescent="0.25">
      <c r="A992" s="4">
        <f>ЛИК_дляСкорингаДП!A992</f>
        <v>1157746786119</v>
      </c>
      <c r="B992" s="4">
        <f>ЛИК_дляСкорингаДП!B992</f>
        <v>7725286247</v>
      </c>
      <c r="C992" s="4" t="str">
        <f>ЛИК_дляСкорингаДП!C992</f>
        <v>ООО "КТ-РИТЕЙЛ"</v>
      </c>
      <c r="D992" s="5" t="str">
        <f>ЛИК_дляСкорингаДП!M992</f>
        <v>Деятельность центров обработки телефонных вызовов</v>
      </c>
      <c r="E992" s="4" t="str">
        <f>ЛИК_дляСкорингаДП!L992</f>
        <v>82.20</v>
      </c>
      <c r="F992" t="str">
        <f>ЛИК_дляСкорингаДП!N992</f>
        <v>46.15.4,46.18,46.18.9,46.19,46.43.2,46.43.3,46.49,46.49.49,46.90,47.42,47.63.1,47.63.2,47.7,47.78,47.78.9,47.9,47.91.1,47.91.2,47.91.3,47.91.4,62.01,62.02,62.09,63.11.1,73.11,74.30,82.19</v>
      </c>
      <c r="G992" s="25" t="str">
        <f>ЛИК_дляСкорингаДП!AG992</f>
        <v>УСН</v>
      </c>
      <c r="H992" s="55" t="str">
        <f>IF(ISNUMBER(E992),E992,
IFERROR(LEFT(E992,FIND(".",E992)-1),E992))</f>
        <v>82</v>
      </c>
      <c r="I992" s="30">
        <f>IF(COUNTIF(Справочник_ОКВЭД_НР!$A$3:$A$62,H992)&gt;0,Справочник_ОКВЭД_НР!$L$8,
 IF(COUNTIF(Справочник_ОКВЭД_НР!$C$3:$C$62,H992)&gt;0,Справочник_ОКВЭД_НР!$L$9,
  IF(COUNTIF(Справочник_ОКВЭД_НР!$E$3:$E$62,H992)&gt;0,Справочник_ОКВЭД_НР!$L$10,
   IF(COUNTIF(Справочник_ОКВЭД_НР!$G$3:$G$62,H992)&gt;0,Справочник_ОКВЭД_НР!$L$11,50))))</f>
        <v>30</v>
      </c>
      <c r="J992" s="30" cm="1">
        <f t="array" ref="J992">IFERROR(
 (SUMPRODUCT(ISNUMBER(SEARCH(","&amp;Справочник_ОКВЭД_НР!$A$3:$A$62&amp;".",","&amp;SUBSTITUTE(F992," ","")&amp;",")))*Справочник_ОКВЭД_НР!$L$9 +
  SUMPRODUCT(ISNUMBER(SEARCH(","&amp;Справочник_ОКВЭД_НР!$C$3:$C$62&amp;".",","&amp;SUBSTITUTE(F992," ","")&amp;",")))*Справочник_ОКВЭД_НР!$L$10 +
  SUMPRODUCT(ISNUMBER(SEARCH(","&amp;Справочник_ОКВЭД_НР!$E$3:$E$62&amp;".",","&amp;SUBSTITUTE(F992," ","")&amp;",")))*Справочник_ОКВЭД_НР!$L$11 +
  SUMPRODUCT(ISNUMBER(SEARCH(","&amp;Справочник_ОКВЭД_НР!$G$3:$G$62&amp;".",","&amp;SUBSTITUTE(F992," ","")&amp;",")))*Справочник_ОКВЭД_НР!$L$12) /
 (SUMPRODUCT(ISNUMBER(SEARCH(","&amp;Справочник_ОКВЭД_НР!$A$3:$A$62&amp;".",","&amp;SUBSTITUTE(F992," ","")&amp;","))) +
  SUMPRODUCT(ISNUMBER(SEARCH(","&amp;Справочник_ОКВЭД_НР!$C$3:$C$62&amp;".",","&amp;SUBSTITUTE(F992," ","")&amp;","))) +
  SUMPRODUCT(ISNUMBER(SEARCH(","&amp;Справочник_ОКВЭД_НР!$E$3:$E$62&amp;".",","&amp;SUBSTITUTE(F992," ","")&amp;","))) +
  SUMPRODUCT(ISNUMBER(SEARCH(","&amp;Справочник_ОКВЭД_НР!$G$3:$G$62&amp;".",","&amp;SUBSTITUTE(F992," ","")&amp;",")))),
50)</f>
        <v>50</v>
      </c>
      <c r="K992" s="30">
        <f>IFERROR(VLOOKUP(G992,Справочник_ОКВЭД_НР!$O:$P,2,FALSE()),50)</f>
        <v>50</v>
      </c>
      <c r="L992" s="45">
        <f>(I992*Справочник_ОКВЭД_НР!$L$2+J992*Справочник_ОКВЭД_НР!$L$3+K992*Справочник_ОКВЭД_НР!$L$4)*M992</f>
        <v>38</v>
      </c>
      <c r="M992" s="47">
        <f>IF(COUNTIF(Справочник_ОКВЭД_НР!$G$3:$G$62,H992)&gt;0,0,1)</f>
        <v>1</v>
      </c>
    </row>
    <row r="993" spans="1:13" x14ac:dyDescent="0.25">
      <c r="A993" s="4">
        <f>ЛИК_дляСкорингаДП!A993</f>
        <v>1157746930604</v>
      </c>
      <c r="B993" s="4">
        <f>ЛИК_дляСкорингаДП!B993</f>
        <v>7720318223</v>
      </c>
      <c r="C993" s="4" t="str">
        <f>ЛИК_дляСкорингаДП!C993</f>
        <v>ООО "АКЦЕНТ-СБ СЕРВИС"</v>
      </c>
      <c r="D993" s="5" t="str">
        <f>ЛИК_дляСкорингаДП!M993</f>
        <v>Производство электромонтажных работ</v>
      </c>
      <c r="E993" s="4" t="str">
        <f>ЛИК_дляСкорингаДП!L993</f>
        <v>43.21</v>
      </c>
      <c r="F993" t="str">
        <f>ЛИК_дляСкорингаДП!N993</f>
        <v>33.14,33.20,35.12,42.21,42.22.2,43.22,43.29,46.90,95.12</v>
      </c>
      <c r="G993" s="25" t="str">
        <f>ЛИК_дляСкорингаДП!AG993</f>
        <v>УСН</v>
      </c>
      <c r="H993" s="55" t="str">
        <f>IF(ISNUMBER(E993),E993,
IFERROR(LEFT(E993,FIND(".",E993)-1),E993))</f>
        <v>43</v>
      </c>
      <c r="I993" s="30">
        <f>IF(COUNTIF(Справочник_ОКВЭД_НР!$A$3:$A$62,H993)&gt;0,Справочник_ОКВЭД_НР!$L$8,
 IF(COUNTIF(Справочник_ОКВЭД_НР!$C$3:$C$62,H993)&gt;0,Справочник_ОКВЭД_НР!$L$9,
  IF(COUNTIF(Справочник_ОКВЭД_НР!$E$3:$E$62,H993)&gt;0,Справочник_ОКВЭД_НР!$L$10,
   IF(COUNTIF(Справочник_ОКВЭД_НР!$G$3:$G$62,H993)&gt;0,Справочник_ОКВЭД_НР!$L$11,50))))</f>
        <v>100</v>
      </c>
      <c r="J993" s="30" cm="1">
        <f t="array" ref="J993">IFERROR(
 (SUMPRODUCT(ISNUMBER(SEARCH(","&amp;Справочник_ОКВЭД_НР!$A$3:$A$62&amp;".",","&amp;SUBSTITUTE(F993," ","")&amp;",")))*Справочник_ОКВЭД_НР!$L$9 +
  SUMPRODUCT(ISNUMBER(SEARCH(","&amp;Справочник_ОКВЭД_НР!$C$3:$C$62&amp;".",","&amp;SUBSTITUTE(F993," ","")&amp;",")))*Справочник_ОКВЭД_НР!$L$10 +
  SUMPRODUCT(ISNUMBER(SEARCH(","&amp;Справочник_ОКВЭД_НР!$E$3:$E$62&amp;".",","&amp;SUBSTITUTE(F993," ","")&amp;",")))*Справочник_ОКВЭД_НР!$L$11 +
  SUMPRODUCT(ISNUMBER(SEARCH(","&amp;Справочник_ОКВЭД_НР!$G$3:$G$62&amp;".",","&amp;SUBSTITUTE(F993," ","")&amp;",")))*Справочник_ОКВЭД_НР!$L$12) /
 (SUMPRODUCT(ISNUMBER(SEARCH(","&amp;Справочник_ОКВЭД_НР!$A$3:$A$62&amp;".",","&amp;SUBSTITUTE(F993," ","")&amp;","))) +
  SUMPRODUCT(ISNUMBER(SEARCH(","&amp;Справочник_ОКВЭД_НР!$C$3:$C$62&amp;".",","&amp;SUBSTITUTE(F993," ","")&amp;","))) +
  SUMPRODUCT(ISNUMBER(SEARCH(","&amp;Справочник_ОКВЭД_НР!$E$3:$E$62&amp;".",","&amp;SUBSTITUTE(F993," ","")&amp;","))) +
  SUMPRODUCT(ISNUMBER(SEARCH(","&amp;Справочник_ОКВЭД_НР!$G$3:$G$62&amp;".",","&amp;SUBSTITUTE(F993," ","")&amp;",")))),
50)</f>
        <v>50</v>
      </c>
      <c r="K993" s="30">
        <f>IFERROR(VLOOKUP(G993,Справочник_ОКВЭД_НР!$O:$P,2,FALSE()),50)</f>
        <v>50</v>
      </c>
      <c r="L993" s="45">
        <f>(I993*Справочник_ОКВЭД_НР!$L$2+J993*Справочник_ОКВЭД_НР!$L$3+K993*Справочник_ОКВЭД_НР!$L$4)*M993</f>
        <v>80</v>
      </c>
      <c r="M993" s="47">
        <f>IF(COUNTIF(Справочник_ОКВЭД_НР!$G$3:$G$62,H993)&gt;0,0,1)</f>
        <v>1</v>
      </c>
    </row>
    <row r="994" spans="1:13" x14ac:dyDescent="0.25">
      <c r="A994" s="4">
        <f>ЛИК_дляСкорингаДП!A994</f>
        <v>1107746181553</v>
      </c>
      <c r="B994" s="4">
        <f>ЛИК_дляСкорингаДП!B994</f>
        <v>7714802676</v>
      </c>
      <c r="C994" s="4" t="str">
        <f>ЛИК_дляСкорингаДП!C994</f>
        <v>ООО "КЛИНИКА 7Я"</v>
      </c>
      <c r="D994" s="5" t="str">
        <f>ЛИК_дляСкорингаДП!M994</f>
        <v>Общая врачебная практика</v>
      </c>
      <c r="E994" s="4" t="str">
        <f>ЛИК_дляСкорингаДП!L994</f>
        <v>86.21</v>
      </c>
      <c r="F994" t="str">
        <f>ЛИК_дляСкорингаДП!N994</f>
        <v>21.1,21.10,21.20,21.20.1,21.20.2,26.60.1,46.46,46.46.1,46.46.2,46.49,46.90,47.1,47.11,47.19,47.2,47.25.2,47.41,47.41.4,47.42,47.5,47.51,47.51.1,47.51.2,47.53.3,47.59.1,47.64,47.65,47.7,47.71,47.71.1,47.71.2,47.71.5,47.71.6,47.71.7,47.71.8,47.73,47.74,47.75,47.75.1,47.75.2,47.77,47.78,47.78.1,47.91.1,47.91.2,47.91.3,47.91.4,47.99,71.20.2,77.39.26,82.99,86,86.10,86.23,86.90.4,86.90.9</v>
      </c>
      <c r="G994" s="25" t="str">
        <f>ЛИК_дляСкорингаДП!AG994</f>
        <v>УСН</v>
      </c>
      <c r="H994" s="55" t="str">
        <f>IF(ISNUMBER(E994),E994,
IFERROR(LEFT(E994,FIND(".",E994)-1),E994))</f>
        <v>86</v>
      </c>
      <c r="I994" s="30">
        <f>IF(COUNTIF(Справочник_ОКВЭД_НР!$A$3:$A$62,H994)&gt;0,Справочник_ОКВЭД_НР!$L$8,
 IF(COUNTIF(Справочник_ОКВЭД_НР!$C$3:$C$62,H994)&gt;0,Справочник_ОКВЭД_НР!$L$9,
  IF(COUNTIF(Справочник_ОКВЭД_НР!$E$3:$E$62,H994)&gt;0,Справочник_ОКВЭД_НР!$L$10,
   IF(COUNTIF(Справочник_ОКВЭД_НР!$G$3:$G$62,H994)&gt;0,Справочник_ОКВЭД_НР!$L$11,50))))</f>
        <v>100</v>
      </c>
      <c r="J994" s="30" cm="1">
        <f t="array" ref="J994">IFERROR(
 (SUMPRODUCT(ISNUMBER(SEARCH(","&amp;Справочник_ОКВЭД_НР!$A$3:$A$62&amp;".",","&amp;SUBSTITUTE(F994," ","")&amp;",")))*Справочник_ОКВЭД_НР!$L$9 +
  SUMPRODUCT(ISNUMBER(SEARCH(","&amp;Справочник_ОКВЭД_НР!$C$3:$C$62&amp;".",","&amp;SUBSTITUTE(F994," ","")&amp;",")))*Справочник_ОКВЭД_НР!$L$10 +
  SUMPRODUCT(ISNUMBER(SEARCH(","&amp;Справочник_ОКВЭД_НР!$E$3:$E$62&amp;".",","&amp;SUBSTITUTE(F994," ","")&amp;",")))*Справочник_ОКВЭД_НР!$L$11 +
  SUMPRODUCT(ISNUMBER(SEARCH(","&amp;Справочник_ОКВЭД_НР!$G$3:$G$62&amp;".",","&amp;SUBSTITUTE(F994," ","")&amp;",")))*Справочник_ОКВЭД_НР!$L$12) /
 (SUMPRODUCT(ISNUMBER(SEARCH(","&amp;Справочник_ОКВЭД_НР!$A$3:$A$62&amp;".",","&amp;SUBSTITUTE(F994," ","")&amp;","))) +
  SUMPRODUCT(ISNUMBER(SEARCH(","&amp;Справочник_ОКВЭД_НР!$C$3:$C$62&amp;".",","&amp;SUBSTITUTE(F994," ","")&amp;","))) +
  SUMPRODUCT(ISNUMBER(SEARCH(","&amp;Справочник_ОКВЭД_НР!$E$3:$E$62&amp;".",","&amp;SUBSTITUTE(F994," ","")&amp;","))) +
  SUMPRODUCT(ISNUMBER(SEARCH(","&amp;Справочник_ОКВЭД_НР!$G$3:$G$62&amp;".",","&amp;SUBSTITUTE(F994," ","")&amp;",")))),
50)</f>
        <v>50</v>
      </c>
      <c r="K994" s="30">
        <f>IFERROR(VLOOKUP(G994,Справочник_ОКВЭД_НР!$O:$P,2,FALSE()),50)</f>
        <v>50</v>
      </c>
      <c r="L994" s="45">
        <f>(I994*Справочник_ОКВЭД_НР!$L$2+J994*Справочник_ОКВЭД_НР!$L$3+K994*Справочник_ОКВЭД_НР!$L$4)*M994</f>
        <v>80</v>
      </c>
      <c r="M994" s="47">
        <f>IF(COUNTIF(Справочник_ОКВЭД_НР!$G$3:$G$62,H994)&gt;0,0,1)</f>
        <v>1</v>
      </c>
    </row>
    <row r="995" spans="1:13" x14ac:dyDescent="0.25">
      <c r="A995" s="4">
        <f>ЛИК_дляСкорингаДП!A995</f>
        <v>1157746787582</v>
      </c>
      <c r="B995" s="4">
        <f>ЛИК_дляСкорингаДП!B995</f>
        <v>7730181722</v>
      </c>
      <c r="C995" s="4" t="str">
        <f>ЛИК_дляСкорингаДП!C995</f>
        <v>ООО "ПРОЕКТ К"</v>
      </c>
      <c r="D995" s="5" t="str">
        <f>ЛИК_дляСкорингаДП!M995</f>
        <v>Торговля оптовая неспециализированная</v>
      </c>
      <c r="E995" s="4" t="str">
        <f>ЛИК_дляСкорингаДП!L995</f>
        <v>46.90</v>
      </c>
      <c r="F995" t="str">
        <f>ЛИК_дляСкорингаДП!N995</f>
        <v>41.20,43.99,52.24,52.29,71.1,71.11,71.11.1,71.12.1,71.12.12,71.12.3,71.12.4,71.12.41,71.12.42,71.12.45,71.12.5,71.12.53,71.12.6,71.12.61,71.12.62,71.12.63,71.12.9,74.20,74.30,82.19,82.92,82.99</v>
      </c>
      <c r="G995" s="25" t="str">
        <f>ЛИК_дляСкорингаДП!AG995</f>
        <v>УСН</v>
      </c>
      <c r="H995" s="55" t="str">
        <f>IF(ISNUMBER(E995),E995,
IFERROR(LEFT(E995,FIND(".",E995)-1),E995))</f>
        <v>46</v>
      </c>
      <c r="I995" s="30">
        <f>IF(COUNTIF(Справочник_ОКВЭД_НР!$A$3:$A$62,H995)&gt;0,Справочник_ОКВЭД_НР!$L$8,
 IF(COUNTIF(Справочник_ОКВЭД_НР!$C$3:$C$62,H995)&gt;0,Справочник_ОКВЭД_НР!$L$9,
  IF(COUNTIF(Справочник_ОКВЭД_НР!$E$3:$E$62,H995)&gt;0,Справочник_ОКВЭД_НР!$L$10,
   IF(COUNTIF(Справочник_ОКВЭД_НР!$G$3:$G$62,H995)&gt;0,Справочник_ОКВЭД_НР!$L$11,50))))</f>
        <v>60</v>
      </c>
      <c r="J995" s="30" cm="1">
        <f t="array" ref="J995">IFERROR(
 (SUMPRODUCT(ISNUMBER(SEARCH(","&amp;Справочник_ОКВЭД_НР!$A$3:$A$62&amp;".",","&amp;SUBSTITUTE(F995," ","")&amp;",")))*Справочник_ОКВЭД_НР!$L$9 +
  SUMPRODUCT(ISNUMBER(SEARCH(","&amp;Справочник_ОКВЭД_НР!$C$3:$C$62&amp;".",","&amp;SUBSTITUTE(F995," ","")&amp;",")))*Справочник_ОКВЭД_НР!$L$10 +
  SUMPRODUCT(ISNUMBER(SEARCH(","&amp;Справочник_ОКВЭД_НР!$E$3:$E$62&amp;".",","&amp;SUBSTITUTE(F995," ","")&amp;",")))*Справочник_ОКВЭД_НР!$L$11 +
  SUMPRODUCT(ISNUMBER(SEARCH(","&amp;Справочник_ОКВЭД_НР!$G$3:$G$62&amp;".",","&amp;SUBSTITUTE(F995," ","")&amp;",")))*Справочник_ОКВЭД_НР!$L$12) /
 (SUMPRODUCT(ISNUMBER(SEARCH(","&amp;Справочник_ОКВЭД_НР!$A$3:$A$62&amp;".",","&amp;SUBSTITUTE(F995," ","")&amp;","))) +
  SUMPRODUCT(ISNUMBER(SEARCH(","&amp;Справочник_ОКВЭД_НР!$C$3:$C$62&amp;".",","&amp;SUBSTITUTE(F995," ","")&amp;","))) +
  SUMPRODUCT(ISNUMBER(SEARCH(","&amp;Справочник_ОКВЭД_НР!$E$3:$E$62&amp;".",","&amp;SUBSTITUTE(F995," ","")&amp;","))) +
  SUMPRODUCT(ISNUMBER(SEARCH(","&amp;Справочник_ОКВЭД_НР!$G$3:$G$62&amp;".",","&amp;SUBSTITUTE(F995," ","")&amp;",")))),
50)</f>
        <v>50</v>
      </c>
      <c r="K995" s="30">
        <f>IFERROR(VLOOKUP(G995,Справочник_ОКВЭД_НР!$O:$P,2,FALSE()),50)</f>
        <v>50</v>
      </c>
      <c r="L995" s="45">
        <f>(I995*Справочник_ОКВЭД_НР!$L$2+J995*Справочник_ОКВЭД_НР!$L$3+K995*Справочник_ОКВЭД_НР!$L$4)*M995</f>
        <v>56</v>
      </c>
      <c r="M995" s="47">
        <f>IF(COUNTIF(Справочник_ОКВЭД_НР!$G$3:$G$62,H995)&gt;0,0,1)</f>
        <v>1</v>
      </c>
    </row>
    <row r="996" spans="1:13" x14ac:dyDescent="0.25">
      <c r="A996" s="4">
        <f>ЛИК_дляСкорингаДП!A996</f>
        <v>1126174001942</v>
      </c>
      <c r="B996" s="4">
        <f>ЛИК_дляСкорингаДП!B996</f>
        <v>6143078510</v>
      </c>
      <c r="C996" s="4" t="str">
        <f>ЛИК_дляСкорингаДП!C996</f>
        <v>ООО "ЕВРО-ЛАЙН"</v>
      </c>
      <c r="D996" s="5" t="str">
        <f>ЛИК_дляСкорингаДП!M996</f>
        <v>Регулярные перевозки пассажиров прочим сухопутным транспортом в городском и пригородном сообщении</v>
      </c>
      <c r="E996" s="4" t="str">
        <f>ЛИК_дляСкорингаДП!L996</f>
        <v>49.31.2</v>
      </c>
      <c r="F996" t="str">
        <f>ЛИК_дляСкорингаДП!N996</f>
        <v>47.91.2,47.91.4,47.99.5,49.3,49.32,53.20.3,68.20,79.90,82.99,96.09</v>
      </c>
      <c r="G996" s="25" t="str">
        <f>ЛИК_дляСкорингаДП!AG996</f>
        <v>УСН</v>
      </c>
      <c r="H996" s="55" t="str">
        <f>IF(ISNUMBER(E996),E996,
IFERROR(LEFT(E996,FIND(".",E996)-1),E996))</f>
        <v>49</v>
      </c>
      <c r="I996" s="30">
        <f>IF(COUNTIF(Справочник_ОКВЭД_НР!$A$3:$A$62,H996)&gt;0,Справочник_ОКВЭД_НР!$L$8,
 IF(COUNTIF(Справочник_ОКВЭД_НР!$C$3:$C$62,H996)&gt;0,Справочник_ОКВЭД_НР!$L$9,
  IF(COUNTIF(Справочник_ОКВЭД_НР!$E$3:$E$62,H996)&gt;0,Справочник_ОКВЭД_НР!$L$10,
   IF(COUNTIF(Справочник_ОКВЭД_НР!$G$3:$G$62,H996)&gt;0,Справочник_ОКВЭД_НР!$L$11,50))))</f>
        <v>60</v>
      </c>
      <c r="J996" s="30" cm="1">
        <f t="array" ref="J996">IFERROR(
 (SUMPRODUCT(ISNUMBER(SEARCH(","&amp;Справочник_ОКВЭД_НР!$A$3:$A$62&amp;".",","&amp;SUBSTITUTE(F996," ","")&amp;",")))*Справочник_ОКВЭД_НР!$L$9 +
  SUMPRODUCT(ISNUMBER(SEARCH(","&amp;Справочник_ОКВЭД_НР!$C$3:$C$62&amp;".",","&amp;SUBSTITUTE(F996," ","")&amp;",")))*Справочник_ОКВЭД_НР!$L$10 +
  SUMPRODUCT(ISNUMBER(SEARCH(","&amp;Справочник_ОКВЭД_НР!$E$3:$E$62&amp;".",","&amp;SUBSTITUTE(F996," ","")&amp;",")))*Справочник_ОКВЭД_НР!$L$11 +
  SUMPRODUCT(ISNUMBER(SEARCH(","&amp;Справочник_ОКВЭД_НР!$G$3:$G$62&amp;".",","&amp;SUBSTITUTE(F996," ","")&amp;",")))*Справочник_ОКВЭД_НР!$L$12) /
 (SUMPRODUCT(ISNUMBER(SEARCH(","&amp;Справочник_ОКВЭД_НР!$A$3:$A$62&amp;".",","&amp;SUBSTITUTE(F996," ","")&amp;","))) +
  SUMPRODUCT(ISNUMBER(SEARCH(","&amp;Справочник_ОКВЭД_НР!$C$3:$C$62&amp;".",","&amp;SUBSTITUTE(F996," ","")&amp;","))) +
  SUMPRODUCT(ISNUMBER(SEARCH(","&amp;Справочник_ОКВЭД_НР!$E$3:$E$62&amp;".",","&amp;SUBSTITUTE(F996," ","")&amp;","))) +
  SUMPRODUCT(ISNUMBER(SEARCH(","&amp;Справочник_ОКВЭД_НР!$G$3:$G$62&amp;".",","&amp;SUBSTITUTE(F996," ","")&amp;",")))),
50)</f>
        <v>50</v>
      </c>
      <c r="K996" s="30">
        <f>IFERROR(VLOOKUP(G996,Справочник_ОКВЭД_НР!$O:$P,2,FALSE()),50)</f>
        <v>50</v>
      </c>
      <c r="L996" s="45">
        <f>(I996*Справочник_ОКВЭД_НР!$L$2+J996*Справочник_ОКВЭД_НР!$L$3+K996*Справочник_ОКВЭД_НР!$L$4)*M996</f>
        <v>56</v>
      </c>
      <c r="M996" s="47">
        <f>IF(COUNTIF(Справочник_ОКВЭД_НР!$G$3:$G$62,H996)&gt;0,0,1)</f>
        <v>1</v>
      </c>
    </row>
    <row r="997" spans="1:13" x14ac:dyDescent="0.25">
      <c r="A997" s="4">
        <f>ЛИК_дляСкорингаДП!A997</f>
        <v>1107746074886</v>
      </c>
      <c r="B997" s="4">
        <f>ЛИК_дляСкорингаДП!B997</f>
        <v>7703714876</v>
      </c>
      <c r="C997" s="4" t="str">
        <f>ЛИК_дляСкорингаДП!C997</f>
        <v>ООО  "МАНУКОВ"</v>
      </c>
      <c r="D997" s="5" t="str">
        <f>ЛИК_дляСкорингаДП!M997</f>
        <v>Стоматологическая практика</v>
      </c>
      <c r="E997" s="4" t="str">
        <f>ЛИК_дляСкорингаДП!L997</f>
        <v>86.23</v>
      </c>
      <c r="F997" t="str">
        <f>ЛИК_дляСкорингаДП!N997</f>
        <v>26.60.1,47.73,47.74,47.75</v>
      </c>
      <c r="G997" s="25" t="str">
        <f>ЛИК_дляСкорингаДП!AG997</f>
        <v>УСН</v>
      </c>
      <c r="H997" s="55" t="str">
        <f>IF(ISNUMBER(E997),E997,
IFERROR(LEFT(E997,FIND(".",E997)-1),E997))</f>
        <v>86</v>
      </c>
      <c r="I997" s="30">
        <f>IF(COUNTIF(Справочник_ОКВЭД_НР!$A$3:$A$62,H997)&gt;0,Справочник_ОКВЭД_НР!$L$8,
 IF(COUNTIF(Справочник_ОКВЭД_НР!$C$3:$C$62,H997)&gt;0,Справочник_ОКВЭД_НР!$L$9,
  IF(COUNTIF(Справочник_ОКВЭД_НР!$E$3:$E$62,H997)&gt;0,Справочник_ОКВЭД_НР!$L$10,
   IF(COUNTIF(Справочник_ОКВЭД_НР!$G$3:$G$62,H997)&gt;0,Справочник_ОКВЭД_НР!$L$11,50))))</f>
        <v>100</v>
      </c>
      <c r="J997" s="30" cm="1">
        <f t="array" ref="J997">IFERROR(
 (SUMPRODUCT(ISNUMBER(SEARCH(","&amp;Справочник_ОКВЭД_НР!$A$3:$A$62&amp;".",","&amp;SUBSTITUTE(F997," ","")&amp;",")))*Справочник_ОКВЭД_НР!$L$9 +
  SUMPRODUCT(ISNUMBER(SEARCH(","&amp;Справочник_ОКВЭД_НР!$C$3:$C$62&amp;".",","&amp;SUBSTITUTE(F997," ","")&amp;",")))*Справочник_ОКВЭД_НР!$L$10 +
  SUMPRODUCT(ISNUMBER(SEARCH(","&amp;Справочник_ОКВЭД_НР!$E$3:$E$62&amp;".",","&amp;SUBSTITUTE(F997," ","")&amp;",")))*Справочник_ОКВЭД_НР!$L$11 +
  SUMPRODUCT(ISNUMBER(SEARCH(","&amp;Справочник_ОКВЭД_НР!$G$3:$G$62&amp;".",","&amp;SUBSTITUTE(F997," ","")&amp;",")))*Справочник_ОКВЭД_НР!$L$12) /
 (SUMPRODUCT(ISNUMBER(SEARCH(","&amp;Справочник_ОКВЭД_НР!$A$3:$A$62&amp;".",","&amp;SUBSTITUTE(F997," ","")&amp;","))) +
  SUMPRODUCT(ISNUMBER(SEARCH(","&amp;Справочник_ОКВЭД_НР!$C$3:$C$62&amp;".",","&amp;SUBSTITUTE(F997," ","")&amp;","))) +
  SUMPRODUCT(ISNUMBER(SEARCH(","&amp;Справочник_ОКВЭД_НР!$E$3:$E$62&amp;".",","&amp;SUBSTITUTE(F997," ","")&amp;","))) +
  SUMPRODUCT(ISNUMBER(SEARCH(","&amp;Справочник_ОКВЭД_НР!$G$3:$G$62&amp;".",","&amp;SUBSTITUTE(F997," ","")&amp;",")))),
50)</f>
        <v>50</v>
      </c>
      <c r="K997" s="30">
        <f>IFERROR(VLOOKUP(G997,Справочник_ОКВЭД_НР!$O:$P,2,FALSE()),50)</f>
        <v>50</v>
      </c>
      <c r="L997" s="45">
        <f>(I997*Справочник_ОКВЭД_НР!$L$2+J997*Справочник_ОКВЭД_НР!$L$3+K997*Справочник_ОКВЭД_НР!$L$4)*M997</f>
        <v>80</v>
      </c>
      <c r="M997" s="47">
        <f>IF(COUNTIF(Справочник_ОКВЭД_НР!$G$3:$G$62,H997)&gt;0,0,1)</f>
        <v>1</v>
      </c>
    </row>
    <row r="998" spans="1:13" x14ac:dyDescent="0.25">
      <c r="A998" s="4">
        <f>ЛИК_дляСкорингаДП!A998</f>
        <v>1107746084291</v>
      </c>
      <c r="B998" s="4">
        <f>ЛИК_дляСкорингаДП!B998</f>
        <v>7724736341</v>
      </c>
      <c r="C998" s="4" t="str">
        <f>ЛИК_дляСкорингаДП!C998</f>
        <v>ООО "ВЕБСПОРТ"</v>
      </c>
      <c r="D998" s="5" t="str">
        <f>ЛИК_дляСкорингаДП!M998</f>
        <v>Разработка компьютерного программного обеспечения</v>
      </c>
      <c r="E998" s="4" t="str">
        <f>ЛИК_дляСкорингаДП!L998</f>
        <v>62.01</v>
      </c>
      <c r="F998" t="str">
        <f>ЛИК_дляСкорингаДП!N998</f>
        <v>46.51,46.52,47.41,47.41,58.21,58.29,62.02.1,62.02.2,62.02.3,62.02.4,62.02.9,62.03,62.09,63.11,63.12,63.99.1,95.11,95.12</v>
      </c>
      <c r="G998" s="25" t="str">
        <f>ЛИК_дляСкорингаДП!AG998</f>
        <v>УСН</v>
      </c>
      <c r="H998" s="55" t="str">
        <f>IF(ISNUMBER(E998),E998,
IFERROR(LEFT(E998,FIND(".",E998)-1),E998))</f>
        <v>62</v>
      </c>
      <c r="I998" s="30">
        <f>IF(COUNTIF(Справочник_ОКВЭД_НР!$A$3:$A$62,H998)&gt;0,Справочник_ОКВЭД_НР!$L$8,
 IF(COUNTIF(Справочник_ОКВЭД_НР!$C$3:$C$62,H998)&gt;0,Справочник_ОКВЭД_НР!$L$9,
  IF(COUNTIF(Справочник_ОКВЭД_НР!$E$3:$E$62,H998)&gt;0,Справочник_ОКВЭД_НР!$L$10,
   IF(COUNTIF(Справочник_ОКВЭД_НР!$G$3:$G$62,H998)&gt;0,Справочник_ОКВЭД_НР!$L$11,50))))</f>
        <v>100</v>
      </c>
      <c r="J998" s="30" cm="1">
        <f t="array" ref="J998">IFERROR(
 (SUMPRODUCT(ISNUMBER(SEARCH(","&amp;Справочник_ОКВЭД_НР!$A$3:$A$62&amp;".",","&amp;SUBSTITUTE(F998," ","")&amp;",")))*Справочник_ОКВЭД_НР!$L$9 +
  SUMPRODUCT(ISNUMBER(SEARCH(","&amp;Справочник_ОКВЭД_НР!$C$3:$C$62&amp;".",","&amp;SUBSTITUTE(F998," ","")&amp;",")))*Справочник_ОКВЭД_НР!$L$10 +
  SUMPRODUCT(ISNUMBER(SEARCH(","&amp;Справочник_ОКВЭД_НР!$E$3:$E$62&amp;".",","&amp;SUBSTITUTE(F998," ","")&amp;",")))*Справочник_ОКВЭД_НР!$L$11 +
  SUMPRODUCT(ISNUMBER(SEARCH(","&amp;Справочник_ОКВЭД_НР!$G$3:$G$62&amp;".",","&amp;SUBSTITUTE(F998," ","")&amp;",")))*Справочник_ОКВЭД_НР!$L$12) /
 (SUMPRODUCT(ISNUMBER(SEARCH(","&amp;Справочник_ОКВЭД_НР!$A$3:$A$62&amp;".",","&amp;SUBSTITUTE(F998," ","")&amp;","))) +
  SUMPRODUCT(ISNUMBER(SEARCH(","&amp;Справочник_ОКВЭД_НР!$C$3:$C$62&amp;".",","&amp;SUBSTITUTE(F998," ","")&amp;","))) +
  SUMPRODUCT(ISNUMBER(SEARCH(","&amp;Справочник_ОКВЭД_НР!$E$3:$E$62&amp;".",","&amp;SUBSTITUTE(F998," ","")&amp;","))) +
  SUMPRODUCT(ISNUMBER(SEARCH(","&amp;Справочник_ОКВЭД_НР!$G$3:$G$62&amp;".",","&amp;SUBSTITUTE(F998," ","")&amp;",")))),
50)</f>
        <v>50</v>
      </c>
      <c r="K998" s="30">
        <f>IFERROR(VLOOKUP(G998,Справочник_ОКВЭД_НР!$O:$P,2,FALSE()),50)</f>
        <v>50</v>
      </c>
      <c r="L998" s="45">
        <f>(I998*Справочник_ОКВЭД_НР!$L$2+J998*Справочник_ОКВЭД_НР!$L$3+K998*Справочник_ОКВЭД_НР!$L$4)*M998</f>
        <v>80</v>
      </c>
      <c r="M998" s="47">
        <f>IF(COUNTIF(Справочник_ОКВЭД_НР!$G$3:$G$62,H998)&gt;0,0,1)</f>
        <v>1</v>
      </c>
    </row>
    <row r="999" spans="1:13" x14ac:dyDescent="0.25">
      <c r="A999" s="4">
        <f>ЛИК_дляСкорингаДП!A999</f>
        <v>1157746852890</v>
      </c>
      <c r="B999" s="4">
        <f>ЛИК_дляСкорингаДП!B999</f>
        <v>9701010356</v>
      </c>
      <c r="C999" s="4" t="str">
        <f>ЛИК_дляСкорингаДП!C999</f>
        <v>ООО "ГРИН ХАУС"</v>
      </c>
      <c r="D999" s="5" t="str">
        <f>ЛИК_дляСкорингаДП!M999</f>
        <v>Деятельность ресторанов и услуги по доставке продуктов питания</v>
      </c>
      <c r="E999" s="4" t="str">
        <f>ЛИК_дляСкорингаДП!L999</f>
        <v>56.10</v>
      </c>
      <c r="F999" t="str">
        <f>ЛИК_дляСкорингаДП!N999</f>
        <v>47.29.3,56.10.1,56.10.3,56.29,56.30</v>
      </c>
      <c r="G999" s="25" t="str">
        <f>ЛИК_дляСкорингаДП!AG999</f>
        <v>УСН</v>
      </c>
      <c r="H999" s="55" t="str">
        <f>IF(ISNUMBER(E999),E999,
IFERROR(LEFT(E999,FIND(".",E999)-1),E999))</f>
        <v>56</v>
      </c>
      <c r="I999" s="30">
        <f>IF(COUNTIF(Справочник_ОКВЭД_НР!$A$3:$A$62,H999)&gt;0,Справочник_ОКВЭД_НР!$L$8,
 IF(COUNTIF(Справочник_ОКВЭД_НР!$C$3:$C$62,H999)&gt;0,Справочник_ОКВЭД_НР!$L$9,
  IF(COUNTIF(Справочник_ОКВЭД_НР!$E$3:$E$62,H999)&gt;0,Справочник_ОКВЭД_НР!$L$10,
   IF(COUNTIF(Справочник_ОКВЭД_НР!$G$3:$G$62,H999)&gt;0,Справочник_ОКВЭД_НР!$L$11,50))))</f>
        <v>30</v>
      </c>
      <c r="J999" s="30" cm="1">
        <f t="array" ref="J999">IFERROR(
 (SUMPRODUCT(ISNUMBER(SEARCH(","&amp;Справочник_ОКВЭД_НР!$A$3:$A$62&amp;".",","&amp;SUBSTITUTE(F999," ","")&amp;",")))*Справочник_ОКВЭД_НР!$L$9 +
  SUMPRODUCT(ISNUMBER(SEARCH(","&amp;Справочник_ОКВЭД_НР!$C$3:$C$62&amp;".",","&amp;SUBSTITUTE(F999," ","")&amp;",")))*Справочник_ОКВЭД_НР!$L$10 +
  SUMPRODUCT(ISNUMBER(SEARCH(","&amp;Справочник_ОКВЭД_НР!$E$3:$E$62&amp;".",","&amp;SUBSTITUTE(F999," ","")&amp;",")))*Справочник_ОКВЭД_НР!$L$11 +
  SUMPRODUCT(ISNUMBER(SEARCH(","&amp;Справочник_ОКВЭД_НР!$G$3:$G$62&amp;".",","&amp;SUBSTITUTE(F999," ","")&amp;",")))*Справочник_ОКВЭД_НР!$L$12) /
 (SUMPRODUCT(ISNUMBER(SEARCH(","&amp;Справочник_ОКВЭД_НР!$A$3:$A$62&amp;".",","&amp;SUBSTITUTE(F999," ","")&amp;","))) +
  SUMPRODUCT(ISNUMBER(SEARCH(","&amp;Справочник_ОКВЭД_НР!$C$3:$C$62&amp;".",","&amp;SUBSTITUTE(F999," ","")&amp;","))) +
  SUMPRODUCT(ISNUMBER(SEARCH(","&amp;Справочник_ОКВЭД_НР!$E$3:$E$62&amp;".",","&amp;SUBSTITUTE(F999," ","")&amp;","))) +
  SUMPRODUCT(ISNUMBER(SEARCH(","&amp;Справочник_ОКВЭД_НР!$G$3:$G$62&amp;".",","&amp;SUBSTITUTE(F999," ","")&amp;",")))),
50)</f>
        <v>50</v>
      </c>
      <c r="K999" s="30">
        <f>IFERROR(VLOOKUP(G999,Справочник_ОКВЭД_НР!$O:$P,2,FALSE()),50)</f>
        <v>50</v>
      </c>
      <c r="L999" s="45">
        <f>(I999*Справочник_ОКВЭД_НР!$L$2+J999*Справочник_ОКВЭД_НР!$L$3+K999*Справочник_ОКВЭД_НР!$L$4)*M999</f>
        <v>38</v>
      </c>
      <c r="M999" s="47">
        <f>IF(COUNTIF(Справочник_ОКВЭД_НР!$G$3:$G$62,H999)&gt;0,0,1)</f>
        <v>1</v>
      </c>
    </row>
    <row r="1000" spans="1:13" x14ac:dyDescent="0.25">
      <c r="A1000" s="4">
        <f>ЛИК_дляСкорингаДП!A1000</f>
        <v>1157746924125</v>
      </c>
      <c r="B1000" s="4">
        <f>ЛИК_дляСкорингаДП!B1000</f>
        <v>7709470104</v>
      </c>
      <c r="C1000" s="4" t="str">
        <f>ЛИК_дляСкорингаДП!C1000</f>
        <v>ООО  "РЕНЕССАНС"</v>
      </c>
      <c r="D1000" s="5" t="str">
        <f>ЛИК_дляСкорингаДП!M1000</f>
        <v>Аренда и управление собственным или арендованным недвижимым имуществом</v>
      </c>
      <c r="E1000" s="4" t="str">
        <f>ЛИК_дляСкорингаДП!L1000</f>
        <v>68.20</v>
      </c>
      <c r="F1000" t="str">
        <f>ЛИК_дляСкорингаДП!N1000</f>
        <v>68.10,68.10.1,68.31,68.32</v>
      </c>
      <c r="G1000" s="25" t="str">
        <f>ЛИК_дляСкорингаДП!AG1000</f>
        <v>УСН</v>
      </c>
      <c r="H1000" s="55" t="str">
        <f>IF(ISNUMBER(E1000),E1000,
IFERROR(LEFT(E1000,FIND(".",E1000)-1),E1000))</f>
        <v>68</v>
      </c>
      <c r="I1000" s="30">
        <f>IF(COUNTIF(Справочник_ОКВЭД_НР!$A$3:$A$62,H1000)&gt;0,Справочник_ОКВЭД_НР!$L$8,
 IF(COUNTIF(Справочник_ОКВЭД_НР!$C$3:$C$62,H1000)&gt;0,Справочник_ОКВЭД_НР!$L$9,
  IF(COUNTIF(Справочник_ОКВЭД_НР!$E$3:$E$62,H1000)&gt;0,Справочник_ОКВЭД_НР!$L$10,
   IF(COUNTIF(Справочник_ОКВЭД_НР!$G$3:$G$62,H1000)&gt;0,Справочник_ОКВЭД_НР!$L$11,50))))</f>
        <v>100</v>
      </c>
      <c r="J1000" s="30" cm="1">
        <f t="array" ref="J1000">IFERROR(
 (SUMPRODUCT(ISNUMBER(SEARCH(","&amp;Справочник_ОКВЭД_НР!$A$3:$A$62&amp;".",","&amp;SUBSTITUTE(F1000," ","")&amp;",")))*Справочник_ОКВЭД_НР!$L$9 +
  SUMPRODUCT(ISNUMBER(SEARCH(","&amp;Справочник_ОКВЭД_НР!$C$3:$C$62&amp;".",","&amp;SUBSTITUTE(F1000," ","")&amp;",")))*Справочник_ОКВЭД_НР!$L$10 +
  SUMPRODUCT(ISNUMBER(SEARCH(","&amp;Справочник_ОКВЭД_НР!$E$3:$E$62&amp;".",","&amp;SUBSTITUTE(F1000," ","")&amp;",")))*Справочник_ОКВЭД_НР!$L$11 +
  SUMPRODUCT(ISNUMBER(SEARCH(","&amp;Справочник_ОКВЭД_НР!$G$3:$G$62&amp;".",","&amp;SUBSTITUTE(F1000," ","")&amp;",")))*Справочник_ОКВЭД_НР!$L$12) /
 (SUMPRODUCT(ISNUMBER(SEARCH(","&amp;Справочник_ОКВЭД_НР!$A$3:$A$62&amp;".",","&amp;SUBSTITUTE(F1000," ","")&amp;","))) +
  SUMPRODUCT(ISNUMBER(SEARCH(","&amp;Справочник_ОКВЭД_НР!$C$3:$C$62&amp;".",","&amp;SUBSTITUTE(F1000," ","")&amp;","))) +
  SUMPRODUCT(ISNUMBER(SEARCH(","&amp;Справочник_ОКВЭД_НР!$E$3:$E$62&amp;".",","&amp;SUBSTITUTE(F1000," ","")&amp;","))) +
  SUMPRODUCT(ISNUMBER(SEARCH(","&amp;Справочник_ОКВЭД_НР!$G$3:$G$62&amp;".",","&amp;SUBSTITUTE(F1000," ","")&amp;",")))),
50)</f>
        <v>50</v>
      </c>
      <c r="K1000" s="30">
        <f>IFERROR(VLOOKUP(G1000,Справочник_ОКВЭД_НР!$O:$P,2,FALSE()),50)</f>
        <v>50</v>
      </c>
      <c r="L1000" s="45">
        <f>(I1000*Справочник_ОКВЭД_НР!$L$2+J1000*Справочник_ОКВЭД_НР!$L$3+K1000*Справочник_ОКВЭД_НР!$L$4)*M1000</f>
        <v>80</v>
      </c>
      <c r="M1000" s="47">
        <f>IF(COUNTIF(Справочник_ОКВЭД_НР!$G$3:$G$62,H1000)&gt;0,0,1)</f>
        <v>1</v>
      </c>
    </row>
    <row r="1001" spans="1:13" x14ac:dyDescent="0.25">
      <c r="A1001" s="4">
        <f>ЛИК_дляСкорингаДП!A1001</f>
        <v>1107746101495</v>
      </c>
      <c r="B1001" s="4">
        <f>ЛИК_дляСкорингаДП!B1001</f>
        <v>7720678138</v>
      </c>
      <c r="C1001" s="4" t="str">
        <f>ЛИК_дляСкорингаДП!C1001</f>
        <v>ООО СТОМАТОЛОГИЯ "АМЕЛИЯ"</v>
      </c>
      <c r="D1001" s="5" t="str">
        <f>ЛИК_дляСкорингаДП!M1001</f>
        <v>Стоматологическая практика</v>
      </c>
      <c r="E1001" s="4" t="str">
        <f>ЛИК_дляСкорингаДП!L1001</f>
        <v>86.23</v>
      </c>
      <c r="F1001" t="str">
        <f>ЛИК_дляСкорингаДП!N1001</f>
        <v>47.74,47.78,86.90.9,86.90.9</v>
      </c>
      <c r="G1001" s="25" t="str">
        <f>ЛИК_дляСкорингаДП!AG1001</f>
        <v>УСН</v>
      </c>
      <c r="H1001" s="55" t="str">
        <f>IF(ISNUMBER(E1001),E1001,
IFERROR(LEFT(E1001,FIND(".",E1001)-1),E1001))</f>
        <v>86</v>
      </c>
      <c r="I1001" s="30">
        <f>IF(COUNTIF(Справочник_ОКВЭД_НР!$A$3:$A$62,H1001)&gt;0,Справочник_ОКВЭД_НР!$L$8,
 IF(COUNTIF(Справочник_ОКВЭД_НР!$C$3:$C$62,H1001)&gt;0,Справочник_ОКВЭД_НР!$L$9,
  IF(COUNTIF(Справочник_ОКВЭД_НР!$E$3:$E$62,H1001)&gt;0,Справочник_ОКВЭД_НР!$L$10,
   IF(COUNTIF(Справочник_ОКВЭД_НР!$G$3:$G$62,H1001)&gt;0,Справочник_ОКВЭД_НР!$L$11,50))))</f>
        <v>100</v>
      </c>
      <c r="J1001" s="30" cm="1">
        <f t="array" ref="J1001">IFERROR(
 (SUMPRODUCT(ISNUMBER(SEARCH(","&amp;Справочник_ОКВЭД_НР!$A$3:$A$62&amp;".",","&amp;SUBSTITUTE(F1001," ","")&amp;",")))*Справочник_ОКВЭД_НР!$L$9 +
  SUMPRODUCT(ISNUMBER(SEARCH(","&amp;Справочник_ОКВЭД_НР!$C$3:$C$62&amp;".",","&amp;SUBSTITUTE(F1001," ","")&amp;",")))*Справочник_ОКВЭД_НР!$L$10 +
  SUMPRODUCT(ISNUMBER(SEARCH(","&amp;Справочник_ОКВЭД_НР!$E$3:$E$62&amp;".",","&amp;SUBSTITUTE(F1001," ","")&amp;",")))*Справочник_ОКВЭД_НР!$L$11 +
  SUMPRODUCT(ISNUMBER(SEARCH(","&amp;Справочник_ОКВЭД_НР!$G$3:$G$62&amp;".",","&amp;SUBSTITUTE(F1001," ","")&amp;",")))*Справочник_ОКВЭД_НР!$L$12) /
 (SUMPRODUCT(ISNUMBER(SEARCH(","&amp;Справочник_ОКВЭД_НР!$A$3:$A$62&amp;".",","&amp;SUBSTITUTE(F1001," ","")&amp;","))) +
  SUMPRODUCT(ISNUMBER(SEARCH(","&amp;Справочник_ОКВЭД_НР!$C$3:$C$62&amp;".",","&amp;SUBSTITUTE(F1001," ","")&amp;","))) +
  SUMPRODUCT(ISNUMBER(SEARCH(","&amp;Справочник_ОКВЭД_НР!$E$3:$E$62&amp;".",","&amp;SUBSTITUTE(F1001," ","")&amp;","))) +
  SUMPRODUCT(ISNUMBER(SEARCH(","&amp;Справочник_ОКВЭД_НР!$G$3:$G$62&amp;".",","&amp;SUBSTITUTE(F1001," ","")&amp;",")))),
50)</f>
        <v>50</v>
      </c>
      <c r="K1001" s="30">
        <f>IFERROR(VLOOKUP(G1001,Справочник_ОКВЭД_НР!$O:$P,2,FALSE()),50)</f>
        <v>50</v>
      </c>
      <c r="L1001" s="45">
        <f>(I1001*Справочник_ОКВЭД_НР!$L$2+J1001*Справочник_ОКВЭД_НР!$L$3+K1001*Справочник_ОКВЭД_НР!$L$4)*M1001</f>
        <v>80</v>
      </c>
      <c r="M1001" s="47">
        <f>IF(COUNTIF(Справочник_ОКВЭД_НР!$G$3:$G$62,H1001)&gt;0,0,1)</f>
        <v>1</v>
      </c>
    </row>
    <row r="1010" spans="1:3" x14ac:dyDescent="0.25">
      <c r="A1010" s="14"/>
      <c r="B1010" s="14"/>
      <c r="C1010" s="26"/>
    </row>
    <row r="1011" spans="1:3" x14ac:dyDescent="0.25">
      <c r="A1011" s="15"/>
      <c r="B1011" s="16"/>
      <c r="C1011" s="27"/>
    </row>
    <row r="1012" spans="1:3" x14ac:dyDescent="0.25">
      <c r="A1012" s="15"/>
      <c r="B1012" s="16"/>
      <c r="C1012" s="27"/>
    </row>
    <row r="1013" spans="1:3" x14ac:dyDescent="0.25">
      <c r="A1013" s="15"/>
      <c r="B1013" s="16"/>
      <c r="C1013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646D9-420A-43D0-97D9-954D3B352994}">
  <dimension ref="A1:Q64"/>
  <sheetViews>
    <sheetView zoomScale="85" zoomScaleNormal="85" workbookViewId="0">
      <selection activeCell="L20" sqref="L20"/>
    </sheetView>
  </sheetViews>
  <sheetFormatPr defaultRowHeight="15" x14ac:dyDescent="0.25"/>
  <cols>
    <col min="1" max="1" width="7" customWidth="1"/>
    <col min="2" max="2" width="33.28515625" customWidth="1"/>
    <col min="3" max="3" width="7.28515625" customWidth="1"/>
    <col min="4" max="4" width="31.28515625" customWidth="1"/>
    <col min="5" max="5" width="7.5703125" customWidth="1"/>
    <col min="6" max="6" width="35.5703125" customWidth="1"/>
    <col min="7" max="7" width="6.42578125" customWidth="1"/>
    <col min="8" max="8" width="41.42578125" customWidth="1"/>
    <col min="11" max="11" width="16.85546875" customWidth="1"/>
    <col min="12" max="12" width="9.5703125" customWidth="1"/>
    <col min="13" max="13" width="45.5703125" customWidth="1"/>
    <col min="16" max="16" width="7.28515625" customWidth="1"/>
    <col min="17" max="17" width="81.7109375" customWidth="1"/>
  </cols>
  <sheetData>
    <row r="1" spans="1:17" x14ac:dyDescent="0.25">
      <c r="A1" s="49" t="s">
        <v>8656</v>
      </c>
      <c r="B1" s="49"/>
      <c r="C1" s="50" t="s">
        <v>8657</v>
      </c>
      <c r="D1" s="50"/>
      <c r="E1" s="51" t="s">
        <v>8658</v>
      </c>
      <c r="F1" s="51"/>
      <c r="G1" s="52" t="s">
        <v>8659</v>
      </c>
      <c r="H1" s="52"/>
      <c r="K1" s="17" t="s">
        <v>8640</v>
      </c>
      <c r="L1" s="17" t="s">
        <v>8641</v>
      </c>
      <c r="M1" s="17" t="s">
        <v>8642</v>
      </c>
      <c r="O1" s="18" t="s">
        <v>8647</v>
      </c>
      <c r="P1" s="18" t="s">
        <v>8648</v>
      </c>
      <c r="Q1" s="18" t="s">
        <v>8642</v>
      </c>
    </row>
    <row r="2" spans="1:17" ht="39" customHeight="1" x14ac:dyDescent="0.25">
      <c r="A2" s="32" t="s">
        <v>8660</v>
      </c>
      <c r="B2" s="32" t="s">
        <v>8661</v>
      </c>
      <c r="C2" s="32" t="s">
        <v>8660</v>
      </c>
      <c r="D2" s="32" t="s">
        <v>8661</v>
      </c>
      <c r="E2" s="32" t="s">
        <v>8660</v>
      </c>
      <c r="F2" s="32" t="s">
        <v>8661</v>
      </c>
      <c r="G2" s="32" t="s">
        <v>8660</v>
      </c>
      <c r="H2" s="32" t="s">
        <v>8661</v>
      </c>
      <c r="K2" s="22" t="s">
        <v>11</v>
      </c>
      <c r="L2" s="24">
        <v>0.6</v>
      </c>
      <c r="M2" s="23" t="s">
        <v>8652</v>
      </c>
      <c r="O2" s="19" t="s">
        <v>46</v>
      </c>
      <c r="P2" s="20">
        <v>100</v>
      </c>
      <c r="Q2" s="21" t="s">
        <v>8649</v>
      </c>
    </row>
    <row r="3" spans="1:17" ht="15.75" customHeight="1" x14ac:dyDescent="0.25">
      <c r="A3" s="36">
        <v>68</v>
      </c>
      <c r="B3" s="33" t="s">
        <v>8662</v>
      </c>
      <c r="C3" s="36">
        <v>46</v>
      </c>
      <c r="D3" s="33" t="s">
        <v>8663</v>
      </c>
      <c r="E3" s="36">
        <v>56</v>
      </c>
      <c r="F3" s="33" t="s">
        <v>8664</v>
      </c>
      <c r="G3" s="31">
        <v>84</v>
      </c>
      <c r="H3" s="34" t="s">
        <v>8665</v>
      </c>
      <c r="K3" s="22" t="s">
        <v>8655</v>
      </c>
      <c r="L3" s="24">
        <v>0.25</v>
      </c>
      <c r="M3" s="23" t="s">
        <v>8653</v>
      </c>
      <c r="O3" s="19" t="s">
        <v>319</v>
      </c>
      <c r="P3" s="20">
        <v>50</v>
      </c>
      <c r="Q3" s="21" t="s">
        <v>8650</v>
      </c>
    </row>
    <row r="4" spans="1:17" ht="27.75" customHeight="1" x14ac:dyDescent="0.25">
      <c r="A4" s="36">
        <v>86</v>
      </c>
      <c r="B4" s="33" t="s">
        <v>8666</v>
      </c>
      <c r="C4" s="36">
        <v>47</v>
      </c>
      <c r="D4" s="33" t="s">
        <v>8667</v>
      </c>
      <c r="E4" s="36">
        <v>85</v>
      </c>
      <c r="F4" s="33" t="s">
        <v>8668</v>
      </c>
      <c r="G4" s="31">
        <v>94</v>
      </c>
      <c r="H4" s="34" t="s">
        <v>8669</v>
      </c>
      <c r="K4" s="22" t="s">
        <v>13</v>
      </c>
      <c r="L4" s="24">
        <v>0.15</v>
      </c>
      <c r="M4" s="23" t="s">
        <v>8654</v>
      </c>
      <c r="O4" s="19" t="s">
        <v>1525</v>
      </c>
      <c r="P4" s="20">
        <v>40</v>
      </c>
      <c r="Q4" s="21" t="s">
        <v>8651</v>
      </c>
    </row>
    <row r="5" spans="1:17" x14ac:dyDescent="0.25">
      <c r="A5" s="36">
        <v>71</v>
      </c>
      <c r="B5" s="33" t="s">
        <v>8670</v>
      </c>
      <c r="C5" s="36">
        <v>64</v>
      </c>
      <c r="D5" s="33" t="s">
        <v>8671</v>
      </c>
      <c r="E5" s="36">
        <v>93</v>
      </c>
      <c r="F5" s="33" t="s">
        <v>8672</v>
      </c>
      <c r="G5" s="31">
        <v>91</v>
      </c>
      <c r="H5" s="34" t="s">
        <v>8673</v>
      </c>
    </row>
    <row r="6" spans="1:17" x14ac:dyDescent="0.25">
      <c r="A6" s="36">
        <v>41</v>
      </c>
      <c r="B6" s="33" t="s">
        <v>8674</v>
      </c>
      <c r="C6" s="36">
        <v>52</v>
      </c>
      <c r="D6" s="33" t="s">
        <v>8675</v>
      </c>
      <c r="E6" s="36">
        <v>81</v>
      </c>
      <c r="F6" s="33" t="s">
        <v>8676</v>
      </c>
      <c r="G6" s="35"/>
      <c r="H6" s="35"/>
      <c r="K6" s="37"/>
    </row>
    <row r="7" spans="1:17" x14ac:dyDescent="0.25">
      <c r="A7" s="36">
        <v>62</v>
      </c>
      <c r="B7" s="33" t="s">
        <v>8677</v>
      </c>
      <c r="C7" s="36">
        <v>45</v>
      </c>
      <c r="D7" s="33" t="s">
        <v>8678</v>
      </c>
      <c r="E7" s="36">
        <v>69</v>
      </c>
      <c r="F7" s="33" t="s">
        <v>8679</v>
      </c>
      <c r="G7" s="35"/>
      <c r="H7" s="35"/>
      <c r="K7" s="17" t="s">
        <v>8733</v>
      </c>
      <c r="L7" s="17" t="s">
        <v>8648</v>
      </c>
      <c r="M7" s="17" t="s">
        <v>8734</v>
      </c>
    </row>
    <row r="8" spans="1:17" x14ac:dyDescent="0.25">
      <c r="A8" s="36">
        <v>10</v>
      </c>
      <c r="B8" s="33" t="s">
        <v>8680</v>
      </c>
      <c r="C8" s="36">
        <v>49</v>
      </c>
      <c r="D8" s="33" t="s">
        <v>8681</v>
      </c>
      <c r="E8" s="36">
        <v>18</v>
      </c>
      <c r="F8" s="33" t="s">
        <v>8682</v>
      </c>
      <c r="G8" s="35"/>
      <c r="H8" s="35"/>
      <c r="K8" s="22" t="s">
        <v>8735</v>
      </c>
      <c r="L8" s="38">
        <v>100</v>
      </c>
      <c r="M8" s="39" t="s">
        <v>8736</v>
      </c>
    </row>
    <row r="9" spans="1:17" x14ac:dyDescent="0.25">
      <c r="A9" s="36">
        <v>27</v>
      </c>
      <c r="B9" s="33" t="s">
        <v>8683</v>
      </c>
      <c r="C9" s="36">
        <v>35</v>
      </c>
      <c r="D9" s="33" t="s">
        <v>8684</v>
      </c>
      <c r="E9" s="36">
        <v>82</v>
      </c>
      <c r="F9" s="33" t="s">
        <v>8685</v>
      </c>
      <c r="G9" s="35"/>
      <c r="H9" s="35"/>
      <c r="K9" s="22" t="s">
        <v>8737</v>
      </c>
      <c r="L9" s="38">
        <v>60</v>
      </c>
      <c r="M9" s="39" t="s">
        <v>8738</v>
      </c>
    </row>
    <row r="10" spans="1:17" x14ac:dyDescent="0.25">
      <c r="A10" s="36">
        <v>43</v>
      </c>
      <c r="B10" s="33" t="s">
        <v>8686</v>
      </c>
      <c r="C10" s="36">
        <v>1</v>
      </c>
      <c r="D10" s="33" t="s">
        <v>8687</v>
      </c>
      <c r="E10" s="36">
        <v>73</v>
      </c>
      <c r="F10" s="33" t="s">
        <v>8688</v>
      </c>
      <c r="G10" s="35"/>
      <c r="H10" s="35"/>
      <c r="K10" s="22" t="s">
        <v>8739</v>
      </c>
      <c r="L10" s="38">
        <v>30</v>
      </c>
      <c r="M10" s="39" t="s">
        <v>8740</v>
      </c>
    </row>
    <row r="11" spans="1:17" x14ac:dyDescent="0.25">
      <c r="A11" s="36">
        <v>63</v>
      </c>
      <c r="B11" s="33" t="s">
        <v>8689</v>
      </c>
      <c r="C11" s="36">
        <v>70</v>
      </c>
      <c r="D11" s="33" t="s">
        <v>8690</v>
      </c>
      <c r="E11" s="36">
        <v>55</v>
      </c>
      <c r="F11" s="33" t="s">
        <v>8691</v>
      </c>
      <c r="G11" s="35"/>
      <c r="H11" s="35"/>
      <c r="K11" s="22" t="s">
        <v>8741</v>
      </c>
      <c r="L11" s="38">
        <v>0</v>
      </c>
      <c r="M11" s="39" t="s">
        <v>8742</v>
      </c>
    </row>
    <row r="12" spans="1:17" x14ac:dyDescent="0.25">
      <c r="A12" s="36">
        <v>42</v>
      </c>
      <c r="B12" s="33" t="s">
        <v>8692</v>
      </c>
      <c r="C12" s="36">
        <v>28</v>
      </c>
      <c r="D12" s="33" t="s">
        <v>8693</v>
      </c>
      <c r="E12" s="36">
        <v>59</v>
      </c>
      <c r="F12" s="33" t="s">
        <v>8694</v>
      </c>
      <c r="G12" s="35"/>
      <c r="H12" s="35"/>
      <c r="K12" s="22" t="s">
        <v>8743</v>
      </c>
      <c r="L12" s="38">
        <v>50</v>
      </c>
      <c r="M12" s="39" t="s">
        <v>8744</v>
      </c>
    </row>
    <row r="13" spans="1:17" x14ac:dyDescent="0.25">
      <c r="A13" s="36">
        <v>11</v>
      </c>
      <c r="B13" s="33" t="s">
        <v>8695</v>
      </c>
      <c r="C13" s="36">
        <v>33</v>
      </c>
      <c r="D13" s="33" t="s">
        <v>8696</v>
      </c>
      <c r="E13" s="36">
        <v>79</v>
      </c>
      <c r="F13" s="33" t="s">
        <v>8697</v>
      </c>
      <c r="G13" s="35"/>
      <c r="H13" s="35"/>
    </row>
    <row r="14" spans="1:17" x14ac:dyDescent="0.25">
      <c r="A14" s="35"/>
      <c r="B14" s="35"/>
      <c r="C14" s="36">
        <v>61</v>
      </c>
      <c r="D14" s="33" t="s">
        <v>8698</v>
      </c>
      <c r="E14" s="36">
        <v>31</v>
      </c>
      <c r="F14" s="33" t="s">
        <v>8699</v>
      </c>
      <c r="G14" s="35"/>
      <c r="H14" s="35"/>
    </row>
    <row r="15" spans="1:17" x14ac:dyDescent="0.25">
      <c r="A15" s="35"/>
      <c r="B15" s="35"/>
      <c r="C15" s="36">
        <v>20</v>
      </c>
      <c r="D15" s="33" t="s">
        <v>8700</v>
      </c>
      <c r="E15" s="36">
        <v>88</v>
      </c>
      <c r="F15" s="33" t="s">
        <v>8701</v>
      </c>
      <c r="G15" s="35"/>
      <c r="H15" s="35"/>
    </row>
    <row r="16" spans="1:17" x14ac:dyDescent="0.25">
      <c r="A16" s="35"/>
      <c r="B16" s="35"/>
      <c r="C16" s="36">
        <v>26</v>
      </c>
      <c r="D16" s="33" t="s">
        <v>8702</v>
      </c>
      <c r="E16" s="36">
        <v>96</v>
      </c>
      <c r="F16" s="33" t="s">
        <v>8703</v>
      </c>
      <c r="G16" s="35"/>
      <c r="H16" s="35"/>
    </row>
    <row r="17" spans="1:8" x14ac:dyDescent="0.25">
      <c r="A17" s="35"/>
      <c r="B17" s="35"/>
      <c r="C17" s="36">
        <v>77</v>
      </c>
      <c r="D17" s="33" t="s">
        <v>8704</v>
      </c>
      <c r="E17" s="36">
        <v>58</v>
      </c>
      <c r="F17" s="33" t="s">
        <v>8705</v>
      </c>
      <c r="G17" s="35"/>
      <c r="H17" s="35"/>
    </row>
    <row r="18" spans="1:8" x14ac:dyDescent="0.25">
      <c r="A18" s="35"/>
      <c r="B18" s="35"/>
      <c r="C18" s="36">
        <v>23</v>
      </c>
      <c r="D18" s="33" t="s">
        <v>8706</v>
      </c>
      <c r="E18" s="36">
        <v>90</v>
      </c>
      <c r="F18" s="33" t="s">
        <v>8707</v>
      </c>
      <c r="G18" s="35"/>
      <c r="H18" s="35"/>
    </row>
    <row r="19" spans="1:8" x14ac:dyDescent="0.25">
      <c r="A19" s="35"/>
      <c r="B19" s="35"/>
      <c r="C19" s="36">
        <v>66</v>
      </c>
      <c r="D19" s="33" t="s">
        <v>8708</v>
      </c>
      <c r="E19" s="36">
        <v>74</v>
      </c>
      <c r="F19" s="33" t="s">
        <v>8709</v>
      </c>
      <c r="G19" s="35"/>
      <c r="H19" s="35"/>
    </row>
    <row r="20" spans="1:8" x14ac:dyDescent="0.25">
      <c r="A20" s="35"/>
      <c r="B20" s="35"/>
      <c r="C20" s="36">
        <v>72</v>
      </c>
      <c r="D20" s="33" t="s">
        <v>8710</v>
      </c>
      <c r="E20" s="36">
        <v>80</v>
      </c>
      <c r="F20" s="33" t="s">
        <v>8711</v>
      </c>
      <c r="G20" s="35"/>
      <c r="H20" s="35"/>
    </row>
    <row r="21" spans="1:8" x14ac:dyDescent="0.25">
      <c r="A21" s="35"/>
      <c r="B21" s="35"/>
      <c r="C21" s="36">
        <v>16</v>
      </c>
      <c r="D21" s="33" t="s">
        <v>8712</v>
      </c>
      <c r="E21" s="36">
        <v>95</v>
      </c>
      <c r="F21" s="33" t="s">
        <v>8713</v>
      </c>
      <c r="G21" s="35"/>
      <c r="H21" s="35"/>
    </row>
    <row r="22" spans="1:8" x14ac:dyDescent="0.25">
      <c r="A22" s="35"/>
      <c r="B22" s="35"/>
      <c r="C22" s="36">
        <v>22</v>
      </c>
      <c r="D22" s="33" t="s">
        <v>8714</v>
      </c>
      <c r="E22" s="36">
        <v>38</v>
      </c>
      <c r="F22" s="33" t="s">
        <v>8715</v>
      </c>
      <c r="G22" s="35"/>
      <c r="H22" s="35"/>
    </row>
    <row r="23" spans="1:8" x14ac:dyDescent="0.25">
      <c r="A23" s="35"/>
      <c r="B23" s="35"/>
      <c r="C23" s="36">
        <v>29</v>
      </c>
      <c r="D23" s="33" t="s">
        <v>8716</v>
      </c>
      <c r="E23" s="36">
        <v>60</v>
      </c>
      <c r="F23" s="33" t="s">
        <v>8717</v>
      </c>
      <c r="G23" s="35"/>
      <c r="H23" s="35"/>
    </row>
    <row r="24" spans="1:8" x14ac:dyDescent="0.25">
      <c r="A24" s="35"/>
      <c r="B24" s="35"/>
      <c r="C24" s="36">
        <v>17</v>
      </c>
      <c r="D24" s="33" t="s">
        <v>8718</v>
      </c>
      <c r="E24" s="36">
        <v>32</v>
      </c>
      <c r="F24" s="33" t="s">
        <v>8719</v>
      </c>
      <c r="G24" s="35"/>
      <c r="H24" s="35"/>
    </row>
    <row r="25" spans="1:8" x14ac:dyDescent="0.25">
      <c r="A25" s="35"/>
      <c r="B25" s="35"/>
      <c r="C25" s="36">
        <v>25</v>
      </c>
      <c r="D25" s="33" t="s">
        <v>8720</v>
      </c>
      <c r="E25" s="36">
        <v>36</v>
      </c>
      <c r="F25" s="33" t="s">
        <v>8721</v>
      </c>
      <c r="G25" s="35"/>
      <c r="H25" s="35"/>
    </row>
    <row r="26" spans="1:8" x14ac:dyDescent="0.25">
      <c r="A26" s="35"/>
      <c r="B26" s="35"/>
      <c r="C26" s="36">
        <v>14</v>
      </c>
      <c r="D26" s="33" t="s">
        <v>8722</v>
      </c>
      <c r="E26" s="36">
        <v>37</v>
      </c>
      <c r="F26" s="33" t="s">
        <v>8723</v>
      </c>
      <c r="G26" s="35"/>
      <c r="H26" s="35"/>
    </row>
    <row r="27" spans="1:8" x14ac:dyDescent="0.25">
      <c r="A27" s="35"/>
      <c r="B27" s="35"/>
      <c r="C27" s="36">
        <v>30</v>
      </c>
      <c r="D27" s="33" t="s">
        <v>8724</v>
      </c>
      <c r="E27" s="36">
        <v>75</v>
      </c>
      <c r="F27" s="33" t="s">
        <v>8725</v>
      </c>
      <c r="G27" s="35"/>
      <c r="H27" s="35"/>
    </row>
    <row r="28" spans="1:8" x14ac:dyDescent="0.25">
      <c r="A28" s="35"/>
      <c r="B28" s="35"/>
      <c r="C28" s="36">
        <v>21</v>
      </c>
      <c r="D28" s="33" t="s">
        <v>8726</v>
      </c>
      <c r="E28" s="36">
        <v>87</v>
      </c>
      <c r="F28" s="33" t="s">
        <v>8727</v>
      </c>
      <c r="G28" s="35"/>
      <c r="H28" s="35"/>
    </row>
    <row r="29" spans="1:8" x14ac:dyDescent="0.25">
      <c r="A29" s="35"/>
      <c r="B29" s="35"/>
      <c r="C29" s="36">
        <v>50</v>
      </c>
      <c r="D29" s="33" t="s">
        <v>8728</v>
      </c>
      <c r="E29" s="35"/>
      <c r="F29" s="35"/>
      <c r="G29" s="35"/>
      <c r="H29" s="35"/>
    </row>
    <row r="30" spans="1:8" x14ac:dyDescent="0.25">
      <c r="A30" s="35"/>
      <c r="B30" s="35"/>
      <c r="C30" s="36">
        <v>51</v>
      </c>
      <c r="D30" s="33" t="s">
        <v>8729</v>
      </c>
      <c r="E30" s="35"/>
      <c r="F30" s="35"/>
      <c r="G30" s="35"/>
      <c r="H30" s="35"/>
    </row>
    <row r="31" spans="1:8" x14ac:dyDescent="0.25">
      <c r="A31" s="35"/>
      <c r="B31" s="35"/>
      <c r="C31" s="36">
        <v>6</v>
      </c>
      <c r="D31" s="33" t="s">
        <v>8730</v>
      </c>
      <c r="E31" s="35"/>
      <c r="F31" s="35"/>
      <c r="G31" s="35"/>
      <c r="H31" s="35"/>
    </row>
    <row r="32" spans="1:8" x14ac:dyDescent="0.25">
      <c r="A32" s="35"/>
      <c r="B32" s="35"/>
      <c r="C32" s="36">
        <v>8</v>
      </c>
      <c r="D32" s="33" t="s">
        <v>8731</v>
      </c>
      <c r="E32" s="35"/>
      <c r="F32" s="35"/>
      <c r="G32" s="35"/>
      <c r="H32" s="35"/>
    </row>
    <row r="33" spans="1:8" x14ac:dyDescent="0.25">
      <c r="A33" s="35"/>
      <c r="B33" s="35"/>
      <c r="C33" s="36">
        <v>24</v>
      </c>
      <c r="D33" s="33" t="s">
        <v>8732</v>
      </c>
      <c r="E33" s="35"/>
      <c r="F33" s="35"/>
      <c r="G33" s="35"/>
      <c r="H33" s="35"/>
    </row>
    <row r="34" spans="1:8" x14ac:dyDescent="0.25">
      <c r="A34" s="35"/>
      <c r="B34" s="35"/>
      <c r="C34" s="35"/>
      <c r="D34" s="35"/>
      <c r="E34" s="35"/>
      <c r="F34" s="35"/>
      <c r="G34" s="35"/>
      <c r="H34" s="35"/>
    </row>
    <row r="35" spans="1:8" x14ac:dyDescent="0.25">
      <c r="A35" s="35"/>
      <c r="B35" s="35"/>
      <c r="C35" s="35"/>
      <c r="D35" s="35"/>
      <c r="E35" s="35"/>
      <c r="F35" s="35"/>
      <c r="G35" s="35"/>
      <c r="H35" s="35"/>
    </row>
    <row r="36" spans="1:8" x14ac:dyDescent="0.25">
      <c r="A36" s="35"/>
      <c r="B36" s="35"/>
      <c r="C36" s="35"/>
      <c r="D36" s="35"/>
      <c r="E36" s="35"/>
      <c r="F36" s="35"/>
      <c r="G36" s="35"/>
      <c r="H36" s="35"/>
    </row>
    <row r="37" spans="1:8" x14ac:dyDescent="0.25">
      <c r="A37" s="35"/>
      <c r="B37" s="35"/>
      <c r="C37" s="35"/>
      <c r="D37" s="35"/>
      <c r="E37" s="35"/>
      <c r="F37" s="35"/>
      <c r="G37" s="35"/>
      <c r="H37" s="35"/>
    </row>
    <row r="38" spans="1:8" x14ac:dyDescent="0.25">
      <c r="A38" s="35"/>
      <c r="B38" s="35"/>
      <c r="C38" s="35"/>
      <c r="D38" s="35"/>
      <c r="E38" s="35"/>
      <c r="F38" s="35"/>
      <c r="G38" s="35"/>
      <c r="H38" s="35"/>
    </row>
    <row r="39" spans="1:8" x14ac:dyDescent="0.25">
      <c r="A39" s="35"/>
      <c r="B39" s="35"/>
      <c r="C39" s="35"/>
      <c r="D39" s="35"/>
      <c r="E39" s="35"/>
      <c r="F39" s="35"/>
      <c r="G39" s="35"/>
      <c r="H39" s="35"/>
    </row>
    <row r="40" spans="1:8" x14ac:dyDescent="0.25">
      <c r="A40" s="35"/>
      <c r="B40" s="35"/>
      <c r="C40" s="35"/>
      <c r="D40" s="35"/>
      <c r="E40" s="35"/>
      <c r="F40" s="35"/>
      <c r="G40" s="35"/>
      <c r="H40" s="35"/>
    </row>
    <row r="41" spans="1:8" x14ac:dyDescent="0.25">
      <c r="A41" s="35"/>
      <c r="B41" s="35"/>
      <c r="C41" s="35"/>
      <c r="D41" s="35"/>
      <c r="E41" s="35"/>
      <c r="F41" s="35"/>
      <c r="G41" s="35"/>
      <c r="H41" s="35"/>
    </row>
    <row r="42" spans="1:8" x14ac:dyDescent="0.25">
      <c r="A42" s="35"/>
      <c r="B42" s="35"/>
      <c r="C42" s="35"/>
      <c r="D42" s="35"/>
      <c r="E42" s="35"/>
      <c r="F42" s="35"/>
      <c r="G42" s="35"/>
      <c r="H42" s="35"/>
    </row>
    <row r="43" spans="1:8" x14ac:dyDescent="0.25">
      <c r="A43" s="35"/>
      <c r="B43" s="35"/>
      <c r="C43" s="35"/>
      <c r="D43" s="35"/>
      <c r="E43" s="35"/>
      <c r="F43" s="35"/>
      <c r="G43" s="35"/>
      <c r="H43" s="35"/>
    </row>
    <row r="44" spans="1:8" x14ac:dyDescent="0.25">
      <c r="A44" s="35"/>
      <c r="B44" s="35"/>
      <c r="C44" s="35"/>
      <c r="D44" s="35"/>
      <c r="E44" s="35"/>
      <c r="F44" s="35"/>
      <c r="G44" s="35"/>
      <c r="H44" s="35"/>
    </row>
    <row r="45" spans="1:8" x14ac:dyDescent="0.25">
      <c r="A45" s="35"/>
      <c r="B45" s="35"/>
      <c r="C45" s="35"/>
      <c r="D45" s="35"/>
      <c r="E45" s="35"/>
      <c r="F45" s="35"/>
      <c r="G45" s="35"/>
      <c r="H45" s="35"/>
    </row>
    <row r="46" spans="1:8" x14ac:dyDescent="0.25">
      <c r="A46" s="35"/>
      <c r="B46" s="35"/>
      <c r="C46" s="35"/>
      <c r="D46" s="35"/>
      <c r="E46" s="35"/>
      <c r="F46" s="35"/>
      <c r="G46" s="35"/>
      <c r="H46" s="35"/>
    </row>
    <row r="47" spans="1:8" x14ac:dyDescent="0.25">
      <c r="A47" s="35"/>
      <c r="B47" s="35"/>
      <c r="C47" s="35"/>
      <c r="D47" s="35"/>
      <c r="E47" s="35"/>
      <c r="F47" s="35"/>
      <c r="G47" s="35"/>
      <c r="H47" s="35"/>
    </row>
    <row r="48" spans="1:8" x14ac:dyDescent="0.25">
      <c r="A48" s="35"/>
      <c r="B48" s="35"/>
      <c r="C48" s="35"/>
      <c r="D48" s="35"/>
      <c r="E48" s="35"/>
      <c r="F48" s="35"/>
      <c r="G48" s="35"/>
      <c r="H48" s="35"/>
    </row>
    <row r="49" spans="1:8" x14ac:dyDescent="0.25">
      <c r="A49" s="35"/>
      <c r="B49" s="35"/>
      <c r="C49" s="35"/>
      <c r="D49" s="35"/>
      <c r="E49" s="35"/>
      <c r="F49" s="35"/>
      <c r="G49" s="35"/>
      <c r="H49" s="35"/>
    </row>
    <row r="50" spans="1:8" x14ac:dyDescent="0.25">
      <c r="A50" s="35"/>
      <c r="B50" s="35"/>
      <c r="C50" s="35"/>
      <c r="D50" s="35"/>
      <c r="E50" s="35"/>
      <c r="F50" s="35"/>
      <c r="G50" s="35"/>
      <c r="H50" s="35"/>
    </row>
    <row r="51" spans="1:8" x14ac:dyDescent="0.25">
      <c r="A51" s="35"/>
      <c r="B51" s="35"/>
      <c r="C51" s="35"/>
      <c r="D51" s="35"/>
      <c r="E51" s="35"/>
      <c r="F51" s="35"/>
      <c r="G51" s="35"/>
      <c r="H51" s="35"/>
    </row>
    <row r="52" spans="1:8" x14ac:dyDescent="0.25">
      <c r="A52" s="35"/>
      <c r="B52" s="35"/>
      <c r="C52" s="35"/>
      <c r="D52" s="35"/>
      <c r="E52" s="35"/>
      <c r="F52" s="35"/>
      <c r="G52" s="35"/>
      <c r="H52" s="35"/>
    </row>
    <row r="53" spans="1:8" x14ac:dyDescent="0.25">
      <c r="A53" s="35"/>
      <c r="B53" s="35"/>
      <c r="C53" s="35"/>
      <c r="D53" s="35"/>
      <c r="E53" s="35"/>
      <c r="F53" s="35"/>
      <c r="G53" s="35"/>
      <c r="H53" s="35"/>
    </row>
    <row r="54" spans="1:8" x14ac:dyDescent="0.25">
      <c r="A54" s="35"/>
      <c r="B54" s="35"/>
      <c r="C54" s="35"/>
      <c r="D54" s="35"/>
      <c r="E54" s="35"/>
      <c r="F54" s="35"/>
      <c r="G54" s="35"/>
      <c r="H54" s="35"/>
    </row>
    <row r="55" spans="1:8" x14ac:dyDescent="0.25">
      <c r="A55" s="35"/>
      <c r="B55" s="35"/>
      <c r="C55" s="35"/>
      <c r="D55" s="35"/>
      <c r="E55" s="35"/>
      <c r="F55" s="35"/>
      <c r="G55" s="35"/>
      <c r="H55" s="35"/>
    </row>
    <row r="56" spans="1:8" x14ac:dyDescent="0.25">
      <c r="A56" s="35"/>
      <c r="B56" s="35"/>
      <c r="C56" s="35"/>
      <c r="D56" s="35"/>
      <c r="E56" s="35"/>
      <c r="F56" s="35"/>
      <c r="G56" s="35"/>
      <c r="H56" s="35"/>
    </row>
    <row r="57" spans="1:8" x14ac:dyDescent="0.25">
      <c r="A57" s="35"/>
      <c r="B57" s="35"/>
      <c r="C57" s="35"/>
      <c r="D57" s="35"/>
      <c r="E57" s="35"/>
      <c r="F57" s="35"/>
      <c r="G57" s="35"/>
      <c r="H57" s="35"/>
    </row>
    <row r="58" spans="1:8" x14ac:dyDescent="0.25">
      <c r="A58" s="35"/>
      <c r="B58" s="35"/>
      <c r="C58" s="35"/>
      <c r="D58" s="35"/>
      <c r="E58" s="35"/>
      <c r="F58" s="35"/>
      <c r="G58" s="35"/>
      <c r="H58" s="35"/>
    </row>
    <row r="59" spans="1:8" x14ac:dyDescent="0.25">
      <c r="A59" s="35"/>
      <c r="B59" s="35"/>
      <c r="C59" s="35"/>
      <c r="D59" s="35"/>
      <c r="E59" s="35"/>
      <c r="F59" s="35"/>
      <c r="G59" s="35"/>
      <c r="H59" s="35"/>
    </row>
    <row r="60" spans="1:8" x14ac:dyDescent="0.25">
      <c r="A60" s="35"/>
      <c r="B60" s="35"/>
      <c r="C60" s="35"/>
      <c r="D60" s="35"/>
      <c r="E60" s="35"/>
      <c r="F60" s="35"/>
      <c r="G60" s="35"/>
      <c r="H60" s="35"/>
    </row>
    <row r="61" spans="1:8" x14ac:dyDescent="0.25">
      <c r="A61" s="35"/>
      <c r="B61" s="35"/>
      <c r="C61" s="35"/>
      <c r="D61" s="35"/>
      <c r="E61" s="35"/>
      <c r="F61" s="35"/>
      <c r="G61" s="35"/>
      <c r="H61" s="35"/>
    </row>
    <row r="62" spans="1:8" x14ac:dyDescent="0.25">
      <c r="A62" s="35"/>
      <c r="B62" s="35"/>
      <c r="C62" s="35"/>
      <c r="D62" s="35"/>
      <c r="E62" s="35"/>
      <c r="F62" s="35"/>
      <c r="G62" s="35"/>
      <c r="H62" s="35"/>
    </row>
    <row r="64" spans="1:8" x14ac:dyDescent="0.25">
      <c r="A64" s="53"/>
      <c r="B64" s="53"/>
      <c r="C64" s="53"/>
      <c r="D64" s="53"/>
      <c r="E64" s="53"/>
      <c r="F64" s="53"/>
      <c r="G64" s="53"/>
      <c r="H64" s="53"/>
    </row>
  </sheetData>
  <mergeCells count="5">
    <mergeCell ref="A1:B1"/>
    <mergeCell ref="C1:D1"/>
    <mergeCell ref="E1:F1"/>
    <mergeCell ref="G1:H1"/>
    <mergeCell ref="A64:H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ЛИК_дляСкорингаДП</vt:lpstr>
      <vt:lpstr>Категория С</vt:lpstr>
      <vt:lpstr>Справочник_ОКВЭД_НР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Fferan l</dc:creator>
  <cp:lastModifiedBy>Fferan l</cp:lastModifiedBy>
  <dcterms:created xsi:type="dcterms:W3CDTF">2026-06-30T08:57:00Z</dcterms:created>
  <dcterms:modified xsi:type="dcterms:W3CDTF">2026-07-02T16:32:50Z</dcterms:modified>
</cp:coreProperties>
</file>